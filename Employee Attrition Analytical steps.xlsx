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hidePivotFieldList="1" defaultThemeVersion="202300"/>
  <mc:AlternateContent xmlns:mc="http://schemas.openxmlformats.org/markup-compatibility/2006">
    <mc:Choice Requires="x15">
      <x15ac:absPath xmlns:x15ac="http://schemas.microsoft.com/office/spreadsheetml/2010/11/ac" url="/Users/babyboss/Downloads/"/>
    </mc:Choice>
  </mc:AlternateContent>
  <xr:revisionPtr revIDLastSave="0" documentId="8_{E33C19BD-B654-2A47-BEAC-D1622EE813A0}" xr6:coauthVersionLast="47" xr6:coauthVersionMax="47" xr10:uidLastSave="{00000000-0000-0000-0000-000000000000}"/>
  <bookViews>
    <workbookView xWindow="0" yWindow="0" windowWidth="28800" windowHeight="18000" firstSheet="2" activeTab="2" xr2:uid="{00000000-000D-0000-FFFF-FFFF00000000}"/>
  </bookViews>
  <sheets>
    <sheet name="watson_healthcare_modified" sheetId="1" r:id="rId1"/>
    <sheet name="Pre-analysis board" sheetId="14" r:id="rId2"/>
    <sheet name="Dashboard" sheetId="12" r:id="rId3"/>
    <sheet name="In-analysis board" sheetId="15" r:id="rId4"/>
    <sheet name="Recommendation" sheetId="16" r:id="rId5"/>
    <sheet name="Calculations" sheetId="11" r:id="rId6"/>
    <sheet name="Attrition by age group" sheetId="3" r:id="rId7"/>
    <sheet name="Attrition by age group (2)" sheetId="13" r:id="rId8"/>
    <sheet name="Attrition by marital status" sheetId="4" r:id="rId9"/>
    <sheet name="Attrition by business travel" sheetId="5" r:id="rId10"/>
    <sheet name="Attrition by employee education" sheetId="6" r:id="rId11"/>
    <sheet name="Attrition by gender" sheetId="7" r:id="rId12"/>
    <sheet name="Attrition by department" sheetId="8" r:id="rId13"/>
    <sheet name="Overall attrition rate" sheetId="10" r:id="rId14"/>
  </sheets>
  <definedNames>
    <definedName name="Slicer_Attrition_Group">#N/A</definedName>
    <definedName name="Slicer_Gender">#N/A</definedName>
  </definedNames>
  <calcPr calcId="191029" iterate="1"/>
  <pivotCaches>
    <pivotCache cacheId="57"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1" l="1"/>
  <c r="AK3" i="1" a="1"/>
  <c r="AK3" i="1" s="1"/>
  <c r="AK4" i="1" a="1"/>
  <c r="AK4" i="1"/>
  <c r="AK5" i="1" a="1"/>
  <c r="AK5" i="1" s="1"/>
  <c r="AK6" i="1" a="1"/>
  <c r="AK6" i="1" s="1"/>
  <c r="AK7" i="1" a="1"/>
  <c r="AK7" i="1" s="1"/>
  <c r="AK8" i="1" a="1"/>
  <c r="AK8" i="1" s="1"/>
  <c r="AK9" i="1" a="1"/>
  <c r="AK9" i="1" s="1"/>
  <c r="AK10" i="1" a="1"/>
  <c r="AK10" i="1"/>
  <c r="AK11" i="1" a="1"/>
  <c r="AK11" i="1" s="1"/>
  <c r="AK12" i="1" a="1"/>
  <c r="AK12" i="1" s="1"/>
  <c r="AK13" i="1" a="1"/>
  <c r="AK13" i="1"/>
  <c r="AK14" i="1" a="1"/>
  <c r="AK14" i="1"/>
  <c r="AK15" i="1" a="1"/>
  <c r="AK15" i="1" s="1"/>
  <c r="AK16" i="1" a="1"/>
  <c r="AK16" i="1"/>
  <c r="AK17" i="1" a="1"/>
  <c r="AK17" i="1" s="1"/>
  <c r="AK18" i="1" a="1"/>
  <c r="AK18" i="1" s="1"/>
  <c r="AK19" i="1" a="1"/>
  <c r="AK19" i="1" s="1"/>
  <c r="AK20" i="1" a="1"/>
  <c r="AK20" i="1" s="1"/>
  <c r="AK21" i="1" a="1"/>
  <c r="AK21" i="1" s="1"/>
  <c r="AK22" i="1" a="1"/>
  <c r="AK22" i="1"/>
  <c r="AK23" i="1" a="1"/>
  <c r="AK23" i="1" s="1"/>
  <c r="AK24" i="1" a="1"/>
  <c r="AK24" i="1" s="1"/>
  <c r="AK25" i="1" a="1"/>
  <c r="AK25" i="1" s="1"/>
  <c r="AK26" i="1" a="1"/>
  <c r="AK26" i="1" s="1"/>
  <c r="AK27" i="1" a="1"/>
  <c r="AK27" i="1" s="1"/>
  <c r="AK28" i="1" a="1"/>
  <c r="AK28" i="1"/>
  <c r="AK29" i="1" a="1"/>
  <c r="AK29" i="1" s="1"/>
  <c r="AK30" i="1" a="1"/>
  <c r="AK30" i="1" s="1"/>
  <c r="AK31" i="1" a="1"/>
  <c r="AK31" i="1" s="1"/>
  <c r="AK32" i="1" a="1"/>
  <c r="AK32" i="1" s="1"/>
  <c r="AK33" i="1" a="1"/>
  <c r="AK33" i="1"/>
  <c r="AK34" i="1" a="1"/>
  <c r="AK34" i="1" s="1"/>
  <c r="AK35" i="1" a="1"/>
  <c r="AK35" i="1" s="1"/>
  <c r="AK36" i="1" a="1"/>
  <c r="AK36" i="1"/>
  <c r="AK37" i="1" a="1"/>
  <c r="AK37" i="1"/>
  <c r="AK38" i="1" a="1"/>
  <c r="AK38" i="1" s="1"/>
  <c r="AK39" i="1" a="1"/>
  <c r="AK39" i="1" s="1"/>
  <c r="AK40" i="1" a="1"/>
  <c r="AK40" i="1" s="1"/>
  <c r="AK41" i="1" a="1"/>
  <c r="AK41" i="1" s="1"/>
  <c r="AK42" i="1" a="1"/>
  <c r="AK42" i="1"/>
  <c r="AK43" i="1" a="1"/>
  <c r="AK43" i="1" s="1"/>
  <c r="AK44" i="1" a="1"/>
  <c r="AK44" i="1" s="1"/>
  <c r="AK45" i="1" a="1"/>
  <c r="AK45" i="1"/>
  <c r="AK46" i="1" a="1"/>
  <c r="AK46" i="1"/>
  <c r="AK47" i="1" a="1"/>
  <c r="AK47" i="1" s="1"/>
  <c r="AK48" i="1" a="1"/>
  <c r="AK48" i="1"/>
  <c r="AK49" i="1" a="1"/>
  <c r="AK49" i="1" s="1"/>
  <c r="AK50" i="1" a="1"/>
  <c r="AK50" i="1" s="1"/>
  <c r="AK51" i="1" a="1"/>
  <c r="AK51" i="1" s="1"/>
  <c r="AK52" i="1" a="1"/>
  <c r="AK52" i="1" s="1"/>
  <c r="AK53" i="1" a="1"/>
  <c r="AK53" i="1" s="1"/>
  <c r="AK54" i="1" a="1"/>
  <c r="AK54" i="1"/>
  <c r="AK55" i="1" a="1"/>
  <c r="AK55" i="1" s="1"/>
  <c r="AK56" i="1" a="1"/>
  <c r="AK56" i="1" s="1"/>
  <c r="AK57" i="1" a="1"/>
  <c r="AK57" i="1" s="1"/>
  <c r="AK58" i="1" a="1"/>
  <c r="AK58" i="1" s="1"/>
  <c r="AK59" i="1" a="1"/>
  <c r="AK59" i="1" s="1"/>
  <c r="AK60" i="1" a="1"/>
  <c r="AK60" i="1"/>
  <c r="AK61" i="1" a="1"/>
  <c r="AK61" i="1"/>
  <c r="AK62" i="1" a="1"/>
  <c r="AK62" i="1" s="1"/>
  <c r="AK63" i="1" a="1"/>
  <c r="AK63" i="1" s="1"/>
  <c r="AK64" i="1" a="1"/>
  <c r="AK64" i="1" s="1"/>
  <c r="AK65" i="1" a="1"/>
  <c r="AK65" i="1"/>
  <c r="AK66" i="1" a="1"/>
  <c r="AK66" i="1"/>
  <c r="AK67" i="1" a="1"/>
  <c r="AK67" i="1" s="1"/>
  <c r="AK68" i="1" a="1"/>
  <c r="AK68" i="1"/>
  <c r="AK69" i="1" a="1"/>
  <c r="AK69" i="1"/>
  <c r="AK70" i="1" a="1"/>
  <c r="AK70" i="1"/>
  <c r="AK71" i="1" a="1"/>
  <c r="AK71" i="1" s="1"/>
  <c r="AK72" i="1" a="1"/>
  <c r="AK72" i="1" s="1"/>
  <c r="AK73" i="1" a="1"/>
  <c r="AK73" i="1" s="1"/>
  <c r="AK74" i="1" a="1"/>
  <c r="AK74" i="1" s="1"/>
  <c r="AK75" i="1" a="1"/>
  <c r="AK75" i="1" s="1"/>
  <c r="AK76" i="1" a="1"/>
  <c r="AK76" i="1" s="1"/>
  <c r="AK77" i="1" a="1"/>
  <c r="AK77" i="1"/>
  <c r="AK78" i="1" a="1"/>
  <c r="AK78" i="1"/>
  <c r="AK79" i="1" a="1"/>
  <c r="AK79" i="1" s="1"/>
  <c r="AK80" i="1" a="1"/>
  <c r="AK80" i="1"/>
  <c r="AK81" i="1" a="1"/>
  <c r="AK81" i="1" s="1"/>
  <c r="AK82" i="1" a="1"/>
  <c r="AK82" i="1" s="1"/>
  <c r="AK83" i="1" a="1"/>
  <c r="AK83" i="1" s="1"/>
  <c r="AK84" i="1" a="1"/>
  <c r="AK84" i="1"/>
  <c r="AK85" i="1" a="1"/>
  <c r="AK85" i="1" s="1"/>
  <c r="AK86" i="1" a="1"/>
  <c r="AK86" i="1"/>
  <c r="AK87" i="1" a="1"/>
  <c r="AK87" i="1" s="1"/>
  <c r="AK88" i="1" a="1"/>
  <c r="AK88" i="1"/>
  <c r="AK89" i="1" a="1"/>
  <c r="AK89" i="1"/>
  <c r="AK90" i="1" a="1"/>
  <c r="AK90" i="1" s="1"/>
  <c r="AK91" i="1" a="1"/>
  <c r="AK91" i="1" s="1"/>
  <c r="AK92" i="1" a="1"/>
  <c r="AK92" i="1"/>
  <c r="AK93" i="1" a="1"/>
  <c r="AK93" i="1"/>
  <c r="AK94" i="1" a="1"/>
  <c r="AK94" i="1" s="1"/>
  <c r="AK95" i="1" a="1"/>
  <c r="AK95" i="1" s="1"/>
  <c r="AK96" i="1" a="1"/>
  <c r="AK96" i="1" s="1"/>
  <c r="AK97" i="1" a="1"/>
  <c r="AK97" i="1"/>
  <c r="AK98" i="1" a="1"/>
  <c r="AK98" i="1"/>
  <c r="AK99" i="1" a="1"/>
  <c r="AK99" i="1" s="1"/>
  <c r="AK100" i="1" a="1"/>
  <c r="AK100" i="1"/>
  <c r="AK101" i="1" a="1"/>
  <c r="AK101" i="1"/>
  <c r="AK102" i="1" a="1"/>
  <c r="AK102" i="1"/>
  <c r="AK103" i="1" a="1"/>
  <c r="AK103" i="1" s="1"/>
  <c r="AK104" i="1" a="1"/>
  <c r="AK104" i="1" s="1"/>
  <c r="AK105" i="1" a="1"/>
  <c r="AK105" i="1" s="1"/>
  <c r="AK106" i="1" a="1"/>
  <c r="AK106" i="1" s="1"/>
  <c r="AK107" i="1" a="1"/>
  <c r="AK107" i="1" s="1"/>
  <c r="AK108" i="1" a="1"/>
  <c r="AK108" i="1" s="1"/>
  <c r="AK109" i="1" a="1"/>
  <c r="AK109" i="1"/>
  <c r="AK110" i="1" a="1"/>
  <c r="AK110" i="1"/>
  <c r="AK111" i="1" a="1"/>
  <c r="AK111" i="1" s="1"/>
  <c r="AK112" i="1" a="1"/>
  <c r="AK112" i="1" s="1"/>
  <c r="AK113" i="1" a="1"/>
  <c r="AK113" i="1" s="1"/>
  <c r="AK114" i="1" a="1"/>
  <c r="AK114" i="1" s="1"/>
  <c r="AK115" i="1" a="1"/>
  <c r="AK115" i="1" s="1"/>
  <c r="AK116" i="1" a="1"/>
  <c r="AK116" i="1"/>
  <c r="AK117" i="1" a="1"/>
  <c r="AK117" i="1" s="1"/>
  <c r="AK118" i="1" a="1"/>
  <c r="AK118" i="1"/>
  <c r="AK119" i="1" a="1"/>
  <c r="AK119" i="1" s="1"/>
  <c r="AK120" i="1" a="1"/>
  <c r="AK120" i="1"/>
  <c r="AK121" i="1" a="1"/>
  <c r="AK121" i="1"/>
  <c r="AK122" i="1" a="1"/>
  <c r="AK122" i="1" s="1"/>
  <c r="AK123" i="1" a="1"/>
  <c r="AK123" i="1" s="1"/>
  <c r="AK124" i="1" a="1"/>
  <c r="AK124" i="1"/>
  <c r="AK125" i="1" a="1"/>
  <c r="AK125" i="1"/>
  <c r="AK126" i="1" a="1"/>
  <c r="AK126" i="1" s="1"/>
  <c r="AK127" i="1" a="1"/>
  <c r="AK127" i="1" s="1"/>
  <c r="AK128" i="1" a="1"/>
  <c r="AK128" i="1" s="1"/>
  <c r="AK129" i="1" a="1"/>
  <c r="AK129" i="1" s="1"/>
  <c r="AK130" i="1" a="1"/>
  <c r="AK130" i="1"/>
  <c r="AK131" i="1" a="1"/>
  <c r="AK131" i="1" s="1"/>
  <c r="AK132" i="1" a="1"/>
  <c r="AK132" i="1"/>
  <c r="AK133" i="1" a="1"/>
  <c r="AK133" i="1"/>
  <c r="AK134" i="1" a="1"/>
  <c r="AK134" i="1"/>
  <c r="AK135" i="1" a="1"/>
  <c r="AK135" i="1" s="1"/>
  <c r="AK136" i="1" a="1"/>
  <c r="AK136" i="1" s="1"/>
  <c r="AK137" i="1" a="1"/>
  <c r="AK137" i="1" s="1"/>
  <c r="AK138" i="1" a="1"/>
  <c r="AK138" i="1"/>
  <c r="AK139" i="1" a="1"/>
  <c r="AK139" i="1" s="1"/>
  <c r="AK140" i="1" a="1"/>
  <c r="AK140" i="1" s="1"/>
  <c r="AK141" i="1" a="1"/>
  <c r="AK141" i="1"/>
  <c r="AK142" i="1" a="1"/>
  <c r="AK142" i="1"/>
  <c r="AK143" i="1" a="1"/>
  <c r="AK143" i="1" s="1"/>
  <c r="AK144" i="1" a="1"/>
  <c r="AK144" i="1" s="1"/>
  <c r="AK145" i="1" a="1"/>
  <c r="AK145" i="1" s="1"/>
  <c r="AK146" i="1" a="1"/>
  <c r="AK146" i="1" s="1"/>
  <c r="AK147" i="1" a="1"/>
  <c r="AK147" i="1" s="1"/>
  <c r="AK148" i="1" a="1"/>
  <c r="AK148" i="1" s="1"/>
  <c r="AK149" i="1" a="1"/>
  <c r="AK149" i="1" s="1"/>
  <c r="AK150" i="1" a="1"/>
  <c r="AK150" i="1"/>
  <c r="AK151" i="1" a="1"/>
  <c r="AK151" i="1" s="1"/>
  <c r="AK152" i="1" a="1"/>
  <c r="AK152" i="1"/>
  <c r="AK153" i="1" a="1"/>
  <c r="AK153" i="1" s="1"/>
  <c r="AK154" i="1" a="1"/>
  <c r="AK154" i="1" s="1"/>
  <c r="AK155" i="1" a="1"/>
  <c r="AK155" i="1" s="1"/>
  <c r="AK156" i="1" a="1"/>
  <c r="AK156" i="1"/>
  <c r="AK157" i="1" a="1"/>
  <c r="AK157" i="1"/>
  <c r="AK158" i="1" a="1"/>
  <c r="AK158" i="1" s="1"/>
  <c r="AK159" i="1" a="1"/>
  <c r="AK159" i="1" s="1"/>
  <c r="AK160" i="1" a="1"/>
  <c r="AK160" i="1" s="1"/>
  <c r="AK161" i="1" a="1"/>
  <c r="AK161" i="1" s="1"/>
  <c r="AK162" i="1" a="1"/>
  <c r="AK162" i="1"/>
  <c r="AK163" i="1" a="1"/>
  <c r="AK163" i="1" s="1"/>
  <c r="AK164" i="1" a="1"/>
  <c r="AK164" i="1"/>
  <c r="AK165" i="1" a="1"/>
  <c r="AK165" i="1"/>
  <c r="AK166" i="1" a="1"/>
  <c r="AK166" i="1" s="1"/>
  <c r="AK167" i="1" a="1"/>
  <c r="AK167" i="1" s="1"/>
  <c r="AK168" i="1" a="1"/>
  <c r="AK168" i="1" s="1"/>
  <c r="AK169" i="1" a="1"/>
  <c r="AK169" i="1" s="1"/>
  <c r="AK170" i="1" a="1"/>
  <c r="AK170" i="1" s="1"/>
  <c r="AK171" i="1" a="1"/>
  <c r="AK171" i="1" s="1"/>
  <c r="AK172" i="1" a="1"/>
  <c r="AK172" i="1" s="1"/>
  <c r="AK173" i="1" a="1"/>
  <c r="AK173" i="1"/>
  <c r="AK174" i="1" a="1"/>
  <c r="AK174" i="1"/>
  <c r="AK175" i="1" a="1"/>
  <c r="AK175" i="1" s="1"/>
  <c r="AK176" i="1" a="1"/>
  <c r="AK176" i="1" s="1"/>
  <c r="AK177" i="1" a="1"/>
  <c r="AK177" i="1" s="1"/>
  <c r="AK178" i="1" a="1"/>
  <c r="AK178" i="1" s="1"/>
  <c r="AK179" i="1" a="1"/>
  <c r="AK179" i="1" s="1"/>
  <c r="AK180" i="1" a="1"/>
  <c r="AK180" i="1"/>
  <c r="AK181" i="1" a="1"/>
  <c r="AK181" i="1" s="1"/>
  <c r="AK182" i="1" a="1"/>
  <c r="AK182" i="1"/>
  <c r="AK183" i="1" a="1"/>
  <c r="AK183" i="1" s="1"/>
  <c r="AK184" i="1" a="1"/>
  <c r="AK184" i="1"/>
  <c r="AK185" i="1" a="1"/>
  <c r="AK185" i="1"/>
  <c r="AK186" i="1" a="1"/>
  <c r="AK186" i="1" s="1"/>
  <c r="AK187" i="1" a="1"/>
  <c r="AK187" i="1" s="1"/>
  <c r="AK188" i="1" a="1"/>
  <c r="AK188" i="1"/>
  <c r="AK189" i="1" a="1"/>
  <c r="AK189" i="1"/>
  <c r="AK190" i="1" a="1"/>
  <c r="AK190" i="1" s="1"/>
  <c r="AK191" i="1" a="1"/>
  <c r="AK191" i="1" s="1"/>
  <c r="AK192" i="1" a="1"/>
  <c r="AK192" i="1" s="1"/>
  <c r="AK193" i="1" a="1"/>
  <c r="AK193" i="1" s="1"/>
  <c r="AK194" i="1" a="1"/>
  <c r="AK194" i="1" s="1"/>
  <c r="AK195" i="1" a="1"/>
  <c r="AK195" i="1" s="1"/>
  <c r="AK196" i="1" a="1"/>
  <c r="AK196" i="1"/>
  <c r="AK197" i="1" a="1"/>
  <c r="AK197" i="1"/>
  <c r="AK198" i="1" a="1"/>
  <c r="AK198" i="1" s="1"/>
  <c r="AK199" i="1" a="1"/>
  <c r="AK199" i="1" s="1"/>
  <c r="AK200" i="1" a="1"/>
  <c r="AK200" i="1" s="1"/>
  <c r="AK201" i="1" a="1"/>
  <c r="AK201" i="1" s="1"/>
  <c r="AK202" i="1" a="1"/>
  <c r="AK202" i="1"/>
  <c r="AK203" i="1" a="1"/>
  <c r="AK203" i="1" s="1"/>
  <c r="AK204" i="1" a="1"/>
  <c r="AK204" i="1" s="1"/>
  <c r="AK205" i="1" a="1"/>
  <c r="AK205" i="1"/>
  <c r="AK206" i="1" a="1"/>
  <c r="AK206" i="1"/>
  <c r="AK207" i="1" a="1"/>
  <c r="AK207" i="1" s="1"/>
  <c r="AK208" i="1" a="1"/>
  <c r="AK208" i="1"/>
  <c r="AK209" i="1" a="1"/>
  <c r="AK209" i="1" s="1"/>
  <c r="AK210" i="1" a="1"/>
  <c r="AK210" i="1" s="1"/>
  <c r="AK211" i="1" a="1"/>
  <c r="AK211" i="1" s="1"/>
  <c r="AK212" i="1" a="1"/>
  <c r="AK212" i="1"/>
  <c r="AK213" i="1" a="1"/>
  <c r="AK213" i="1" s="1"/>
  <c r="AK214" i="1" a="1"/>
  <c r="AK214" i="1"/>
  <c r="AK215" i="1" a="1"/>
  <c r="AK215" i="1" s="1"/>
  <c r="AK216" i="1" a="1"/>
  <c r="AK216" i="1" s="1"/>
  <c r="AK217" i="1" a="1"/>
  <c r="AK217" i="1"/>
  <c r="AK218" i="1" a="1"/>
  <c r="AK218" i="1" s="1"/>
  <c r="AK219" i="1" a="1"/>
  <c r="AK219" i="1" s="1"/>
  <c r="AK220" i="1" a="1"/>
  <c r="AK220" i="1"/>
  <c r="AK221" i="1" a="1"/>
  <c r="AK221" i="1" s="1"/>
  <c r="AK222" i="1" a="1"/>
  <c r="AK222" i="1" s="1"/>
  <c r="AK223" i="1" a="1"/>
  <c r="AK223" i="1" s="1"/>
  <c r="AK224" i="1" a="1"/>
  <c r="AK224" i="1" s="1"/>
  <c r="AK225" i="1" a="1"/>
  <c r="AK225" i="1"/>
  <c r="AK226" i="1" a="1"/>
  <c r="AK226" i="1" s="1"/>
  <c r="AK227" i="1" a="1"/>
  <c r="AK227" i="1" s="1"/>
  <c r="AK228" i="1" a="1"/>
  <c r="AK228" i="1"/>
  <c r="AK229" i="1" a="1"/>
  <c r="AK229" i="1"/>
  <c r="AK230" i="1" a="1"/>
  <c r="AK230" i="1"/>
  <c r="AK231" i="1" a="1"/>
  <c r="AK231" i="1" s="1"/>
  <c r="AK232" i="1" a="1"/>
  <c r="AK232" i="1" s="1"/>
  <c r="AK233" i="1" a="1"/>
  <c r="AK233" i="1" s="1"/>
  <c r="AK234" i="1" a="1"/>
  <c r="AK234" i="1"/>
  <c r="AK235" i="1" a="1"/>
  <c r="AK235" i="1" s="1"/>
  <c r="AK236" i="1" a="1"/>
  <c r="AK236" i="1" s="1"/>
  <c r="AK237" i="1" a="1"/>
  <c r="AK237" i="1"/>
  <c r="AK238" i="1" a="1"/>
  <c r="AK238" i="1"/>
  <c r="AK239" i="1" a="1"/>
  <c r="AK239" i="1" s="1"/>
  <c r="AK240" i="1" a="1"/>
  <c r="AK240" i="1"/>
  <c r="AK241" i="1" a="1"/>
  <c r="AK241" i="1" s="1"/>
  <c r="AK242" i="1" a="1"/>
  <c r="AK242" i="1" s="1"/>
  <c r="AK243" i="1" a="1"/>
  <c r="AK243" i="1" s="1"/>
  <c r="AK244" i="1" a="1"/>
  <c r="AK244" i="1"/>
  <c r="AK245" i="1" a="1"/>
  <c r="AK245" i="1" s="1"/>
  <c r="AK246" i="1" a="1"/>
  <c r="AK246" i="1"/>
  <c r="AK247" i="1" a="1"/>
  <c r="AK247" i="1" s="1"/>
  <c r="AK248" i="1" a="1"/>
  <c r="AK248" i="1" s="1"/>
  <c r="AK249" i="1" a="1"/>
  <c r="AK249" i="1"/>
  <c r="AK250" i="1" a="1"/>
  <c r="AK250" i="1" s="1"/>
  <c r="AK251" i="1" a="1"/>
  <c r="AK251" i="1" s="1"/>
  <c r="AK252" i="1" a="1"/>
  <c r="AK252" i="1"/>
  <c r="AK253" i="1" a="1"/>
  <c r="AK253" i="1" s="1"/>
  <c r="AK254" i="1" a="1"/>
  <c r="AK254" i="1" s="1"/>
  <c r="AK255" i="1" a="1"/>
  <c r="AK255" i="1" s="1"/>
  <c r="AK256" i="1" a="1"/>
  <c r="AK256" i="1" s="1"/>
  <c r="AK257" i="1" a="1"/>
  <c r="AK257" i="1" s="1"/>
  <c r="AK258" i="1" a="1"/>
  <c r="AK258" i="1"/>
  <c r="AK259" i="1" a="1"/>
  <c r="AK259" i="1" s="1"/>
  <c r="AK260" i="1" a="1"/>
  <c r="AK260" i="1"/>
  <c r="AK261" i="1" a="1"/>
  <c r="AK261" i="1"/>
  <c r="AK262" i="1" a="1"/>
  <c r="AK262" i="1" s="1"/>
  <c r="AK263" i="1" a="1"/>
  <c r="AK263" i="1" s="1"/>
  <c r="AK264" i="1" a="1"/>
  <c r="AK264" i="1" s="1"/>
  <c r="AK265" i="1" a="1"/>
  <c r="AK265" i="1" s="1"/>
  <c r="AK266" i="1" a="1"/>
  <c r="AK266" i="1"/>
  <c r="AK267" i="1" a="1"/>
  <c r="AK267" i="1" s="1"/>
  <c r="AK268" i="1" a="1"/>
  <c r="AK268" i="1" s="1"/>
  <c r="AK269" i="1" a="1"/>
  <c r="AK269" i="1"/>
  <c r="AK270" i="1" a="1"/>
  <c r="AK270" i="1"/>
  <c r="AK271" i="1" a="1"/>
  <c r="AK271" i="1" s="1"/>
  <c r="AK272" i="1" a="1"/>
  <c r="AK272" i="1"/>
  <c r="AK273" i="1" a="1"/>
  <c r="AK273" i="1" s="1"/>
  <c r="AK274" i="1" a="1"/>
  <c r="AK274" i="1" s="1"/>
  <c r="AK275" i="1" a="1"/>
  <c r="AK275" i="1" s="1"/>
  <c r="AK276" i="1" a="1"/>
  <c r="AK276" i="1" s="1"/>
  <c r="AK277" i="1" a="1"/>
  <c r="AK277" i="1" s="1"/>
  <c r="AK278" i="1" a="1"/>
  <c r="AK278" i="1"/>
  <c r="AK279" i="1" a="1"/>
  <c r="AK279" i="1" s="1"/>
  <c r="AK280" i="1" a="1"/>
  <c r="AK280" i="1" s="1"/>
  <c r="AK281" i="1" a="1"/>
  <c r="AK281" i="1" s="1"/>
  <c r="AK282" i="1" a="1"/>
  <c r="AK282" i="1" s="1"/>
  <c r="AK283" i="1" a="1"/>
  <c r="AK283" i="1" s="1"/>
  <c r="AK284" i="1" a="1"/>
  <c r="AK284" i="1"/>
  <c r="AK285" i="1" a="1"/>
  <c r="AK285" i="1" s="1"/>
  <c r="AK286" i="1" a="1"/>
  <c r="AK286" i="1" s="1"/>
  <c r="AK287" i="1" a="1"/>
  <c r="AK287" i="1" s="1"/>
  <c r="AK288" i="1" a="1"/>
  <c r="AK288" i="1" s="1"/>
  <c r="AK289" i="1" a="1"/>
  <c r="AK289" i="1"/>
  <c r="AK290" i="1" a="1"/>
  <c r="AK290" i="1"/>
  <c r="AK291" i="1" a="1"/>
  <c r="AK291" i="1" s="1"/>
  <c r="AK292" i="1" a="1"/>
  <c r="AK292" i="1"/>
  <c r="AK293" i="1" a="1"/>
  <c r="AK293" i="1"/>
  <c r="AK294" i="1" a="1"/>
  <c r="AK294" i="1"/>
  <c r="AK295" i="1" a="1"/>
  <c r="AK295" i="1" s="1"/>
  <c r="AK296" i="1" a="1"/>
  <c r="AK296" i="1" s="1"/>
  <c r="AK297" i="1" a="1"/>
  <c r="AK297" i="1" s="1"/>
  <c r="AK298" i="1" a="1"/>
  <c r="AK298" i="1"/>
  <c r="AK299" i="1" a="1"/>
  <c r="AK299" i="1" s="1"/>
  <c r="AK300" i="1" a="1"/>
  <c r="AK300" i="1" s="1"/>
  <c r="AK301" i="1" a="1"/>
  <c r="AK301" i="1"/>
  <c r="AK302" i="1" a="1"/>
  <c r="AK302" i="1"/>
  <c r="AK303" i="1" a="1"/>
  <c r="AK303" i="1" s="1"/>
  <c r="AK304" i="1" a="1"/>
  <c r="AK304" i="1"/>
  <c r="AK305" i="1" a="1"/>
  <c r="AK305" i="1" s="1"/>
  <c r="AK306" i="1" a="1"/>
  <c r="AK306" i="1" s="1"/>
  <c r="AK307" i="1" a="1"/>
  <c r="AK307" i="1" s="1"/>
  <c r="AK308" i="1" a="1"/>
  <c r="AK308" i="1" s="1"/>
  <c r="AK309" i="1" a="1"/>
  <c r="AK309" i="1" s="1"/>
  <c r="AK310" i="1" a="1"/>
  <c r="AK310" i="1"/>
  <c r="AK311" i="1" a="1"/>
  <c r="AK311" i="1" s="1"/>
  <c r="AK312" i="1" a="1"/>
  <c r="AK312" i="1"/>
  <c r="AK313" i="1" a="1"/>
  <c r="AK313" i="1" s="1"/>
  <c r="AK314" i="1" a="1"/>
  <c r="AK314" i="1" s="1"/>
  <c r="AK315" i="1" a="1"/>
  <c r="AK315" i="1" s="1"/>
  <c r="AK316" i="1" a="1"/>
  <c r="AK316" i="1"/>
  <c r="AK317" i="1" a="1"/>
  <c r="AK317" i="1"/>
  <c r="AK318" i="1" a="1"/>
  <c r="AK318" i="1" s="1"/>
  <c r="AK319" i="1" a="1"/>
  <c r="AK319" i="1" s="1"/>
  <c r="AK320" i="1" a="1"/>
  <c r="AK320" i="1" s="1"/>
  <c r="AK321" i="1" a="1"/>
  <c r="AK321" i="1"/>
  <c r="AK322" i="1" a="1"/>
  <c r="AK322" i="1"/>
  <c r="AK323" i="1" a="1"/>
  <c r="AK323" i="1" s="1"/>
  <c r="AK324" i="1" a="1"/>
  <c r="AK324" i="1"/>
  <c r="AK325" i="1" a="1"/>
  <c r="AK325" i="1"/>
  <c r="AK326" i="1" a="1"/>
  <c r="AK326" i="1"/>
  <c r="AK327" i="1" a="1"/>
  <c r="AK327" i="1" s="1"/>
  <c r="AK328" i="1" a="1"/>
  <c r="AK328" i="1" s="1"/>
  <c r="AK329" i="1" a="1"/>
  <c r="AK329" i="1" s="1"/>
  <c r="AK330" i="1" a="1"/>
  <c r="AK330" i="1" s="1"/>
  <c r="AK331" i="1" a="1"/>
  <c r="AK331" i="1" s="1"/>
  <c r="AK332" i="1" a="1"/>
  <c r="AK332" i="1" s="1"/>
  <c r="AK333" i="1" a="1"/>
  <c r="AK333" i="1"/>
  <c r="AK334" i="1" a="1"/>
  <c r="AK334" i="1"/>
  <c r="AK335" i="1" a="1"/>
  <c r="AK335" i="1" s="1"/>
  <c r="AK336" i="1" a="1"/>
  <c r="AK336" i="1"/>
  <c r="AK337" i="1" a="1"/>
  <c r="AK337" i="1" s="1"/>
  <c r="AK338" i="1" a="1"/>
  <c r="AK338" i="1" s="1"/>
  <c r="AK339" i="1" a="1"/>
  <c r="AK339" i="1" s="1"/>
  <c r="AK340" i="1" a="1"/>
  <c r="AK340" i="1"/>
  <c r="AK341" i="1" a="1"/>
  <c r="AK341" i="1" s="1"/>
  <c r="AK342" i="1" a="1"/>
  <c r="AK342" i="1"/>
  <c r="AK343" i="1" a="1"/>
  <c r="AK343" i="1"/>
  <c r="AK344" i="1" a="1"/>
  <c r="AK344" i="1"/>
  <c r="AK345" i="1" a="1"/>
  <c r="AK345" i="1" s="1"/>
  <c r="AK346" i="1" a="1"/>
  <c r="AK346" i="1"/>
  <c r="AK347" i="1" a="1"/>
  <c r="AK347" i="1"/>
  <c r="AK348" i="1" a="1"/>
  <c r="AK348" i="1"/>
  <c r="AK349" i="1" a="1"/>
  <c r="AK349" i="1" s="1"/>
  <c r="AK350" i="1" a="1"/>
  <c r="AK350" i="1"/>
  <c r="AK351" i="1" a="1"/>
  <c r="AK351" i="1"/>
  <c r="AK352" i="1" a="1"/>
  <c r="AK352" i="1"/>
  <c r="AK353" i="1" a="1"/>
  <c r="AK353" i="1" s="1"/>
  <c r="AK354" i="1" a="1"/>
  <c r="AK354" i="1"/>
  <c r="AK355" i="1" a="1"/>
  <c r="AK355" i="1"/>
  <c r="AK356" i="1" a="1"/>
  <c r="AK356" i="1"/>
  <c r="AK357" i="1" a="1"/>
  <c r="AK357" i="1" s="1"/>
  <c r="AK358" i="1" a="1"/>
  <c r="AK358" i="1"/>
  <c r="AK359" i="1" a="1"/>
  <c r="AK359" i="1"/>
  <c r="AK360" i="1" a="1"/>
  <c r="AK360" i="1"/>
  <c r="AK361" i="1" a="1"/>
  <c r="AK361" i="1" s="1"/>
  <c r="AK362" i="1" a="1"/>
  <c r="AK362" i="1"/>
  <c r="AK363" i="1" a="1"/>
  <c r="AK363" i="1"/>
  <c r="AK364" i="1" a="1"/>
  <c r="AK364" i="1" s="1"/>
  <c r="AK365" i="1" a="1"/>
  <c r="AK365" i="1" s="1"/>
  <c r="AK366" i="1" a="1"/>
  <c r="AK366" i="1"/>
  <c r="AK367" i="1" a="1"/>
  <c r="AK367" i="1"/>
  <c r="AK368" i="1" a="1"/>
  <c r="AK368" i="1" s="1"/>
  <c r="AK369" i="1" a="1"/>
  <c r="AK369" i="1" s="1"/>
  <c r="AK370" i="1" a="1"/>
  <c r="AK370" i="1"/>
  <c r="AK371" i="1" a="1"/>
  <c r="AK371" i="1"/>
  <c r="AK372" i="1" a="1"/>
  <c r="AK372" i="1"/>
  <c r="AK373" i="1" a="1"/>
  <c r="AK373" i="1" s="1"/>
  <c r="AK374" i="1" a="1"/>
  <c r="AK374" i="1"/>
  <c r="AK375" i="1" a="1"/>
  <c r="AK375" i="1"/>
  <c r="AK376" i="1" a="1"/>
  <c r="AK376" i="1"/>
  <c r="AK377" i="1" a="1"/>
  <c r="AK377" i="1" s="1"/>
  <c r="AK378" i="1" a="1"/>
  <c r="AK378" i="1"/>
  <c r="AK379" i="1" a="1"/>
  <c r="AK379" i="1"/>
  <c r="AK380" i="1" a="1"/>
  <c r="AK380" i="1" s="1"/>
  <c r="AK381" i="1" a="1"/>
  <c r="AK381" i="1" s="1"/>
  <c r="AK382" i="1" a="1"/>
  <c r="AK382" i="1"/>
  <c r="AK383" i="1" a="1"/>
  <c r="AK383" i="1"/>
  <c r="AK384" i="1" a="1"/>
  <c r="AK384" i="1"/>
  <c r="AK385" i="1" a="1"/>
  <c r="AK385" i="1" s="1"/>
  <c r="AK386" i="1" a="1"/>
  <c r="AK386" i="1"/>
  <c r="AK387" i="1" a="1"/>
  <c r="AK387" i="1"/>
  <c r="AK388" i="1" a="1"/>
  <c r="AK388" i="1"/>
  <c r="AK389" i="1" a="1"/>
  <c r="AK389" i="1" s="1"/>
  <c r="AK390" i="1" a="1"/>
  <c r="AK390" i="1"/>
  <c r="AK391" i="1" a="1"/>
  <c r="AK391" i="1"/>
  <c r="AK392" i="1" a="1"/>
  <c r="AK392" i="1"/>
  <c r="AK393" i="1" a="1"/>
  <c r="AK393" i="1" s="1"/>
  <c r="AK394" i="1" a="1"/>
  <c r="AK394" i="1"/>
  <c r="AK395" i="1" a="1"/>
  <c r="AK395" i="1"/>
  <c r="AK396" i="1" a="1"/>
  <c r="AK396" i="1" s="1"/>
  <c r="AK397" i="1" a="1"/>
  <c r="AK397" i="1" s="1"/>
  <c r="AK398" i="1" a="1"/>
  <c r="AK398" i="1"/>
  <c r="AK399" i="1" a="1"/>
  <c r="AK399" i="1"/>
  <c r="AK400" i="1" a="1"/>
  <c r="AK400" i="1" s="1"/>
  <c r="AK401" i="1" a="1"/>
  <c r="AK401" i="1" s="1"/>
  <c r="AK402" i="1" a="1"/>
  <c r="AK402" i="1"/>
  <c r="AK403" i="1" a="1"/>
  <c r="AK403" i="1"/>
  <c r="AK404" i="1" a="1"/>
  <c r="AK404" i="1" s="1"/>
  <c r="AK405" i="1" a="1"/>
  <c r="AK405" i="1" s="1"/>
  <c r="AK406" i="1" a="1"/>
  <c r="AK406" i="1"/>
  <c r="AK407" i="1" a="1"/>
  <c r="AK407" i="1"/>
  <c r="AK408" i="1" a="1"/>
  <c r="AK408" i="1" s="1"/>
  <c r="AK409" i="1" a="1"/>
  <c r="AK409" i="1" s="1"/>
  <c r="AK410" i="1" a="1"/>
  <c r="AK410" i="1" s="1"/>
  <c r="AK411" i="1" a="1"/>
  <c r="AK411" i="1"/>
  <c r="AK412" i="1" a="1"/>
  <c r="AK412" i="1"/>
  <c r="AK413" i="1" a="1"/>
  <c r="AK413" i="1" s="1"/>
  <c r="AK414" i="1" a="1"/>
  <c r="AK414" i="1" s="1"/>
  <c r="AK415" i="1" a="1"/>
  <c r="AK415" i="1"/>
  <c r="AK416" i="1" a="1"/>
  <c r="AK416" i="1"/>
  <c r="AK417" i="1" a="1"/>
  <c r="AK417" i="1" s="1"/>
  <c r="AK418" i="1" a="1"/>
  <c r="AK418" i="1" s="1"/>
  <c r="AK419" i="1" a="1"/>
  <c r="AK419" i="1"/>
  <c r="AK420" i="1" a="1"/>
  <c r="AK420" i="1" s="1"/>
  <c r="AK421" i="1" a="1"/>
  <c r="AK421" i="1" s="1"/>
  <c r="AK422" i="1" a="1"/>
  <c r="AK422" i="1" s="1"/>
  <c r="AK423" i="1" a="1"/>
  <c r="AK423" i="1"/>
  <c r="AK424" i="1" a="1"/>
  <c r="AK424" i="1" s="1"/>
  <c r="AK425" i="1" a="1"/>
  <c r="AK425" i="1" s="1"/>
  <c r="AK426" i="1" a="1"/>
  <c r="AK426" i="1" s="1"/>
  <c r="AK427" i="1" a="1"/>
  <c r="AK427" i="1"/>
  <c r="AK428" i="1" a="1"/>
  <c r="AK428" i="1"/>
  <c r="AK429" i="1" a="1"/>
  <c r="AK429" i="1" s="1"/>
  <c r="AK430" i="1" a="1"/>
  <c r="AK430" i="1" s="1"/>
  <c r="AK431" i="1" a="1"/>
  <c r="AK431" i="1"/>
  <c r="AK432" i="1" a="1"/>
  <c r="AK432" i="1"/>
  <c r="AK433" i="1" a="1"/>
  <c r="AK433" i="1" s="1"/>
  <c r="AK434" i="1" a="1"/>
  <c r="AK434" i="1" s="1"/>
  <c r="AK435" i="1" a="1"/>
  <c r="AK435" i="1"/>
  <c r="AK436" i="1" a="1"/>
  <c r="AK436" i="1" s="1"/>
  <c r="AK437" i="1" a="1"/>
  <c r="AK437" i="1" s="1"/>
  <c r="AK438" i="1" a="1"/>
  <c r="AK438" i="1" s="1"/>
  <c r="AK439" i="1" a="1"/>
  <c r="AK439" i="1"/>
  <c r="AK440" i="1" a="1"/>
  <c r="AK440" i="1"/>
  <c r="AK441" i="1" a="1"/>
  <c r="AK441" i="1" s="1"/>
  <c r="AK442" i="1" a="1"/>
  <c r="AK442" i="1" s="1"/>
  <c r="AK443" i="1" a="1"/>
  <c r="AK443" i="1"/>
  <c r="AK444" i="1" a="1"/>
  <c r="AK444" i="1"/>
  <c r="AK445" i="1" a="1"/>
  <c r="AK445" i="1" s="1"/>
  <c r="AK446" i="1" a="1"/>
  <c r="AK446" i="1" s="1"/>
  <c r="AK447" i="1" a="1"/>
  <c r="AK447" i="1" s="1"/>
  <c r="AK448" i="1" a="1"/>
  <c r="AK448" i="1"/>
  <c r="AK449" i="1" a="1"/>
  <c r="AK449" i="1" s="1"/>
  <c r="AK450" i="1" a="1"/>
  <c r="AK450" i="1" s="1"/>
  <c r="AK451" i="1" a="1"/>
  <c r="AK451" i="1"/>
  <c r="AK452" i="1" a="1"/>
  <c r="AK452" i="1" s="1"/>
  <c r="AK453" i="1" a="1"/>
  <c r="AK453" i="1" s="1"/>
  <c r="AK454" i="1" a="1"/>
  <c r="AK454" i="1" s="1"/>
  <c r="AK455" i="1" a="1"/>
  <c r="AK455" i="1"/>
  <c r="AK456" i="1" a="1"/>
  <c r="AK456" i="1"/>
  <c r="AK457" i="1" a="1"/>
  <c r="AK457" i="1" s="1"/>
  <c r="AK458" i="1" a="1"/>
  <c r="AK458" i="1" s="1"/>
  <c r="AK459" i="1" a="1"/>
  <c r="AK459" i="1" s="1"/>
  <c r="AK460" i="1" a="1"/>
  <c r="AK460" i="1"/>
  <c r="AK461" i="1" a="1"/>
  <c r="AK461" i="1" s="1"/>
  <c r="AK462" i="1" a="1"/>
  <c r="AK462" i="1" s="1"/>
  <c r="AK463" i="1" a="1"/>
  <c r="AK463" i="1" s="1"/>
  <c r="AK464" i="1" a="1"/>
  <c r="AK464" i="1" s="1"/>
  <c r="AK465" i="1" a="1"/>
  <c r="AK465" i="1" s="1"/>
  <c r="AK466" i="1" a="1"/>
  <c r="AK466" i="1" s="1"/>
  <c r="AK467" i="1" a="1"/>
  <c r="AK467" i="1" s="1"/>
  <c r="AK468" i="1" a="1"/>
  <c r="AK468" i="1" s="1"/>
  <c r="AK469" i="1" a="1"/>
  <c r="AK469" i="1" s="1"/>
  <c r="AK470" i="1" a="1"/>
  <c r="AK470" i="1" s="1"/>
  <c r="AK471" i="1" a="1"/>
  <c r="AK471" i="1"/>
  <c r="AK472" i="1" a="1"/>
  <c r="AK472" i="1" s="1"/>
  <c r="AK473" i="1" a="1"/>
  <c r="AK473" i="1" s="1"/>
  <c r="AK474" i="1" a="1"/>
  <c r="AK474" i="1" s="1"/>
  <c r="AK475" i="1" a="1"/>
  <c r="AK475" i="1" s="1"/>
  <c r="AK476" i="1" a="1"/>
  <c r="AK476" i="1"/>
  <c r="AK477" i="1" a="1"/>
  <c r="AK477" i="1" s="1"/>
  <c r="AK478" i="1" a="1"/>
  <c r="AK478" i="1" s="1"/>
  <c r="AK479" i="1" a="1"/>
  <c r="AK479" i="1" s="1"/>
  <c r="AK480" i="1" a="1"/>
  <c r="AK480" i="1" s="1"/>
  <c r="AK481" i="1" a="1"/>
  <c r="AK481" i="1" s="1"/>
  <c r="AK482" i="1" a="1"/>
  <c r="AK482" i="1" s="1"/>
  <c r="AK483" i="1" a="1"/>
  <c r="AK483" i="1"/>
  <c r="AK484" i="1" a="1"/>
  <c r="AK484" i="1" s="1"/>
  <c r="AK485" i="1" a="1"/>
  <c r="AK485" i="1" s="1"/>
  <c r="AK486" i="1" a="1"/>
  <c r="AK486" i="1" s="1"/>
  <c r="AK487" i="1" a="1"/>
  <c r="AK487" i="1"/>
  <c r="AK488" i="1" a="1"/>
  <c r="AK488" i="1"/>
  <c r="AK489" i="1" a="1"/>
  <c r="AK489" i="1" s="1"/>
  <c r="AK490" i="1" a="1"/>
  <c r="AK490" i="1" s="1"/>
  <c r="AK491" i="1" a="1"/>
  <c r="AK491" i="1" s="1"/>
  <c r="AK492" i="1" a="1"/>
  <c r="AK492" i="1"/>
  <c r="AK493" i="1" a="1"/>
  <c r="AK493" i="1" s="1"/>
  <c r="AK494" i="1" a="1"/>
  <c r="AK494" i="1" s="1"/>
  <c r="AK495" i="1" a="1"/>
  <c r="AK495" i="1" s="1"/>
  <c r="AK496" i="1" a="1"/>
  <c r="AK496" i="1" s="1"/>
  <c r="AK497" i="1" a="1"/>
  <c r="AK497" i="1" s="1"/>
  <c r="AK498" i="1" a="1"/>
  <c r="AK498" i="1" s="1"/>
  <c r="AK499" i="1" a="1"/>
  <c r="AK499" i="1" s="1"/>
  <c r="AK500" i="1" a="1"/>
  <c r="AK500" i="1" s="1"/>
  <c r="AK501" i="1" a="1"/>
  <c r="AK501" i="1" s="1"/>
  <c r="AK502" i="1" a="1"/>
  <c r="AK502" i="1" s="1"/>
  <c r="AK503" i="1" a="1"/>
  <c r="AK503" i="1"/>
  <c r="AK504" i="1" a="1"/>
  <c r="AK504" i="1" s="1"/>
  <c r="AK505" i="1" a="1"/>
  <c r="AK505" i="1" s="1"/>
  <c r="AK506" i="1" a="1"/>
  <c r="AK506" i="1" s="1"/>
  <c r="AK507" i="1" a="1"/>
  <c r="AK507" i="1" s="1"/>
  <c r="AK508" i="1" a="1"/>
  <c r="AK508" i="1"/>
  <c r="AK509" i="1" a="1"/>
  <c r="AK509" i="1" s="1"/>
  <c r="AK510" i="1" a="1"/>
  <c r="AK510" i="1" s="1"/>
  <c r="AK511" i="1" a="1"/>
  <c r="AK511" i="1" s="1"/>
  <c r="AK512" i="1" a="1"/>
  <c r="AK512" i="1" s="1"/>
  <c r="AK513" i="1" a="1"/>
  <c r="AK513" i="1" s="1"/>
  <c r="AK514" i="1" a="1"/>
  <c r="AK514" i="1" s="1"/>
  <c r="AK515" i="1" a="1"/>
  <c r="AK515" i="1"/>
  <c r="AK516" i="1" a="1"/>
  <c r="AK516" i="1" s="1"/>
  <c r="AK517" i="1" a="1"/>
  <c r="AK517" i="1" s="1"/>
  <c r="AK518" i="1" a="1"/>
  <c r="AK518" i="1" s="1"/>
  <c r="AK519" i="1" a="1"/>
  <c r="AK519" i="1"/>
  <c r="AK520" i="1" a="1"/>
  <c r="AK520" i="1"/>
  <c r="AK521" i="1" a="1"/>
  <c r="AK521" i="1" s="1"/>
  <c r="AK522" i="1" a="1"/>
  <c r="AK522" i="1" s="1"/>
  <c r="AK523" i="1" a="1"/>
  <c r="AK523" i="1" s="1"/>
  <c r="AK524" i="1" a="1"/>
  <c r="AK524" i="1"/>
  <c r="AK525" i="1" a="1"/>
  <c r="AK525" i="1" s="1"/>
  <c r="AK526" i="1" a="1"/>
  <c r="AK526" i="1" s="1"/>
  <c r="AK527" i="1" a="1"/>
  <c r="AK527" i="1" s="1"/>
  <c r="AK528" i="1" a="1"/>
  <c r="AK528" i="1" s="1"/>
  <c r="AK529" i="1" a="1"/>
  <c r="AK529" i="1" s="1"/>
  <c r="AK530" i="1" a="1"/>
  <c r="AK530" i="1" s="1"/>
  <c r="AK531" i="1" a="1"/>
  <c r="AK531" i="1" s="1"/>
  <c r="AK532" i="1" a="1"/>
  <c r="AK532" i="1" s="1"/>
  <c r="AK533" i="1" a="1"/>
  <c r="AK533" i="1" s="1"/>
  <c r="AK534" i="1" a="1"/>
  <c r="AK534" i="1" s="1"/>
  <c r="AK535" i="1" a="1"/>
  <c r="AK535" i="1"/>
  <c r="AK536" i="1" a="1"/>
  <c r="AK536" i="1" s="1"/>
  <c r="AK537" i="1" a="1"/>
  <c r="AK537" i="1" s="1"/>
  <c r="AK538" i="1" a="1"/>
  <c r="AK538" i="1" s="1"/>
  <c r="AK539" i="1" a="1"/>
  <c r="AK539" i="1" s="1"/>
  <c r="AK540" i="1" a="1"/>
  <c r="AK540" i="1"/>
  <c r="AK541" i="1" a="1"/>
  <c r="AK541" i="1" s="1"/>
  <c r="AK542" i="1" a="1"/>
  <c r="AK542" i="1" s="1"/>
  <c r="AK543" i="1" a="1"/>
  <c r="AK543" i="1" s="1"/>
  <c r="AK544" i="1" a="1"/>
  <c r="AK544" i="1" s="1"/>
  <c r="AK545" i="1" a="1"/>
  <c r="AK545" i="1" s="1"/>
  <c r="AK546" i="1" a="1"/>
  <c r="AK546" i="1" s="1"/>
  <c r="AK547" i="1" a="1"/>
  <c r="AK547" i="1" s="1"/>
  <c r="AK548" i="1" a="1"/>
  <c r="AK548" i="1" s="1"/>
  <c r="AK549" i="1" a="1"/>
  <c r="AK549" i="1" s="1"/>
  <c r="AK550" i="1" a="1"/>
  <c r="AK550" i="1" s="1"/>
  <c r="AK551" i="1" a="1"/>
  <c r="AK551" i="1"/>
  <c r="AK552" i="1" a="1"/>
  <c r="AK552" i="1"/>
  <c r="AK553" i="1" a="1"/>
  <c r="AK553" i="1" s="1"/>
  <c r="AK554" i="1" a="1"/>
  <c r="AK554" i="1" s="1"/>
  <c r="AK555" i="1" a="1"/>
  <c r="AK555" i="1" s="1"/>
  <c r="AK556" i="1" a="1"/>
  <c r="AK556" i="1"/>
  <c r="AK557" i="1" a="1"/>
  <c r="AK557" i="1"/>
  <c r="AK558" i="1" a="1"/>
  <c r="AK558" i="1" s="1"/>
  <c r="AK559" i="1" a="1"/>
  <c r="AK559" i="1" s="1"/>
  <c r="AK560" i="1" a="1"/>
  <c r="AK560" i="1"/>
  <c r="AK561" i="1" a="1"/>
  <c r="AK561" i="1" s="1"/>
  <c r="AK562" i="1" a="1"/>
  <c r="AK562" i="1" s="1"/>
  <c r="AK563" i="1" a="1"/>
  <c r="AK563" i="1" s="1"/>
  <c r="AK564" i="1" a="1"/>
  <c r="AK564" i="1" s="1"/>
  <c r="AK565" i="1" a="1"/>
  <c r="AK565" i="1"/>
  <c r="AK566" i="1" a="1"/>
  <c r="AK566" i="1" s="1"/>
  <c r="AK567" i="1" a="1"/>
  <c r="AK567" i="1" s="1"/>
  <c r="AK568" i="1" a="1"/>
  <c r="AK568" i="1" s="1"/>
  <c r="AK569" i="1" a="1"/>
  <c r="AK569" i="1"/>
  <c r="AK570" i="1" a="1"/>
  <c r="AK570" i="1" s="1"/>
  <c r="AK571" i="1" a="1"/>
  <c r="AK571" i="1" s="1"/>
  <c r="AK572" i="1" a="1"/>
  <c r="AK572" i="1" s="1"/>
  <c r="AK573" i="1" a="1"/>
  <c r="AK573" i="1" s="1"/>
  <c r="AK574" i="1" a="1"/>
  <c r="AK574" i="1" s="1"/>
  <c r="AK575" i="1" a="1"/>
  <c r="AK575" i="1"/>
  <c r="AK576" i="1" a="1"/>
  <c r="AK576" i="1"/>
  <c r="AK577" i="1" a="1"/>
  <c r="AK577" i="1" s="1"/>
  <c r="AK578" i="1" a="1"/>
  <c r="AK578" i="1" s="1"/>
  <c r="AK579" i="1" a="1"/>
  <c r="AK579" i="1"/>
  <c r="AK580" i="1" a="1"/>
  <c r="AK580" i="1"/>
  <c r="AK581" i="1" a="1"/>
  <c r="AK581" i="1" s="1"/>
  <c r="AK582" i="1" a="1"/>
  <c r="AK582" i="1" s="1"/>
  <c r="AK583" i="1" a="1"/>
  <c r="AK583" i="1"/>
  <c r="AK584" i="1" a="1"/>
  <c r="AK584" i="1"/>
  <c r="AK585" i="1" a="1"/>
  <c r="AK585" i="1"/>
  <c r="AK586" i="1" a="1"/>
  <c r="AK586" i="1" s="1"/>
  <c r="AK587" i="1" a="1"/>
  <c r="AK587" i="1" s="1"/>
  <c r="AK588" i="1" a="1"/>
  <c r="AK588" i="1"/>
  <c r="AK589" i="1" a="1"/>
  <c r="AK589" i="1"/>
  <c r="AK590" i="1" a="1"/>
  <c r="AK590" i="1" s="1"/>
  <c r="AK591" i="1" a="1"/>
  <c r="AK591" i="1" s="1"/>
  <c r="AK592" i="1" a="1"/>
  <c r="AK592" i="1"/>
  <c r="AK593" i="1" a="1"/>
  <c r="AK593" i="1" s="1"/>
  <c r="AK594" i="1" a="1"/>
  <c r="AK594" i="1" s="1"/>
  <c r="AK595" i="1" a="1"/>
  <c r="AK595" i="1" s="1"/>
  <c r="AK596" i="1" a="1"/>
  <c r="AK596" i="1" s="1"/>
  <c r="AK597" i="1" a="1"/>
  <c r="AK597" i="1"/>
  <c r="AK598" i="1" a="1"/>
  <c r="AK598" i="1" s="1"/>
  <c r="AK599" i="1" a="1"/>
  <c r="AK599" i="1" s="1"/>
  <c r="AK600" i="1" a="1"/>
  <c r="AK600" i="1" s="1"/>
  <c r="AK601" i="1" a="1"/>
  <c r="AK601" i="1"/>
  <c r="AK602" i="1" a="1"/>
  <c r="AK602" i="1" s="1"/>
  <c r="AK603" i="1" a="1"/>
  <c r="AK603" i="1" s="1"/>
  <c r="AK604" i="1" a="1"/>
  <c r="AK604" i="1" s="1"/>
  <c r="AK605" i="1" a="1"/>
  <c r="AK605" i="1" s="1"/>
  <c r="AK606" i="1" a="1"/>
  <c r="AK606" i="1" s="1"/>
  <c r="AK607" i="1" a="1"/>
  <c r="AK607" i="1"/>
  <c r="AK608" i="1" a="1"/>
  <c r="AK608" i="1"/>
  <c r="AK609" i="1" a="1"/>
  <c r="AK609" i="1" s="1"/>
  <c r="AK610" i="1" a="1"/>
  <c r="AK610" i="1" s="1"/>
  <c r="AK611" i="1" a="1"/>
  <c r="AK611" i="1"/>
  <c r="AK612" i="1" a="1"/>
  <c r="AK612" i="1"/>
  <c r="AK613" i="1" a="1"/>
  <c r="AK613" i="1" s="1"/>
  <c r="AK614" i="1" a="1"/>
  <c r="AK614" i="1" s="1"/>
  <c r="AK615" i="1" a="1"/>
  <c r="AK615" i="1"/>
  <c r="AK616" i="1" a="1"/>
  <c r="AK616" i="1" s="1"/>
  <c r="AK617" i="1" a="1"/>
  <c r="AK617" i="1"/>
  <c r="AK618" i="1" a="1"/>
  <c r="AK618" i="1" s="1"/>
  <c r="AK619" i="1" a="1"/>
  <c r="AK619" i="1" s="1"/>
  <c r="AK620" i="1" a="1"/>
  <c r="AK620" i="1"/>
  <c r="AK621" i="1" a="1"/>
  <c r="AK621" i="1" s="1"/>
  <c r="AK622" i="1" a="1"/>
  <c r="AK622" i="1" s="1"/>
  <c r="AK623" i="1" a="1"/>
  <c r="AK623" i="1" s="1"/>
  <c r="AK624" i="1" a="1"/>
  <c r="AK624" i="1"/>
  <c r="AK625" i="1" a="1"/>
  <c r="AK625" i="1"/>
  <c r="AK626" i="1" a="1"/>
  <c r="AK626" i="1" s="1"/>
  <c r="AK627" i="1" a="1"/>
  <c r="AK627" i="1" s="1"/>
  <c r="AK628" i="1" a="1"/>
  <c r="AK628" i="1" s="1"/>
  <c r="AK629" i="1" a="1"/>
  <c r="AK629" i="1"/>
  <c r="AK630" i="1" a="1"/>
  <c r="AK630" i="1" s="1"/>
  <c r="AK631" i="1" a="1"/>
  <c r="AK631" i="1"/>
  <c r="AK632" i="1" a="1"/>
  <c r="AK632" i="1" s="1"/>
  <c r="AK633" i="1" a="1"/>
  <c r="AK633" i="1"/>
  <c r="AK634" i="1" a="1"/>
  <c r="AK634" i="1" s="1"/>
  <c r="AK635" i="1" a="1"/>
  <c r="AK635" i="1"/>
  <c r="AK636" i="1" a="1"/>
  <c r="AK636" i="1" s="1"/>
  <c r="AK637" i="1" a="1"/>
  <c r="AK637" i="1" s="1"/>
  <c r="AK638" i="1" a="1"/>
  <c r="AK638" i="1" s="1"/>
  <c r="AK639" i="1" a="1"/>
  <c r="AK639" i="1"/>
  <c r="AK640" i="1" a="1"/>
  <c r="AK640" i="1"/>
  <c r="AK641" i="1" a="1"/>
  <c r="AK641" i="1" s="1"/>
  <c r="AK642" i="1" a="1"/>
  <c r="AK642" i="1" s="1"/>
  <c r="AK643" i="1" a="1"/>
  <c r="AK643" i="1"/>
  <c r="AK644" i="1" a="1"/>
  <c r="AK644" i="1"/>
  <c r="AK645" i="1" a="1"/>
  <c r="AK645" i="1" s="1"/>
  <c r="AK646" i="1" a="1"/>
  <c r="AK646" i="1" s="1"/>
  <c r="AK647" i="1" a="1"/>
  <c r="AK647" i="1"/>
  <c r="AK648" i="1" a="1"/>
  <c r="AK648" i="1" s="1"/>
  <c r="AK649" i="1" a="1"/>
  <c r="AK649" i="1"/>
  <c r="AK650" i="1" a="1"/>
  <c r="AK650" i="1" s="1"/>
  <c r="AK651" i="1" a="1"/>
  <c r="AK651" i="1" s="1"/>
  <c r="AK652" i="1" a="1"/>
  <c r="AK652" i="1"/>
  <c r="AK653" i="1" a="1"/>
  <c r="AK653" i="1" s="1"/>
  <c r="AK654" i="1" a="1"/>
  <c r="AK654" i="1" s="1"/>
  <c r="AK655" i="1" a="1"/>
  <c r="AK655" i="1" s="1"/>
  <c r="AK656" i="1" a="1"/>
  <c r="AK656" i="1"/>
  <c r="AK657" i="1" a="1"/>
  <c r="AK657" i="1" s="1"/>
  <c r="AK658" i="1" a="1"/>
  <c r="AK658" i="1" s="1"/>
  <c r="AK659" i="1" a="1"/>
  <c r="AK659" i="1" s="1"/>
  <c r="AK660" i="1" a="1"/>
  <c r="AK660" i="1" s="1"/>
  <c r="AK661" i="1" a="1"/>
  <c r="AK661" i="1"/>
  <c r="AK662" i="1" a="1"/>
  <c r="AK662" i="1" s="1"/>
  <c r="AK663" i="1" a="1"/>
  <c r="AK663" i="1" s="1"/>
  <c r="AK664" i="1" a="1"/>
  <c r="AK664" i="1" s="1"/>
  <c r="AK665" i="1" a="1"/>
  <c r="AK665" i="1"/>
  <c r="AK666" i="1" a="1"/>
  <c r="AK666" i="1" s="1"/>
  <c r="AK667" i="1" a="1"/>
  <c r="AK667" i="1"/>
  <c r="AK668" i="1" a="1"/>
  <c r="AK668" i="1" s="1"/>
  <c r="AK669" i="1" a="1"/>
  <c r="AK669" i="1" s="1"/>
  <c r="AK670" i="1" a="1"/>
  <c r="AK670" i="1" s="1"/>
  <c r="AK671" i="1" a="1"/>
  <c r="AK671" i="1" s="1"/>
  <c r="AK672" i="1" a="1"/>
  <c r="AK672" i="1"/>
  <c r="AK673" i="1" a="1"/>
  <c r="AK673" i="1" s="1"/>
  <c r="AK674" i="1" a="1"/>
  <c r="AK674" i="1" s="1"/>
  <c r="AK675" i="1" a="1"/>
  <c r="AK675" i="1"/>
  <c r="AK676" i="1" a="1"/>
  <c r="AK676" i="1" s="1"/>
  <c r="AK677" i="1" a="1"/>
  <c r="AK677" i="1" s="1"/>
  <c r="AK678" i="1" a="1"/>
  <c r="AK678" i="1" s="1"/>
  <c r="AK679" i="1" a="1"/>
  <c r="AK679" i="1"/>
  <c r="AK680" i="1" a="1"/>
  <c r="AK680" i="1" s="1"/>
  <c r="AK681" i="1" a="1"/>
  <c r="AK681" i="1" s="1"/>
  <c r="AK682" i="1" a="1"/>
  <c r="AK682" i="1" s="1"/>
  <c r="AK683" i="1" a="1"/>
  <c r="AK683" i="1" s="1"/>
  <c r="AK684" i="1" a="1"/>
  <c r="AK684" i="1"/>
  <c r="AK685" i="1" a="1"/>
  <c r="AK685" i="1"/>
  <c r="AK686" i="1" a="1"/>
  <c r="AK686" i="1" s="1"/>
  <c r="AK687" i="1" a="1"/>
  <c r="AK687" i="1" s="1"/>
  <c r="AK688" i="1" a="1"/>
  <c r="AK688" i="1"/>
  <c r="AK689" i="1" a="1"/>
  <c r="AK689" i="1" s="1"/>
  <c r="AK690" i="1" a="1"/>
  <c r="AK690" i="1" s="1"/>
  <c r="AK691" i="1" a="1"/>
  <c r="AK691" i="1" s="1"/>
  <c r="AK692" i="1" a="1"/>
  <c r="AK692" i="1" s="1"/>
  <c r="AK693" i="1" a="1"/>
  <c r="AK693" i="1"/>
  <c r="AK694" i="1" a="1"/>
  <c r="AK694" i="1" s="1"/>
  <c r="AK695" i="1" a="1"/>
  <c r="AK695" i="1" s="1"/>
  <c r="AK696" i="1" a="1"/>
  <c r="AK696" i="1" s="1"/>
  <c r="AK697" i="1" a="1"/>
  <c r="AK697" i="1"/>
  <c r="AK698" i="1" a="1"/>
  <c r="AK698" i="1" s="1"/>
  <c r="AK699" i="1" a="1"/>
  <c r="AK699" i="1" s="1"/>
  <c r="AK700" i="1" a="1"/>
  <c r="AK700" i="1" s="1"/>
  <c r="AK701" i="1" a="1"/>
  <c r="AK701" i="1" s="1"/>
  <c r="AK702" i="1" a="1"/>
  <c r="AK702" i="1" s="1"/>
  <c r="AK703" i="1" a="1"/>
  <c r="AK703" i="1" s="1"/>
  <c r="AK704" i="1" a="1"/>
  <c r="AK704" i="1"/>
  <c r="AK705" i="1" a="1"/>
  <c r="AK705" i="1" s="1"/>
  <c r="AK706" i="1" a="1"/>
  <c r="AK706" i="1" s="1"/>
  <c r="AK707" i="1" a="1"/>
  <c r="AK707" i="1"/>
  <c r="AK708" i="1" a="1"/>
  <c r="AK708" i="1" s="1"/>
  <c r="AK709" i="1" a="1"/>
  <c r="AK709" i="1" s="1"/>
  <c r="AK710" i="1" a="1"/>
  <c r="AK710" i="1" s="1"/>
  <c r="AK711" i="1" a="1"/>
  <c r="AK711" i="1"/>
  <c r="AK712" i="1" a="1"/>
  <c r="AK712" i="1"/>
  <c r="AK713" i="1" a="1"/>
  <c r="AK713" i="1" s="1"/>
  <c r="AK714" i="1" a="1"/>
  <c r="AK714" i="1" s="1"/>
  <c r="AK715" i="1" a="1"/>
  <c r="AK715" i="1" s="1"/>
  <c r="AK716" i="1" a="1"/>
  <c r="AK716" i="1"/>
  <c r="AK717" i="1" a="1"/>
  <c r="AK717" i="1"/>
  <c r="AK718" i="1" a="1"/>
  <c r="AK718" i="1" s="1"/>
  <c r="AK719" i="1" a="1"/>
  <c r="AK719" i="1" s="1"/>
  <c r="AK720" i="1" a="1"/>
  <c r="AK720" i="1"/>
  <c r="AK721" i="1" a="1"/>
  <c r="AK721" i="1"/>
  <c r="AK722" i="1" a="1"/>
  <c r="AK722" i="1" s="1"/>
  <c r="AK723" i="1" a="1"/>
  <c r="AK723" i="1" s="1"/>
  <c r="AK724" i="1" a="1"/>
  <c r="AK724" i="1" s="1"/>
  <c r="AK725" i="1" a="1"/>
  <c r="AK725" i="1"/>
  <c r="AK726" i="1" a="1"/>
  <c r="AK726" i="1" s="1"/>
  <c r="AK727" i="1" a="1"/>
  <c r="AK727" i="1"/>
  <c r="AK728" i="1" a="1"/>
  <c r="AK728" i="1" s="1"/>
  <c r="AK729" i="1" a="1"/>
  <c r="AK729" i="1"/>
  <c r="AK730" i="1" a="1"/>
  <c r="AK730" i="1" s="1"/>
  <c r="AK731" i="1" a="1"/>
  <c r="AK731" i="1"/>
  <c r="AK732" i="1" a="1"/>
  <c r="AK732" i="1" s="1"/>
  <c r="AK733" i="1" a="1"/>
  <c r="AK733" i="1" s="1"/>
  <c r="AK734" i="1" a="1"/>
  <c r="AK734" i="1" s="1"/>
  <c r="AK735" i="1" a="1"/>
  <c r="AK735" i="1"/>
  <c r="AK736" i="1" a="1"/>
  <c r="AK736" i="1" s="1"/>
  <c r="AK737" i="1" a="1"/>
  <c r="AK737" i="1" s="1"/>
  <c r="AK738" i="1" a="1"/>
  <c r="AK738" i="1" s="1"/>
  <c r="AK739" i="1" a="1"/>
  <c r="AK739" i="1"/>
  <c r="AK740" i="1" a="1"/>
  <c r="AK740" i="1"/>
  <c r="AK741" i="1" a="1"/>
  <c r="AK741" i="1" s="1"/>
  <c r="AK742" i="1" a="1"/>
  <c r="AK742" i="1" s="1"/>
  <c r="AK743" i="1" a="1"/>
  <c r="AK743" i="1"/>
  <c r="AK744" i="1" a="1"/>
  <c r="AK744" i="1" s="1"/>
  <c r="AK745" i="1" a="1"/>
  <c r="AK745" i="1"/>
  <c r="AK746" i="1" a="1"/>
  <c r="AK746" i="1" s="1"/>
  <c r="AK747" i="1" a="1"/>
  <c r="AK747" i="1" s="1"/>
  <c r="AK748" i="1" a="1"/>
  <c r="AK748" i="1"/>
  <c r="AK749" i="1" a="1"/>
  <c r="AK749" i="1" s="1"/>
  <c r="AK750" i="1" a="1"/>
  <c r="AK750" i="1" s="1"/>
  <c r="AK751" i="1" a="1"/>
  <c r="AK751" i="1" s="1"/>
  <c r="AK752" i="1" a="1"/>
  <c r="AK752" i="1"/>
  <c r="AK753" i="1" a="1"/>
  <c r="AK753" i="1"/>
  <c r="AK754" i="1" a="1"/>
  <c r="AK754" i="1" s="1"/>
  <c r="AK755" i="1" a="1"/>
  <c r="AK755" i="1" s="1"/>
  <c r="AK756" i="1" a="1"/>
  <c r="AK756" i="1" s="1"/>
  <c r="AK757" i="1" a="1"/>
  <c r="AK757" i="1"/>
  <c r="AK758" i="1" a="1"/>
  <c r="AK758" i="1" s="1"/>
  <c r="AK759" i="1" a="1"/>
  <c r="AK759" i="1" s="1"/>
  <c r="AK760" i="1" a="1"/>
  <c r="AK760" i="1" s="1"/>
  <c r="AK761" i="1" a="1"/>
  <c r="AK761" i="1"/>
  <c r="AK762" i="1" a="1"/>
  <c r="AK762" i="1" s="1"/>
  <c r="AK763" i="1" a="1"/>
  <c r="AK763" i="1" s="1"/>
  <c r="AK764" i="1" a="1"/>
  <c r="AK764" i="1" s="1"/>
  <c r="AK765" i="1" a="1"/>
  <c r="AK765" i="1" s="1"/>
  <c r="AK766" i="1" a="1"/>
  <c r="AK766" i="1" s="1"/>
  <c r="AK767" i="1" a="1"/>
  <c r="AK767" i="1"/>
  <c r="AK768" i="1" a="1"/>
  <c r="AK768" i="1" s="1"/>
  <c r="AK769" i="1" a="1"/>
  <c r="AK769" i="1" s="1"/>
  <c r="AK770" i="1" a="1"/>
  <c r="AK770" i="1" s="1"/>
  <c r="AK771" i="1" a="1"/>
  <c r="AK771" i="1"/>
  <c r="AK772" i="1" a="1"/>
  <c r="AK772" i="1"/>
  <c r="AK773" i="1" a="1"/>
  <c r="AK773" i="1" s="1"/>
  <c r="AK774" i="1" a="1"/>
  <c r="AK774" i="1" s="1"/>
  <c r="AK775" i="1" a="1"/>
  <c r="AK775" i="1"/>
  <c r="AK776" i="1" a="1"/>
  <c r="AK776" i="1"/>
  <c r="AK777" i="1" a="1"/>
  <c r="AK777" i="1"/>
  <c r="AK778" i="1" a="1"/>
  <c r="AK778" i="1" s="1"/>
  <c r="AK779" i="1" a="1"/>
  <c r="AK779" i="1" s="1"/>
  <c r="AK780" i="1" a="1"/>
  <c r="AK780" i="1"/>
  <c r="AK781" i="1" a="1"/>
  <c r="AK781" i="1"/>
  <c r="AK782" i="1" a="1"/>
  <c r="AK782" i="1" s="1"/>
  <c r="AK783" i="1" a="1"/>
  <c r="AK783" i="1" s="1"/>
  <c r="AK784" i="1" a="1"/>
  <c r="AK784" i="1"/>
  <c r="AK785" i="1" a="1"/>
  <c r="AK785" i="1"/>
  <c r="AK786" i="1" a="1"/>
  <c r="AK786" i="1" s="1"/>
  <c r="AK787" i="1" a="1"/>
  <c r="AK787" i="1" s="1"/>
  <c r="AK788" i="1" a="1"/>
  <c r="AK788" i="1" s="1"/>
  <c r="AK789" i="1" a="1"/>
  <c r="AK789" i="1"/>
  <c r="AK790" i="1" a="1"/>
  <c r="AK790" i="1" s="1"/>
  <c r="AK791" i="1" a="1"/>
  <c r="AK791" i="1"/>
  <c r="AK792" i="1" a="1"/>
  <c r="AK792" i="1" s="1"/>
  <c r="AK793" i="1" a="1"/>
  <c r="AK793" i="1"/>
  <c r="AK794" i="1" a="1"/>
  <c r="AK794" i="1" s="1"/>
  <c r="AK795" i="1" a="1"/>
  <c r="AK795" i="1" s="1"/>
  <c r="AK796" i="1" a="1"/>
  <c r="AK796" i="1" s="1"/>
  <c r="AK797" i="1" a="1"/>
  <c r="AK797" i="1" s="1"/>
  <c r="AK798" i="1" a="1"/>
  <c r="AK798" i="1" s="1"/>
  <c r="AK799" i="1" a="1"/>
  <c r="AK799" i="1"/>
  <c r="AK800" i="1" a="1"/>
  <c r="AK800" i="1" s="1"/>
  <c r="AK801" i="1" a="1"/>
  <c r="AK801" i="1" s="1"/>
  <c r="AK802" i="1" a="1"/>
  <c r="AK802" i="1" s="1"/>
  <c r="AK803" i="1" a="1"/>
  <c r="AK803" i="1"/>
  <c r="AK804" i="1" a="1"/>
  <c r="AK804" i="1"/>
  <c r="AK805" i="1" a="1"/>
  <c r="AK805" i="1" s="1"/>
  <c r="AK806" i="1" a="1"/>
  <c r="AK806" i="1" s="1"/>
  <c r="AK807" i="1" a="1"/>
  <c r="AK807" i="1"/>
  <c r="AK808" i="1" a="1"/>
  <c r="AK808" i="1"/>
  <c r="AK809" i="1" a="1"/>
  <c r="AK809" i="1"/>
  <c r="AK810" i="1" a="1"/>
  <c r="AK810" i="1" s="1"/>
  <c r="AK811" i="1" a="1"/>
  <c r="AK811" i="1" s="1"/>
  <c r="AK812" i="1" a="1"/>
  <c r="AK812" i="1"/>
  <c r="AK813" i="1" a="1"/>
  <c r="AK813" i="1" s="1"/>
  <c r="AK814" i="1" a="1"/>
  <c r="AK814" i="1" s="1"/>
  <c r="AK815" i="1" a="1"/>
  <c r="AK815" i="1" s="1"/>
  <c r="AK816" i="1" a="1"/>
  <c r="AK816" i="1"/>
  <c r="AK817" i="1" a="1"/>
  <c r="AK817" i="1" s="1"/>
  <c r="AK818" i="1" a="1"/>
  <c r="AK818" i="1" s="1"/>
  <c r="AK819" i="1" a="1"/>
  <c r="AK819" i="1" s="1"/>
  <c r="AK820" i="1" a="1"/>
  <c r="AK820" i="1" s="1"/>
  <c r="AK821" i="1" a="1"/>
  <c r="AK821" i="1"/>
  <c r="AK822" i="1" a="1"/>
  <c r="AK822" i="1" s="1"/>
  <c r="AK823" i="1" a="1"/>
  <c r="AK823" i="1" s="1"/>
  <c r="AK824" i="1" a="1"/>
  <c r="AK824" i="1" s="1"/>
  <c r="AK825" i="1" a="1"/>
  <c r="AK825" i="1"/>
  <c r="AK826" i="1" a="1"/>
  <c r="AK826" i="1" s="1"/>
  <c r="AK827" i="1" a="1"/>
  <c r="AK827" i="1"/>
  <c r="AK828" i="1" a="1"/>
  <c r="AK828" i="1" s="1"/>
  <c r="AK829" i="1" a="1"/>
  <c r="AK829" i="1" s="1"/>
  <c r="AK830" i="1" a="1"/>
  <c r="AK830" i="1" s="1"/>
  <c r="AK831" i="1" a="1"/>
  <c r="AK831" i="1"/>
  <c r="AK832" i="1" a="1"/>
  <c r="AK832" i="1"/>
  <c r="AK833" i="1" a="1"/>
  <c r="AK833" i="1" s="1"/>
  <c r="AK834" i="1" a="1"/>
  <c r="AK834" i="1" s="1"/>
  <c r="AK835" i="1" a="1"/>
  <c r="AK835" i="1"/>
  <c r="AK836" i="1" a="1"/>
  <c r="AK836" i="1"/>
  <c r="AK837" i="1" a="1"/>
  <c r="AK837" i="1" s="1"/>
  <c r="AK838" i="1" a="1"/>
  <c r="AK838" i="1" s="1"/>
  <c r="AK839" i="1" a="1"/>
  <c r="AK839" i="1"/>
  <c r="AK840" i="1" a="1"/>
  <c r="AK840" i="1"/>
  <c r="AK841" i="1" a="1"/>
  <c r="AK841" i="1"/>
  <c r="AK842" i="1" a="1"/>
  <c r="AK842" i="1" s="1"/>
  <c r="AK843" i="1" a="1"/>
  <c r="AK843" i="1" s="1"/>
  <c r="AK844" i="1" a="1"/>
  <c r="AK844" i="1"/>
  <c r="AK845" i="1" a="1"/>
  <c r="AK845" i="1"/>
  <c r="AK846" i="1" a="1"/>
  <c r="AK846" i="1" s="1"/>
  <c r="AK847" i="1" a="1"/>
  <c r="AK847" i="1" s="1"/>
  <c r="AK848" i="1" a="1"/>
  <c r="AK848" i="1"/>
  <c r="AK849" i="1" a="1"/>
  <c r="AK849" i="1" s="1"/>
  <c r="AK850" i="1" a="1"/>
  <c r="AK850" i="1" s="1"/>
  <c r="AK851" i="1" a="1"/>
  <c r="AK851" i="1" s="1"/>
  <c r="AK852" i="1" a="1"/>
  <c r="AK852" i="1" s="1"/>
  <c r="AK853" i="1" a="1"/>
  <c r="AK853" i="1"/>
  <c r="AK854" i="1" a="1"/>
  <c r="AK854" i="1" s="1"/>
  <c r="AK855" i="1" a="1"/>
  <c r="AK855" i="1" s="1"/>
  <c r="AK856" i="1" a="1"/>
  <c r="AK856" i="1" s="1"/>
  <c r="AK857" i="1" a="1"/>
  <c r="AK857" i="1"/>
  <c r="AK858" i="1" a="1"/>
  <c r="AK858" i="1" s="1"/>
  <c r="AK859" i="1" a="1"/>
  <c r="AK859" i="1" s="1"/>
  <c r="AK860" i="1" a="1"/>
  <c r="AK860" i="1" s="1"/>
  <c r="AK861" i="1" a="1"/>
  <c r="AK861" i="1" s="1"/>
  <c r="AK862" i="1" a="1"/>
  <c r="AK862" i="1" s="1"/>
  <c r="AK863" i="1" a="1"/>
  <c r="AK863" i="1"/>
  <c r="AK864" i="1" a="1"/>
  <c r="AK864" i="1"/>
  <c r="AK865" i="1" a="1"/>
  <c r="AK865" i="1" s="1"/>
  <c r="AK866" i="1" a="1"/>
  <c r="AK866" i="1" s="1"/>
  <c r="AK867" i="1" a="1"/>
  <c r="AK867" i="1"/>
  <c r="AK868" i="1" a="1"/>
  <c r="AK868" i="1" s="1"/>
  <c r="AK869" i="1" a="1"/>
  <c r="AK869" i="1" s="1"/>
  <c r="AK870" i="1" a="1"/>
  <c r="AK870" i="1" s="1"/>
  <c r="AK871" i="1" a="1"/>
  <c r="AK871" i="1"/>
  <c r="AK872" i="1" a="1"/>
  <c r="AK872" i="1" s="1"/>
  <c r="AK873" i="1" a="1"/>
  <c r="AK873" i="1" s="1"/>
  <c r="AK874" i="1" a="1"/>
  <c r="AK874" i="1" s="1"/>
  <c r="AK875" i="1" a="1"/>
  <c r="AK875" i="1" s="1"/>
  <c r="AK876" i="1" a="1"/>
  <c r="AK876" i="1"/>
  <c r="AK877" i="1" a="1"/>
  <c r="AK877" i="1" s="1"/>
  <c r="AK878" i="1" a="1"/>
  <c r="AK878" i="1" s="1"/>
  <c r="AK879" i="1" a="1"/>
  <c r="AK879" i="1" s="1"/>
  <c r="AK880" i="1" a="1"/>
  <c r="AK880" i="1"/>
  <c r="AK881" i="1" a="1"/>
  <c r="AK881" i="1" s="1"/>
  <c r="AK882" i="1" a="1"/>
  <c r="AK882" i="1" s="1"/>
  <c r="AK883" i="1" a="1"/>
  <c r="AK883" i="1" s="1"/>
  <c r="AK884" i="1" a="1"/>
  <c r="AK884" i="1" s="1"/>
  <c r="AK885" i="1" a="1"/>
  <c r="AK885" i="1"/>
  <c r="AK886" i="1" a="1"/>
  <c r="AK886" i="1" s="1"/>
  <c r="AK887" i="1" a="1"/>
  <c r="AK887" i="1" s="1"/>
  <c r="AK888" i="1" a="1"/>
  <c r="AK888" i="1"/>
  <c r="AK889" i="1" a="1"/>
  <c r="AK889" i="1"/>
  <c r="AK890" i="1" a="1"/>
  <c r="AK890" i="1" s="1"/>
  <c r="AK891" i="1" a="1"/>
  <c r="AK891" i="1"/>
  <c r="AK892" i="1" a="1"/>
  <c r="AK892" i="1" s="1"/>
  <c r="AK893" i="1" a="1"/>
  <c r="AK893" i="1" s="1"/>
  <c r="AK894" i="1" a="1"/>
  <c r="AK894" i="1" s="1"/>
  <c r="AK895" i="1" a="1"/>
  <c r="AK895" i="1" s="1"/>
  <c r="AK896" i="1" a="1"/>
  <c r="AK896" i="1"/>
  <c r="AK897" i="1" a="1"/>
  <c r="AK897" i="1"/>
  <c r="AK898" i="1" a="1"/>
  <c r="AK898" i="1" s="1"/>
  <c r="AK899" i="1" a="1"/>
  <c r="AK899" i="1"/>
  <c r="AK900" i="1" a="1"/>
  <c r="AK900" i="1"/>
  <c r="AK901" i="1" a="1"/>
  <c r="AK901" i="1" s="1"/>
  <c r="AK902" i="1" a="1"/>
  <c r="AK902" i="1" s="1"/>
  <c r="AK903" i="1" a="1"/>
  <c r="AK903" i="1"/>
  <c r="AK904" i="1" a="1"/>
  <c r="AK904" i="1"/>
  <c r="AK905" i="1" a="1"/>
  <c r="AK905" i="1"/>
  <c r="AK906" i="1" a="1"/>
  <c r="AK906" i="1" s="1"/>
  <c r="AK907" i="1" a="1"/>
  <c r="AK907" i="1" s="1"/>
  <c r="AK908" i="1" a="1"/>
  <c r="AK908" i="1"/>
  <c r="AK909" i="1" a="1"/>
  <c r="AK909" i="1"/>
  <c r="AK910" i="1" a="1"/>
  <c r="AK910" i="1" s="1"/>
  <c r="AK911" i="1" a="1"/>
  <c r="AK911" i="1"/>
  <c r="AK912" i="1" a="1"/>
  <c r="AK912" i="1"/>
  <c r="AK913" i="1" a="1"/>
  <c r="AK913" i="1" s="1"/>
  <c r="AK914" i="1" a="1"/>
  <c r="AK914" i="1" s="1"/>
  <c r="AK915" i="1" a="1"/>
  <c r="AK915" i="1" s="1"/>
  <c r="AK916" i="1" a="1"/>
  <c r="AK916" i="1" s="1"/>
  <c r="AK917" i="1" a="1"/>
  <c r="AK917" i="1"/>
  <c r="AK918" i="1" a="1"/>
  <c r="AK918" i="1" s="1"/>
  <c r="AK919" i="1" a="1"/>
  <c r="AK919" i="1" s="1"/>
  <c r="AK920" i="1" a="1"/>
  <c r="AK920" i="1"/>
  <c r="AK921" i="1" a="1"/>
  <c r="AK921" i="1"/>
  <c r="AK922" i="1" a="1"/>
  <c r="AK922" i="1" s="1"/>
  <c r="AK923" i="1" a="1"/>
  <c r="AK923" i="1" s="1"/>
  <c r="AK924" i="1" a="1"/>
  <c r="AK924" i="1" s="1"/>
  <c r="AK925" i="1" a="1"/>
  <c r="AK925" i="1" s="1"/>
  <c r="AK926" i="1" a="1"/>
  <c r="AK926" i="1" s="1"/>
  <c r="AK927" i="1" a="1"/>
  <c r="AK927" i="1" s="1"/>
  <c r="AK928" i="1" a="1"/>
  <c r="AK928" i="1" s="1"/>
  <c r="AK929" i="1" a="1"/>
  <c r="AK929" i="1"/>
  <c r="AK930" i="1" a="1"/>
  <c r="AK930" i="1" s="1"/>
  <c r="AK931" i="1" a="1"/>
  <c r="AK931" i="1"/>
  <c r="AK932" i="1" a="1"/>
  <c r="AK932" i="1" s="1"/>
  <c r="AK933" i="1" a="1"/>
  <c r="AK933" i="1" s="1"/>
  <c r="AK934" i="1" a="1"/>
  <c r="AK934" i="1" s="1"/>
  <c r="AK935" i="1" a="1"/>
  <c r="AK935" i="1"/>
  <c r="AK936" i="1" a="1"/>
  <c r="AK936" i="1"/>
  <c r="AK937" i="1" a="1"/>
  <c r="AK937" i="1" s="1"/>
  <c r="AK938" i="1" a="1"/>
  <c r="AK938" i="1" s="1"/>
  <c r="AK939" i="1" a="1"/>
  <c r="AK939" i="1" s="1"/>
  <c r="AK940" i="1" a="1"/>
  <c r="AK940" i="1"/>
  <c r="AK941" i="1" a="1"/>
  <c r="AK941" i="1"/>
  <c r="AK942" i="1" a="1"/>
  <c r="AK942" i="1" s="1"/>
  <c r="AK943" i="1" a="1"/>
  <c r="AK943" i="1"/>
  <c r="AK944" i="1" a="1"/>
  <c r="AK944" i="1"/>
  <c r="AK945" i="1" a="1"/>
  <c r="AK945" i="1" s="1"/>
  <c r="AK946" i="1" a="1"/>
  <c r="AK946" i="1" s="1"/>
  <c r="AK947" i="1" a="1"/>
  <c r="AK947" i="1" s="1"/>
  <c r="AK948" i="1" a="1"/>
  <c r="AK948" i="1" s="1"/>
  <c r="AK949" i="1" a="1"/>
  <c r="AK949" i="1"/>
  <c r="AK950" i="1" a="1"/>
  <c r="AK950" i="1" s="1"/>
  <c r="AK951" i="1" a="1"/>
  <c r="AK951" i="1" s="1"/>
  <c r="AK952" i="1" a="1"/>
  <c r="AK952" i="1"/>
  <c r="AK953" i="1" a="1"/>
  <c r="AK953" i="1"/>
  <c r="AK954" i="1" a="1"/>
  <c r="AK954" i="1" s="1"/>
  <c r="AK955" i="1" a="1"/>
  <c r="AK955" i="1"/>
  <c r="AK956" i="1" a="1"/>
  <c r="AK956" i="1" s="1"/>
  <c r="AK957" i="1" a="1"/>
  <c r="AK957" i="1" s="1"/>
  <c r="AK958" i="1" a="1"/>
  <c r="AK958" i="1" s="1"/>
  <c r="AK959" i="1" a="1"/>
  <c r="AK959" i="1"/>
  <c r="AK960" i="1" a="1"/>
  <c r="AK960" i="1" s="1"/>
  <c r="AK961" i="1" a="1"/>
  <c r="AK961" i="1"/>
  <c r="AK962" i="1" a="1"/>
  <c r="AK962" i="1" s="1"/>
  <c r="AK963" i="1" a="1"/>
  <c r="AK963" i="1"/>
  <c r="AK964" i="1" a="1"/>
  <c r="AK964" i="1" s="1"/>
  <c r="AK965" i="1" a="1"/>
  <c r="AK965" i="1" s="1"/>
  <c r="AK966" i="1" a="1"/>
  <c r="AK966" i="1" s="1"/>
  <c r="AK967" i="1" a="1"/>
  <c r="AK967" i="1"/>
  <c r="AK968" i="1" a="1"/>
  <c r="AK968" i="1"/>
  <c r="AK969" i="1" a="1"/>
  <c r="AK969" i="1" s="1"/>
  <c r="AK970" i="1" a="1"/>
  <c r="AK970" i="1" s="1"/>
  <c r="AK971" i="1" a="1"/>
  <c r="AK971" i="1" s="1"/>
  <c r="AK972" i="1" a="1"/>
  <c r="AK972" i="1"/>
  <c r="AK973" i="1" a="1"/>
  <c r="AK973" i="1"/>
  <c r="AK974" i="1" a="1"/>
  <c r="AK974" i="1" s="1"/>
  <c r="AK975" i="1" a="1"/>
  <c r="AK975" i="1"/>
  <c r="AK976" i="1" a="1"/>
  <c r="AK976" i="1"/>
  <c r="AK977" i="1" a="1"/>
  <c r="AK977" i="1"/>
  <c r="AK978" i="1" a="1"/>
  <c r="AK978" i="1" s="1"/>
  <c r="AK979" i="1" a="1"/>
  <c r="AK979" i="1" s="1"/>
  <c r="AK980" i="1" a="1"/>
  <c r="AK980" i="1" s="1"/>
  <c r="AK981" i="1" a="1"/>
  <c r="AK981" i="1"/>
  <c r="AK982" i="1" a="1"/>
  <c r="AK982" i="1" s="1"/>
  <c r="AK983" i="1" a="1"/>
  <c r="AK983" i="1"/>
  <c r="AK984" i="1" a="1"/>
  <c r="AK984" i="1"/>
  <c r="AK985" i="1" a="1"/>
  <c r="AK985" i="1"/>
  <c r="AK986" i="1" a="1"/>
  <c r="AK986" i="1" s="1"/>
  <c r="AK987" i="1" a="1"/>
  <c r="AK987" i="1"/>
  <c r="AK988" i="1" a="1"/>
  <c r="AK988" i="1" s="1"/>
  <c r="AK989" i="1" a="1"/>
  <c r="AK989" i="1" s="1"/>
  <c r="AK990" i="1" a="1"/>
  <c r="AK990" i="1" s="1"/>
  <c r="AK991" i="1" a="1"/>
  <c r="AK991" i="1" s="1"/>
  <c r="AK992" i="1" a="1"/>
  <c r="AK992" i="1" s="1"/>
  <c r="AK993" i="1" a="1"/>
  <c r="AK993" i="1"/>
  <c r="AK994" i="1" a="1"/>
  <c r="AK994" i="1"/>
  <c r="AK995" i="1" a="1"/>
  <c r="AK995" i="1" s="1"/>
  <c r="AK996" i="1" a="1"/>
  <c r="AK996" i="1" s="1"/>
  <c r="AK997" i="1" a="1"/>
  <c r="AK997" i="1"/>
  <c r="AK998" i="1" a="1"/>
  <c r="AK998" i="1"/>
  <c r="AK999" i="1" a="1"/>
  <c r="AK999" i="1" s="1"/>
  <c r="AK1000" i="1" a="1"/>
  <c r="AK1000" i="1" s="1"/>
  <c r="AK1001" i="1" a="1"/>
  <c r="AK1001" i="1"/>
  <c r="AK1002" i="1" a="1"/>
  <c r="AK1002" i="1"/>
  <c r="AK1003" i="1" a="1"/>
  <c r="AK1003" i="1" s="1"/>
  <c r="AK1004" i="1" a="1"/>
  <c r="AK1004" i="1" s="1"/>
  <c r="AK1005" i="1" a="1"/>
  <c r="AK1005" i="1"/>
  <c r="AK1006" i="1" a="1"/>
  <c r="AK1006" i="1"/>
  <c r="AK1007" i="1" a="1"/>
  <c r="AK1007" i="1" s="1"/>
  <c r="AK1008" i="1" a="1"/>
  <c r="AK1008" i="1" s="1"/>
  <c r="AK1009" i="1" a="1"/>
  <c r="AK1009" i="1"/>
  <c r="AK1010" i="1" a="1"/>
  <c r="AK1010" i="1"/>
  <c r="AK1011" i="1" a="1"/>
  <c r="AK1011" i="1" s="1"/>
  <c r="AK1012" i="1" a="1"/>
  <c r="AK1012" i="1" s="1"/>
  <c r="AK1013" i="1" a="1"/>
  <c r="AK1013" i="1"/>
  <c r="AK1014" i="1" a="1"/>
  <c r="AK1014" i="1"/>
  <c r="AK1015" i="1" a="1"/>
  <c r="AK1015" i="1" s="1"/>
  <c r="AK1016" i="1" a="1"/>
  <c r="AK1016" i="1" s="1"/>
  <c r="AK1017" i="1" a="1"/>
  <c r="AK1017" i="1"/>
  <c r="AK1018" i="1" a="1"/>
  <c r="AK1018" i="1"/>
  <c r="AK1019" i="1" a="1"/>
  <c r="AK1019" i="1" s="1"/>
  <c r="AK1020" i="1" a="1"/>
  <c r="AK1020" i="1" s="1"/>
  <c r="AK1021" i="1" a="1"/>
  <c r="AK1021" i="1"/>
  <c r="AK1022" i="1" a="1"/>
  <c r="AK1022" i="1"/>
  <c r="AK1023" i="1" a="1"/>
  <c r="AK1023" i="1" s="1"/>
  <c r="AK1024" i="1" a="1"/>
  <c r="AK1024" i="1" s="1"/>
  <c r="AK1025" i="1" a="1"/>
  <c r="AK1025" i="1"/>
  <c r="AK1026" i="1" a="1"/>
  <c r="AK1026" i="1"/>
  <c r="AK1027" i="1" a="1"/>
  <c r="AK1027" i="1" s="1"/>
  <c r="AK1028" i="1" a="1"/>
  <c r="AK1028" i="1" s="1"/>
  <c r="AK1029" i="1" a="1"/>
  <c r="AK1029" i="1"/>
  <c r="AK1030" i="1" a="1"/>
  <c r="AK1030" i="1"/>
  <c r="AK1031" i="1" a="1"/>
  <c r="AK1031" i="1" s="1"/>
  <c r="AK1032" i="1" a="1"/>
  <c r="AK1032" i="1" s="1"/>
  <c r="AK1033" i="1" a="1"/>
  <c r="AK1033" i="1"/>
  <c r="AK1034" i="1" a="1"/>
  <c r="AK1034" i="1"/>
  <c r="AK1035" i="1" a="1"/>
  <c r="AK1035" i="1" s="1"/>
  <c r="AK1036" i="1" a="1"/>
  <c r="AK1036" i="1" s="1"/>
  <c r="AK1037" i="1" a="1"/>
  <c r="AK1037" i="1"/>
  <c r="AK1038" i="1" a="1"/>
  <c r="AK1038" i="1"/>
  <c r="AK1039" i="1" a="1"/>
  <c r="AK1039" i="1" s="1"/>
  <c r="AK1040" i="1" a="1"/>
  <c r="AK1040" i="1" s="1"/>
  <c r="AK1041" i="1" a="1"/>
  <c r="AK1041" i="1"/>
  <c r="AK1042" i="1" a="1"/>
  <c r="AK1042" i="1"/>
  <c r="AK1043" i="1" a="1"/>
  <c r="AK1043" i="1" s="1"/>
  <c r="AK1044" i="1" a="1"/>
  <c r="AK1044" i="1" s="1"/>
  <c r="AK1045" i="1" a="1"/>
  <c r="AK1045" i="1"/>
  <c r="AK1046" i="1" a="1"/>
  <c r="AK1046" i="1"/>
  <c r="AK1047" i="1" a="1"/>
  <c r="AK1047" i="1" s="1"/>
  <c r="AK1048" i="1" a="1"/>
  <c r="AK1048" i="1" s="1"/>
  <c r="AK1049" i="1" a="1"/>
  <c r="AK1049" i="1"/>
  <c r="AK1050" i="1" a="1"/>
  <c r="AK1050" i="1"/>
  <c r="AK1051" i="1" a="1"/>
  <c r="AK1051" i="1" s="1"/>
  <c r="AK1052" i="1" a="1"/>
  <c r="AK1052" i="1" s="1"/>
  <c r="AK1053" i="1" a="1"/>
  <c r="AK1053" i="1"/>
  <c r="AK1054" i="1" a="1"/>
  <c r="AK1054" i="1"/>
  <c r="AK1055" i="1" a="1"/>
  <c r="AK1055" i="1" s="1"/>
  <c r="AK1056" i="1" a="1"/>
  <c r="AK1056" i="1" s="1"/>
  <c r="AK1057" i="1" a="1"/>
  <c r="AK1057" i="1"/>
  <c r="AK1058" i="1" a="1"/>
  <c r="AK1058" i="1"/>
  <c r="AK1059" i="1" a="1"/>
  <c r="AK1059" i="1" s="1"/>
  <c r="AK1060" i="1" a="1"/>
  <c r="AK1060" i="1" s="1"/>
  <c r="AK1061" i="1" a="1"/>
  <c r="AK1061" i="1"/>
  <c r="AK1062" i="1" a="1"/>
  <c r="AK1062" i="1"/>
  <c r="AK1063" i="1" a="1"/>
  <c r="AK1063" i="1" s="1"/>
  <c r="AK1064" i="1" a="1"/>
  <c r="AK1064" i="1" s="1"/>
  <c r="AK1065" i="1" a="1"/>
  <c r="AK1065" i="1"/>
  <c r="AK1066" i="1" a="1"/>
  <c r="AK1066" i="1"/>
  <c r="AK1067" i="1" a="1"/>
  <c r="AK1067" i="1" s="1"/>
  <c r="AK1068" i="1" a="1"/>
  <c r="AK1068" i="1" s="1"/>
  <c r="AK1069" i="1" a="1"/>
  <c r="AK1069" i="1"/>
  <c r="AK1070" i="1" a="1"/>
  <c r="AK1070" i="1"/>
  <c r="AK1071" i="1" a="1"/>
  <c r="AK1071" i="1" s="1"/>
  <c r="AK1072" i="1" a="1"/>
  <c r="AK1072" i="1" s="1"/>
  <c r="AK1073" i="1" a="1"/>
  <c r="AK1073" i="1"/>
  <c r="AK1074" i="1" a="1"/>
  <c r="AK1074" i="1"/>
  <c r="AK1075" i="1" a="1"/>
  <c r="AK1075" i="1" s="1"/>
  <c r="AK1076" i="1" a="1"/>
  <c r="AK1076" i="1" s="1"/>
  <c r="AK1077" i="1" a="1"/>
  <c r="AK1077" i="1"/>
  <c r="AK1078" i="1" a="1"/>
  <c r="AK1078" i="1"/>
  <c r="AK1079" i="1" a="1"/>
  <c r="AK1079" i="1" s="1"/>
  <c r="AK1080" i="1" a="1"/>
  <c r="AK1080" i="1" s="1"/>
  <c r="AK1081" i="1" a="1"/>
  <c r="AK1081" i="1"/>
  <c r="AK1082" i="1" a="1"/>
  <c r="AK1082" i="1"/>
  <c r="AK1083" i="1" a="1"/>
  <c r="AK1083" i="1" s="1"/>
  <c r="AK1084" i="1" a="1"/>
  <c r="AK1084" i="1" s="1"/>
  <c r="AK1085" i="1" a="1"/>
  <c r="AK1085" i="1"/>
  <c r="AK1086" i="1" a="1"/>
  <c r="AK1086" i="1"/>
  <c r="AK1087" i="1" a="1"/>
  <c r="AK1087" i="1" s="1"/>
  <c r="AK1088" i="1" a="1"/>
  <c r="AK1088" i="1" s="1"/>
  <c r="AK1089" i="1" a="1"/>
  <c r="AK1089" i="1"/>
  <c r="AK1090" i="1" a="1"/>
  <c r="AK1090" i="1"/>
  <c r="AK1091" i="1" a="1"/>
  <c r="AK1091" i="1" s="1"/>
  <c r="AK1092" i="1" a="1"/>
  <c r="AK1092" i="1" s="1"/>
  <c r="AK1093" i="1" a="1"/>
  <c r="AK1093" i="1"/>
  <c r="AK1094" i="1" a="1"/>
  <c r="AK1094" i="1"/>
  <c r="AK1095" i="1" a="1"/>
  <c r="AK1095" i="1" s="1"/>
  <c r="AK1096" i="1" a="1"/>
  <c r="AK1096" i="1"/>
  <c r="AK1097" i="1" a="1"/>
  <c r="AK1097" i="1"/>
  <c r="AK1098" i="1" a="1"/>
  <c r="AK1098" i="1"/>
  <c r="AK1099" i="1" a="1"/>
  <c r="AK1099" i="1" s="1"/>
  <c r="AK1100" i="1" a="1"/>
  <c r="AK1100" i="1"/>
  <c r="AK1101" i="1" a="1"/>
  <c r="AK1101" i="1"/>
  <c r="AK1102" i="1" a="1"/>
  <c r="AK1102" i="1"/>
  <c r="AK1103" i="1" a="1"/>
  <c r="AK1103" i="1" s="1"/>
  <c r="AK1104" i="1" a="1"/>
  <c r="AK1104" i="1"/>
  <c r="AK1105" i="1" a="1"/>
  <c r="AK1105" i="1"/>
  <c r="AK1106" i="1" a="1"/>
  <c r="AK1106" i="1"/>
  <c r="AK1107" i="1" a="1"/>
  <c r="AK1107" i="1" s="1"/>
  <c r="AK1108" i="1" a="1"/>
  <c r="AK1108" i="1" s="1"/>
  <c r="AK1109" i="1" a="1"/>
  <c r="AK1109" i="1"/>
  <c r="AK1110" i="1" a="1"/>
  <c r="AK1110" i="1" s="1"/>
  <c r="AK1111" i="1" a="1"/>
  <c r="AK1111" i="1" s="1"/>
  <c r="AK1112" i="1" a="1"/>
  <c r="AK1112" i="1"/>
  <c r="AK1113" i="1" a="1"/>
  <c r="AK1113" i="1"/>
  <c r="AK1114" i="1" a="1"/>
  <c r="AK1114" i="1" s="1"/>
  <c r="AK1115" i="1" a="1"/>
  <c r="AK1115" i="1" s="1"/>
  <c r="AK1116" i="1" a="1"/>
  <c r="AK1116" i="1" s="1"/>
  <c r="AK1117" i="1" a="1"/>
  <c r="AK1117" i="1"/>
  <c r="AK1118" i="1" a="1"/>
  <c r="AK1118" i="1" s="1"/>
  <c r="AK1119" i="1" a="1"/>
  <c r="AK1119" i="1"/>
  <c r="AK1120" i="1" a="1"/>
  <c r="AK1120" i="1" s="1"/>
  <c r="AK1121" i="1" a="1"/>
  <c r="AK1121" i="1"/>
  <c r="AK1122" i="1" a="1"/>
  <c r="AK1122" i="1" s="1"/>
  <c r="AK1123" i="1" a="1"/>
  <c r="AK1123" i="1"/>
  <c r="AK1124" i="1" a="1"/>
  <c r="AK1124" i="1"/>
  <c r="AK1125" i="1" a="1"/>
  <c r="AK1125" i="1" s="1"/>
  <c r="AK1126" i="1" a="1"/>
  <c r="AK1126" i="1" s="1"/>
  <c r="AK1127" i="1" a="1"/>
  <c r="AK1127" i="1" s="1"/>
  <c r="AK1128" i="1" a="1"/>
  <c r="AK1128" i="1"/>
  <c r="AK1129" i="1" a="1"/>
  <c r="AK1129" i="1"/>
  <c r="AK1130" i="1" a="1"/>
  <c r="AK1130" i="1" s="1"/>
  <c r="AK1131" i="1" a="1"/>
  <c r="AK1131" i="1"/>
  <c r="AK1132" i="1" a="1"/>
  <c r="AK1132" i="1" s="1"/>
  <c r="AK1133" i="1" a="1"/>
  <c r="AK1133" i="1"/>
  <c r="AK1134" i="1" a="1"/>
  <c r="AK1134" i="1" s="1"/>
  <c r="AK1135" i="1" a="1"/>
  <c r="AK1135" i="1"/>
  <c r="AK1136" i="1" a="1"/>
  <c r="AK1136" i="1" s="1"/>
  <c r="AK1137" i="1" a="1"/>
  <c r="AK1137" i="1"/>
  <c r="AK1138" i="1" a="1"/>
  <c r="AK1138" i="1" s="1"/>
  <c r="AK1139" i="1" a="1"/>
  <c r="AK1139" i="1" s="1"/>
  <c r="AK1140" i="1" a="1"/>
  <c r="AK1140" i="1" s="1"/>
  <c r="AK1141" i="1" a="1"/>
  <c r="AK1141" i="1" s="1"/>
  <c r="AK1142" i="1" a="1"/>
  <c r="AK1142" i="1" s="1"/>
  <c r="AK1143" i="1" a="1"/>
  <c r="AK1143" i="1"/>
  <c r="AK1144" i="1" a="1"/>
  <c r="AK1144" i="1"/>
  <c r="AK1145" i="1" a="1"/>
  <c r="AK1145" i="1"/>
  <c r="AK1146" i="1" a="1"/>
  <c r="AK1146" i="1" s="1"/>
  <c r="AK1147" i="1" a="1"/>
  <c r="AK1147" i="1"/>
  <c r="AK1148" i="1" a="1"/>
  <c r="AK1148" i="1" s="1"/>
  <c r="AK1149" i="1" a="1"/>
  <c r="AK1149" i="1" s="1"/>
  <c r="AK1150" i="1" a="1"/>
  <c r="AK1150" i="1" s="1"/>
  <c r="AK1151" i="1" a="1"/>
  <c r="AK1151" i="1" s="1"/>
  <c r="AK1152" i="1" a="1"/>
  <c r="AK1152" i="1"/>
  <c r="AK1153" i="1" a="1"/>
  <c r="AK1153" i="1"/>
  <c r="AK1154" i="1" a="1"/>
  <c r="AK1154" i="1" s="1"/>
  <c r="AK1155" i="1" a="1"/>
  <c r="AK1155" i="1"/>
  <c r="AK1156" i="1" a="1"/>
  <c r="AK1156" i="1" s="1"/>
  <c r="AK1157" i="1" a="1"/>
  <c r="AK1157" i="1" s="1"/>
  <c r="AK1158" i="1" a="1"/>
  <c r="AK1158" i="1" s="1"/>
  <c r="AK1159" i="1" a="1"/>
  <c r="AK1159" i="1" s="1"/>
  <c r="AK1160" i="1" a="1"/>
  <c r="AK1160" i="1" s="1"/>
  <c r="AK1161" i="1" a="1"/>
  <c r="AK1161" i="1" s="1"/>
  <c r="AK1162" i="1" a="1"/>
  <c r="AK1162" i="1" s="1"/>
  <c r="AK1163" i="1" a="1"/>
  <c r="AK1163" i="1"/>
  <c r="AK1164" i="1" a="1"/>
  <c r="AK1164" i="1"/>
  <c r="AK1165" i="1" a="1"/>
  <c r="AK1165" i="1" s="1"/>
  <c r="AK1166" i="1" a="1"/>
  <c r="AK1166" i="1" s="1"/>
  <c r="AK1167" i="1" a="1"/>
  <c r="AK1167" i="1"/>
  <c r="AK1168" i="1" a="1"/>
  <c r="AK1168" i="1" s="1"/>
  <c r="AK1169" i="1" a="1"/>
  <c r="AK1169" i="1" s="1"/>
  <c r="AK1170" i="1" a="1"/>
  <c r="AK1170" i="1" s="1"/>
  <c r="AK1171" i="1" a="1"/>
  <c r="AK1171" i="1" s="1"/>
  <c r="AK1172" i="1" a="1"/>
  <c r="AK1172" i="1"/>
  <c r="AK1173" i="1" a="1"/>
  <c r="AK1173" i="1" s="1"/>
  <c r="AK1174" i="1" a="1"/>
  <c r="AK1174" i="1" s="1"/>
  <c r="AK1175" i="1" a="1"/>
  <c r="AK1175" i="1" s="1"/>
  <c r="AK1176" i="1" a="1"/>
  <c r="AK1176" i="1"/>
  <c r="AK1177" i="1" a="1"/>
  <c r="AK1177" i="1"/>
  <c r="AK1178" i="1" a="1"/>
  <c r="AK1178" i="1" s="1"/>
  <c r="AK1179" i="1" a="1"/>
  <c r="AK1179" i="1" s="1"/>
  <c r="AK1180" i="1" a="1"/>
  <c r="AK1180" i="1" s="1"/>
  <c r="AK1181" i="1" a="1"/>
  <c r="AK1181" i="1"/>
  <c r="AK1182" i="1" a="1"/>
  <c r="AK1182" i="1" s="1"/>
  <c r="AK1183" i="1" a="1"/>
  <c r="AK1183" i="1" s="1"/>
  <c r="AK1184" i="1" a="1"/>
  <c r="AK1184" i="1" s="1"/>
  <c r="AK1185" i="1" a="1"/>
  <c r="AK1185" i="1"/>
  <c r="AK1186" i="1" a="1"/>
  <c r="AK1186" i="1" s="1"/>
  <c r="AK1187" i="1" a="1"/>
  <c r="AK1187" i="1"/>
  <c r="AK1188" i="1" a="1"/>
  <c r="AK1188" i="1"/>
  <c r="AK1189" i="1" a="1"/>
  <c r="AK1189" i="1" s="1"/>
  <c r="AK1190" i="1" a="1"/>
  <c r="AK1190" i="1" s="1"/>
  <c r="AK1191" i="1" a="1"/>
  <c r="AK1191" i="1"/>
  <c r="AK1192" i="1" a="1"/>
  <c r="AK1192" i="1"/>
  <c r="AK1193" i="1" a="1"/>
  <c r="AK1193" i="1"/>
  <c r="AK1194" i="1" a="1"/>
  <c r="AK1194" i="1" s="1"/>
  <c r="AK1195" i="1" a="1"/>
  <c r="AK1195" i="1" s="1"/>
  <c r="AK1196" i="1" a="1"/>
  <c r="AK1196" i="1"/>
  <c r="AK1197" i="1" a="1"/>
  <c r="AK1197" i="1" s="1"/>
  <c r="AK1198" i="1" a="1"/>
  <c r="AK1198" i="1" s="1"/>
  <c r="AK1199" i="1" a="1"/>
  <c r="AK1199" i="1"/>
  <c r="AK1200" i="1" a="1"/>
  <c r="AK1200" i="1"/>
  <c r="AK1201" i="1" a="1"/>
  <c r="AK1201" i="1"/>
  <c r="AK1202" i="1" a="1"/>
  <c r="AK1202" i="1" s="1"/>
  <c r="AK1203" i="1" a="1"/>
  <c r="AK1203" i="1" s="1"/>
  <c r="AK1204" i="1" a="1"/>
  <c r="AK1204" i="1" s="1"/>
  <c r="AK1205" i="1" a="1"/>
  <c r="AK1205" i="1"/>
  <c r="AK1206" i="1" a="1"/>
  <c r="AK1206" i="1" s="1"/>
  <c r="AK1207" i="1" a="1"/>
  <c r="AK1207" i="1" s="1"/>
  <c r="AK1208" i="1" a="1"/>
  <c r="AK1208" i="1"/>
  <c r="AK1209" i="1" a="1"/>
  <c r="AK1209" i="1" s="1"/>
  <c r="AK1210" i="1" a="1"/>
  <c r="AK1210" i="1" s="1"/>
  <c r="AK1211" i="1" a="1"/>
  <c r="AK1211" i="1"/>
  <c r="AK1212" i="1" a="1"/>
  <c r="AK1212" i="1" s="1"/>
  <c r="AK1213" i="1" a="1"/>
  <c r="AK1213" i="1" s="1"/>
  <c r="AK1214" i="1" a="1"/>
  <c r="AK1214" i="1" s="1"/>
  <c r="AK1215" i="1" a="1"/>
  <c r="AK1215" i="1"/>
  <c r="AK1216" i="1" a="1"/>
  <c r="AK1216" i="1"/>
  <c r="AK1217" i="1" a="1"/>
  <c r="AK1217" i="1"/>
  <c r="AK1218" i="1" a="1"/>
  <c r="AK1218" i="1" s="1"/>
  <c r="AK1219" i="1" a="1"/>
  <c r="AK1219" i="1" s="1"/>
  <c r="AK1220" i="1" a="1"/>
  <c r="AK1220" i="1"/>
  <c r="AK1221" i="1" a="1"/>
  <c r="AK1221" i="1" s="1"/>
  <c r="AK1222" i="1" a="1"/>
  <c r="AK1222" i="1" s="1"/>
  <c r="AK1223" i="1" a="1"/>
  <c r="AK1223" i="1" s="1"/>
  <c r="AK1224" i="1" a="1"/>
  <c r="AK1224" i="1" s="1"/>
  <c r="AK1225" i="1" a="1"/>
  <c r="AK1225" i="1"/>
  <c r="AK1226" i="1" a="1"/>
  <c r="AK1226" i="1" s="1"/>
  <c r="AK1227" i="1" a="1"/>
  <c r="AK1227" i="1"/>
  <c r="AK1228" i="1" a="1"/>
  <c r="AK1228" i="1" s="1"/>
  <c r="AK1229" i="1" a="1"/>
  <c r="AK1229" i="1"/>
  <c r="AK1230" i="1" a="1"/>
  <c r="AK1230" i="1" s="1"/>
  <c r="AK1231" i="1" a="1"/>
  <c r="AK1231" i="1"/>
  <c r="AK1232" i="1" a="1"/>
  <c r="AK1232" i="1" s="1"/>
  <c r="AK1233" i="1" a="1"/>
  <c r="AK1233" i="1" s="1"/>
  <c r="AK1234" i="1" a="1"/>
  <c r="AK1234" i="1" s="1"/>
  <c r="AK1235" i="1" a="1"/>
  <c r="AK1235" i="1" s="1"/>
  <c r="AK1236" i="1" a="1"/>
  <c r="AK1236" i="1"/>
  <c r="AK1237" i="1" a="1"/>
  <c r="AK1237" i="1" s="1"/>
  <c r="AK1238" i="1" a="1"/>
  <c r="AK1238" i="1" s="1"/>
  <c r="AK1239" i="1" a="1"/>
  <c r="AK1239" i="1"/>
  <c r="AK1240" i="1" a="1"/>
  <c r="AK1240" i="1"/>
  <c r="AK1241" i="1" a="1"/>
  <c r="AK1241" i="1"/>
  <c r="AK1242" i="1" a="1"/>
  <c r="AK1242" i="1" s="1"/>
  <c r="AK1243" i="1" a="1"/>
  <c r="AK1243" i="1" s="1"/>
  <c r="AK1244" i="1" a="1"/>
  <c r="AK1244" i="1" s="1"/>
  <c r="AK1245" i="1" a="1"/>
  <c r="AK1245" i="1"/>
  <c r="AK1246" i="1" a="1"/>
  <c r="AK1246" i="1" s="1"/>
  <c r="AK1247" i="1" a="1"/>
  <c r="AK1247" i="1" s="1"/>
  <c r="AK1248" i="1" a="1"/>
  <c r="AK1248" i="1" s="1"/>
  <c r="AK1249" i="1" a="1"/>
  <c r="AK1249" i="1"/>
  <c r="AK1250" i="1" a="1"/>
  <c r="AK1250" i="1" s="1"/>
  <c r="AK1251" i="1" a="1"/>
  <c r="AK1251" i="1"/>
  <c r="AK1252" i="1" a="1"/>
  <c r="AK1252" i="1" s="1"/>
  <c r="AK1253" i="1" a="1"/>
  <c r="AK1253" i="1" s="1"/>
  <c r="AK1254" i="1" a="1"/>
  <c r="AK1254" i="1" s="1"/>
  <c r="AK1255" i="1" a="1"/>
  <c r="AK1255" i="1"/>
  <c r="AK1256" i="1" a="1"/>
  <c r="AK1256" i="1"/>
  <c r="AK1257" i="1" a="1"/>
  <c r="AK1257" i="1" s="1"/>
  <c r="AK1258" i="1" a="1"/>
  <c r="AK1258" i="1" s="1"/>
  <c r="AK1259" i="1" a="1"/>
  <c r="AK1259" i="1"/>
  <c r="AK1260" i="1" a="1"/>
  <c r="AK1260" i="1"/>
  <c r="AK1261" i="1" a="1"/>
  <c r="AK1261" i="1" s="1"/>
  <c r="AK1262" i="1" a="1"/>
  <c r="AK1262" i="1" s="1"/>
  <c r="AK1263" i="1" a="1"/>
  <c r="AK1263" i="1"/>
  <c r="AK1264" i="1" a="1"/>
  <c r="AK1264" i="1"/>
  <c r="AK1265" i="1" a="1"/>
  <c r="AK1265" i="1"/>
  <c r="AK1266" i="1" a="1"/>
  <c r="AK1266" i="1" s="1"/>
  <c r="AK1267" i="1" a="1"/>
  <c r="AK1267" i="1" s="1"/>
  <c r="AK1268" i="1" a="1"/>
  <c r="AK1268" i="1"/>
  <c r="AK1269" i="1" a="1"/>
  <c r="AK1269" i="1"/>
  <c r="AK1270" i="1" a="1"/>
  <c r="AK1270" i="1" s="1"/>
  <c r="AK1271" i="1" a="1"/>
  <c r="AK1271" i="1" s="1"/>
  <c r="AK1272" i="1" a="1"/>
  <c r="AK1272" i="1"/>
  <c r="AK1273" i="1" a="1"/>
  <c r="AK1273" i="1"/>
  <c r="AK1274" i="1" a="1"/>
  <c r="AK1274" i="1" s="1"/>
  <c r="AK1275" i="1" a="1"/>
  <c r="AK1275" i="1" s="1"/>
  <c r="AK1276" i="1" a="1"/>
  <c r="AK1276" i="1" s="1"/>
  <c r="AK1277" i="1" a="1"/>
  <c r="AK1277" i="1" s="1"/>
  <c r="AK1278" i="1" a="1"/>
  <c r="AK1278" i="1" s="1"/>
  <c r="AK1279" i="1" a="1"/>
  <c r="AK1279" i="1"/>
  <c r="AK1280" i="1" a="1"/>
  <c r="AK1280" i="1" s="1"/>
  <c r="AK1281" i="1" a="1"/>
  <c r="AK1281" i="1"/>
  <c r="AK1282" i="1" a="1"/>
  <c r="AK1282" i="1" s="1"/>
  <c r="AK1283" i="1" a="1"/>
  <c r="AK1283" i="1"/>
  <c r="AK1284" i="1" a="1"/>
  <c r="AK1284" i="1"/>
  <c r="AK1285" i="1" a="1"/>
  <c r="AK1285" i="1" s="1"/>
  <c r="AK1286" i="1" a="1"/>
  <c r="AK1286" i="1" s="1"/>
  <c r="AK1287" i="1" a="1"/>
  <c r="AK1287" i="1" s="1"/>
  <c r="AK1288" i="1" a="1"/>
  <c r="AK1288" i="1"/>
  <c r="AK1289" i="1" a="1"/>
  <c r="AK1289" i="1"/>
  <c r="AK1290" i="1" a="1"/>
  <c r="AK1290" i="1" s="1"/>
  <c r="AK1291" i="1" a="1"/>
  <c r="AK1291" i="1" s="1"/>
  <c r="AK1292" i="1" a="1"/>
  <c r="AK1292" i="1"/>
  <c r="AK1293" i="1" a="1"/>
  <c r="AK1293" i="1"/>
  <c r="AK1294" i="1" a="1"/>
  <c r="AK1294" i="1" s="1"/>
  <c r="AK1295" i="1" a="1"/>
  <c r="AK1295" i="1"/>
  <c r="AK1296" i="1" a="1"/>
  <c r="AK1296" i="1" s="1"/>
  <c r="AK1297" i="1" a="1"/>
  <c r="AK1297" i="1"/>
  <c r="AK1298" i="1" a="1"/>
  <c r="AK1298" i="1" s="1"/>
  <c r="AK1299" i="1" a="1"/>
  <c r="AK1299" i="1" s="1"/>
  <c r="AK1300" i="1" a="1"/>
  <c r="AK1300" i="1" s="1"/>
  <c r="AK1301" i="1" a="1"/>
  <c r="AK1301" i="1" s="1"/>
  <c r="AK1302" i="1" a="1"/>
  <c r="AK1302" i="1" s="1"/>
  <c r="AK1303" i="1" a="1"/>
  <c r="AK1303" i="1"/>
  <c r="AK1304" i="1" a="1"/>
  <c r="AK1304" i="1"/>
  <c r="AK1305" i="1" a="1"/>
  <c r="AK1305" i="1" s="1"/>
  <c r="AK1306" i="1" a="1"/>
  <c r="AK1306" i="1" s="1"/>
  <c r="AK1307" i="1" a="1"/>
  <c r="AK1307" i="1"/>
  <c r="AK1308" i="1" a="1"/>
  <c r="AK1308" i="1" s="1"/>
  <c r="AK1309" i="1" a="1"/>
  <c r="AK1309" i="1" s="1"/>
  <c r="AK1310" i="1" a="1"/>
  <c r="AK1310" i="1" s="1"/>
  <c r="AK1311" i="1" a="1"/>
  <c r="AK1311" i="1" s="1"/>
  <c r="AK1312" i="1" a="1"/>
  <c r="AK1312" i="1"/>
  <c r="AK1313" i="1" a="1"/>
  <c r="AK1313" i="1"/>
  <c r="AK1314" i="1" a="1"/>
  <c r="AK1314" i="1" s="1"/>
  <c r="AK1315" i="1" a="1"/>
  <c r="AK1315" i="1" s="1"/>
  <c r="AK1316" i="1" a="1"/>
  <c r="AK1316" i="1"/>
  <c r="AK1317" i="1" a="1"/>
  <c r="AK1317" i="1" s="1"/>
  <c r="AK1318" i="1" a="1"/>
  <c r="AK1318" i="1" s="1"/>
  <c r="AK1319" i="1" a="1"/>
  <c r="AK1319" i="1" s="1"/>
  <c r="AK1320" i="1" a="1"/>
  <c r="AK1320" i="1" s="1"/>
  <c r="AK1321" i="1" a="1"/>
  <c r="AK1321" i="1"/>
  <c r="AK1322" i="1" a="1"/>
  <c r="AK1322" i="1" s="1"/>
  <c r="AK1323" i="1" a="1"/>
  <c r="AK1323" i="1"/>
  <c r="AK1324" i="1" a="1"/>
  <c r="AK1324" i="1"/>
  <c r="AK1325" i="1" a="1"/>
  <c r="AK1325" i="1" s="1"/>
  <c r="AK1326" i="1" a="1"/>
  <c r="AK1326" i="1" s="1"/>
  <c r="AK1327" i="1" a="1"/>
  <c r="AK1327" i="1"/>
  <c r="AK1328" i="1" a="1"/>
  <c r="AK1328" i="1" s="1"/>
  <c r="AK1329" i="1" a="1"/>
  <c r="AK1329" i="1" s="1"/>
  <c r="AK1330" i="1" a="1"/>
  <c r="AK1330" i="1" s="1"/>
  <c r="AK1331" i="1" a="1"/>
  <c r="AK1331" i="1" s="1"/>
  <c r="AK1332" i="1" a="1"/>
  <c r="AK1332" i="1"/>
  <c r="AK1333" i="1" a="1"/>
  <c r="AK1333" i="1" s="1"/>
  <c r="AK1334" i="1" a="1"/>
  <c r="AK1334" i="1" s="1"/>
  <c r="AK1335" i="1" a="1"/>
  <c r="AK1335" i="1" s="1"/>
  <c r="AK1336" i="1" a="1"/>
  <c r="AK1336" i="1"/>
  <c r="AK1337" i="1" a="1"/>
  <c r="AK1337" i="1"/>
  <c r="AK1338" i="1" a="1"/>
  <c r="AK1338" i="1" s="1"/>
  <c r="AK1339" i="1" a="1"/>
  <c r="AK1339" i="1" s="1"/>
  <c r="AK1340" i="1" a="1"/>
  <c r="AK1340" i="1" s="1"/>
  <c r="AK1341" i="1" a="1"/>
  <c r="AK1341" i="1"/>
  <c r="AK1342" i="1" a="1"/>
  <c r="AK1342" i="1" s="1"/>
  <c r="AK1343" i="1" a="1"/>
  <c r="AK1343" i="1" s="1"/>
  <c r="AK1344" i="1" a="1"/>
  <c r="AK1344" i="1" s="1"/>
  <c r="AK1345" i="1" a="1"/>
  <c r="AK1345" i="1"/>
  <c r="AK1346" i="1" a="1"/>
  <c r="AK1346" i="1" s="1"/>
  <c r="AK1347" i="1" a="1"/>
  <c r="AK1347" i="1"/>
  <c r="AK1348" i="1" a="1"/>
  <c r="AK1348" i="1"/>
  <c r="AK1349" i="1" a="1"/>
  <c r="AK1349" i="1" s="1"/>
  <c r="AK1350" i="1" a="1"/>
  <c r="AK1350" i="1" s="1"/>
  <c r="AK1351" i="1" a="1"/>
  <c r="AK1351" i="1"/>
  <c r="AK1352" i="1" a="1"/>
  <c r="AK1352" i="1" s="1"/>
  <c r="AK1353" i="1" a="1"/>
  <c r="AK1353" i="1"/>
  <c r="AK1354" i="1" a="1"/>
  <c r="AK1354" i="1" s="1"/>
  <c r="AK1355" i="1" a="1"/>
  <c r="AK1355" i="1"/>
  <c r="AK1356" i="1" a="1"/>
  <c r="AK1356" i="1"/>
  <c r="AK1357" i="1" a="1"/>
  <c r="AK1357" i="1" s="1"/>
  <c r="AK1358" i="1" a="1"/>
  <c r="AK1358" i="1" s="1"/>
  <c r="AK1359" i="1" a="1"/>
  <c r="AK1359" i="1"/>
  <c r="AK1360" i="1" a="1"/>
  <c r="AK1360" i="1"/>
  <c r="AK1361" i="1" a="1"/>
  <c r="AK1361" i="1" s="1"/>
  <c r="AK1362" i="1" a="1"/>
  <c r="AK1362" i="1" s="1"/>
  <c r="AK1363" i="1" a="1"/>
  <c r="AK1363" i="1" s="1"/>
  <c r="AK1364" i="1" a="1"/>
  <c r="AK1364" i="1" s="1"/>
  <c r="AK1365" i="1" a="1"/>
  <c r="AK1365" i="1"/>
  <c r="AK1366" i="1" a="1"/>
  <c r="AK1366" i="1" s="1"/>
  <c r="AK1367" i="1" a="1"/>
  <c r="AK1367" i="1" s="1"/>
  <c r="AK1368" i="1" a="1"/>
  <c r="AK1368" i="1"/>
  <c r="AK1369" i="1" a="1"/>
  <c r="AK1369" i="1"/>
  <c r="AK1370" i="1" a="1"/>
  <c r="AK1370" i="1" s="1"/>
  <c r="AK1371" i="1" a="1"/>
  <c r="AK1371" i="1" s="1"/>
  <c r="AK1372" i="1" a="1"/>
  <c r="AK1372" i="1" s="1"/>
  <c r="AK1373" i="1" a="1"/>
  <c r="AK1373" i="1" s="1"/>
  <c r="AK1374" i="1" a="1"/>
  <c r="AK1374" i="1" s="1"/>
  <c r="AK1375" i="1" a="1"/>
  <c r="AK1375" i="1"/>
  <c r="AK1376" i="1" a="1"/>
  <c r="AK1376" i="1" s="1"/>
  <c r="AK1377" i="1" a="1"/>
  <c r="AK1377" i="1"/>
  <c r="AK1378" i="1" a="1"/>
  <c r="AK1378" i="1" s="1"/>
  <c r="AK1379" i="1" a="1"/>
  <c r="AK1379" i="1"/>
  <c r="AK1380" i="1" a="1"/>
  <c r="AK1380" i="1"/>
  <c r="AK1381" i="1" a="1"/>
  <c r="AK1381" i="1" s="1"/>
  <c r="AK1382" i="1" a="1"/>
  <c r="AK1382" i="1" s="1"/>
  <c r="AK1383" i="1" a="1"/>
  <c r="AK1383" i="1" s="1"/>
  <c r="AK1384" i="1" a="1"/>
  <c r="AK1384" i="1"/>
  <c r="AK1385" i="1" a="1"/>
  <c r="AK1385" i="1"/>
  <c r="AK1386" i="1" a="1"/>
  <c r="AK1386" i="1" s="1"/>
  <c r="AK1387" i="1" a="1"/>
  <c r="AK1387" i="1"/>
  <c r="AK1388" i="1" a="1"/>
  <c r="AK1388" i="1" s="1"/>
  <c r="AK1389" i="1" a="1"/>
  <c r="AK1389" i="1"/>
  <c r="AK1390" i="1" a="1"/>
  <c r="AK1390" i="1" s="1"/>
  <c r="AK1391" i="1" a="1"/>
  <c r="AK1391" i="1"/>
  <c r="AK1392" i="1" a="1"/>
  <c r="AK1392" i="1" s="1"/>
  <c r="AK1393" i="1" a="1"/>
  <c r="AK1393" i="1"/>
  <c r="AK1394" i="1" a="1"/>
  <c r="AK1394" i="1" s="1"/>
  <c r="AK1395" i="1" a="1"/>
  <c r="AK1395" i="1" s="1"/>
  <c r="AK1396" i="1" a="1"/>
  <c r="AK1396" i="1" s="1"/>
  <c r="AK1397" i="1" a="1"/>
  <c r="AK1397" i="1" s="1"/>
  <c r="AK1398" i="1" a="1"/>
  <c r="AK1398" i="1" s="1"/>
  <c r="AK1399" i="1" a="1"/>
  <c r="AK1399" i="1"/>
  <c r="AK1400" i="1" a="1"/>
  <c r="AK1400" i="1" s="1"/>
  <c r="AK1401" i="1" a="1"/>
  <c r="AK1401" i="1"/>
  <c r="AK1402" i="1" a="1"/>
  <c r="AK1402" i="1" s="1"/>
  <c r="AK1403" i="1" a="1"/>
  <c r="AK1403" i="1"/>
  <c r="AK1404" i="1" a="1"/>
  <c r="AK1404" i="1"/>
  <c r="AK1405" i="1" a="1"/>
  <c r="AK1405" i="1" s="1"/>
  <c r="AK1406" i="1" a="1"/>
  <c r="AK1406" i="1" s="1"/>
  <c r="AK1407" i="1" a="1"/>
  <c r="AK1407" i="1" s="1"/>
  <c r="AK1408" i="1" a="1"/>
  <c r="AK1408" i="1"/>
  <c r="AK1409" i="1" a="1"/>
  <c r="AK1409" i="1" s="1"/>
  <c r="AK1410" i="1" a="1"/>
  <c r="AK1410" i="1" s="1"/>
  <c r="AK1411" i="1" a="1"/>
  <c r="AK1411" i="1" s="1"/>
  <c r="AK1412" i="1" a="1"/>
  <c r="AK1412" i="1"/>
  <c r="AK1413" i="1" a="1"/>
  <c r="AK1413" i="1"/>
  <c r="AK1414" i="1" a="1"/>
  <c r="AK1414" i="1" s="1"/>
  <c r="AK1415" i="1" a="1"/>
  <c r="AK1415" i="1"/>
  <c r="AK1416" i="1" a="1"/>
  <c r="AK1416" i="1" s="1"/>
  <c r="AK1417" i="1" a="1"/>
  <c r="AK1417" i="1"/>
  <c r="AK1418" i="1" a="1"/>
  <c r="AK1418" i="1" s="1"/>
  <c r="AK1419" i="1" a="1"/>
  <c r="AK1419" i="1" s="1"/>
  <c r="AK1420" i="1" a="1"/>
  <c r="AK1420" i="1" s="1"/>
  <c r="AK1421" i="1" a="1"/>
  <c r="AK1421" i="1"/>
  <c r="AK1422" i="1" a="1"/>
  <c r="AK1422" i="1" s="1"/>
  <c r="AK1423" i="1" a="1"/>
  <c r="AK1423" i="1" s="1"/>
  <c r="AK1424" i="1" a="1"/>
  <c r="AK1424" i="1"/>
  <c r="AK1425" i="1" a="1"/>
  <c r="AK1425" i="1" s="1"/>
  <c r="AK1426" i="1" a="1"/>
  <c r="AK1426" i="1" s="1"/>
  <c r="AK1427" i="1" a="1"/>
  <c r="AK1427" i="1"/>
  <c r="AK1428" i="1" a="1"/>
  <c r="AK1428" i="1" s="1"/>
  <c r="AK1429" i="1" a="1"/>
  <c r="AK1429" i="1" s="1"/>
  <c r="AK1430" i="1" a="1"/>
  <c r="AK1430" i="1" s="1"/>
  <c r="AK1431" i="1" a="1"/>
  <c r="AK1431" i="1"/>
  <c r="AK1432" i="1" a="1"/>
  <c r="AK1432" i="1" s="1"/>
  <c r="AK1433" i="1" a="1"/>
  <c r="AK1433" i="1"/>
  <c r="AK1434" i="1" a="1"/>
  <c r="AK1434" i="1" s="1"/>
  <c r="AK1435" i="1" a="1"/>
  <c r="AK1435" i="1"/>
  <c r="AK1436" i="1" a="1"/>
  <c r="AK1436" i="1"/>
  <c r="AK1437" i="1" a="1"/>
  <c r="AK1437" i="1" s="1"/>
  <c r="AK1438" i="1" a="1"/>
  <c r="AK1438" i="1" s="1"/>
  <c r="AK1439" i="1" a="1"/>
  <c r="AK1439" i="1" s="1"/>
  <c r="AK1440" i="1" a="1"/>
  <c r="AK1440" i="1"/>
  <c r="AK1441" i="1" a="1"/>
  <c r="AK1441" i="1" s="1"/>
  <c r="AK1442" i="1" a="1"/>
  <c r="AK1442" i="1" s="1"/>
  <c r="AK1443" i="1" a="1"/>
  <c r="AK1443" i="1" s="1"/>
  <c r="AK1444" i="1" a="1"/>
  <c r="AK1444" i="1"/>
  <c r="AK1445" i="1" a="1"/>
  <c r="AK1445" i="1"/>
  <c r="AK1446" i="1" a="1"/>
  <c r="AK1446" i="1" s="1"/>
  <c r="AK1447" i="1" a="1"/>
  <c r="AK1447" i="1"/>
  <c r="AK1448" i="1" a="1"/>
  <c r="AK1448" i="1" s="1"/>
  <c r="AK1449" i="1" a="1"/>
  <c r="AK1449" i="1"/>
  <c r="AK1450" i="1" a="1"/>
  <c r="AK1450" i="1" s="1"/>
  <c r="AK1451" i="1" a="1"/>
  <c r="AK1451" i="1" s="1"/>
  <c r="AK1452" i="1" a="1"/>
  <c r="AK1452" i="1" s="1"/>
  <c r="AK1453" i="1" a="1"/>
  <c r="AK1453" i="1"/>
  <c r="AK1454" i="1" a="1"/>
  <c r="AK1454" i="1" s="1"/>
  <c r="AK1455" i="1" a="1"/>
  <c r="AK1455" i="1" s="1"/>
  <c r="AK1456" i="1" a="1"/>
  <c r="AK1456" i="1" s="1"/>
  <c r="AK1457" i="1" a="1"/>
  <c r="AK1457" i="1"/>
  <c r="AK1458" i="1" a="1"/>
  <c r="AK1458" i="1" s="1"/>
  <c r="AK1459" i="1" a="1"/>
  <c r="AK1459" i="1" s="1"/>
  <c r="AK1460" i="1" a="1"/>
  <c r="AK1460" i="1" s="1"/>
  <c r="AK1461" i="1" a="1"/>
  <c r="AK1461" i="1"/>
  <c r="AK1462" i="1" a="1"/>
  <c r="AK1462" i="1" s="1"/>
  <c r="AK1463" i="1" a="1"/>
  <c r="AK1463" i="1" s="1"/>
  <c r="AK1464" i="1" a="1"/>
  <c r="AK1464" i="1" s="1"/>
  <c r="AK1465" i="1" a="1"/>
  <c r="AK1465" i="1"/>
  <c r="AK1466" i="1" a="1"/>
  <c r="AK1466" i="1" s="1"/>
  <c r="AK1467" i="1" a="1"/>
  <c r="AK1467" i="1" s="1"/>
  <c r="AK1468" i="1" a="1"/>
  <c r="AK1468" i="1" s="1"/>
  <c r="AK1469" i="1" a="1"/>
  <c r="AK1469" i="1"/>
  <c r="AK1470" i="1" a="1"/>
  <c r="AK1470" i="1" s="1"/>
  <c r="AK1471" i="1" a="1"/>
  <c r="AK1471" i="1" s="1"/>
  <c r="AK1472" i="1" a="1"/>
  <c r="AK1472" i="1" s="1"/>
  <c r="AK1473" i="1" a="1"/>
  <c r="AK1473" i="1"/>
  <c r="AK1474" i="1" a="1"/>
  <c r="AK1474" i="1" s="1"/>
  <c r="AK1475" i="1" a="1"/>
  <c r="AK1475" i="1" s="1"/>
  <c r="AK1476" i="1" a="1"/>
  <c r="AK1476" i="1" s="1"/>
  <c r="AK1477" i="1" a="1"/>
  <c r="AK1477" i="1"/>
  <c r="AK1478" i="1" a="1"/>
  <c r="AK1478" i="1" s="1"/>
  <c r="AK1479" i="1" a="1"/>
  <c r="AK1479" i="1" s="1"/>
  <c r="AK1480" i="1" a="1"/>
  <c r="AK1480" i="1" s="1"/>
  <c r="AK1481" i="1" a="1"/>
  <c r="AK1481" i="1"/>
  <c r="AK1482" i="1" a="1"/>
  <c r="AK1482" i="1" s="1"/>
  <c r="AK1483" i="1" a="1"/>
  <c r="AK1483" i="1" s="1"/>
  <c r="AK1484" i="1" a="1"/>
  <c r="AK1484" i="1" s="1"/>
  <c r="AK1485" i="1" a="1"/>
  <c r="AK1485" i="1"/>
  <c r="AK1486" i="1" a="1"/>
  <c r="AK1486" i="1" s="1"/>
  <c r="AK1487" i="1" a="1"/>
  <c r="AK1487" i="1" s="1"/>
  <c r="AK1488" i="1" a="1"/>
  <c r="AK1488" i="1" s="1"/>
  <c r="AK1489" i="1" a="1"/>
  <c r="AK1489" i="1"/>
  <c r="AK1490" i="1" a="1"/>
  <c r="AK1490" i="1" s="1"/>
  <c r="AK1491" i="1" a="1"/>
  <c r="AK1491" i="1" s="1"/>
  <c r="AK1492" i="1" a="1"/>
  <c r="AK1492" i="1" s="1"/>
  <c r="AK1493" i="1" a="1"/>
  <c r="AK1493" i="1"/>
  <c r="AK1494" i="1" a="1"/>
  <c r="AK1494" i="1" s="1"/>
  <c r="AK1495" i="1" a="1"/>
  <c r="AK1495" i="1" s="1"/>
  <c r="AK1496" i="1" a="1"/>
  <c r="AK1496" i="1" s="1"/>
  <c r="AK1497" i="1" a="1"/>
  <c r="AK1497" i="1"/>
  <c r="AK1498" i="1" a="1"/>
  <c r="AK1498" i="1" s="1"/>
  <c r="AK1499" i="1" a="1"/>
  <c r="AK1499" i="1" s="1"/>
  <c r="AK1500" i="1" a="1"/>
  <c r="AK1500" i="1" s="1"/>
  <c r="AK1501" i="1" a="1"/>
  <c r="AK1501" i="1"/>
  <c r="AK1502" i="1" a="1"/>
  <c r="AK1502" i="1" s="1"/>
  <c r="AK1503" i="1" a="1"/>
  <c r="AK1503" i="1" s="1"/>
  <c r="AK1504" i="1" a="1"/>
  <c r="AK1504" i="1" s="1"/>
  <c r="AK1505" i="1" a="1"/>
  <c r="AK1505" i="1"/>
  <c r="AK1506" i="1" a="1"/>
  <c r="AK1506" i="1" s="1"/>
  <c r="AK1507" i="1" a="1"/>
  <c r="AK1507" i="1" s="1"/>
  <c r="AK1508" i="1" a="1"/>
  <c r="AK1508" i="1" s="1"/>
  <c r="AK1509" i="1" a="1"/>
  <c r="AK1509" i="1"/>
  <c r="AK1510" i="1" a="1"/>
  <c r="AK1510" i="1" s="1"/>
  <c r="AK1511" i="1" a="1"/>
  <c r="AK1511" i="1" s="1"/>
  <c r="AK1512" i="1" a="1"/>
  <c r="AK1512" i="1" s="1"/>
  <c r="AK1513" i="1" a="1"/>
  <c r="AK1513" i="1"/>
  <c r="AK1514" i="1" a="1"/>
  <c r="AK1514" i="1" s="1"/>
  <c r="AK1515" i="1" a="1"/>
  <c r="AK1515" i="1" s="1"/>
  <c r="AK1516" i="1" a="1"/>
  <c r="AK1516" i="1" s="1"/>
  <c r="AK1517" i="1" a="1"/>
  <c r="AK1517" i="1" s="1"/>
  <c r="AK1518" i="1" a="1"/>
  <c r="AK1518" i="1" s="1"/>
  <c r="AK1519" i="1" a="1"/>
  <c r="AK1519" i="1" s="1"/>
  <c r="AK1520" i="1" a="1"/>
  <c r="AK1520" i="1" s="1"/>
  <c r="AK1521" i="1" a="1"/>
  <c r="AK1521" i="1" s="1"/>
  <c r="AK1522" i="1" a="1"/>
  <c r="AK1522" i="1" s="1"/>
  <c r="AK1523" i="1" a="1"/>
  <c r="AK1523" i="1" s="1"/>
  <c r="AK1524" i="1" a="1"/>
  <c r="AK1524" i="1" s="1"/>
  <c r="AK1525" i="1" a="1"/>
  <c r="AK1525" i="1" s="1"/>
  <c r="AK1526" i="1" a="1"/>
  <c r="AK1526" i="1" s="1"/>
  <c r="AK1527" i="1" a="1"/>
  <c r="AK1527" i="1" s="1"/>
  <c r="AK1528" i="1" a="1"/>
  <c r="AK1528" i="1" s="1"/>
  <c r="AK1529" i="1" a="1"/>
  <c r="AK1529" i="1" s="1"/>
  <c r="AK1530" i="1" a="1"/>
  <c r="AK1530" i="1" s="1"/>
  <c r="AK1531" i="1" a="1"/>
  <c r="AK1531" i="1" s="1"/>
  <c r="AK1532" i="1" a="1"/>
  <c r="AK1532" i="1" s="1"/>
  <c r="AK1533" i="1" a="1"/>
  <c r="AK1533" i="1" s="1"/>
  <c r="AK1534" i="1" a="1"/>
  <c r="AK1534" i="1" s="1"/>
  <c r="AK1535" i="1" a="1"/>
  <c r="AK1535" i="1" s="1"/>
  <c r="AK1536" i="1" a="1"/>
  <c r="AK1536" i="1" s="1"/>
  <c r="AK1537" i="1" a="1"/>
  <c r="AK1537" i="1" s="1"/>
  <c r="AK1538" i="1" a="1"/>
  <c r="AK1538" i="1" s="1"/>
  <c r="AK1539" i="1" a="1"/>
  <c r="AK1539" i="1" s="1"/>
  <c r="AK1540" i="1" a="1"/>
  <c r="AK1540" i="1" s="1"/>
  <c r="AK1541" i="1" a="1"/>
  <c r="AK1541" i="1" s="1"/>
  <c r="AK1542" i="1" a="1"/>
  <c r="AK1542" i="1" s="1"/>
  <c r="AK1543" i="1" a="1"/>
  <c r="AK1543" i="1" s="1"/>
  <c r="AK1544" i="1" a="1"/>
  <c r="AK1544" i="1" s="1"/>
  <c r="AK1545" i="1" a="1"/>
  <c r="AK1545" i="1" s="1"/>
  <c r="AK1546" i="1" a="1"/>
  <c r="AK1546" i="1" s="1"/>
  <c r="AK1547" i="1" a="1"/>
  <c r="AK1547" i="1" s="1"/>
  <c r="AK1548" i="1" a="1"/>
  <c r="AK1548" i="1" s="1"/>
  <c r="AK1549" i="1" a="1"/>
  <c r="AK1549" i="1" s="1"/>
  <c r="AK1550" i="1" a="1"/>
  <c r="AK1550" i="1" s="1"/>
  <c r="AK1551" i="1" a="1"/>
  <c r="AK1551" i="1" s="1"/>
  <c r="AK1552" i="1" a="1"/>
  <c r="AK1552" i="1" s="1"/>
  <c r="AK1553" i="1" a="1"/>
  <c r="AK1553" i="1" s="1"/>
  <c r="AK1554" i="1" a="1"/>
  <c r="AK1554" i="1" s="1"/>
  <c r="AK1555" i="1" a="1"/>
  <c r="AK1555" i="1" s="1"/>
  <c r="AK1556" i="1" a="1"/>
  <c r="AK1556" i="1" s="1"/>
  <c r="AK1557" i="1" a="1"/>
  <c r="AK1557" i="1" s="1"/>
  <c r="AK1558" i="1" a="1"/>
  <c r="AK1558" i="1" s="1"/>
  <c r="AK1559" i="1" a="1"/>
  <c r="AK1559" i="1" s="1"/>
  <c r="AK1560" i="1" a="1"/>
  <c r="AK1560" i="1" s="1"/>
  <c r="AK1561" i="1" a="1"/>
  <c r="AK1561" i="1" s="1"/>
  <c r="AK1562" i="1" a="1"/>
  <c r="AK1562" i="1" s="1"/>
  <c r="AK1563" i="1" a="1"/>
  <c r="AK1563" i="1" s="1"/>
  <c r="AK1564" i="1" a="1"/>
  <c r="AK1564" i="1" s="1"/>
  <c r="AK1565" i="1" a="1"/>
  <c r="AK1565" i="1" s="1"/>
  <c r="AK1566" i="1" a="1"/>
  <c r="AK1566" i="1" s="1"/>
  <c r="AK1567" i="1" a="1"/>
  <c r="AK1567" i="1" s="1"/>
  <c r="AK1568" i="1" a="1"/>
  <c r="AK1568" i="1" s="1"/>
  <c r="AK1569" i="1" a="1"/>
  <c r="AK1569" i="1" s="1"/>
  <c r="AK1570" i="1" a="1"/>
  <c r="AK1570" i="1" s="1"/>
  <c r="AK1571" i="1" a="1"/>
  <c r="AK1571" i="1" s="1"/>
  <c r="AK1572" i="1" a="1"/>
  <c r="AK1572" i="1" s="1"/>
  <c r="AK1573" i="1" a="1"/>
  <c r="AK1573" i="1" s="1"/>
  <c r="AK1574" i="1" a="1"/>
  <c r="AK1574" i="1" s="1"/>
  <c r="AK1575" i="1" a="1"/>
  <c r="AK1575" i="1" s="1"/>
  <c r="AK1576" i="1" a="1"/>
  <c r="AK1576" i="1" s="1"/>
  <c r="AK1577" i="1" a="1"/>
  <c r="AK1577" i="1" s="1"/>
  <c r="AK1578" i="1" a="1"/>
  <c r="AK1578" i="1" s="1"/>
  <c r="AK1579" i="1" a="1"/>
  <c r="AK1579" i="1" s="1"/>
  <c r="AK1580" i="1" a="1"/>
  <c r="AK1580" i="1" s="1"/>
  <c r="AK1581" i="1" a="1"/>
  <c r="AK1581" i="1" s="1"/>
  <c r="AK1582" i="1" a="1"/>
  <c r="AK1582" i="1" s="1"/>
  <c r="AK1583" i="1" a="1"/>
  <c r="AK1583" i="1" s="1"/>
  <c r="AK1584" i="1" a="1"/>
  <c r="AK1584" i="1" s="1"/>
  <c r="AK1585" i="1" a="1"/>
  <c r="AK1585" i="1" s="1"/>
  <c r="AK1586" i="1" a="1"/>
  <c r="AK1586" i="1" s="1"/>
  <c r="AK1587" i="1" a="1"/>
  <c r="AK1587" i="1" s="1"/>
  <c r="AK1588" i="1" a="1"/>
  <c r="AK1588" i="1" s="1"/>
  <c r="AK1589" i="1" a="1"/>
  <c r="AK1589" i="1" s="1"/>
  <c r="AK1590" i="1" a="1"/>
  <c r="AK1590" i="1" s="1"/>
  <c r="AK1591" i="1" a="1"/>
  <c r="AK1591" i="1" s="1"/>
  <c r="AK1592" i="1" a="1"/>
  <c r="AK1592" i="1" s="1"/>
  <c r="AK1593" i="1" a="1"/>
  <c r="AK1593" i="1" s="1"/>
  <c r="AK1594" i="1" a="1"/>
  <c r="AK1594" i="1" s="1"/>
  <c r="AK1595" i="1" a="1"/>
  <c r="AK1595" i="1" s="1"/>
  <c r="AK1596" i="1" a="1"/>
  <c r="AK1596" i="1" s="1"/>
  <c r="AK1597" i="1" a="1"/>
  <c r="AK1597" i="1" s="1"/>
  <c r="AK1598" i="1" a="1"/>
  <c r="AK1598" i="1" s="1"/>
  <c r="AK1599" i="1" a="1"/>
  <c r="AK1599" i="1" s="1"/>
  <c r="AK1600" i="1" a="1"/>
  <c r="AK1600" i="1" s="1"/>
  <c r="AK1601" i="1" a="1"/>
  <c r="AK1601" i="1" s="1"/>
  <c r="AK1602" i="1" a="1"/>
  <c r="AK1602" i="1" s="1"/>
  <c r="AK1603" i="1" a="1"/>
  <c r="AK1603" i="1" s="1"/>
  <c r="AK1604" i="1" a="1"/>
  <c r="AK1604" i="1" s="1"/>
  <c r="AK1605" i="1" a="1"/>
  <c r="AK1605" i="1" s="1"/>
  <c r="AK1606" i="1" a="1"/>
  <c r="AK1606" i="1" s="1"/>
  <c r="AK1607" i="1" a="1"/>
  <c r="AK1607" i="1" s="1"/>
  <c r="AK1608" i="1" a="1"/>
  <c r="AK1608" i="1" s="1"/>
  <c r="AK1609" i="1" a="1"/>
  <c r="AK1609" i="1" s="1"/>
  <c r="AK1610" i="1" a="1"/>
  <c r="AK1610" i="1" s="1"/>
  <c r="AK1611" i="1" a="1"/>
  <c r="AK1611" i="1" s="1"/>
  <c r="AK1612" i="1" a="1"/>
  <c r="AK1612" i="1" s="1"/>
  <c r="AK1613" i="1" a="1"/>
  <c r="AK1613" i="1" s="1"/>
  <c r="AK1614" i="1" a="1"/>
  <c r="AK1614" i="1" s="1"/>
  <c r="AK1615" i="1" a="1"/>
  <c r="AK1615" i="1" s="1"/>
  <c r="AK1616" i="1" a="1"/>
  <c r="AK1616" i="1" s="1"/>
  <c r="AK1617" i="1" a="1"/>
  <c r="AK1617" i="1" s="1"/>
  <c r="AK1618" i="1" a="1"/>
  <c r="AK1618" i="1" s="1"/>
  <c r="AK1619" i="1" a="1"/>
  <c r="AK1619" i="1" s="1"/>
  <c r="AK1620" i="1" a="1"/>
  <c r="AK1620" i="1" s="1"/>
  <c r="AK1621" i="1" a="1"/>
  <c r="AK1621" i="1" s="1"/>
  <c r="AK1622" i="1" a="1"/>
  <c r="AK1622" i="1" s="1"/>
  <c r="AK1623" i="1" a="1"/>
  <c r="AK1623" i="1" s="1"/>
  <c r="AK1624" i="1" a="1"/>
  <c r="AK1624" i="1" s="1"/>
  <c r="AK1625" i="1" a="1"/>
  <c r="AK1625" i="1" s="1"/>
  <c r="AK1626" i="1" a="1"/>
  <c r="AK1626" i="1" s="1"/>
  <c r="AK1627" i="1" a="1"/>
  <c r="AK1627" i="1" s="1"/>
  <c r="AK1628" i="1" a="1"/>
  <c r="AK1628" i="1" s="1"/>
  <c r="AK1629" i="1" a="1"/>
  <c r="AK1629" i="1" s="1"/>
  <c r="AK1630" i="1" a="1"/>
  <c r="AK1630" i="1" s="1"/>
  <c r="AK1631" i="1" a="1"/>
  <c r="AK1631" i="1" s="1"/>
  <c r="AK1632" i="1" a="1"/>
  <c r="AK1632" i="1" s="1"/>
  <c r="AK1633" i="1" a="1"/>
  <c r="AK1633" i="1" s="1"/>
  <c r="AK1634" i="1" a="1"/>
  <c r="AK1634" i="1" s="1"/>
  <c r="AK1635" i="1" a="1"/>
  <c r="AK1635" i="1" s="1"/>
  <c r="AK1636" i="1" a="1"/>
  <c r="AK1636" i="1" s="1"/>
  <c r="AK1637" i="1" a="1"/>
  <c r="AK1637" i="1" s="1"/>
  <c r="AK1638" i="1" a="1"/>
  <c r="AK1638" i="1" s="1"/>
  <c r="AK1639" i="1" a="1"/>
  <c r="AK1639" i="1" s="1"/>
  <c r="AK1640" i="1" a="1"/>
  <c r="AK1640" i="1" s="1"/>
  <c r="AK1641" i="1" a="1"/>
  <c r="AK1641" i="1" s="1"/>
  <c r="AK1642" i="1" a="1"/>
  <c r="AK1642" i="1" s="1"/>
  <c r="AK1643" i="1" a="1"/>
  <c r="AK1643" i="1" s="1"/>
  <c r="AK1644" i="1" a="1"/>
  <c r="AK1644" i="1" s="1"/>
  <c r="AK1645" i="1" a="1"/>
  <c r="AK1645" i="1" s="1"/>
  <c r="AK1646" i="1" a="1"/>
  <c r="AK1646" i="1" s="1"/>
  <c r="AK1647" i="1" a="1"/>
  <c r="AK1647" i="1" s="1"/>
  <c r="AK1648" i="1" a="1"/>
  <c r="AK1648" i="1" s="1"/>
  <c r="AK1649" i="1" a="1"/>
  <c r="AK1649" i="1" s="1"/>
  <c r="AK1650" i="1" a="1"/>
  <c r="AK1650" i="1" s="1"/>
  <c r="AK1651" i="1" a="1"/>
  <c r="AK1651" i="1" s="1"/>
  <c r="AK1652" i="1" a="1"/>
  <c r="AK1652" i="1" s="1"/>
  <c r="AK1653" i="1" a="1"/>
  <c r="AK1653" i="1" s="1"/>
  <c r="AK1654" i="1" a="1"/>
  <c r="AK1654" i="1" s="1"/>
  <c r="AK1655" i="1" a="1"/>
  <c r="AK1655" i="1" s="1"/>
  <c r="AK1656" i="1" a="1"/>
  <c r="AK1656" i="1" s="1"/>
  <c r="AK1657" i="1" a="1"/>
  <c r="AK1657" i="1" s="1"/>
  <c r="AK1658" i="1" a="1"/>
  <c r="AK1658" i="1" s="1"/>
  <c r="AK1659" i="1" a="1"/>
  <c r="AK1659" i="1" s="1"/>
  <c r="AK1660" i="1" a="1"/>
  <c r="AK1660" i="1" s="1"/>
  <c r="AK1661" i="1" a="1"/>
  <c r="AK1661" i="1" s="1"/>
  <c r="AK1662" i="1" a="1"/>
  <c r="AK1662" i="1" s="1"/>
  <c r="AK1663" i="1" a="1"/>
  <c r="AK1663" i="1" s="1"/>
  <c r="AK1664" i="1" a="1"/>
  <c r="AK1664" i="1" s="1"/>
  <c r="AK1665" i="1" a="1"/>
  <c r="AK1665" i="1" s="1"/>
  <c r="AK1666" i="1" a="1"/>
  <c r="AK1666" i="1" s="1"/>
  <c r="AK1667" i="1" a="1"/>
  <c r="AK1667" i="1" s="1"/>
  <c r="AK1668" i="1" a="1"/>
  <c r="AK1668" i="1" s="1"/>
  <c r="AK1669" i="1" a="1"/>
  <c r="AK1669" i="1" s="1"/>
  <c r="AK1670" i="1" a="1"/>
  <c r="AK1670" i="1" s="1"/>
  <c r="AK1671" i="1" a="1"/>
  <c r="AK1671" i="1" s="1"/>
  <c r="AK1672" i="1" a="1"/>
  <c r="AK1672" i="1" s="1"/>
  <c r="AK1673" i="1" a="1"/>
  <c r="AK1673" i="1" s="1"/>
  <c r="AK1674" i="1" a="1"/>
  <c r="AK1674" i="1" s="1"/>
  <c r="AK1675" i="1" a="1"/>
  <c r="AK1675" i="1" s="1"/>
  <c r="AK1676" i="1" a="1"/>
  <c r="AK1676" i="1" s="1"/>
  <c r="AK1677" i="1" a="1"/>
  <c r="AK1677" i="1" s="1"/>
  <c r="AK2" i="1" a="1"/>
  <c r="AK2" i="1" s="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2" i="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T17" i="1" a="1"/>
  <c r="T17" i="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c r="T186" i="1" a="1"/>
  <c r="T186" i="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c r="T201" i="1" a="1"/>
  <c r="T201" i="1" s="1"/>
  <c r="T202" i="1" a="1"/>
  <c r="T202" i="1"/>
  <c r="T203" i="1" a="1"/>
  <c r="T203" i="1" s="1"/>
  <c r="T204" i="1" a="1"/>
  <c r="T204" i="1"/>
  <c r="T205" i="1" a="1"/>
  <c r="T205" i="1"/>
  <c r="T206" i="1" a="1"/>
  <c r="T206" i="1" s="1"/>
  <c r="T207" i="1" a="1"/>
  <c r="T207" i="1" s="1"/>
  <c r="T208" i="1" a="1"/>
  <c r="T208" i="1" s="1"/>
  <c r="T209" i="1" a="1"/>
  <c r="T209" i="1"/>
  <c r="T210" i="1" a="1"/>
  <c r="T210" i="1" s="1"/>
  <c r="T211" i="1" a="1"/>
  <c r="T211" i="1" s="1"/>
  <c r="T212" i="1" a="1"/>
  <c r="T212" i="1" s="1"/>
  <c r="T213" i="1" a="1"/>
  <c r="T213" i="1" s="1"/>
  <c r="T214" i="1" a="1"/>
  <c r="T214" i="1" s="1"/>
  <c r="T215" i="1" a="1"/>
  <c r="T215" i="1" s="1"/>
  <c r="T216" i="1" a="1"/>
  <c r="T216" i="1"/>
  <c r="T217" i="1" a="1"/>
  <c r="T217" i="1" s="1"/>
  <c r="T218" i="1" a="1"/>
  <c r="T218" i="1" s="1"/>
  <c r="T219" i="1" a="1"/>
  <c r="T219" i="1" s="1"/>
  <c r="T220" i="1" a="1"/>
  <c r="T220" i="1" s="1"/>
  <c r="T221" i="1" a="1"/>
  <c r="T221" i="1" s="1"/>
  <c r="T222" i="1" a="1"/>
  <c r="T222" i="1" s="1"/>
  <c r="T223" i="1" a="1"/>
  <c r="T223" i="1" s="1"/>
  <c r="T224" i="1" a="1"/>
  <c r="T224" i="1" s="1"/>
  <c r="T225" i="1" a="1"/>
  <c r="T225" i="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c r="T258" i="1" a="1"/>
  <c r="T258" i="1" s="1"/>
  <c r="T259" i="1" a="1"/>
  <c r="T259" i="1" s="1"/>
  <c r="T260" i="1" a="1"/>
  <c r="T260" i="1"/>
  <c r="T261" i="1" a="1"/>
  <c r="T261" i="1" s="1"/>
  <c r="T262" i="1" a="1"/>
  <c r="T262" i="1" s="1"/>
  <c r="T263" i="1" a="1"/>
  <c r="T263" i="1" s="1"/>
  <c r="T264" i="1" a="1"/>
  <c r="T264" i="1" s="1"/>
  <c r="T265" i="1" a="1"/>
  <c r="T265" i="1" s="1"/>
  <c r="T266" i="1" a="1"/>
  <c r="T266" i="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s="1"/>
  <c r="T294" i="1" a="1"/>
  <c r="T294" i="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c r="T313" i="1" a="1"/>
  <c r="T313" i="1"/>
  <c r="T314" i="1" a="1"/>
  <c r="T314" i="1" s="1"/>
  <c r="T315" i="1" a="1"/>
  <c r="T315" i="1" s="1"/>
  <c r="T316" i="1" a="1"/>
  <c r="T316" i="1" s="1"/>
  <c r="T317" i="1" a="1"/>
  <c r="T317" i="1"/>
  <c r="T318" i="1" a="1"/>
  <c r="T318" i="1" s="1"/>
  <c r="T319" i="1" a="1"/>
  <c r="T319" i="1" s="1"/>
  <c r="T320" i="1" a="1"/>
  <c r="T320" i="1" s="1"/>
  <c r="T321" i="1" a="1"/>
  <c r="T321" i="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s="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c r="T353" i="1" a="1"/>
  <c r="T353" i="1" s="1"/>
  <c r="T354" i="1" a="1"/>
  <c r="T354" i="1" s="1"/>
  <c r="T355" i="1" a="1"/>
  <c r="T355" i="1" s="1"/>
  <c r="T356" i="1" a="1"/>
  <c r="T356" i="1"/>
  <c r="T357" i="1" a="1"/>
  <c r="T357" i="1" s="1"/>
  <c r="T358" i="1" a="1"/>
  <c r="T358" i="1" s="1"/>
  <c r="T359" i="1" a="1"/>
  <c r="T359" i="1" s="1"/>
  <c r="T360" i="1" a="1"/>
  <c r="T360" i="1"/>
  <c r="T361" i="1" a="1"/>
  <c r="T361" i="1" s="1"/>
  <c r="T362" i="1" a="1"/>
  <c r="T362" i="1" s="1"/>
  <c r="T363" i="1" a="1"/>
  <c r="T363" i="1" s="1"/>
  <c r="T364" i="1" a="1"/>
  <c r="T364" i="1" s="1"/>
  <c r="T365" i="1" a="1"/>
  <c r="T365" i="1"/>
  <c r="T366" i="1" a="1"/>
  <c r="T366" i="1" s="1"/>
  <c r="T367" i="1" a="1"/>
  <c r="T367" i="1" s="1"/>
  <c r="T368" i="1" a="1"/>
  <c r="T368" i="1" s="1"/>
  <c r="T369" i="1" a="1"/>
  <c r="T369" i="1"/>
  <c r="T370" i="1" a="1"/>
  <c r="T370" i="1"/>
  <c r="T371" i="1" a="1"/>
  <c r="T371" i="1" s="1"/>
  <c r="T372" i="1" a="1"/>
  <c r="T372" i="1" s="1"/>
  <c r="T373" i="1" a="1"/>
  <c r="T373" i="1" s="1"/>
  <c r="T374" i="1" a="1"/>
  <c r="T374" i="1"/>
  <c r="T375" i="1" a="1"/>
  <c r="T375" i="1" s="1"/>
  <c r="T376" i="1" a="1"/>
  <c r="T376" i="1" s="1"/>
  <c r="T377" i="1" a="1"/>
  <c r="T377" i="1" s="1"/>
  <c r="T378" i="1" a="1"/>
  <c r="T378" i="1" s="1"/>
  <c r="T379" i="1" a="1"/>
  <c r="T379" i="1" s="1"/>
  <c r="T380" i="1" a="1"/>
  <c r="T380" i="1"/>
  <c r="T381" i="1" a="1"/>
  <c r="T381" i="1" s="1"/>
  <c r="T382" i="1" a="1"/>
  <c r="T382" i="1"/>
  <c r="T383" i="1" a="1"/>
  <c r="T383" i="1" s="1"/>
  <c r="T384" i="1" a="1"/>
  <c r="T384" i="1" s="1"/>
  <c r="T385" i="1" a="1"/>
  <c r="T385" i="1" s="1"/>
  <c r="T386" i="1" a="1"/>
  <c r="T386" i="1" s="1"/>
  <c r="T387" i="1" a="1"/>
  <c r="T387" i="1" s="1"/>
  <c r="T388" i="1" a="1"/>
  <c r="T388" i="1" s="1"/>
  <c r="T389" i="1" a="1"/>
  <c r="T389" i="1"/>
  <c r="T390" i="1" a="1"/>
  <c r="T390" i="1" s="1"/>
  <c r="T391" i="1" a="1"/>
  <c r="T391" i="1" s="1"/>
  <c r="T392" i="1" a="1"/>
  <c r="T392" i="1" s="1"/>
  <c r="T393" i="1" a="1"/>
  <c r="T393" i="1" s="1"/>
  <c r="T394" i="1" a="1"/>
  <c r="T394" i="1"/>
  <c r="T395" i="1" a="1"/>
  <c r="T395" i="1" s="1"/>
  <c r="T396" i="1" a="1"/>
  <c r="T396" i="1"/>
  <c r="T397" i="1" a="1"/>
  <c r="T397" i="1"/>
  <c r="T398" i="1" a="1"/>
  <c r="T398" i="1" s="1"/>
  <c r="T399" i="1" a="1"/>
  <c r="T399" i="1" s="1"/>
  <c r="T400" i="1" a="1"/>
  <c r="T400" i="1" s="1"/>
  <c r="T401" i="1" a="1"/>
  <c r="T401" i="1"/>
  <c r="T402" i="1" a="1"/>
  <c r="T402" i="1" s="1"/>
  <c r="T403" i="1" a="1"/>
  <c r="T403" i="1" s="1"/>
  <c r="T404" i="1" a="1"/>
  <c r="T404" i="1" s="1"/>
  <c r="T405" i="1" a="1"/>
  <c r="T405" i="1"/>
  <c r="T406" i="1" a="1"/>
  <c r="T406" i="1" s="1"/>
  <c r="T407" i="1" a="1"/>
  <c r="T407" i="1" s="1"/>
  <c r="T408" i="1" a="1"/>
  <c r="T408" i="1" s="1"/>
  <c r="T409" i="1" a="1"/>
  <c r="T409" i="1" s="1"/>
  <c r="T410" i="1" a="1"/>
  <c r="T410" i="1"/>
  <c r="T411" i="1" a="1"/>
  <c r="T411" i="1" s="1"/>
  <c r="T412" i="1" a="1"/>
  <c r="T412" i="1" s="1"/>
  <c r="T413" i="1" a="1"/>
  <c r="T413" i="1" s="1"/>
  <c r="T414" i="1" a="1"/>
  <c r="T414" i="1" s="1"/>
  <c r="T415" i="1" a="1"/>
  <c r="T415" i="1" s="1"/>
  <c r="T416" i="1" a="1"/>
  <c r="T416" i="1" s="1"/>
  <c r="T417" i="1" a="1"/>
  <c r="T417" i="1" s="1"/>
  <c r="T418" i="1" a="1"/>
  <c r="T418" i="1" s="1"/>
  <c r="T419" i="1" a="1"/>
  <c r="T419" i="1" s="1"/>
  <c r="T420" i="1" a="1"/>
  <c r="T420" i="1" s="1"/>
  <c r="T421" i="1" a="1"/>
  <c r="T421" i="1" s="1"/>
  <c r="T422" i="1" a="1"/>
  <c r="T422" i="1" s="1"/>
  <c r="T423" i="1" a="1"/>
  <c r="T423" i="1" s="1"/>
  <c r="T424" i="1" a="1"/>
  <c r="T424" i="1" s="1"/>
  <c r="T425" i="1" a="1"/>
  <c r="T425" i="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c r="T441" i="1" a="1"/>
  <c r="T441" i="1" s="1"/>
  <c r="T442" i="1" a="1"/>
  <c r="T442" i="1"/>
  <c r="T443" i="1" a="1"/>
  <c r="T443" i="1" s="1"/>
  <c r="T444" i="1" a="1"/>
  <c r="T444" i="1"/>
  <c r="T445" i="1" a="1"/>
  <c r="T445" i="1" s="1"/>
  <c r="T446" i="1" a="1"/>
  <c r="T446" i="1"/>
  <c r="T447" i="1" a="1"/>
  <c r="T447" i="1" s="1"/>
  <c r="T448" i="1" a="1"/>
  <c r="T448" i="1" s="1"/>
  <c r="T449" i="1" a="1"/>
  <c r="T449" i="1" s="1"/>
  <c r="T450" i="1" a="1"/>
  <c r="T450" i="1" s="1"/>
  <c r="T451" i="1" a="1"/>
  <c r="T451" i="1" s="1"/>
  <c r="T452" i="1" a="1"/>
  <c r="T452" i="1"/>
  <c r="T453" i="1" a="1"/>
  <c r="T453" i="1" s="1"/>
  <c r="T454" i="1" a="1"/>
  <c r="T454" i="1" s="1"/>
  <c r="T455" i="1" a="1"/>
  <c r="T455" i="1" s="1"/>
  <c r="T456" i="1" a="1"/>
  <c r="T456" i="1"/>
  <c r="T457" i="1" a="1"/>
  <c r="T457" i="1" s="1"/>
  <c r="T458" i="1" a="1"/>
  <c r="T458" i="1" s="1"/>
  <c r="T459" i="1" a="1"/>
  <c r="T459" i="1" s="1"/>
  <c r="T460" i="1" a="1"/>
  <c r="T460" i="1" s="1"/>
  <c r="T461" i="1" a="1"/>
  <c r="T461" i="1" s="1"/>
  <c r="T462" i="1" a="1"/>
  <c r="T462" i="1" s="1"/>
  <c r="T463" i="1" a="1"/>
  <c r="T463" i="1" s="1"/>
  <c r="T464" i="1" a="1"/>
  <c r="T464" i="1" s="1"/>
  <c r="T465" i="1" a="1"/>
  <c r="T465" i="1" s="1"/>
  <c r="T466" i="1" a="1"/>
  <c r="T466" i="1"/>
  <c r="T467" i="1" a="1"/>
  <c r="T467" i="1" s="1"/>
  <c r="T468" i="1" a="1"/>
  <c r="T468" i="1" s="1"/>
  <c r="T469" i="1" a="1"/>
  <c r="T469" i="1"/>
  <c r="T470" i="1" a="1"/>
  <c r="T470" i="1" s="1"/>
  <c r="T471" i="1" a="1"/>
  <c r="T471" i="1" s="1"/>
  <c r="T472" i="1" a="1"/>
  <c r="T472" i="1" s="1"/>
  <c r="T473" i="1" a="1"/>
  <c r="T473" i="1" s="1"/>
  <c r="T474" i="1" a="1"/>
  <c r="T474" i="1"/>
  <c r="T475" i="1" a="1"/>
  <c r="T475" i="1" s="1"/>
  <c r="T476" i="1" a="1"/>
  <c r="T476" i="1"/>
  <c r="T477" i="1" a="1"/>
  <c r="T477" i="1" s="1"/>
  <c r="T478" i="1" a="1"/>
  <c r="T478" i="1"/>
  <c r="T479" i="1" a="1"/>
  <c r="T479" i="1" s="1"/>
  <c r="T480" i="1" a="1"/>
  <c r="T480" i="1" s="1"/>
  <c r="T481" i="1" a="1"/>
  <c r="T481" i="1"/>
  <c r="T482" i="1" a="1"/>
  <c r="T482" i="1" s="1"/>
  <c r="T483" i="1" a="1"/>
  <c r="T483" i="1" s="1"/>
  <c r="T484" i="1" a="1"/>
  <c r="T484" i="1" s="1"/>
  <c r="T485" i="1" a="1"/>
  <c r="T485" i="1"/>
  <c r="T486" i="1" a="1"/>
  <c r="T486" i="1" s="1"/>
  <c r="T487" i="1" a="1"/>
  <c r="T487" i="1" s="1"/>
  <c r="T488" i="1" a="1"/>
  <c r="T488" i="1" s="1"/>
  <c r="T489" i="1" a="1"/>
  <c r="T489" i="1" s="1"/>
  <c r="T490" i="1" a="1"/>
  <c r="T490" i="1"/>
  <c r="T491" i="1" a="1"/>
  <c r="T491" i="1" s="1"/>
  <c r="T492" i="1" a="1"/>
  <c r="T492" i="1" s="1"/>
  <c r="T493" i="1" a="1"/>
  <c r="T493" i="1" s="1"/>
  <c r="T494" i="1" a="1"/>
  <c r="T494" i="1" s="1"/>
  <c r="T495" i="1" a="1"/>
  <c r="T495" i="1" s="1"/>
  <c r="T496" i="1" a="1"/>
  <c r="T496" i="1" s="1"/>
  <c r="T497" i="1" a="1"/>
  <c r="T497" i="1" s="1"/>
  <c r="T498" i="1" a="1"/>
  <c r="T498" i="1"/>
  <c r="T499" i="1" a="1"/>
  <c r="T499" i="1" s="1"/>
  <c r="T500" i="1" a="1"/>
  <c r="T500" i="1" s="1"/>
  <c r="T501" i="1" a="1"/>
  <c r="T501" i="1" s="1"/>
  <c r="T502" i="1" a="1"/>
  <c r="T502" i="1" s="1"/>
  <c r="T503" i="1" a="1"/>
  <c r="T503" i="1" s="1"/>
  <c r="T504" i="1" a="1"/>
  <c r="T504" i="1" s="1"/>
  <c r="T505" i="1" a="1"/>
  <c r="T505" i="1" s="1"/>
  <c r="T506" i="1" a="1"/>
  <c r="T506" i="1" s="1"/>
  <c r="T507" i="1" a="1"/>
  <c r="T507" i="1" s="1"/>
  <c r="T508" i="1" a="1"/>
  <c r="T508" i="1" s="1"/>
  <c r="T509" i="1" a="1"/>
  <c r="T509" i="1" s="1"/>
  <c r="T510" i="1" a="1"/>
  <c r="T510" i="1"/>
  <c r="T511" i="1" a="1"/>
  <c r="T511" i="1" s="1"/>
  <c r="T512" i="1" a="1"/>
  <c r="T512" i="1" s="1"/>
  <c r="T513" i="1" a="1"/>
  <c r="T513" i="1" s="1"/>
  <c r="T514" i="1" a="1"/>
  <c r="T514" i="1" s="1"/>
  <c r="T515" i="1" a="1"/>
  <c r="T515" i="1" s="1"/>
  <c r="T516" i="1" a="1"/>
  <c r="T516" i="1"/>
  <c r="T517" i="1" a="1"/>
  <c r="T517" i="1" s="1"/>
  <c r="T518" i="1" a="1"/>
  <c r="T518" i="1" s="1"/>
  <c r="T519" i="1" a="1"/>
  <c r="T519" i="1" s="1"/>
  <c r="T520" i="1" a="1"/>
  <c r="T520" i="1" s="1"/>
  <c r="T521" i="1" a="1"/>
  <c r="T521" i="1" s="1"/>
  <c r="T522" i="1" a="1"/>
  <c r="T522" i="1"/>
  <c r="T523" i="1" a="1"/>
  <c r="T523" i="1" s="1"/>
  <c r="T524" i="1" a="1"/>
  <c r="T524" i="1" s="1"/>
  <c r="T525" i="1" a="1"/>
  <c r="T525" i="1"/>
  <c r="T526" i="1" a="1"/>
  <c r="T526" i="1" s="1"/>
  <c r="T527" i="1" a="1"/>
  <c r="T527" i="1" s="1"/>
  <c r="T528" i="1" a="1"/>
  <c r="T528" i="1" s="1"/>
  <c r="T529" i="1" a="1"/>
  <c r="T529" i="1"/>
  <c r="T530" i="1" a="1"/>
  <c r="T530" i="1" s="1"/>
  <c r="T531" i="1" a="1"/>
  <c r="T531" i="1" s="1"/>
  <c r="T532" i="1" a="1"/>
  <c r="T532" i="1" s="1"/>
  <c r="T533" i="1" a="1"/>
  <c r="T533" i="1"/>
  <c r="T534" i="1" a="1"/>
  <c r="T534" i="1" s="1"/>
  <c r="T535" i="1" a="1"/>
  <c r="T535" i="1" s="1"/>
  <c r="T536" i="1" a="1"/>
  <c r="T536" i="1" s="1"/>
  <c r="T537" i="1" a="1"/>
  <c r="T537" i="1" s="1"/>
  <c r="T538" i="1" a="1"/>
  <c r="T538" i="1" s="1"/>
  <c r="T539" i="1" a="1"/>
  <c r="T539" i="1" s="1"/>
  <c r="T540" i="1" a="1"/>
  <c r="T540" i="1" s="1"/>
  <c r="T541" i="1" a="1"/>
  <c r="T541" i="1" s="1"/>
  <c r="T542" i="1" a="1"/>
  <c r="T542" i="1" s="1"/>
  <c r="T543" i="1" a="1"/>
  <c r="T543" i="1" s="1"/>
  <c r="T544" i="1" a="1"/>
  <c r="T544" i="1" s="1"/>
  <c r="T545" i="1" a="1"/>
  <c r="T545" i="1" s="1"/>
  <c r="T546" i="1" a="1"/>
  <c r="T546" i="1" s="1"/>
  <c r="T547" i="1" a="1"/>
  <c r="T547" i="1" s="1"/>
  <c r="T548" i="1" a="1"/>
  <c r="T548" i="1" s="1"/>
  <c r="T549" i="1" a="1"/>
  <c r="T549" i="1" s="1"/>
  <c r="T550" i="1" a="1"/>
  <c r="T550" i="1"/>
  <c r="T551" i="1" a="1"/>
  <c r="T551" i="1" s="1"/>
  <c r="T552" i="1" a="1"/>
  <c r="T552" i="1" s="1"/>
  <c r="T553" i="1" a="1"/>
  <c r="T553" i="1" s="1"/>
  <c r="T554" i="1" a="1"/>
  <c r="T554" i="1" s="1"/>
  <c r="T555" i="1" a="1"/>
  <c r="T555" i="1"/>
  <c r="T556" i="1" a="1"/>
  <c r="T556" i="1" s="1"/>
  <c r="T557" i="1" a="1"/>
  <c r="T557" i="1" s="1"/>
  <c r="T558" i="1" a="1"/>
  <c r="T558" i="1" s="1"/>
  <c r="T559" i="1" a="1"/>
  <c r="T559" i="1"/>
  <c r="T560" i="1" a="1"/>
  <c r="T560" i="1" s="1"/>
  <c r="T561" i="1" a="1"/>
  <c r="T561" i="1" s="1"/>
  <c r="T562" i="1" a="1"/>
  <c r="T562" i="1" s="1"/>
  <c r="T563" i="1" a="1"/>
  <c r="T563" i="1" s="1"/>
  <c r="T564" i="1" a="1"/>
  <c r="T564" i="1" s="1"/>
  <c r="T565" i="1" a="1"/>
  <c r="T565" i="1" s="1"/>
  <c r="T566" i="1" a="1"/>
  <c r="T566" i="1" s="1"/>
  <c r="T567" i="1" a="1"/>
  <c r="T567" i="1" s="1"/>
  <c r="T568" i="1" a="1"/>
  <c r="T568" i="1" s="1"/>
  <c r="T569" i="1" a="1"/>
  <c r="T569" i="1" s="1"/>
  <c r="T570" i="1" a="1"/>
  <c r="T570" i="1" s="1"/>
  <c r="T571" i="1" a="1"/>
  <c r="T571" i="1" s="1"/>
  <c r="T572" i="1" a="1"/>
  <c r="T572" i="1" s="1"/>
  <c r="T573" i="1" a="1"/>
  <c r="T573" i="1" s="1"/>
  <c r="T574" i="1" a="1"/>
  <c r="T574" i="1" s="1"/>
  <c r="T575" i="1" a="1"/>
  <c r="T575" i="1"/>
  <c r="T576" i="1" a="1"/>
  <c r="T576" i="1" s="1"/>
  <c r="T577" i="1" a="1"/>
  <c r="T577" i="1" s="1"/>
  <c r="T578" i="1" a="1"/>
  <c r="T578" i="1" s="1"/>
  <c r="T579" i="1" a="1"/>
  <c r="T579" i="1" s="1"/>
  <c r="T580" i="1" a="1"/>
  <c r="T580" i="1" s="1"/>
  <c r="T581" i="1" a="1"/>
  <c r="T581" i="1" s="1"/>
  <c r="T582" i="1" a="1"/>
  <c r="T582" i="1" s="1"/>
  <c r="T583" i="1" a="1"/>
  <c r="T583" i="1" s="1"/>
  <c r="T584" i="1" a="1"/>
  <c r="T584" i="1" s="1"/>
  <c r="T585" i="1" a="1"/>
  <c r="T585" i="1" s="1"/>
  <c r="T586" i="1" a="1"/>
  <c r="T586" i="1" s="1"/>
  <c r="T587" i="1" a="1"/>
  <c r="T587" i="1" s="1"/>
  <c r="T588" i="1" a="1"/>
  <c r="T588" i="1" s="1"/>
  <c r="T589" i="1" a="1"/>
  <c r="T589" i="1" s="1"/>
  <c r="T590" i="1" a="1"/>
  <c r="T590" i="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s="1"/>
  <c r="T602" i="1" a="1"/>
  <c r="T602" i="1" s="1"/>
  <c r="T603" i="1" a="1"/>
  <c r="T603" i="1" s="1"/>
  <c r="T604" i="1" a="1"/>
  <c r="T604" i="1" s="1"/>
  <c r="T605" i="1" a="1"/>
  <c r="T605" i="1" s="1"/>
  <c r="T606" i="1" a="1"/>
  <c r="T606" i="1" s="1"/>
  <c r="T607" i="1" a="1"/>
  <c r="T607" i="1" s="1"/>
  <c r="T608" i="1" a="1"/>
  <c r="T608" i="1" s="1"/>
  <c r="T609" i="1" a="1"/>
  <c r="T609" i="1" s="1"/>
  <c r="T610" i="1" a="1"/>
  <c r="T610" i="1" s="1"/>
  <c r="T611" i="1" a="1"/>
  <c r="T611" i="1" s="1"/>
  <c r="T612" i="1" a="1"/>
  <c r="T612" i="1" s="1"/>
  <c r="T613" i="1" a="1"/>
  <c r="T613" i="1" s="1"/>
  <c r="T614" i="1" a="1"/>
  <c r="T614" i="1" s="1"/>
  <c r="T615" i="1" a="1"/>
  <c r="T615" i="1" s="1"/>
  <c r="T616" i="1" a="1"/>
  <c r="T616" i="1" s="1"/>
  <c r="T617" i="1" a="1"/>
  <c r="T617" i="1" s="1"/>
  <c r="T618" i="1" a="1"/>
  <c r="T618" i="1" s="1"/>
  <c r="T619" i="1" a="1"/>
  <c r="T619" i="1" s="1"/>
  <c r="T620" i="1" a="1"/>
  <c r="T620" i="1" s="1"/>
  <c r="T621" i="1" a="1"/>
  <c r="T621" i="1" s="1"/>
  <c r="T622" i="1" a="1"/>
  <c r="T622" i="1" s="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s="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s="1"/>
  <c r="T666" i="1" a="1"/>
  <c r="T666" i="1" s="1"/>
  <c r="T667" i="1" a="1"/>
  <c r="T667" i="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s="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c r="T720" i="1" a="1"/>
  <c r="T720" i="1" s="1"/>
  <c r="T721" i="1" a="1"/>
  <c r="T721" i="1" s="1"/>
  <c r="T722" i="1" a="1"/>
  <c r="T722" i="1" s="1"/>
  <c r="T723" i="1" a="1"/>
  <c r="T723" i="1" s="1"/>
  <c r="T724" i="1" a="1"/>
  <c r="T724" i="1" s="1"/>
  <c r="T725" i="1" a="1"/>
  <c r="T725" i="1" s="1"/>
  <c r="T726" i="1" a="1"/>
  <c r="T726" i="1" s="1"/>
  <c r="T727" i="1" a="1"/>
  <c r="T727" i="1" s="1"/>
  <c r="T728" i="1" a="1"/>
  <c r="T728" i="1" s="1"/>
  <c r="T729" i="1" a="1"/>
  <c r="T729" i="1" s="1"/>
  <c r="T730" i="1" a="1"/>
  <c r="T730" i="1" s="1"/>
  <c r="T731" i="1" a="1"/>
  <c r="T731" i="1" s="1"/>
  <c r="T732" i="1" a="1"/>
  <c r="T732" i="1" s="1"/>
  <c r="T733" i="1" a="1"/>
  <c r="T733" i="1" s="1"/>
  <c r="T734" i="1" a="1"/>
  <c r="T734" i="1" s="1"/>
  <c r="T735" i="1" a="1"/>
  <c r="T735" i="1" s="1"/>
  <c r="T736" i="1" a="1"/>
  <c r="T736" i="1" s="1"/>
  <c r="T737" i="1" a="1"/>
  <c r="T737" i="1" s="1"/>
  <c r="T738" i="1" a="1"/>
  <c r="T738" i="1" s="1"/>
  <c r="T739" i="1" a="1"/>
  <c r="T739" i="1" s="1"/>
  <c r="T740" i="1" a="1"/>
  <c r="T740" i="1" s="1"/>
  <c r="T741" i="1" a="1"/>
  <c r="T741" i="1" s="1"/>
  <c r="T742" i="1" a="1"/>
  <c r="T742" i="1" s="1"/>
  <c r="T743" i="1" a="1"/>
  <c r="T743" i="1" s="1"/>
  <c r="T744" i="1" a="1"/>
  <c r="T744" i="1" s="1"/>
  <c r="T745" i="1" a="1"/>
  <c r="T745" i="1" s="1"/>
  <c r="T746" i="1" a="1"/>
  <c r="T746" i="1" s="1"/>
  <c r="T747" i="1" a="1"/>
  <c r="T747" i="1" s="1"/>
  <c r="T748" i="1" a="1"/>
  <c r="T748" i="1" s="1"/>
  <c r="T749" i="1" a="1"/>
  <c r="T749" i="1" s="1"/>
  <c r="T750" i="1" a="1"/>
  <c r="T750" i="1" s="1"/>
  <c r="T751" i="1" a="1"/>
  <c r="T751" i="1" s="1"/>
  <c r="T752" i="1" a="1"/>
  <c r="T752" i="1" s="1"/>
  <c r="T753" i="1" a="1"/>
  <c r="T753" i="1" s="1"/>
  <c r="T754" i="1" a="1"/>
  <c r="T754" i="1" s="1"/>
  <c r="T755" i="1" a="1"/>
  <c r="T755" i="1" s="1"/>
  <c r="T756" i="1" a="1"/>
  <c r="T756" i="1" s="1"/>
  <c r="T757" i="1" a="1"/>
  <c r="T757" i="1" s="1"/>
  <c r="T758" i="1" a="1"/>
  <c r="T758" i="1" s="1"/>
  <c r="T759" i="1" a="1"/>
  <c r="T759" i="1" s="1"/>
  <c r="T760" i="1" a="1"/>
  <c r="T760" i="1" s="1"/>
  <c r="T761" i="1" a="1"/>
  <c r="T761" i="1" s="1"/>
  <c r="T762" i="1" a="1"/>
  <c r="T762" i="1" s="1"/>
  <c r="T763" i="1" a="1"/>
  <c r="T763" i="1" s="1"/>
  <c r="T764" i="1" a="1"/>
  <c r="T764" i="1" s="1"/>
  <c r="T765" i="1" a="1"/>
  <c r="T765" i="1" s="1"/>
  <c r="T766" i="1" a="1"/>
  <c r="T766" i="1" s="1"/>
  <c r="T767" i="1" a="1"/>
  <c r="T767" i="1" s="1"/>
  <c r="T768" i="1" a="1"/>
  <c r="T768" i="1" s="1"/>
  <c r="T769" i="1" a="1"/>
  <c r="T769" i="1" s="1"/>
  <c r="T770" i="1" a="1"/>
  <c r="T770" i="1" s="1"/>
  <c r="T771" i="1" a="1"/>
  <c r="T771" i="1" s="1"/>
  <c r="T772" i="1" a="1"/>
  <c r="T772" i="1" s="1"/>
  <c r="T773" i="1" a="1"/>
  <c r="T773" i="1" s="1"/>
  <c r="T774" i="1" a="1"/>
  <c r="T774" i="1" s="1"/>
  <c r="T775" i="1" a="1"/>
  <c r="T775" i="1" s="1"/>
  <c r="T776" i="1" a="1"/>
  <c r="T776" i="1" s="1"/>
  <c r="T777" i="1" a="1"/>
  <c r="T777" i="1" s="1"/>
  <c r="T778" i="1" a="1"/>
  <c r="T778" i="1"/>
  <c r="T779" i="1" a="1"/>
  <c r="T779" i="1" s="1"/>
  <c r="T780" i="1" a="1"/>
  <c r="T780" i="1" s="1"/>
  <c r="T781" i="1" a="1"/>
  <c r="T781" i="1" s="1"/>
  <c r="T782" i="1" a="1"/>
  <c r="T782" i="1" s="1"/>
  <c r="T783" i="1" a="1"/>
  <c r="T783" i="1" s="1"/>
  <c r="T784" i="1" a="1"/>
  <c r="T784" i="1" s="1"/>
  <c r="T785" i="1" a="1"/>
  <c r="T785" i="1" s="1"/>
  <c r="T786" i="1" a="1"/>
  <c r="T786" i="1" s="1"/>
  <c r="T787" i="1" a="1"/>
  <c r="T787" i="1" s="1"/>
  <c r="T788" i="1" a="1"/>
  <c r="T788" i="1" s="1"/>
  <c r="T789" i="1" a="1"/>
  <c r="T789" i="1" s="1"/>
  <c r="T790" i="1" a="1"/>
  <c r="T790" i="1" s="1"/>
  <c r="T791" i="1" a="1"/>
  <c r="T791" i="1" s="1"/>
  <c r="T792" i="1" a="1"/>
  <c r="T792" i="1" s="1"/>
  <c r="T793" i="1" a="1"/>
  <c r="T793" i="1" s="1"/>
  <c r="T794" i="1" a="1"/>
  <c r="T794" i="1" s="1"/>
  <c r="T795" i="1" a="1"/>
  <c r="T795" i="1" s="1"/>
  <c r="T796" i="1" a="1"/>
  <c r="T796" i="1"/>
  <c r="T797" i="1" a="1"/>
  <c r="T797" i="1" s="1"/>
  <c r="T798" i="1" a="1"/>
  <c r="T798" i="1"/>
  <c r="T799" i="1" a="1"/>
  <c r="T799" i="1" s="1"/>
  <c r="T800" i="1" a="1"/>
  <c r="T800" i="1" s="1"/>
  <c r="T801" i="1" a="1"/>
  <c r="T801" i="1" s="1"/>
  <c r="T802" i="1" a="1"/>
  <c r="T802" i="1"/>
  <c r="T803" i="1" a="1"/>
  <c r="T803" i="1" s="1"/>
  <c r="T804" i="1" a="1"/>
  <c r="T804" i="1" s="1"/>
  <c r="T805" i="1" a="1"/>
  <c r="T805" i="1" s="1"/>
  <c r="T806" i="1" a="1"/>
  <c r="T806" i="1" s="1"/>
  <c r="T807" i="1" a="1"/>
  <c r="T807" i="1" s="1"/>
  <c r="T808" i="1" a="1"/>
  <c r="T808" i="1"/>
  <c r="T809" i="1" a="1"/>
  <c r="T809" i="1" s="1"/>
  <c r="T810" i="1" a="1"/>
  <c r="T810" i="1" s="1"/>
  <c r="T811" i="1" a="1"/>
  <c r="T811" i="1"/>
  <c r="T812" i="1" a="1"/>
  <c r="T812" i="1" s="1"/>
  <c r="T813" i="1" a="1"/>
  <c r="T813" i="1" s="1"/>
  <c r="T814" i="1" a="1"/>
  <c r="T814" i="1" s="1"/>
  <c r="T815" i="1" a="1"/>
  <c r="T815" i="1" s="1"/>
  <c r="T816" i="1" a="1"/>
  <c r="T816" i="1" s="1"/>
  <c r="T817" i="1" a="1"/>
  <c r="T817" i="1" s="1"/>
  <c r="T818" i="1" a="1"/>
  <c r="T818" i="1" s="1"/>
  <c r="T819" i="1" a="1"/>
  <c r="T819" i="1" s="1"/>
  <c r="T820" i="1" a="1"/>
  <c r="T820" i="1"/>
  <c r="T821" i="1" a="1"/>
  <c r="T821" i="1" s="1"/>
  <c r="T822" i="1" a="1"/>
  <c r="T822" i="1" s="1"/>
  <c r="T823" i="1" a="1"/>
  <c r="T823" i="1" s="1"/>
  <c r="T824" i="1" a="1"/>
  <c r="T824" i="1" s="1"/>
  <c r="T825" i="1" a="1"/>
  <c r="T825" i="1" s="1"/>
  <c r="T826" i="1" a="1"/>
  <c r="T826" i="1" s="1"/>
  <c r="T827" i="1" a="1"/>
  <c r="T827" i="1" s="1"/>
  <c r="T828" i="1" a="1"/>
  <c r="T828" i="1" s="1"/>
  <c r="T829" i="1" a="1"/>
  <c r="T829" i="1" s="1"/>
  <c r="T830" i="1" a="1"/>
  <c r="T830" i="1" s="1"/>
  <c r="T831" i="1" a="1"/>
  <c r="T831" i="1" s="1"/>
  <c r="T832" i="1" a="1"/>
  <c r="T832" i="1" s="1"/>
  <c r="T833" i="1" a="1"/>
  <c r="T833" i="1" s="1"/>
  <c r="T834" i="1" a="1"/>
  <c r="T834" i="1" s="1"/>
  <c r="T835" i="1" a="1"/>
  <c r="T835" i="1" s="1"/>
  <c r="T836" i="1" a="1"/>
  <c r="T836" i="1" s="1"/>
  <c r="T837" i="1" a="1"/>
  <c r="T837" i="1" s="1"/>
  <c r="T838" i="1" a="1"/>
  <c r="T838" i="1" s="1"/>
  <c r="T839" i="1" a="1"/>
  <c r="T839" i="1" s="1"/>
  <c r="T840" i="1" a="1"/>
  <c r="T840" i="1" s="1"/>
  <c r="T841" i="1" a="1"/>
  <c r="T841" i="1" s="1"/>
  <c r="T842" i="1" a="1"/>
  <c r="T842" i="1" s="1"/>
  <c r="T843" i="1" a="1"/>
  <c r="T843" i="1" s="1"/>
  <c r="T844" i="1" a="1"/>
  <c r="T844" i="1"/>
  <c r="T845" i="1" a="1"/>
  <c r="T845" i="1" s="1"/>
  <c r="T846" i="1" a="1"/>
  <c r="T846" i="1" s="1"/>
  <c r="T847" i="1" a="1"/>
  <c r="T847" i="1" s="1"/>
  <c r="T848" i="1" a="1"/>
  <c r="T848" i="1" s="1"/>
  <c r="T849" i="1" a="1"/>
  <c r="T849" i="1" s="1"/>
  <c r="T850" i="1" a="1"/>
  <c r="T850" i="1" s="1"/>
  <c r="T851" i="1" a="1"/>
  <c r="T851" i="1" s="1"/>
  <c r="T852" i="1" a="1"/>
  <c r="T852" i="1" s="1"/>
  <c r="T853" i="1" a="1"/>
  <c r="T853" i="1" s="1"/>
  <c r="T854" i="1" a="1"/>
  <c r="T854" i="1" s="1"/>
  <c r="T855" i="1" a="1"/>
  <c r="T855" i="1" s="1"/>
  <c r="T856" i="1" a="1"/>
  <c r="T856" i="1" s="1"/>
  <c r="T857" i="1" a="1"/>
  <c r="T857" i="1" s="1"/>
  <c r="T858" i="1" a="1"/>
  <c r="T858" i="1" s="1"/>
  <c r="T859" i="1" a="1"/>
  <c r="T859" i="1" s="1"/>
  <c r="T860" i="1" a="1"/>
  <c r="T860" i="1" s="1"/>
  <c r="T861" i="1" a="1"/>
  <c r="T861" i="1" s="1"/>
  <c r="T862" i="1" a="1"/>
  <c r="T862" i="1"/>
  <c r="T863" i="1" a="1"/>
  <c r="T863" i="1" s="1"/>
  <c r="T864" i="1" a="1"/>
  <c r="T864" i="1" s="1"/>
  <c r="T865" i="1" a="1"/>
  <c r="T865" i="1" s="1"/>
  <c r="T866" i="1" a="1"/>
  <c r="T866" i="1" s="1"/>
  <c r="T867" i="1" a="1"/>
  <c r="T867" i="1" s="1"/>
  <c r="T868" i="1" a="1"/>
  <c r="T868" i="1" s="1"/>
  <c r="T869" i="1" a="1"/>
  <c r="T869" i="1" s="1"/>
  <c r="T870" i="1" a="1"/>
  <c r="T870" i="1" s="1"/>
  <c r="T871" i="1" a="1"/>
  <c r="T871" i="1" s="1"/>
  <c r="T872" i="1" a="1"/>
  <c r="T872" i="1" s="1"/>
  <c r="T873" i="1" a="1"/>
  <c r="T873" i="1" s="1"/>
  <c r="T874" i="1" a="1"/>
  <c r="T874" i="1" s="1"/>
  <c r="T875" i="1" a="1"/>
  <c r="T875" i="1" s="1"/>
  <c r="T876" i="1" a="1"/>
  <c r="T876" i="1" s="1"/>
  <c r="T877" i="1" a="1"/>
  <c r="T877" i="1" s="1"/>
  <c r="T878" i="1" a="1"/>
  <c r="T878" i="1" s="1"/>
  <c r="T879" i="1" a="1"/>
  <c r="T879" i="1" s="1"/>
  <c r="T880" i="1" a="1"/>
  <c r="T880" i="1"/>
  <c r="T881" i="1" a="1"/>
  <c r="T881" i="1" s="1"/>
  <c r="T882" i="1" a="1"/>
  <c r="T882" i="1" s="1"/>
  <c r="T883" i="1" a="1"/>
  <c r="T883" i="1" s="1"/>
  <c r="T884" i="1" a="1"/>
  <c r="T884" i="1"/>
  <c r="T885" i="1" a="1"/>
  <c r="T885" i="1" s="1"/>
  <c r="T886" i="1" a="1"/>
  <c r="T886" i="1" s="1"/>
  <c r="T887" i="1" a="1"/>
  <c r="T887" i="1" s="1"/>
  <c r="T888" i="1" a="1"/>
  <c r="T888" i="1" s="1"/>
  <c r="T889" i="1" a="1"/>
  <c r="T889" i="1" s="1"/>
  <c r="T890" i="1" a="1"/>
  <c r="T890" i="1" s="1"/>
  <c r="T891" i="1" a="1"/>
  <c r="T891" i="1"/>
  <c r="T892" i="1" a="1"/>
  <c r="T892" i="1" s="1"/>
  <c r="T893" i="1" a="1"/>
  <c r="T893" i="1" s="1"/>
  <c r="T894" i="1" a="1"/>
  <c r="T894" i="1" s="1"/>
  <c r="T895" i="1" a="1"/>
  <c r="T895" i="1"/>
  <c r="T896" i="1" a="1"/>
  <c r="T896" i="1" s="1"/>
  <c r="T897" i="1" a="1"/>
  <c r="T897" i="1" s="1"/>
  <c r="T898" i="1" a="1"/>
  <c r="T898" i="1" s="1"/>
  <c r="T899" i="1" a="1"/>
  <c r="T899" i="1" s="1"/>
  <c r="T900" i="1" a="1"/>
  <c r="T900" i="1" s="1"/>
  <c r="T901" i="1" a="1"/>
  <c r="T901" i="1" s="1"/>
  <c r="T902" i="1" a="1"/>
  <c r="T902" i="1" s="1"/>
  <c r="T903" i="1" a="1"/>
  <c r="T903" i="1" s="1"/>
  <c r="T904" i="1" a="1"/>
  <c r="T904" i="1" s="1"/>
  <c r="T905" i="1" a="1"/>
  <c r="T905" i="1" s="1"/>
  <c r="T906" i="1" a="1"/>
  <c r="T906" i="1" s="1"/>
  <c r="T907" i="1" a="1"/>
  <c r="T907" i="1"/>
  <c r="T908" i="1" a="1"/>
  <c r="T908" i="1" s="1"/>
  <c r="T909" i="1" a="1"/>
  <c r="T909" i="1" s="1"/>
  <c r="T910" i="1" a="1"/>
  <c r="T910" i="1" s="1"/>
  <c r="T911" i="1" a="1"/>
  <c r="T911" i="1" s="1"/>
  <c r="T912" i="1" a="1"/>
  <c r="T912" i="1" s="1"/>
  <c r="T913" i="1" a="1"/>
  <c r="T913" i="1" s="1"/>
  <c r="T914" i="1" a="1"/>
  <c r="T914" i="1" s="1"/>
  <c r="T915" i="1" a="1"/>
  <c r="T915" i="1" s="1"/>
  <c r="T916" i="1" a="1"/>
  <c r="T916" i="1" s="1"/>
  <c r="T917" i="1" a="1"/>
  <c r="T917" i="1" s="1"/>
  <c r="T918" i="1" a="1"/>
  <c r="T918" i="1" s="1"/>
  <c r="T919" i="1" a="1"/>
  <c r="T919" i="1" s="1"/>
  <c r="T920" i="1" a="1"/>
  <c r="T920" i="1" s="1"/>
  <c r="T921" i="1" a="1"/>
  <c r="T921" i="1" s="1"/>
  <c r="T922" i="1" a="1"/>
  <c r="T922" i="1" s="1"/>
  <c r="T923" i="1" a="1"/>
  <c r="T923" i="1" s="1"/>
  <c r="T924" i="1" a="1"/>
  <c r="T924" i="1" s="1"/>
  <c r="T925" i="1" a="1"/>
  <c r="T925" i="1" s="1"/>
  <c r="T926" i="1" a="1"/>
  <c r="T926" i="1" s="1"/>
  <c r="T927" i="1" a="1"/>
  <c r="T927" i="1" s="1"/>
  <c r="T928" i="1" a="1"/>
  <c r="T928" i="1" s="1"/>
  <c r="T929" i="1" a="1"/>
  <c r="T929" i="1" s="1"/>
  <c r="T930" i="1" a="1"/>
  <c r="T930" i="1" s="1"/>
  <c r="T931" i="1" a="1"/>
  <c r="T931" i="1" s="1"/>
  <c r="T932" i="1" a="1"/>
  <c r="T932" i="1" s="1"/>
  <c r="T933" i="1" a="1"/>
  <c r="T933" i="1" s="1"/>
  <c r="T934" i="1" a="1"/>
  <c r="T934" i="1"/>
  <c r="T935" i="1" a="1"/>
  <c r="T935" i="1"/>
  <c r="T936" i="1" a="1"/>
  <c r="T936" i="1" s="1"/>
  <c r="T937" i="1" a="1"/>
  <c r="T937" i="1" s="1"/>
  <c r="T938" i="1" a="1"/>
  <c r="T938" i="1" s="1"/>
  <c r="T939" i="1" a="1"/>
  <c r="T939" i="1"/>
  <c r="T940" i="1" a="1"/>
  <c r="T940" i="1" s="1"/>
  <c r="T941" i="1" a="1"/>
  <c r="T941" i="1" s="1"/>
  <c r="T942" i="1" a="1"/>
  <c r="T942" i="1" s="1"/>
  <c r="T943" i="1" a="1"/>
  <c r="T943" i="1" s="1"/>
  <c r="T944" i="1" a="1"/>
  <c r="T944" i="1" s="1"/>
  <c r="T945" i="1" a="1"/>
  <c r="T945" i="1" s="1"/>
  <c r="T946" i="1" a="1"/>
  <c r="T946" i="1"/>
  <c r="T947" i="1" a="1"/>
  <c r="T947" i="1" s="1"/>
  <c r="T948" i="1" a="1"/>
  <c r="T948" i="1" s="1"/>
  <c r="T949" i="1" a="1"/>
  <c r="T949" i="1" s="1"/>
  <c r="T950" i="1" a="1"/>
  <c r="T950" i="1" s="1"/>
  <c r="T951" i="1" a="1"/>
  <c r="T951" i="1" s="1"/>
  <c r="T952" i="1" a="1"/>
  <c r="T952" i="1" s="1"/>
  <c r="T953" i="1" a="1"/>
  <c r="T953" i="1" s="1"/>
  <c r="T954" i="1" a="1"/>
  <c r="T954" i="1"/>
  <c r="T955" i="1" a="1"/>
  <c r="T955" i="1" s="1"/>
  <c r="T956" i="1" a="1"/>
  <c r="T956" i="1" s="1"/>
  <c r="T957" i="1" a="1"/>
  <c r="T957" i="1" s="1"/>
  <c r="T958" i="1" a="1"/>
  <c r="T958" i="1" s="1"/>
  <c r="T959" i="1" a="1"/>
  <c r="T959" i="1"/>
  <c r="T960" i="1" a="1"/>
  <c r="T960" i="1" s="1"/>
  <c r="T961" i="1" a="1"/>
  <c r="T961" i="1" s="1"/>
  <c r="T962" i="1" a="1"/>
  <c r="T962" i="1" s="1"/>
  <c r="T963" i="1" a="1"/>
  <c r="T963" i="1"/>
  <c r="T964" i="1" a="1"/>
  <c r="T964" i="1" s="1"/>
  <c r="T965" i="1" a="1"/>
  <c r="T965" i="1" s="1"/>
  <c r="T966" i="1" a="1"/>
  <c r="T966" i="1" s="1"/>
  <c r="T967" i="1" a="1"/>
  <c r="T967" i="1" s="1"/>
  <c r="T968" i="1" a="1"/>
  <c r="T968" i="1" s="1"/>
  <c r="T969" i="1" a="1"/>
  <c r="T969" i="1" s="1"/>
  <c r="T970" i="1" a="1"/>
  <c r="T970" i="1" s="1"/>
  <c r="T971" i="1" a="1"/>
  <c r="T971" i="1" s="1"/>
  <c r="T972" i="1" a="1"/>
  <c r="T972" i="1" s="1"/>
  <c r="T973" i="1" a="1"/>
  <c r="T973" i="1" s="1"/>
  <c r="T974" i="1" a="1"/>
  <c r="T974" i="1" s="1"/>
  <c r="T975" i="1" a="1"/>
  <c r="T975" i="1" s="1"/>
  <c r="T976" i="1" a="1"/>
  <c r="T976" i="1" s="1"/>
  <c r="T977" i="1" a="1"/>
  <c r="T977" i="1" s="1"/>
  <c r="T978" i="1" a="1"/>
  <c r="T978" i="1" s="1"/>
  <c r="T979" i="1" a="1"/>
  <c r="T979" i="1"/>
  <c r="T980" i="1" a="1"/>
  <c r="T980" i="1" s="1"/>
  <c r="T981" i="1" a="1"/>
  <c r="T981" i="1" s="1"/>
  <c r="T982" i="1" a="1"/>
  <c r="T982" i="1"/>
  <c r="T983" i="1" a="1"/>
  <c r="T983" i="1" s="1"/>
  <c r="T984" i="1" a="1"/>
  <c r="T984" i="1" s="1"/>
  <c r="T985" i="1" a="1"/>
  <c r="T985" i="1" s="1"/>
  <c r="T986" i="1" a="1"/>
  <c r="T986" i="1" s="1"/>
  <c r="T987" i="1" a="1"/>
  <c r="T987" i="1"/>
  <c r="T988" i="1" a="1"/>
  <c r="T988" i="1"/>
  <c r="T989" i="1" a="1"/>
  <c r="T989" i="1" s="1"/>
  <c r="T990" i="1" a="1"/>
  <c r="T990" i="1" s="1"/>
  <c r="T991" i="1" a="1"/>
  <c r="T991" i="1" s="1"/>
  <c r="T992" i="1" a="1"/>
  <c r="T992" i="1" s="1"/>
  <c r="T993" i="1" a="1"/>
  <c r="T993" i="1" s="1"/>
  <c r="T994" i="1" a="1"/>
  <c r="T994" i="1" s="1"/>
  <c r="T995" i="1" a="1"/>
  <c r="T995" i="1" s="1"/>
  <c r="T996" i="1" a="1"/>
  <c r="T996" i="1" s="1"/>
  <c r="T997" i="1" a="1"/>
  <c r="T997" i="1" s="1"/>
  <c r="T998" i="1" a="1"/>
  <c r="T998" i="1" s="1"/>
  <c r="T999" i="1" a="1"/>
  <c r="T999" i="1" s="1"/>
  <c r="T1000" i="1" a="1"/>
  <c r="T1000" i="1" s="1"/>
  <c r="T1001" i="1" a="1"/>
  <c r="T1001" i="1" s="1"/>
  <c r="T1002" i="1" a="1"/>
  <c r="T1002" i="1" s="1"/>
  <c r="T1003" i="1" a="1"/>
  <c r="T1003" i="1" s="1"/>
  <c r="T1004" i="1" a="1"/>
  <c r="T1004" i="1" s="1"/>
  <c r="T1005" i="1" a="1"/>
  <c r="T1005" i="1" s="1"/>
  <c r="T1006" i="1" a="1"/>
  <c r="T1006" i="1" s="1"/>
  <c r="T1007" i="1" a="1"/>
  <c r="T1007" i="1" s="1"/>
  <c r="T1008" i="1" a="1"/>
  <c r="T1008" i="1" s="1"/>
  <c r="T1009" i="1" a="1"/>
  <c r="T1009" i="1" s="1"/>
  <c r="T1010" i="1" a="1"/>
  <c r="T1010" i="1" s="1"/>
  <c r="T1011" i="1" a="1"/>
  <c r="T1011" i="1" s="1"/>
  <c r="T1012" i="1" a="1"/>
  <c r="T1012" i="1"/>
  <c r="T1013" i="1" a="1"/>
  <c r="T1013" i="1" s="1"/>
  <c r="T1014" i="1" a="1"/>
  <c r="T1014" i="1" s="1"/>
  <c r="T1015" i="1" a="1"/>
  <c r="T1015" i="1" s="1"/>
  <c r="T1016" i="1" a="1"/>
  <c r="T1016" i="1" s="1"/>
  <c r="T1017" i="1" a="1"/>
  <c r="T1017" i="1" s="1"/>
  <c r="T1018" i="1" a="1"/>
  <c r="T1018" i="1"/>
  <c r="T1019" i="1" a="1"/>
  <c r="T1019" i="1" s="1"/>
  <c r="T1020" i="1" a="1"/>
  <c r="T1020" i="1" s="1"/>
  <c r="T1021" i="1" a="1"/>
  <c r="T1021" i="1" s="1"/>
  <c r="T1022" i="1" a="1"/>
  <c r="T1022" i="1" s="1"/>
  <c r="T1023" i="1" a="1"/>
  <c r="T1023" i="1" s="1"/>
  <c r="T1024" i="1" a="1"/>
  <c r="T1024" i="1" s="1"/>
  <c r="T1025" i="1" a="1"/>
  <c r="T1025" i="1"/>
  <c r="T1026" i="1" a="1"/>
  <c r="T1026" i="1" s="1"/>
  <c r="T1027" i="1" a="1"/>
  <c r="T1027" i="1" s="1"/>
  <c r="T1028" i="1" a="1"/>
  <c r="T1028" i="1" s="1"/>
  <c r="T1029" i="1" a="1"/>
  <c r="T1029" i="1" s="1"/>
  <c r="T1030" i="1" a="1"/>
  <c r="T1030" i="1" s="1"/>
  <c r="T1031" i="1" a="1"/>
  <c r="T1031" i="1" s="1"/>
  <c r="T1032" i="1" a="1"/>
  <c r="T1032" i="1" s="1"/>
  <c r="T1033" i="1" a="1"/>
  <c r="T1033" i="1" s="1"/>
  <c r="T1034" i="1" a="1"/>
  <c r="T1034" i="1" s="1"/>
  <c r="T1035" i="1" a="1"/>
  <c r="T1035" i="1" s="1"/>
  <c r="T1036" i="1" a="1"/>
  <c r="T1036" i="1" s="1"/>
  <c r="T1037" i="1" a="1"/>
  <c r="T1037" i="1" s="1"/>
  <c r="T1038" i="1" a="1"/>
  <c r="T1038" i="1" s="1"/>
  <c r="T1039" i="1" a="1"/>
  <c r="T1039" i="1" s="1"/>
  <c r="T1040" i="1" a="1"/>
  <c r="T1040" i="1" s="1"/>
  <c r="T1041" i="1" a="1"/>
  <c r="T1041" i="1" s="1"/>
  <c r="T1042" i="1" a="1"/>
  <c r="T1042" i="1" s="1"/>
  <c r="T1043" i="1" a="1"/>
  <c r="T1043" i="1" s="1"/>
  <c r="T1044" i="1" a="1"/>
  <c r="T1044" i="1" s="1"/>
  <c r="T1045" i="1" a="1"/>
  <c r="T1045" i="1" s="1"/>
  <c r="T1046" i="1" a="1"/>
  <c r="T1046" i="1" s="1"/>
  <c r="T1047" i="1" a="1"/>
  <c r="T1047" i="1" s="1"/>
  <c r="T1048" i="1" a="1"/>
  <c r="T1048" i="1" s="1"/>
  <c r="T1049" i="1" a="1"/>
  <c r="T1049" i="1" s="1"/>
  <c r="T1050" i="1" a="1"/>
  <c r="T1050" i="1" s="1"/>
  <c r="T1051" i="1" a="1"/>
  <c r="T1051" i="1" s="1"/>
  <c r="T1052" i="1" a="1"/>
  <c r="T1052" i="1" s="1"/>
  <c r="T1053" i="1" a="1"/>
  <c r="T1053" i="1" s="1"/>
  <c r="T1054" i="1" a="1"/>
  <c r="T1054" i="1" s="1"/>
  <c r="T1055" i="1" a="1"/>
  <c r="T1055" i="1" s="1"/>
  <c r="T1056" i="1" a="1"/>
  <c r="T1056" i="1" s="1"/>
  <c r="T1057" i="1" a="1"/>
  <c r="T1057" i="1" s="1"/>
  <c r="T1058" i="1" a="1"/>
  <c r="T1058" i="1" s="1"/>
  <c r="T1059" i="1" a="1"/>
  <c r="T1059" i="1" s="1"/>
  <c r="T1060" i="1" a="1"/>
  <c r="T1060" i="1" s="1"/>
  <c r="T1061" i="1" a="1"/>
  <c r="T1061" i="1" s="1"/>
  <c r="T1062" i="1" a="1"/>
  <c r="T1062" i="1" s="1"/>
  <c r="T1063" i="1" a="1"/>
  <c r="T1063" i="1" s="1"/>
  <c r="T1064" i="1" a="1"/>
  <c r="T1064" i="1" s="1"/>
  <c r="T1065" i="1" a="1"/>
  <c r="T1065" i="1" s="1"/>
  <c r="T1066" i="1" a="1"/>
  <c r="T1066" i="1"/>
  <c r="T1067" i="1" a="1"/>
  <c r="T1067" i="1" s="1"/>
  <c r="T1068" i="1" a="1"/>
  <c r="T1068" i="1" s="1"/>
  <c r="T1069" i="1" a="1"/>
  <c r="T1069" i="1" s="1"/>
  <c r="T1070" i="1" a="1"/>
  <c r="T1070" i="1" s="1"/>
  <c r="T1071" i="1" a="1"/>
  <c r="T1071" i="1" s="1"/>
  <c r="T1072" i="1" a="1"/>
  <c r="T1072" i="1" s="1"/>
  <c r="T1073" i="1" a="1"/>
  <c r="T1073" i="1"/>
  <c r="T1074" i="1" a="1"/>
  <c r="T1074" i="1" s="1"/>
  <c r="T1075" i="1" a="1"/>
  <c r="T1075" i="1" s="1"/>
  <c r="T1076" i="1" a="1"/>
  <c r="T1076" i="1" s="1"/>
  <c r="T1077" i="1" a="1"/>
  <c r="T1077" i="1" s="1"/>
  <c r="T1078" i="1" a="1"/>
  <c r="T1078" i="1" s="1"/>
  <c r="T1079" i="1" a="1"/>
  <c r="T1079" i="1" s="1"/>
  <c r="T1080" i="1" a="1"/>
  <c r="T1080" i="1" s="1"/>
  <c r="T1081" i="1" a="1"/>
  <c r="T1081" i="1" s="1"/>
  <c r="T1082" i="1" a="1"/>
  <c r="T1082" i="1" s="1"/>
  <c r="T1083" i="1" a="1"/>
  <c r="T1083" i="1" s="1"/>
  <c r="T1084" i="1" a="1"/>
  <c r="T1084" i="1" s="1"/>
  <c r="T1085" i="1" a="1"/>
  <c r="T1085" i="1"/>
  <c r="T1086" i="1" a="1"/>
  <c r="T1086" i="1" s="1"/>
  <c r="T1087" i="1" a="1"/>
  <c r="T1087" i="1" s="1"/>
  <c r="T1088" i="1" a="1"/>
  <c r="T1088" i="1" s="1"/>
  <c r="T1089" i="1" a="1"/>
  <c r="T1089" i="1" s="1"/>
  <c r="T1090" i="1" a="1"/>
  <c r="T1090" i="1" s="1"/>
  <c r="T1091" i="1" a="1"/>
  <c r="T1091" i="1" s="1"/>
  <c r="T1092" i="1" a="1"/>
  <c r="T1092" i="1" s="1"/>
  <c r="T1093" i="1" a="1"/>
  <c r="T1093" i="1" s="1"/>
  <c r="T1094" i="1" a="1"/>
  <c r="T1094" i="1" s="1"/>
  <c r="T1095" i="1" a="1"/>
  <c r="T1095" i="1" s="1"/>
  <c r="T1096" i="1" a="1"/>
  <c r="T1096" i="1" s="1"/>
  <c r="T1097" i="1" a="1"/>
  <c r="T1097" i="1" s="1"/>
  <c r="T1098" i="1" a="1"/>
  <c r="T1098" i="1" s="1"/>
  <c r="T1099" i="1" a="1"/>
  <c r="T1099" i="1" s="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s="1"/>
  <c r="T1112" i="1" a="1"/>
  <c r="T1112" i="1" s="1"/>
  <c r="T1113" i="1" a="1"/>
  <c r="T1113" i="1" s="1"/>
  <c r="T1114" i="1" a="1"/>
  <c r="T1114" i="1" s="1"/>
  <c r="T1115" i="1" a="1"/>
  <c r="T1115" i="1" s="1"/>
  <c r="T1116" i="1" a="1"/>
  <c r="T1116" i="1" s="1"/>
  <c r="T1117" i="1" a="1"/>
  <c r="T1117" i="1" s="1"/>
  <c r="T1118" i="1" a="1"/>
  <c r="T1118" i="1" s="1"/>
  <c r="T1119" i="1" a="1"/>
  <c r="T1119" i="1" s="1"/>
  <c r="T1120" i="1" a="1"/>
  <c r="T1120" i="1" s="1"/>
  <c r="T1121" i="1" a="1"/>
  <c r="T1121" i="1" s="1"/>
  <c r="T1122" i="1" a="1"/>
  <c r="T1122" i="1" s="1"/>
  <c r="T1123" i="1" a="1"/>
  <c r="T1123" i="1" s="1"/>
  <c r="T1124" i="1" a="1"/>
  <c r="T1124" i="1" s="1"/>
  <c r="T1125" i="1" a="1"/>
  <c r="T1125" i="1" s="1"/>
  <c r="T1126" i="1" a="1"/>
  <c r="T1126" i="1" s="1"/>
  <c r="T1127" i="1" a="1"/>
  <c r="T1127" i="1" s="1"/>
  <c r="T1128" i="1" a="1"/>
  <c r="T1128" i="1" s="1"/>
  <c r="T1129" i="1" a="1"/>
  <c r="T1129" i="1" s="1"/>
  <c r="T1130" i="1" a="1"/>
  <c r="T1130" i="1" s="1"/>
  <c r="T1131" i="1" a="1"/>
  <c r="T1131" i="1" s="1"/>
  <c r="T1132" i="1" a="1"/>
  <c r="T1132" i="1" s="1"/>
  <c r="T1133" i="1" a="1"/>
  <c r="T1133" i="1" s="1"/>
  <c r="T1134" i="1" a="1"/>
  <c r="T1134" i="1" s="1"/>
  <c r="T1135" i="1" a="1"/>
  <c r="T1135" i="1" s="1"/>
  <c r="T1136" i="1" a="1"/>
  <c r="T1136" i="1" s="1"/>
  <c r="T1137" i="1" a="1"/>
  <c r="T1137" i="1" s="1"/>
  <c r="T1138" i="1" a="1"/>
  <c r="T1138" i="1" s="1"/>
  <c r="T1139" i="1" a="1"/>
  <c r="T1139" i="1" s="1"/>
  <c r="T1140" i="1" a="1"/>
  <c r="T1140" i="1"/>
  <c r="T1141" i="1" a="1"/>
  <c r="T1141" i="1" s="1"/>
  <c r="T1142" i="1" a="1"/>
  <c r="T1142" i="1" s="1"/>
  <c r="T1143" i="1" a="1"/>
  <c r="T1143" i="1" s="1"/>
  <c r="T1144" i="1" a="1"/>
  <c r="T1144" i="1" s="1"/>
  <c r="T1145" i="1" a="1"/>
  <c r="T1145" i="1" s="1"/>
  <c r="T1146" i="1" a="1"/>
  <c r="T1146" i="1" s="1"/>
  <c r="T1147" i="1" a="1"/>
  <c r="T1147" i="1" s="1"/>
  <c r="T1148" i="1" a="1"/>
  <c r="T1148" i="1" s="1"/>
  <c r="T1149" i="1" a="1"/>
  <c r="T1149" i="1" s="1"/>
  <c r="T1150" i="1" a="1"/>
  <c r="T1150" i="1" s="1"/>
  <c r="T1151" i="1" a="1"/>
  <c r="T1151" i="1" s="1"/>
  <c r="T1152" i="1" a="1"/>
  <c r="T1152" i="1" s="1"/>
  <c r="T1153" i="1" a="1"/>
  <c r="T1153" i="1" s="1"/>
  <c r="T1154" i="1" a="1"/>
  <c r="T1154" i="1" s="1"/>
  <c r="T1155" i="1" a="1"/>
  <c r="T1155" i="1" s="1"/>
  <c r="T1156" i="1" a="1"/>
  <c r="T1156" i="1" s="1"/>
  <c r="T1157" i="1" a="1"/>
  <c r="T1157" i="1" s="1"/>
  <c r="T1158" i="1" a="1"/>
  <c r="T1158" i="1"/>
  <c r="T1159" i="1" a="1"/>
  <c r="T1159" i="1" s="1"/>
  <c r="T1160" i="1" a="1"/>
  <c r="T1160" i="1" s="1"/>
  <c r="T1161" i="1" a="1"/>
  <c r="T1161" i="1" s="1"/>
  <c r="T1162" i="1" a="1"/>
  <c r="T1162" i="1" s="1"/>
  <c r="T1163" i="1" a="1"/>
  <c r="T1163" i="1" s="1"/>
  <c r="T1164" i="1" a="1"/>
  <c r="T1164" i="1" s="1"/>
  <c r="T1165" i="1" a="1"/>
  <c r="T1165" i="1" s="1"/>
  <c r="T1166" i="1" a="1"/>
  <c r="T1166" i="1" s="1"/>
  <c r="T1167" i="1" a="1"/>
  <c r="T1167" i="1" s="1"/>
  <c r="T1168" i="1" a="1"/>
  <c r="T1168" i="1" s="1"/>
  <c r="T1169" i="1" a="1"/>
  <c r="T1169" i="1" s="1"/>
  <c r="T1170" i="1" a="1"/>
  <c r="T1170" i="1" s="1"/>
  <c r="T1171" i="1" a="1"/>
  <c r="T1171" i="1" s="1"/>
  <c r="T1172" i="1" a="1"/>
  <c r="T1172" i="1" s="1"/>
  <c r="T1173" i="1" a="1"/>
  <c r="T1173" i="1" s="1"/>
  <c r="T1174" i="1" a="1"/>
  <c r="T1174" i="1" s="1"/>
  <c r="T1175" i="1" a="1"/>
  <c r="T1175" i="1" s="1"/>
  <c r="T1176" i="1" a="1"/>
  <c r="T1176" i="1" s="1"/>
  <c r="T1177" i="1" a="1"/>
  <c r="T1177" i="1" s="1"/>
  <c r="T1178" i="1" a="1"/>
  <c r="T1178" i="1" s="1"/>
  <c r="T1179" i="1" a="1"/>
  <c r="T1179" i="1" s="1"/>
  <c r="T1180" i="1" a="1"/>
  <c r="T1180" i="1" s="1"/>
  <c r="T1181" i="1" a="1"/>
  <c r="T1181" i="1" s="1"/>
  <c r="T1182" i="1" a="1"/>
  <c r="T1182" i="1" s="1"/>
  <c r="T1183" i="1" a="1"/>
  <c r="T1183" i="1" s="1"/>
  <c r="T1184" i="1" a="1"/>
  <c r="T1184" i="1" s="1"/>
  <c r="T1185" i="1" a="1"/>
  <c r="T1185" i="1" s="1"/>
  <c r="T1186" i="1" a="1"/>
  <c r="T1186" i="1" s="1"/>
  <c r="T1187" i="1" a="1"/>
  <c r="T1187" i="1" s="1"/>
  <c r="T1188" i="1" a="1"/>
  <c r="T1188" i="1" s="1"/>
  <c r="T1189" i="1" a="1"/>
  <c r="T1189" i="1" s="1"/>
  <c r="T1190" i="1" a="1"/>
  <c r="T1190" i="1"/>
  <c r="T1191" i="1" a="1"/>
  <c r="T1191" i="1" s="1"/>
  <c r="T1192" i="1" a="1"/>
  <c r="T1192" i="1" s="1"/>
  <c r="T1193" i="1" a="1"/>
  <c r="T1193" i="1" s="1"/>
  <c r="T1194" i="1" a="1"/>
  <c r="T1194" i="1" s="1"/>
  <c r="T1195" i="1" a="1"/>
  <c r="T1195" i="1" s="1"/>
  <c r="T1196" i="1" a="1"/>
  <c r="T1196" i="1" s="1"/>
  <c r="T1197" i="1" a="1"/>
  <c r="T1197" i="1" s="1"/>
  <c r="T1198" i="1" a="1"/>
  <c r="T1198" i="1" s="1"/>
  <c r="T1199" i="1" a="1"/>
  <c r="T1199" i="1" s="1"/>
  <c r="T1200" i="1" a="1"/>
  <c r="T1200" i="1" s="1"/>
  <c r="T1201" i="1" a="1"/>
  <c r="T1201" i="1" s="1"/>
  <c r="T1202" i="1" a="1"/>
  <c r="T1202" i="1" s="1"/>
  <c r="T1203" i="1" a="1"/>
  <c r="T1203" i="1" s="1"/>
  <c r="T1204" i="1" a="1"/>
  <c r="T1204" i="1" s="1"/>
  <c r="T1205" i="1" a="1"/>
  <c r="T1205" i="1" s="1"/>
  <c r="T1206" i="1" a="1"/>
  <c r="T1206" i="1" s="1"/>
  <c r="T1207" i="1" a="1"/>
  <c r="T1207" i="1" s="1"/>
  <c r="T1208" i="1" a="1"/>
  <c r="T1208" i="1" s="1"/>
  <c r="T1209" i="1" a="1"/>
  <c r="T1209" i="1" s="1"/>
  <c r="T1210" i="1" a="1"/>
  <c r="T1210" i="1" s="1"/>
  <c r="T1211" i="1" a="1"/>
  <c r="T1211" i="1" s="1"/>
  <c r="T1212" i="1" a="1"/>
  <c r="T1212" i="1" s="1"/>
  <c r="T1213" i="1" a="1"/>
  <c r="T1213" i="1"/>
  <c r="T1214" i="1" a="1"/>
  <c r="T1214" i="1" s="1"/>
  <c r="T1215" i="1" a="1"/>
  <c r="T1215" i="1" s="1"/>
  <c r="T1216" i="1" a="1"/>
  <c r="T1216" i="1" s="1"/>
  <c r="T1217" i="1" a="1"/>
  <c r="T1217" i="1" s="1"/>
  <c r="T1218" i="1" a="1"/>
  <c r="T1218" i="1" s="1"/>
  <c r="T1219" i="1" a="1"/>
  <c r="T1219" i="1" s="1"/>
  <c r="T1220" i="1" a="1"/>
  <c r="T1220" i="1" s="1"/>
  <c r="T1221" i="1" a="1"/>
  <c r="T1221" i="1" s="1"/>
  <c r="T1222" i="1" a="1"/>
  <c r="T1222" i="1" s="1"/>
  <c r="T1223" i="1" a="1"/>
  <c r="T1223" i="1" s="1"/>
  <c r="T1224" i="1" a="1"/>
  <c r="T1224" i="1" s="1"/>
  <c r="T1225" i="1" a="1"/>
  <c r="T1225" i="1" s="1"/>
  <c r="T1226" i="1" a="1"/>
  <c r="T1226" i="1"/>
  <c r="T1227" i="1" a="1"/>
  <c r="T1227" i="1" s="1"/>
  <c r="T1228" i="1" a="1"/>
  <c r="T1228" i="1" s="1"/>
  <c r="T1229" i="1" a="1"/>
  <c r="T1229" i="1" s="1"/>
  <c r="T1230" i="1" a="1"/>
  <c r="T1230" i="1" s="1"/>
  <c r="T1231" i="1" a="1"/>
  <c r="T1231" i="1" s="1"/>
  <c r="T1232" i="1" a="1"/>
  <c r="T1232" i="1" s="1"/>
  <c r="T1233" i="1" a="1"/>
  <c r="T1233" i="1" s="1"/>
  <c r="T1234" i="1" a="1"/>
  <c r="T1234" i="1" s="1"/>
  <c r="T1235" i="1" a="1"/>
  <c r="T1235" i="1" s="1"/>
  <c r="T1236" i="1" a="1"/>
  <c r="T1236" i="1" s="1"/>
  <c r="T1237" i="1" a="1"/>
  <c r="T1237" i="1" s="1"/>
  <c r="T1238" i="1" a="1"/>
  <c r="T1238" i="1" s="1"/>
  <c r="T1239" i="1" a="1"/>
  <c r="T1239" i="1" s="1"/>
  <c r="T1240" i="1" a="1"/>
  <c r="T1240" i="1" s="1"/>
  <c r="T1241" i="1" a="1"/>
  <c r="T1241" i="1" s="1"/>
  <c r="T1242" i="1" a="1"/>
  <c r="T1242" i="1" s="1"/>
  <c r="T1243" i="1" a="1"/>
  <c r="T1243" i="1" s="1"/>
  <c r="T1244" i="1" a="1"/>
  <c r="T1244" i="1" s="1"/>
  <c r="T1245" i="1" a="1"/>
  <c r="T1245" i="1" s="1"/>
  <c r="T1246" i="1" a="1"/>
  <c r="T1246" i="1" s="1"/>
  <c r="T1247" i="1" a="1"/>
  <c r="T1247" i="1" s="1"/>
  <c r="T1248" i="1" a="1"/>
  <c r="T1248" i="1" s="1"/>
  <c r="T1249" i="1" a="1"/>
  <c r="T1249" i="1" s="1"/>
  <c r="T1250" i="1" a="1"/>
  <c r="T1250" i="1" s="1"/>
  <c r="T1251" i="1" a="1"/>
  <c r="T1251" i="1" s="1"/>
  <c r="T1252" i="1" a="1"/>
  <c r="T1252" i="1" s="1"/>
  <c r="T1253" i="1" a="1"/>
  <c r="T1253" i="1" s="1"/>
  <c r="T1254" i="1" a="1"/>
  <c r="T1254" i="1"/>
  <c r="T1255" i="1" a="1"/>
  <c r="T1255" i="1" s="1"/>
  <c r="T1256" i="1" a="1"/>
  <c r="T1256" i="1" s="1"/>
  <c r="T1257" i="1" a="1"/>
  <c r="T1257" i="1" s="1"/>
  <c r="T1258" i="1" a="1"/>
  <c r="T1258" i="1" s="1"/>
  <c r="T1259" i="1" a="1"/>
  <c r="T1259" i="1" s="1"/>
  <c r="T1260" i="1" a="1"/>
  <c r="T1260" i="1" s="1"/>
  <c r="T1261" i="1" a="1"/>
  <c r="T1261" i="1" s="1"/>
  <c r="T1262" i="1" a="1"/>
  <c r="T1262" i="1" s="1"/>
  <c r="T1263" i="1" a="1"/>
  <c r="T1263" i="1" s="1"/>
  <c r="T1264" i="1" a="1"/>
  <c r="T1264" i="1" s="1"/>
  <c r="T1265" i="1" a="1"/>
  <c r="T1265" i="1" s="1"/>
  <c r="T1266" i="1" a="1"/>
  <c r="T1266" i="1" s="1"/>
  <c r="T1267" i="1" a="1"/>
  <c r="T1267" i="1" s="1"/>
  <c r="T1268" i="1" a="1"/>
  <c r="T1268" i="1" s="1"/>
  <c r="T1269" i="1" a="1"/>
  <c r="T1269" i="1" s="1"/>
  <c r="T1270" i="1" a="1"/>
  <c r="T1270" i="1" s="1"/>
  <c r="T1271" i="1" a="1"/>
  <c r="T1271" i="1" s="1"/>
  <c r="T1272" i="1" a="1"/>
  <c r="T1272" i="1" s="1"/>
  <c r="T1273" i="1" a="1"/>
  <c r="T1273" i="1" s="1"/>
  <c r="T1274" i="1" a="1"/>
  <c r="T1274" i="1" s="1"/>
  <c r="T1275" i="1" a="1"/>
  <c r="T1275" i="1" s="1"/>
  <c r="T1276" i="1" a="1"/>
  <c r="T1276" i="1" s="1"/>
  <c r="T1277" i="1" a="1"/>
  <c r="T1277" i="1" s="1"/>
  <c r="T1278" i="1" a="1"/>
  <c r="T1278" i="1" s="1"/>
  <c r="T1279" i="1" a="1"/>
  <c r="T1279" i="1" s="1"/>
  <c r="T1280" i="1" a="1"/>
  <c r="T1280" i="1" s="1"/>
  <c r="T1281" i="1" a="1"/>
  <c r="T1281" i="1" s="1"/>
  <c r="T1282" i="1" a="1"/>
  <c r="T1282" i="1" s="1"/>
  <c r="T1283" i="1" a="1"/>
  <c r="T1283" i="1" s="1"/>
  <c r="T1284" i="1" a="1"/>
  <c r="T1284" i="1" s="1"/>
  <c r="T1285" i="1" a="1"/>
  <c r="T1285" i="1" s="1"/>
  <c r="T1286" i="1" a="1"/>
  <c r="T1286" i="1" s="1"/>
  <c r="T1287" i="1" a="1"/>
  <c r="T1287" i="1" s="1"/>
  <c r="T1288" i="1" a="1"/>
  <c r="T1288" i="1" s="1"/>
  <c r="T1289" i="1" a="1"/>
  <c r="T1289" i="1" s="1"/>
  <c r="T1290" i="1" a="1"/>
  <c r="T1290" i="1" s="1"/>
  <c r="T1291" i="1" a="1"/>
  <c r="T1291" i="1" s="1"/>
  <c r="T1292" i="1" a="1"/>
  <c r="T1292" i="1" s="1"/>
  <c r="T1293" i="1" a="1"/>
  <c r="T1293" i="1" s="1"/>
  <c r="T1294" i="1" a="1"/>
  <c r="T1294" i="1" s="1"/>
  <c r="T1295" i="1" a="1"/>
  <c r="T1295" i="1" s="1"/>
  <c r="T1296" i="1" a="1"/>
  <c r="T1296" i="1" s="1"/>
  <c r="T1297" i="1" a="1"/>
  <c r="T1297" i="1" s="1"/>
  <c r="T1298" i="1" a="1"/>
  <c r="T1298" i="1" s="1"/>
  <c r="T1299" i="1" a="1"/>
  <c r="T1299" i="1" s="1"/>
  <c r="T1300" i="1" a="1"/>
  <c r="T1300" i="1" s="1"/>
  <c r="T1301" i="1" a="1"/>
  <c r="T1301" i="1" s="1"/>
  <c r="T1302" i="1" a="1"/>
  <c r="T1302" i="1" s="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s="1"/>
  <c r="T1313" i="1" a="1"/>
  <c r="T1313" i="1" s="1"/>
  <c r="T1314" i="1" a="1"/>
  <c r="T1314" i="1" s="1"/>
  <c r="T1315" i="1" a="1"/>
  <c r="T1315" i="1" s="1"/>
  <c r="T1316" i="1" a="1"/>
  <c r="T1316" i="1" s="1"/>
  <c r="T1317" i="1" a="1"/>
  <c r="T1317" i="1" s="1"/>
  <c r="T1318" i="1" a="1"/>
  <c r="T1318" i="1" s="1"/>
  <c r="T1319" i="1" a="1"/>
  <c r="T1319" i="1" s="1"/>
  <c r="T1320" i="1" a="1"/>
  <c r="T1320" i="1" s="1"/>
  <c r="T1321" i="1" a="1"/>
  <c r="T1321" i="1" s="1"/>
  <c r="T1322" i="1" a="1"/>
  <c r="T1322" i="1" s="1"/>
  <c r="T1323" i="1" a="1"/>
  <c r="T1323" i="1" s="1"/>
  <c r="T1324" i="1" a="1"/>
  <c r="T1324" i="1" s="1"/>
  <c r="T1325" i="1" a="1"/>
  <c r="T1325" i="1" s="1"/>
  <c r="T1326" i="1" a="1"/>
  <c r="T1326" i="1" s="1"/>
  <c r="T1327" i="1" a="1"/>
  <c r="T1327" i="1" s="1"/>
  <c r="T1328" i="1" a="1"/>
  <c r="T1328" i="1" s="1"/>
  <c r="T1329" i="1" a="1"/>
  <c r="T1329" i="1" s="1"/>
  <c r="T1330" i="1" a="1"/>
  <c r="T1330" i="1" s="1"/>
  <c r="T1331" i="1" a="1"/>
  <c r="T1331" i="1" s="1"/>
  <c r="T1332" i="1" a="1"/>
  <c r="T1332" i="1" s="1"/>
  <c r="T1333" i="1" a="1"/>
  <c r="T1333" i="1" s="1"/>
  <c r="T1334" i="1" a="1"/>
  <c r="T1334" i="1" s="1"/>
  <c r="T1335" i="1" a="1"/>
  <c r="T1335" i="1" s="1"/>
  <c r="T1336" i="1" a="1"/>
  <c r="T1336" i="1" s="1"/>
  <c r="T1337" i="1" a="1"/>
  <c r="T1337" i="1" s="1"/>
  <c r="T1338" i="1" a="1"/>
  <c r="T1338" i="1" s="1"/>
  <c r="T1339" i="1" a="1"/>
  <c r="T1339" i="1" s="1"/>
  <c r="T1340" i="1" a="1"/>
  <c r="T1340" i="1" s="1"/>
  <c r="T1341" i="1" a="1"/>
  <c r="T1341" i="1" s="1"/>
  <c r="T1342" i="1" a="1"/>
  <c r="T1342" i="1" s="1"/>
  <c r="T1343" i="1" a="1"/>
  <c r="T1343" i="1" s="1"/>
  <c r="T1344" i="1" a="1"/>
  <c r="T1344" i="1" s="1"/>
  <c r="T1345" i="1" a="1"/>
  <c r="T1345" i="1" s="1"/>
  <c r="T1346" i="1" a="1"/>
  <c r="T1346" i="1" s="1"/>
  <c r="T1347" i="1" a="1"/>
  <c r="T1347" i="1" s="1"/>
  <c r="T1348" i="1" a="1"/>
  <c r="T1348" i="1" s="1"/>
  <c r="T1349" i="1" a="1"/>
  <c r="T1349" i="1" s="1"/>
  <c r="T1350" i="1" a="1"/>
  <c r="T1350" i="1" s="1"/>
  <c r="T1351" i="1" a="1"/>
  <c r="T1351" i="1" s="1"/>
  <c r="T1352" i="1" a="1"/>
  <c r="T1352" i="1" s="1"/>
  <c r="T1353" i="1" a="1"/>
  <c r="T1353" i="1" s="1"/>
  <c r="T1354" i="1" a="1"/>
  <c r="T1354" i="1"/>
  <c r="T1355" i="1" a="1"/>
  <c r="T1355" i="1" s="1"/>
  <c r="T1356" i="1" a="1"/>
  <c r="T1356" i="1" s="1"/>
  <c r="T1357" i="1" a="1"/>
  <c r="T1357" i="1" s="1"/>
  <c r="T1358" i="1" a="1"/>
  <c r="T1358" i="1" s="1"/>
  <c r="T1359" i="1" a="1"/>
  <c r="T1359" i="1" s="1"/>
  <c r="T1360" i="1" a="1"/>
  <c r="T1360" i="1" s="1"/>
  <c r="T1361" i="1" a="1"/>
  <c r="T1361" i="1" s="1"/>
  <c r="T1362" i="1" a="1"/>
  <c r="T1362" i="1" s="1"/>
  <c r="T1363" i="1" a="1"/>
  <c r="T1363" i="1" s="1"/>
  <c r="T1364" i="1" a="1"/>
  <c r="T1364" i="1" s="1"/>
  <c r="T1365" i="1" a="1"/>
  <c r="T1365" i="1" s="1"/>
  <c r="T1366" i="1" a="1"/>
  <c r="T1366" i="1" s="1"/>
  <c r="T1367" i="1" a="1"/>
  <c r="T1367" i="1" s="1"/>
  <c r="T1368" i="1" a="1"/>
  <c r="T1368" i="1" s="1"/>
  <c r="T1369" i="1" a="1"/>
  <c r="T1369" i="1"/>
  <c r="T1370" i="1" a="1"/>
  <c r="T1370" i="1" s="1"/>
  <c r="T1371" i="1" a="1"/>
  <c r="T1371" i="1" s="1"/>
  <c r="T1372" i="1" a="1"/>
  <c r="T1372" i="1" s="1"/>
  <c r="T1373" i="1" a="1"/>
  <c r="T1373" i="1"/>
  <c r="T1374" i="1" a="1"/>
  <c r="T1374" i="1" s="1"/>
  <c r="T1375" i="1" a="1"/>
  <c r="T1375" i="1" s="1"/>
  <c r="T1376" i="1" a="1"/>
  <c r="T1376" i="1" s="1"/>
  <c r="T1377" i="1" a="1"/>
  <c r="T1377" i="1"/>
  <c r="T1378" i="1" a="1"/>
  <c r="T1378" i="1" s="1"/>
  <c r="T1379" i="1" a="1"/>
  <c r="T1379" i="1" s="1"/>
  <c r="T1380" i="1" a="1"/>
  <c r="T1380" i="1" s="1"/>
  <c r="T1381" i="1" a="1"/>
  <c r="T1381" i="1" s="1"/>
  <c r="T1382" i="1" a="1"/>
  <c r="T1382" i="1" s="1"/>
  <c r="T1383" i="1" a="1"/>
  <c r="T1383" i="1" s="1"/>
  <c r="T1384" i="1" a="1"/>
  <c r="T1384" i="1" s="1"/>
  <c r="T1385" i="1" a="1"/>
  <c r="T1385" i="1" s="1"/>
  <c r="T1386" i="1" a="1"/>
  <c r="T1386" i="1" s="1"/>
  <c r="T1387" i="1" a="1"/>
  <c r="T1387" i="1" s="1"/>
  <c r="T1388" i="1" a="1"/>
  <c r="T1388" i="1" s="1"/>
  <c r="T1389" i="1" a="1"/>
  <c r="T1389" i="1" s="1"/>
  <c r="T1390" i="1" a="1"/>
  <c r="T1390" i="1" s="1"/>
  <c r="T1391" i="1" a="1"/>
  <c r="T1391" i="1" s="1"/>
  <c r="T1392" i="1" a="1"/>
  <c r="T1392" i="1"/>
  <c r="T1393" i="1" a="1"/>
  <c r="T1393" i="1" s="1"/>
  <c r="T1394" i="1" a="1"/>
  <c r="T1394" i="1" s="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s="1"/>
  <c r="T1405" i="1" a="1"/>
  <c r="T1405" i="1" s="1"/>
  <c r="T1406" i="1" a="1"/>
  <c r="T1406" i="1" s="1"/>
  <c r="T1407" i="1" a="1"/>
  <c r="T1407" i="1" s="1"/>
  <c r="T1408" i="1" a="1"/>
  <c r="T1408" i="1" s="1"/>
  <c r="T1409" i="1" a="1"/>
  <c r="T1409" i="1"/>
  <c r="T1410" i="1" a="1"/>
  <c r="T1410" i="1" s="1"/>
  <c r="T1411" i="1" a="1"/>
  <c r="T1411" i="1" s="1"/>
  <c r="T1412" i="1" a="1"/>
  <c r="T1412" i="1" s="1"/>
  <c r="T1413" i="1" a="1"/>
  <c r="T1413" i="1" s="1"/>
  <c r="T1414" i="1" a="1"/>
  <c r="T1414" i="1" s="1"/>
  <c r="T1415" i="1" a="1"/>
  <c r="T1415" i="1" s="1"/>
  <c r="T1416" i="1" a="1"/>
  <c r="T1416" i="1" s="1"/>
  <c r="T1417" i="1" a="1"/>
  <c r="T1417" i="1" s="1"/>
  <c r="T1418" i="1" a="1"/>
  <c r="T1418" i="1" s="1"/>
  <c r="T1419" i="1" a="1"/>
  <c r="T1419" i="1" s="1"/>
  <c r="T1420" i="1" a="1"/>
  <c r="T1420" i="1" s="1"/>
  <c r="T1421" i="1" a="1"/>
  <c r="T1421" i="1" s="1"/>
  <c r="T1422" i="1" a="1"/>
  <c r="T1422" i="1" s="1"/>
  <c r="T1423" i="1" a="1"/>
  <c r="T1423" i="1" s="1"/>
  <c r="T1424" i="1" a="1"/>
  <c r="T1424" i="1" s="1"/>
  <c r="T1425" i="1" a="1"/>
  <c r="T1425" i="1" s="1"/>
  <c r="T1426" i="1" a="1"/>
  <c r="T1426" i="1" s="1"/>
  <c r="T1427" i="1" a="1"/>
  <c r="T1427" i="1" s="1"/>
  <c r="T1428" i="1" a="1"/>
  <c r="T1428" i="1" s="1"/>
  <c r="T1429" i="1" a="1"/>
  <c r="T1429" i="1" s="1"/>
  <c r="T1430" i="1" a="1"/>
  <c r="T1430" i="1" s="1"/>
  <c r="T1431" i="1" a="1"/>
  <c r="T1431" i="1" s="1"/>
  <c r="T1432" i="1" a="1"/>
  <c r="T1432" i="1" s="1"/>
  <c r="T1433" i="1" a="1"/>
  <c r="T1433" i="1"/>
  <c r="T1434" i="1" a="1"/>
  <c r="T1434" i="1" s="1"/>
  <c r="T1435" i="1" a="1"/>
  <c r="T1435" i="1" s="1"/>
  <c r="T1436" i="1" a="1"/>
  <c r="T1436" i="1" s="1"/>
  <c r="T1437" i="1" a="1"/>
  <c r="T1437" i="1" s="1"/>
  <c r="T1438" i="1" a="1"/>
  <c r="T1438" i="1" s="1"/>
  <c r="T1439" i="1" a="1"/>
  <c r="T1439" i="1" s="1"/>
  <c r="T1440" i="1" a="1"/>
  <c r="T1440" i="1" s="1"/>
  <c r="T1441" i="1" a="1"/>
  <c r="T1441" i="1" s="1"/>
  <c r="T1442" i="1" a="1"/>
  <c r="T1442" i="1"/>
  <c r="T1443" i="1" a="1"/>
  <c r="T1443" i="1" s="1"/>
  <c r="T1444" i="1" a="1"/>
  <c r="T1444" i="1" s="1"/>
  <c r="T1445" i="1" a="1"/>
  <c r="T1445" i="1" s="1"/>
  <c r="T1446" i="1" a="1"/>
  <c r="T1446" i="1" s="1"/>
  <c r="T1447" i="1" a="1"/>
  <c r="T1447" i="1" s="1"/>
  <c r="T1448" i="1" a="1"/>
  <c r="T1448" i="1" s="1"/>
  <c r="T1449" i="1" a="1"/>
  <c r="T1449" i="1" s="1"/>
  <c r="T1450" i="1" a="1"/>
  <c r="T1450" i="1" s="1"/>
  <c r="T1451" i="1" a="1"/>
  <c r="T1451" i="1" s="1"/>
  <c r="T1452" i="1" a="1"/>
  <c r="T1452" i="1" s="1"/>
  <c r="T1453" i="1" a="1"/>
  <c r="T1453" i="1" s="1"/>
  <c r="T1454" i="1" a="1"/>
  <c r="T1454" i="1" s="1"/>
  <c r="T1455" i="1" a="1"/>
  <c r="T1455" i="1" s="1"/>
  <c r="T1456" i="1" a="1"/>
  <c r="T1456" i="1" s="1"/>
  <c r="T1457" i="1" a="1"/>
  <c r="T1457" i="1" s="1"/>
  <c r="T1458" i="1" a="1"/>
  <c r="T1458" i="1" s="1"/>
  <c r="T1459" i="1" a="1"/>
  <c r="T1459" i="1" s="1"/>
  <c r="T1460" i="1" a="1"/>
  <c r="T1460" i="1" s="1"/>
  <c r="T1461" i="1" a="1"/>
  <c r="T1461" i="1" s="1"/>
  <c r="T1462" i="1" a="1"/>
  <c r="T1462" i="1" s="1"/>
  <c r="T1463" i="1" a="1"/>
  <c r="T1463" i="1"/>
  <c r="T1464" i="1" a="1"/>
  <c r="T1464" i="1" s="1"/>
  <c r="T1465" i="1" a="1"/>
  <c r="T1465" i="1" s="1"/>
  <c r="T1466" i="1" a="1"/>
  <c r="T1466" i="1" s="1"/>
  <c r="T1467" i="1" a="1"/>
  <c r="T1467" i="1"/>
  <c r="T1468" i="1" a="1"/>
  <c r="T1468" i="1" s="1"/>
  <c r="T1469" i="1" a="1"/>
  <c r="T1469" i="1" s="1"/>
  <c r="T1470" i="1" a="1"/>
  <c r="T1470" i="1" s="1"/>
  <c r="T1471" i="1" a="1"/>
  <c r="T1471" i="1" s="1"/>
  <c r="T1472" i="1" a="1"/>
  <c r="T1472" i="1" s="1"/>
  <c r="T1473" i="1" a="1"/>
  <c r="T1473" i="1" s="1"/>
  <c r="T1474" i="1" a="1"/>
  <c r="T1474" i="1" s="1"/>
  <c r="T1475" i="1" a="1"/>
  <c r="T1475" i="1" s="1"/>
  <c r="T1476" i="1" a="1"/>
  <c r="T1476" i="1" s="1"/>
  <c r="T1477" i="1" a="1"/>
  <c r="T1477" i="1" s="1"/>
  <c r="T1478" i="1" a="1"/>
  <c r="T1478" i="1" s="1"/>
  <c r="T1479" i="1" a="1"/>
  <c r="T1479" i="1" s="1"/>
  <c r="T1480" i="1" a="1"/>
  <c r="T1480" i="1" s="1"/>
  <c r="T1481" i="1" a="1"/>
  <c r="T1481" i="1" s="1"/>
  <c r="T1482" i="1" a="1"/>
  <c r="T1482" i="1" s="1"/>
  <c r="T1483" i="1" a="1"/>
  <c r="T1483" i="1" s="1"/>
  <c r="T1484" i="1" a="1"/>
  <c r="T1484" i="1" s="1"/>
  <c r="T1485" i="1" a="1"/>
  <c r="T1485" i="1" s="1"/>
  <c r="T1486" i="1" a="1"/>
  <c r="T1486" i="1" s="1"/>
  <c r="T1487" i="1" a="1"/>
  <c r="T1487" i="1" s="1"/>
  <c r="T1488" i="1" a="1"/>
  <c r="T1488" i="1" s="1"/>
  <c r="T1489" i="1" a="1"/>
  <c r="T1489" i="1" s="1"/>
  <c r="T1490" i="1" a="1"/>
  <c r="T1490" i="1" s="1"/>
  <c r="T1491" i="1" a="1"/>
  <c r="T1491" i="1" s="1"/>
  <c r="T1492" i="1" a="1"/>
  <c r="T1492" i="1" s="1"/>
  <c r="T1493" i="1" a="1"/>
  <c r="T1493" i="1" s="1"/>
  <c r="T1494" i="1" a="1"/>
  <c r="T1494" i="1" s="1"/>
  <c r="T1495" i="1" a="1"/>
  <c r="T1495" i="1"/>
  <c r="T1496" i="1" a="1"/>
  <c r="T1496" i="1" s="1"/>
  <c r="T1497" i="1" a="1"/>
  <c r="T1497" i="1" s="1"/>
  <c r="T1498" i="1" a="1"/>
  <c r="T1498" i="1" s="1"/>
  <c r="T1499" i="1" a="1"/>
  <c r="T1499" i="1"/>
  <c r="T1500" i="1" a="1"/>
  <c r="T1500" i="1" s="1"/>
  <c r="T1501" i="1" a="1"/>
  <c r="T1501" i="1" s="1"/>
  <c r="T1502" i="1" a="1"/>
  <c r="T1502" i="1" s="1"/>
  <c r="T1503" i="1" a="1"/>
  <c r="T1503" i="1"/>
  <c r="T1504" i="1" a="1"/>
  <c r="T1504" i="1" s="1"/>
  <c r="T1505" i="1" a="1"/>
  <c r="T1505" i="1" s="1"/>
  <c r="T1506" i="1" a="1"/>
  <c r="T1506" i="1" s="1"/>
  <c r="T1507" i="1" a="1"/>
  <c r="T1507" i="1" s="1"/>
  <c r="T1508" i="1" a="1"/>
  <c r="T1508" i="1" s="1"/>
  <c r="T1509" i="1" a="1"/>
  <c r="T1509" i="1" s="1"/>
  <c r="T1510" i="1" a="1"/>
  <c r="T1510" i="1" s="1"/>
  <c r="T1511" i="1" a="1"/>
  <c r="T1511" i="1" s="1"/>
  <c r="T1512" i="1" a="1"/>
  <c r="T1512" i="1" s="1"/>
  <c r="T1513" i="1" a="1"/>
  <c r="T1513" i="1" s="1"/>
  <c r="T1514" i="1" a="1"/>
  <c r="T1514" i="1" s="1"/>
  <c r="T1515" i="1" a="1"/>
  <c r="T1515" i="1" s="1"/>
  <c r="T1516" i="1" a="1"/>
  <c r="T1516" i="1" s="1"/>
  <c r="T1517" i="1" a="1"/>
  <c r="T1517" i="1" s="1"/>
  <c r="T1518" i="1" a="1"/>
  <c r="T1518" i="1" s="1"/>
  <c r="T1519" i="1" a="1"/>
  <c r="T1519" i="1" s="1"/>
  <c r="T1520" i="1" a="1"/>
  <c r="T1520" i="1" s="1"/>
  <c r="T1521" i="1" a="1"/>
  <c r="T1521" i="1" s="1"/>
  <c r="T1522" i="1" a="1"/>
  <c r="T1522" i="1" s="1"/>
  <c r="T1523" i="1" a="1"/>
  <c r="T1523" i="1" s="1"/>
  <c r="T1524" i="1" a="1"/>
  <c r="T1524" i="1" s="1"/>
  <c r="T1525" i="1" a="1"/>
  <c r="T1525" i="1" s="1"/>
  <c r="T1526" i="1" a="1"/>
  <c r="T1526" i="1" s="1"/>
  <c r="T1527" i="1" a="1"/>
  <c r="T1527" i="1" s="1"/>
  <c r="T1528" i="1" a="1"/>
  <c r="T1528" i="1" s="1"/>
  <c r="T1529" i="1" a="1"/>
  <c r="T1529" i="1" s="1"/>
  <c r="T1530" i="1" a="1"/>
  <c r="T1530" i="1" s="1"/>
  <c r="T1531" i="1" a="1"/>
  <c r="T1531" i="1" s="1"/>
  <c r="T1532" i="1" a="1"/>
  <c r="T1532" i="1" s="1"/>
  <c r="T1533" i="1" a="1"/>
  <c r="T1533" i="1" s="1"/>
  <c r="T1534" i="1" a="1"/>
  <c r="T1534" i="1" s="1"/>
  <c r="T1535" i="1" a="1"/>
  <c r="T1535" i="1" s="1"/>
  <c r="T1536" i="1" a="1"/>
  <c r="T1536" i="1" s="1"/>
  <c r="T1537" i="1" a="1"/>
  <c r="T1537" i="1" s="1"/>
  <c r="T1538" i="1" a="1"/>
  <c r="T1538" i="1" s="1"/>
  <c r="T1539" i="1" a="1"/>
  <c r="T1539" i="1" s="1"/>
  <c r="T1540" i="1" a="1"/>
  <c r="T1540" i="1" s="1"/>
  <c r="T1541" i="1" a="1"/>
  <c r="T1541" i="1" s="1"/>
  <c r="T1542" i="1" a="1"/>
  <c r="T1542" i="1" s="1"/>
  <c r="T1543" i="1" a="1"/>
  <c r="T1543" i="1"/>
  <c r="T1544" i="1" a="1"/>
  <c r="T1544" i="1" s="1"/>
  <c r="T1545" i="1" a="1"/>
  <c r="T1545" i="1" s="1"/>
  <c r="T1546" i="1" a="1"/>
  <c r="T1546" i="1" s="1"/>
  <c r="T1547" i="1" a="1"/>
  <c r="T1547" i="1"/>
  <c r="T1548" i="1" a="1"/>
  <c r="T1548" i="1" s="1"/>
  <c r="T1549" i="1" a="1"/>
  <c r="T1549" i="1" s="1"/>
  <c r="T1550" i="1" a="1"/>
  <c r="T1550" i="1" s="1"/>
  <c r="T1551" i="1" a="1"/>
  <c r="T1551" i="1" s="1"/>
  <c r="T1552" i="1" a="1"/>
  <c r="T1552" i="1" s="1"/>
  <c r="T1553" i="1" a="1"/>
  <c r="T1553" i="1" s="1"/>
  <c r="T1554" i="1" a="1"/>
  <c r="T1554" i="1" s="1"/>
  <c r="T1555" i="1" a="1"/>
  <c r="T1555" i="1" s="1"/>
  <c r="T1556" i="1" a="1"/>
  <c r="T1556" i="1" s="1"/>
  <c r="T1557" i="1" a="1"/>
  <c r="T1557" i="1" s="1"/>
  <c r="T1558" i="1" a="1"/>
  <c r="T1558" i="1" s="1"/>
  <c r="T1559" i="1" a="1"/>
  <c r="T1559" i="1"/>
  <c r="T1560" i="1" a="1"/>
  <c r="T1560" i="1" s="1"/>
  <c r="T1561" i="1" a="1"/>
  <c r="T1561" i="1" s="1"/>
  <c r="T1562" i="1" a="1"/>
  <c r="T1562" i="1" s="1"/>
  <c r="T1563" i="1" a="1"/>
  <c r="T1563" i="1" s="1"/>
  <c r="T1564" i="1" a="1"/>
  <c r="T1564" i="1" s="1"/>
  <c r="T1565" i="1" a="1"/>
  <c r="T1565" i="1" s="1"/>
  <c r="T1566" i="1" a="1"/>
  <c r="T1566" i="1" s="1"/>
  <c r="T1567" i="1" a="1"/>
  <c r="T1567" i="1" s="1"/>
  <c r="T1568" i="1" a="1"/>
  <c r="T1568" i="1" s="1"/>
  <c r="T1569" i="1" a="1"/>
  <c r="T1569" i="1" s="1"/>
  <c r="T1570" i="1" a="1"/>
  <c r="T1570" i="1" s="1"/>
  <c r="T1571" i="1" a="1"/>
  <c r="T1571" i="1"/>
  <c r="T1572" i="1" a="1"/>
  <c r="T1572" i="1" s="1"/>
  <c r="T1573" i="1" a="1"/>
  <c r="T1573" i="1" s="1"/>
  <c r="T1574" i="1" a="1"/>
  <c r="T1574" i="1" s="1"/>
  <c r="T1575" i="1" a="1"/>
  <c r="T1575" i="1" s="1"/>
  <c r="T1576" i="1" a="1"/>
  <c r="T1576" i="1" s="1"/>
  <c r="T1577" i="1" a="1"/>
  <c r="T1577" i="1" s="1"/>
  <c r="T1578" i="1" a="1"/>
  <c r="T1578" i="1" s="1"/>
  <c r="T1579" i="1" a="1"/>
  <c r="T1579" i="1" s="1"/>
  <c r="T1580" i="1" a="1"/>
  <c r="T1580" i="1" s="1"/>
  <c r="T1581" i="1" a="1"/>
  <c r="T1581" i="1" s="1"/>
  <c r="T1582" i="1" a="1"/>
  <c r="T1582" i="1" s="1"/>
  <c r="T1583" i="1" a="1"/>
  <c r="T1583" i="1"/>
  <c r="T1584" i="1" a="1"/>
  <c r="T1584" i="1" s="1"/>
  <c r="T1585" i="1" a="1"/>
  <c r="T1585" i="1" s="1"/>
  <c r="T1586" i="1" a="1"/>
  <c r="T1586" i="1" s="1"/>
  <c r="T1587" i="1" a="1"/>
  <c r="T1587" i="1" s="1"/>
  <c r="T1588" i="1" a="1"/>
  <c r="T1588" i="1"/>
  <c r="T1589" i="1" a="1"/>
  <c r="T1589" i="1" s="1"/>
  <c r="T1590" i="1" a="1"/>
  <c r="T1590" i="1" s="1"/>
  <c r="T1591" i="1" a="1"/>
  <c r="T1591" i="1" s="1"/>
  <c r="T1592" i="1" a="1"/>
  <c r="T1592" i="1" s="1"/>
  <c r="T1593" i="1" a="1"/>
  <c r="T1593" i="1" s="1"/>
  <c r="T1594" i="1" a="1"/>
  <c r="T1594" i="1" s="1"/>
  <c r="T1595" i="1" a="1"/>
  <c r="T1595" i="1"/>
  <c r="T1596" i="1" a="1"/>
  <c r="T1596" i="1" s="1"/>
  <c r="T1597" i="1" a="1"/>
  <c r="T1597" i="1" s="1"/>
  <c r="T1598" i="1" a="1"/>
  <c r="T1598" i="1" s="1"/>
  <c r="T1599" i="1" a="1"/>
  <c r="T1599" i="1" s="1"/>
  <c r="T1600" i="1" a="1"/>
  <c r="T1600" i="1" s="1"/>
  <c r="T1601" i="1" a="1"/>
  <c r="T1601" i="1" s="1"/>
  <c r="T1602" i="1" a="1"/>
  <c r="T1602" i="1" s="1"/>
  <c r="T1603" i="1" a="1"/>
  <c r="T1603" i="1" s="1"/>
  <c r="T1604" i="1" a="1"/>
  <c r="T1604" i="1" s="1"/>
  <c r="T1605" i="1" a="1"/>
  <c r="T1605" i="1" s="1"/>
  <c r="T1606" i="1" a="1"/>
  <c r="T1606" i="1" s="1"/>
  <c r="T1607" i="1" a="1"/>
  <c r="T1607" i="1"/>
  <c r="T1608" i="1" a="1"/>
  <c r="T1608" i="1" s="1"/>
  <c r="T1609" i="1" a="1"/>
  <c r="T1609" i="1" s="1"/>
  <c r="T1610" i="1" a="1"/>
  <c r="T1610" i="1" s="1"/>
  <c r="T1611" i="1" a="1"/>
  <c r="T1611" i="1" s="1"/>
  <c r="T1612" i="1" a="1"/>
  <c r="T1612" i="1" s="1"/>
  <c r="T1613" i="1" a="1"/>
  <c r="T1613" i="1" s="1"/>
  <c r="T1614" i="1" a="1"/>
  <c r="T1614" i="1" s="1"/>
  <c r="T1615" i="1" a="1"/>
  <c r="T1615" i="1"/>
  <c r="T1616" i="1" a="1"/>
  <c r="T1616" i="1" s="1"/>
  <c r="T1617" i="1" a="1"/>
  <c r="T1617" i="1" s="1"/>
  <c r="T1618" i="1" a="1"/>
  <c r="T1618" i="1" s="1"/>
  <c r="T1619" i="1" a="1"/>
  <c r="T1619" i="1"/>
  <c r="T1620" i="1" a="1"/>
  <c r="T1620" i="1"/>
  <c r="T1621" i="1" a="1"/>
  <c r="T1621" i="1" s="1"/>
  <c r="T1622" i="1" a="1"/>
  <c r="T1622" i="1" s="1"/>
  <c r="T1623" i="1" a="1"/>
  <c r="T1623" i="1" s="1"/>
  <c r="T1624" i="1" a="1"/>
  <c r="T1624" i="1" s="1"/>
  <c r="T1625" i="1" a="1"/>
  <c r="T1625" i="1" s="1"/>
  <c r="T1626" i="1" a="1"/>
  <c r="T1626" i="1" s="1"/>
  <c r="T1627" i="1" a="1"/>
  <c r="T1627" i="1"/>
  <c r="T1628" i="1" a="1"/>
  <c r="T1628" i="1" s="1"/>
  <c r="T1629" i="1" a="1"/>
  <c r="T1629" i="1" s="1"/>
  <c r="T1630" i="1" a="1"/>
  <c r="T1630" i="1" s="1"/>
  <c r="T1631" i="1" a="1"/>
  <c r="T1631" i="1" s="1"/>
  <c r="T1632" i="1" a="1"/>
  <c r="T1632" i="1" s="1"/>
  <c r="T1633" i="1" a="1"/>
  <c r="T1633" i="1" s="1"/>
  <c r="T1634" i="1" a="1"/>
  <c r="T1634" i="1" s="1"/>
  <c r="T1635" i="1" a="1"/>
  <c r="T1635" i="1" s="1"/>
  <c r="T1636" i="1" a="1"/>
  <c r="T1636" i="1" s="1"/>
  <c r="T1637" i="1" a="1"/>
  <c r="T1637" i="1" s="1"/>
  <c r="T1638" i="1" a="1"/>
  <c r="T1638" i="1" s="1"/>
  <c r="T1639" i="1" a="1"/>
  <c r="T1639" i="1" s="1"/>
  <c r="T1640" i="1" a="1"/>
  <c r="T1640" i="1" s="1"/>
  <c r="T1641" i="1" a="1"/>
  <c r="T1641" i="1" s="1"/>
  <c r="T1642" i="1" a="1"/>
  <c r="T1642" i="1" s="1"/>
  <c r="T1643" i="1" a="1"/>
  <c r="T1643" i="1"/>
  <c r="T1644" i="1" a="1"/>
  <c r="T1644" i="1" s="1"/>
  <c r="T1645" i="1" a="1"/>
  <c r="T1645" i="1" s="1"/>
  <c r="T1646" i="1" a="1"/>
  <c r="T1646" i="1" s="1"/>
  <c r="T1647" i="1" a="1"/>
  <c r="T1647" i="1"/>
  <c r="T1648" i="1" a="1"/>
  <c r="T1648" i="1" s="1"/>
  <c r="T1649" i="1" a="1"/>
  <c r="T1649" i="1" s="1"/>
  <c r="T1650" i="1" a="1"/>
  <c r="T1650" i="1" s="1"/>
  <c r="T1651" i="1" a="1"/>
  <c r="T1651" i="1"/>
  <c r="T1652" i="1" a="1"/>
  <c r="T1652" i="1" s="1"/>
  <c r="T1653" i="1" a="1"/>
  <c r="T1653" i="1" s="1"/>
  <c r="T1654" i="1" a="1"/>
  <c r="T1654" i="1" s="1"/>
  <c r="T1655" i="1" a="1"/>
  <c r="T1655" i="1"/>
  <c r="T1656" i="1" a="1"/>
  <c r="T1656" i="1" s="1"/>
  <c r="T1657" i="1" a="1"/>
  <c r="T1657" i="1" s="1"/>
  <c r="T1658" i="1" a="1"/>
  <c r="T1658" i="1" s="1"/>
  <c r="T1659" i="1" a="1"/>
  <c r="T1659" i="1"/>
  <c r="T1660" i="1" a="1"/>
  <c r="T1660" i="1" s="1"/>
  <c r="T1661" i="1" a="1"/>
  <c r="T1661" i="1" s="1"/>
  <c r="T1662" i="1" a="1"/>
  <c r="T1662" i="1" s="1"/>
  <c r="T1663" i="1" a="1"/>
  <c r="T1663" i="1" s="1"/>
  <c r="T1664" i="1" a="1"/>
  <c r="T1664" i="1" s="1"/>
  <c r="T1665" i="1" a="1"/>
  <c r="T1665" i="1" s="1"/>
  <c r="T1666" i="1" a="1"/>
  <c r="T1666" i="1" s="1"/>
  <c r="T1667" i="1" a="1"/>
  <c r="T1667" i="1" s="1"/>
  <c r="T1668" i="1" a="1"/>
  <c r="T1668" i="1"/>
  <c r="T1669" i="1" a="1"/>
  <c r="T1669" i="1" s="1"/>
  <c r="T1670" i="1" a="1"/>
  <c r="T1670" i="1" s="1"/>
  <c r="T1671" i="1" a="1"/>
  <c r="T1671" i="1" s="1"/>
  <c r="T1672" i="1" a="1"/>
  <c r="T1672" i="1" s="1"/>
  <c r="T1673" i="1" a="1"/>
  <c r="T1673" i="1" s="1"/>
  <c r="T1674" i="1" a="1"/>
  <c r="T1674" i="1" s="1"/>
  <c r="T1675" i="1" a="1"/>
  <c r="T1675" i="1"/>
  <c r="T1676" i="1" a="1"/>
  <c r="T1676" i="1" s="1"/>
  <c r="T1677" i="1" a="1"/>
  <c r="T1677" i="1" s="1"/>
  <c r="T2" i="1" a="1"/>
  <c r="T2"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c r="W41" i="1" a="1"/>
  <c r="W41" i="1"/>
  <c r="W42" i="1" a="1"/>
  <c r="W42" i="1" s="1"/>
  <c r="W43" i="1" a="1"/>
  <c r="W43" i="1" s="1"/>
  <c r="W44" i="1" a="1"/>
  <c r="W44" i="1" s="1"/>
  <c r="W45" i="1" a="1"/>
  <c r="W45" i="1" s="1"/>
  <c r="W46" i="1" a="1"/>
  <c r="W46" i="1" s="1"/>
  <c r="W47" i="1" a="1"/>
  <c r="W47" i="1" s="1"/>
  <c r="W48" i="1" a="1"/>
  <c r="W48" i="1" s="1"/>
  <c r="W49" i="1" a="1"/>
  <c r="W49" i="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c r="W73" i="1" a="1"/>
  <c r="W73" i="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c r="W123" i="1" a="1"/>
  <c r="W123" i="1" s="1"/>
  <c r="W124" i="1" a="1"/>
  <c r="W124" i="1"/>
  <c r="W125" i="1" a="1"/>
  <c r="W125" i="1" s="1"/>
  <c r="W126" i="1" a="1"/>
  <c r="W126" i="1" s="1"/>
  <c r="W127" i="1" a="1"/>
  <c r="W127" i="1" s="1"/>
  <c r="W128" i="1" a="1"/>
  <c r="W128" i="1"/>
  <c r="W129" i="1" a="1"/>
  <c r="W129" i="1" s="1"/>
  <c r="W130" i="1" a="1"/>
  <c r="W130" i="1" s="1"/>
  <c r="W131" i="1" a="1"/>
  <c r="W131" i="1" s="1"/>
  <c r="W132" i="1" a="1"/>
  <c r="W132" i="1" s="1"/>
  <c r="W133" i="1" a="1"/>
  <c r="W133" i="1" s="1"/>
  <c r="W134" i="1" a="1"/>
  <c r="W134" i="1" s="1"/>
  <c r="W135" i="1" a="1"/>
  <c r="W135" i="1" s="1"/>
  <c r="W136" i="1" a="1"/>
  <c r="W136" i="1" s="1"/>
  <c r="W137" i="1" a="1"/>
  <c r="W137" i="1"/>
  <c r="W138" i="1" a="1"/>
  <c r="W138" i="1" s="1"/>
  <c r="W139" i="1" a="1"/>
  <c r="W139" i="1" s="1"/>
  <c r="W140" i="1" a="1"/>
  <c r="W140" i="1" s="1"/>
  <c r="W141" i="1" a="1"/>
  <c r="W141" i="1" s="1"/>
  <c r="W142" i="1" a="1"/>
  <c r="W142" i="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c r="W161" i="1" a="1"/>
  <c r="W161" i="1" s="1"/>
  <c r="W162" i="1" a="1"/>
  <c r="W162" i="1" s="1"/>
  <c r="W163" i="1" a="1"/>
  <c r="W163" i="1" s="1"/>
  <c r="W164" i="1" a="1"/>
  <c r="W164" i="1" s="1"/>
  <c r="W165" i="1" a="1"/>
  <c r="W165" i="1" s="1"/>
  <c r="W166" i="1" a="1"/>
  <c r="W166" i="1"/>
  <c r="W167" i="1" a="1"/>
  <c r="W167" i="1" s="1"/>
  <c r="W168" i="1" a="1"/>
  <c r="W168" i="1"/>
  <c r="W169" i="1" a="1"/>
  <c r="W169" i="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c r="W302" i="1" a="1"/>
  <c r="W302" i="1" s="1"/>
  <c r="W303" i="1" a="1"/>
  <c r="W303" i="1" s="1"/>
  <c r="W304" i="1" a="1"/>
  <c r="W304" i="1" s="1"/>
  <c r="W305" i="1" a="1"/>
  <c r="W305" i="1" s="1"/>
  <c r="W306" i="1" a="1"/>
  <c r="W306" i="1"/>
  <c r="W307" i="1" a="1"/>
  <c r="W307" i="1" s="1"/>
  <c r="W308" i="1" a="1"/>
  <c r="W308" i="1" s="1"/>
  <c r="W309" i="1" a="1"/>
  <c r="W309" i="1" s="1"/>
  <c r="W310" i="1" a="1"/>
  <c r="W310" i="1" s="1"/>
  <c r="W311" i="1" a="1"/>
  <c r="W311" i="1" s="1"/>
  <c r="W312" i="1" a="1"/>
  <c r="W312" i="1" s="1"/>
  <c r="W313" i="1" a="1"/>
  <c r="W313" i="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s="1"/>
  <c r="W358" i="1" a="1"/>
  <c r="W358" i="1" s="1"/>
  <c r="W359" i="1" a="1"/>
  <c r="W359" i="1" s="1"/>
  <c r="W360" i="1" a="1"/>
  <c r="W360" i="1"/>
  <c r="W361" i="1" a="1"/>
  <c r="W361" i="1" s="1"/>
  <c r="W362" i="1" a="1"/>
  <c r="W362" i="1" s="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s="1"/>
  <c r="W417" i="1" a="1"/>
  <c r="W417" i="1" s="1"/>
  <c r="W418" i="1" a="1"/>
  <c r="W418" i="1" s="1"/>
  <c r="W419" i="1" a="1"/>
  <c r="W419" i="1" s="1"/>
  <c r="W420" i="1" a="1"/>
  <c r="W420" i="1" s="1"/>
  <c r="W421" i="1" a="1"/>
  <c r="W421" i="1" s="1"/>
  <c r="W422" i="1" a="1"/>
  <c r="W422" i="1" s="1"/>
  <c r="W423" i="1" a="1"/>
  <c r="W423" i="1" s="1"/>
  <c r="W424" i="1" a="1"/>
  <c r="W424" i="1" s="1"/>
  <c r="W425" i="1" a="1"/>
  <c r="W425" i="1" s="1"/>
  <c r="W426" i="1" a="1"/>
  <c r="W426" i="1" s="1"/>
  <c r="W427" i="1" a="1"/>
  <c r="W427" i="1"/>
  <c r="W428" i="1" a="1"/>
  <c r="W428" i="1" s="1"/>
  <c r="W429" i="1" a="1"/>
  <c r="W429" i="1" s="1"/>
  <c r="W430" i="1" a="1"/>
  <c r="W430" i="1" s="1"/>
  <c r="W431" i="1" a="1"/>
  <c r="W431" i="1" s="1"/>
  <c r="W432" i="1" a="1"/>
  <c r="W432" i="1" s="1"/>
  <c r="W433" i="1" a="1"/>
  <c r="W433" i="1" s="1"/>
  <c r="W434" i="1" a="1"/>
  <c r="W434" i="1" s="1"/>
  <c r="W435" i="1" a="1"/>
  <c r="W435" i="1" s="1"/>
  <c r="W436" i="1" a="1"/>
  <c r="W436" i="1" s="1"/>
  <c r="W437" i="1" a="1"/>
  <c r="W437" i="1" s="1"/>
  <c r="W438" i="1" a="1"/>
  <c r="W438" i="1" s="1"/>
  <c r="W439" i="1" a="1"/>
  <c r="W439" i="1" s="1"/>
  <c r="W440" i="1" a="1"/>
  <c r="W440" i="1" s="1"/>
  <c r="W441" i="1" a="1"/>
  <c r="W441" i="1" s="1"/>
  <c r="W442" i="1" a="1"/>
  <c r="W442" i="1" s="1"/>
  <c r="W443" i="1" a="1"/>
  <c r="W443" i="1" s="1"/>
  <c r="W444" i="1" a="1"/>
  <c r="W444" i="1" s="1"/>
  <c r="W445" i="1" a="1"/>
  <c r="W445" i="1" s="1"/>
  <c r="W446" i="1" a="1"/>
  <c r="W446" i="1" s="1"/>
  <c r="W447" i="1" a="1"/>
  <c r="W447" i="1" s="1"/>
  <c r="W448" i="1" a="1"/>
  <c r="W448" i="1" s="1"/>
  <c r="W449" i="1" a="1"/>
  <c r="W449" i="1" s="1"/>
  <c r="W450" i="1" a="1"/>
  <c r="W450" i="1" s="1"/>
  <c r="W451" i="1" a="1"/>
  <c r="W451" i="1" s="1"/>
  <c r="W452" i="1" a="1"/>
  <c r="W452" i="1" s="1"/>
  <c r="W453" i="1" a="1"/>
  <c r="W453" i="1" s="1"/>
  <c r="W454" i="1" a="1"/>
  <c r="W454" i="1" s="1"/>
  <c r="W455" i="1" a="1"/>
  <c r="W455" i="1" s="1"/>
  <c r="W456" i="1" a="1"/>
  <c r="W456" i="1" s="1"/>
  <c r="W457" i="1" a="1"/>
  <c r="W457" i="1" s="1"/>
  <c r="W458" i="1" a="1"/>
  <c r="W458" i="1" s="1"/>
  <c r="W459" i="1" a="1"/>
  <c r="W459" i="1" s="1"/>
  <c r="W460" i="1" a="1"/>
  <c r="W460" i="1" s="1"/>
  <c r="W461" i="1" a="1"/>
  <c r="W461" i="1" s="1"/>
  <c r="W462" i="1" a="1"/>
  <c r="W462" i="1" s="1"/>
  <c r="W463" i="1" a="1"/>
  <c r="W463" i="1" s="1"/>
  <c r="W464" i="1" a="1"/>
  <c r="W464" i="1" s="1"/>
  <c r="W465" i="1" a="1"/>
  <c r="W465" i="1" s="1"/>
  <c r="W466" i="1" a="1"/>
  <c r="W466" i="1" s="1"/>
  <c r="W467" i="1" a="1"/>
  <c r="W467" i="1" s="1"/>
  <c r="W468" i="1" a="1"/>
  <c r="W468" i="1" s="1"/>
  <c r="W469" i="1" a="1"/>
  <c r="W469" i="1" s="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s="1"/>
  <c r="W481" i="1" a="1"/>
  <c r="W481" i="1" s="1"/>
  <c r="W482" i="1" a="1"/>
  <c r="W482" i="1" s="1"/>
  <c r="W483" i="1" a="1"/>
  <c r="W483" i="1" s="1"/>
  <c r="W484" i="1" a="1"/>
  <c r="W484" i="1" s="1"/>
  <c r="W485" i="1" a="1"/>
  <c r="W485" i="1" s="1"/>
  <c r="W486" i="1" a="1"/>
  <c r="W486" i="1" s="1"/>
  <c r="W487" i="1" a="1"/>
  <c r="W487" i="1"/>
  <c r="W488" i="1" a="1"/>
  <c r="W488" i="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c r="W503" i="1" a="1"/>
  <c r="W503" i="1" s="1"/>
  <c r="W504" i="1" a="1"/>
  <c r="W504" i="1" s="1"/>
  <c r="W505" i="1" a="1"/>
  <c r="W505" i="1" s="1"/>
  <c r="W506" i="1" a="1"/>
  <c r="W506" i="1" s="1"/>
  <c r="W507" i="1" a="1"/>
  <c r="W507" i="1" s="1"/>
  <c r="W508" i="1" a="1"/>
  <c r="W508" i="1" s="1"/>
  <c r="W509" i="1" a="1"/>
  <c r="W509" i="1" s="1"/>
  <c r="W510" i="1" a="1"/>
  <c r="W510" i="1" s="1"/>
  <c r="W511" i="1" a="1"/>
  <c r="W511" i="1" s="1"/>
  <c r="W512" i="1" a="1"/>
  <c r="W512" i="1"/>
  <c r="W513" i="1" a="1"/>
  <c r="W513" i="1" s="1"/>
  <c r="W514" i="1" a="1"/>
  <c r="W514" i="1" s="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538" i="1" a="1"/>
  <c r="W538" i="1" s="1"/>
  <c r="W539" i="1" a="1"/>
  <c r="W539"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51" i="1" a="1"/>
  <c r="W551" i="1" s="1"/>
  <c r="W552" i="1" a="1"/>
  <c r="W552" i="1" s="1"/>
  <c r="W553" i="1" a="1"/>
  <c r="W553" i="1" s="1"/>
  <c r="W554" i="1" a="1"/>
  <c r="W554" i="1" s="1"/>
  <c r="W555" i="1" a="1"/>
  <c r="W555" i="1" s="1"/>
  <c r="W556" i="1" a="1"/>
  <c r="W556" i="1" s="1"/>
  <c r="W557" i="1" a="1"/>
  <c r="W557" i="1" s="1"/>
  <c r="W558" i="1" a="1"/>
  <c r="W558" i="1" s="1"/>
  <c r="W559" i="1" a="1"/>
  <c r="W559" i="1" s="1"/>
  <c r="W560" i="1" a="1"/>
  <c r="W560" i="1" s="1"/>
  <c r="W561" i="1" a="1"/>
  <c r="W561" i="1" s="1"/>
  <c r="W562" i="1" a="1"/>
  <c r="W562" i="1" s="1"/>
  <c r="W563" i="1" a="1"/>
  <c r="W563" i="1"/>
  <c r="W564" i="1" a="1"/>
  <c r="W564" i="1"/>
  <c r="W565" i="1" a="1"/>
  <c r="W565" i="1" s="1"/>
  <c r="W566" i="1" a="1"/>
  <c r="W566" i="1" s="1"/>
  <c r="W567" i="1" a="1"/>
  <c r="W567" i="1" s="1"/>
  <c r="W568" i="1" a="1"/>
  <c r="W568" i="1" s="1"/>
  <c r="W569" i="1" a="1"/>
  <c r="W569" i="1" s="1"/>
  <c r="W570" i="1" a="1"/>
  <c r="W570" i="1" s="1"/>
  <c r="W571" i="1" a="1"/>
  <c r="W571" i="1" s="1"/>
  <c r="W572" i="1" a="1"/>
  <c r="W572" i="1" s="1"/>
  <c r="W573" i="1" a="1"/>
  <c r="W573" i="1" s="1"/>
  <c r="W574" i="1" a="1"/>
  <c r="W574" i="1" s="1"/>
  <c r="W575" i="1" a="1"/>
  <c r="W575" i="1" s="1"/>
  <c r="W576" i="1" a="1"/>
  <c r="W576" i="1" s="1"/>
  <c r="W577" i="1" a="1"/>
  <c r="W577" i="1" s="1"/>
  <c r="W578" i="1" a="1"/>
  <c r="W578" i="1" s="1"/>
  <c r="W579" i="1" a="1"/>
  <c r="W579" i="1" s="1"/>
  <c r="W580" i="1" a="1"/>
  <c r="W580" i="1" s="1"/>
  <c r="W581" i="1" a="1"/>
  <c r="W581" i="1" s="1"/>
  <c r="W582" i="1" a="1"/>
  <c r="W582" i="1"/>
  <c r="W583" i="1" a="1"/>
  <c r="W583" i="1" s="1"/>
  <c r="W584" i="1" a="1"/>
  <c r="W584" i="1" s="1"/>
  <c r="W585" i="1" a="1"/>
  <c r="W585" i="1" s="1"/>
  <c r="W586" i="1" a="1"/>
  <c r="W586" i="1" s="1"/>
  <c r="W587" i="1" a="1"/>
  <c r="W587" i="1" s="1"/>
  <c r="W588" i="1" a="1"/>
  <c r="W588" i="1" s="1"/>
  <c r="W589" i="1" a="1"/>
  <c r="W589" i="1" s="1"/>
  <c r="W590" i="1" a="1"/>
  <c r="W590" i="1" s="1"/>
  <c r="W591" i="1" a="1"/>
  <c r="W591" i="1" s="1"/>
  <c r="W592" i="1" a="1"/>
  <c r="W592" i="1" s="1"/>
  <c r="W593" i="1" a="1"/>
  <c r="W593" i="1" s="1"/>
  <c r="W594" i="1" a="1"/>
  <c r="W594" i="1" s="1"/>
  <c r="W595" i="1" a="1"/>
  <c r="W595" i="1" s="1"/>
  <c r="W596" i="1" a="1"/>
  <c r="W596" i="1" s="1"/>
  <c r="W597" i="1" a="1"/>
  <c r="W597" i="1" s="1"/>
  <c r="W598" i="1" a="1"/>
  <c r="W598" i="1" s="1"/>
  <c r="W599" i="1" a="1"/>
  <c r="W599" i="1" s="1"/>
  <c r="W600" i="1" a="1"/>
  <c r="W600" i="1"/>
  <c r="W601" i="1" a="1"/>
  <c r="W601" i="1" s="1"/>
  <c r="W602" i="1" a="1"/>
  <c r="W602" i="1"/>
  <c r="W603" i="1" a="1"/>
  <c r="W603" i="1" s="1"/>
  <c r="W604" i="1" a="1"/>
  <c r="W604" i="1" s="1"/>
  <c r="W605" i="1" a="1"/>
  <c r="W605" i="1" s="1"/>
  <c r="W606" i="1" a="1"/>
  <c r="W606" i="1" s="1"/>
  <c r="W607" i="1" a="1"/>
  <c r="W607" i="1" s="1"/>
  <c r="W608" i="1" a="1"/>
  <c r="W608" i="1" s="1"/>
  <c r="W609" i="1" a="1"/>
  <c r="W609" i="1" s="1"/>
  <c r="W610" i="1" a="1"/>
  <c r="W610" i="1" s="1"/>
  <c r="W611" i="1" a="1"/>
  <c r="W611" i="1" s="1"/>
  <c r="W612" i="1" a="1"/>
  <c r="W612" i="1" s="1"/>
  <c r="W613" i="1" a="1"/>
  <c r="W613" i="1" s="1"/>
  <c r="W614" i="1" a="1"/>
  <c r="W614" i="1" s="1"/>
  <c r="W615" i="1" a="1"/>
  <c r="W615" i="1" s="1"/>
  <c r="W616" i="1" a="1"/>
  <c r="W616" i="1" s="1"/>
  <c r="W617" i="1" a="1"/>
  <c r="W617" i="1" s="1"/>
  <c r="W618" i="1" a="1"/>
  <c r="W618" i="1" s="1"/>
  <c r="W619" i="1" a="1"/>
  <c r="W619" i="1" s="1"/>
  <c r="W620" i="1" a="1"/>
  <c r="W620" i="1" s="1"/>
  <c r="W621" i="1" a="1"/>
  <c r="W621" i="1" s="1"/>
  <c r="W622" i="1" a="1"/>
  <c r="W622" i="1"/>
  <c r="W623" i="1" a="1"/>
  <c r="W623" i="1"/>
  <c r="W624" i="1" a="1"/>
  <c r="W624" i="1" s="1"/>
  <c r="W625" i="1" a="1"/>
  <c r="W625" i="1" s="1"/>
  <c r="W626" i="1" a="1"/>
  <c r="W626" i="1" s="1"/>
  <c r="W627" i="1" a="1"/>
  <c r="W627" i="1" s="1"/>
  <c r="W628" i="1" a="1"/>
  <c r="W628" i="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s="1"/>
  <c r="W668" i="1" a="1"/>
  <c r="W668" i="1" s="1"/>
  <c r="W669" i="1" a="1"/>
  <c r="W669" i="1" s="1"/>
  <c r="W670" i="1" a="1"/>
  <c r="W670" i="1" s="1"/>
  <c r="W671" i="1" a="1"/>
  <c r="W671" i="1" s="1"/>
  <c r="W672" i="1" a="1"/>
  <c r="W672" i="1"/>
  <c r="W673" i="1" a="1"/>
  <c r="W673" i="1" s="1"/>
  <c r="W674" i="1" a="1"/>
  <c r="W674" i="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c r="W705" i="1" a="1"/>
  <c r="W705" i="1" s="1"/>
  <c r="W706" i="1" a="1"/>
  <c r="W706" i="1" s="1"/>
  <c r="W707" i="1" a="1"/>
  <c r="W707" i="1" s="1"/>
  <c r="W708" i="1" a="1"/>
  <c r="W708" i="1" s="1"/>
  <c r="W709" i="1" a="1"/>
  <c r="W709" i="1" s="1"/>
  <c r="W710" i="1" a="1"/>
  <c r="W710" i="1" s="1"/>
  <c r="W711" i="1" a="1"/>
  <c r="W711" i="1"/>
  <c r="W712" i="1" a="1"/>
  <c r="W712" i="1" s="1"/>
  <c r="W713" i="1" a="1"/>
  <c r="W713" i="1" s="1"/>
  <c r="W714" i="1" a="1"/>
  <c r="W714" i="1" s="1"/>
  <c r="W715" i="1" a="1"/>
  <c r="W715" i="1" s="1"/>
  <c r="W716" i="1" a="1"/>
  <c r="W716" i="1" s="1"/>
  <c r="W717" i="1" a="1"/>
  <c r="W717" i="1" s="1"/>
  <c r="W718" i="1" a="1"/>
  <c r="W718" i="1" s="1"/>
  <c r="W719" i="1" a="1"/>
  <c r="W719" i="1"/>
  <c r="W720" i="1" a="1"/>
  <c r="W720" i="1" s="1"/>
  <c r="W721" i="1" a="1"/>
  <c r="W721" i="1" s="1"/>
  <c r="W722" i="1" a="1"/>
  <c r="W722" i="1" s="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s="1"/>
  <c r="W737" i="1" a="1"/>
  <c r="W737" i="1" s="1"/>
  <c r="W738" i="1" a="1"/>
  <c r="W738" i="1" s="1"/>
  <c r="W739" i="1" a="1"/>
  <c r="W739" i="1" s="1"/>
  <c r="W740" i="1" a="1"/>
  <c r="W740" i="1" s="1"/>
  <c r="W741" i="1" a="1"/>
  <c r="W741" i="1" s="1"/>
  <c r="W742" i="1" a="1"/>
  <c r="W742" i="1"/>
  <c r="W743" i="1" a="1"/>
  <c r="W743" i="1" s="1"/>
  <c r="W744" i="1" a="1"/>
  <c r="W744" i="1" s="1"/>
  <c r="W745" i="1" a="1"/>
  <c r="W745" i="1" s="1"/>
  <c r="W746" i="1" a="1"/>
  <c r="W746" i="1" s="1"/>
  <c r="W747" i="1" a="1"/>
  <c r="W747" i="1" s="1"/>
  <c r="W748" i="1" a="1"/>
  <c r="W748" i="1" s="1"/>
  <c r="W749" i="1" a="1"/>
  <c r="W749" i="1" s="1"/>
  <c r="W750" i="1" a="1"/>
  <c r="W750" i="1" s="1"/>
  <c r="W751" i="1" a="1"/>
  <c r="W751" i="1" s="1"/>
  <c r="W752" i="1" a="1"/>
  <c r="W752" i="1" s="1"/>
  <c r="W753" i="1" a="1"/>
  <c r="W753" i="1" s="1"/>
  <c r="W754" i="1" a="1"/>
  <c r="W754" i="1" s="1"/>
  <c r="W755" i="1" a="1"/>
  <c r="W755" i="1" s="1"/>
  <c r="W756" i="1" a="1"/>
  <c r="W756" i="1" s="1"/>
  <c r="W757" i="1" a="1"/>
  <c r="W757" i="1" s="1"/>
  <c r="W758" i="1" a="1"/>
  <c r="W758" i="1"/>
  <c r="W759" i="1" a="1"/>
  <c r="W759" i="1" s="1"/>
  <c r="W760" i="1" a="1"/>
  <c r="W760" i="1" s="1"/>
  <c r="W761" i="1" a="1"/>
  <c r="W761" i="1" s="1"/>
  <c r="W762" i="1" a="1"/>
  <c r="W762" i="1" s="1"/>
  <c r="W763" i="1" a="1"/>
  <c r="W763" i="1" s="1"/>
  <c r="W764" i="1" a="1"/>
  <c r="W764" i="1" s="1"/>
  <c r="W765" i="1" a="1"/>
  <c r="W765" i="1" s="1"/>
  <c r="W766" i="1" a="1"/>
  <c r="W766" i="1" s="1"/>
  <c r="W767" i="1" a="1"/>
  <c r="W767" i="1"/>
  <c r="W768" i="1" a="1"/>
  <c r="W768" i="1" s="1"/>
  <c r="W769" i="1" a="1"/>
  <c r="W769" i="1" s="1"/>
  <c r="W770" i="1" a="1"/>
  <c r="W770" i="1" s="1"/>
  <c r="W771" i="1" a="1"/>
  <c r="W771" i="1" s="1"/>
  <c r="W772" i="1" a="1"/>
  <c r="W772" i="1" s="1"/>
  <c r="W773" i="1" a="1"/>
  <c r="W773" i="1" s="1"/>
  <c r="W774" i="1" a="1"/>
  <c r="W774" i="1" s="1"/>
  <c r="W775" i="1" a="1"/>
  <c r="W775" i="1" s="1"/>
  <c r="W776" i="1" a="1"/>
  <c r="W776" i="1" s="1"/>
  <c r="W777" i="1" a="1"/>
  <c r="W777" i="1" s="1"/>
  <c r="W778" i="1" a="1"/>
  <c r="W778" i="1" s="1"/>
  <c r="W779" i="1" a="1"/>
  <c r="W779" i="1" s="1"/>
  <c r="W780" i="1" a="1"/>
  <c r="W780" i="1" s="1"/>
  <c r="W781" i="1" a="1"/>
  <c r="W781" i="1" s="1"/>
  <c r="W782" i="1" a="1"/>
  <c r="W782" i="1" s="1"/>
  <c r="W783" i="1" a="1"/>
  <c r="W783" i="1" s="1"/>
  <c r="W784" i="1" a="1"/>
  <c r="W784" i="1" s="1"/>
  <c r="W785" i="1" a="1"/>
  <c r="W785" i="1" s="1"/>
  <c r="W786" i="1" a="1"/>
  <c r="W786" i="1" s="1"/>
  <c r="W787" i="1" a="1"/>
  <c r="W787" i="1" s="1"/>
  <c r="W788" i="1" a="1"/>
  <c r="W788" i="1" s="1"/>
  <c r="W789" i="1" a="1"/>
  <c r="W789" i="1" s="1"/>
  <c r="W790" i="1" a="1"/>
  <c r="W790" i="1" s="1"/>
  <c r="W791" i="1" a="1"/>
  <c r="W791" i="1" s="1"/>
  <c r="W792" i="1" a="1"/>
  <c r="W792" i="1" s="1"/>
  <c r="W793" i="1" a="1"/>
  <c r="W793" i="1" s="1"/>
  <c r="W794" i="1" a="1"/>
  <c r="W794" i="1" s="1"/>
  <c r="W795" i="1" a="1"/>
  <c r="W795" i="1" s="1"/>
  <c r="W796" i="1" a="1"/>
  <c r="W796" i="1" s="1"/>
  <c r="W797" i="1" a="1"/>
  <c r="W797" i="1" s="1"/>
  <c r="W798" i="1" a="1"/>
  <c r="W798" i="1" s="1"/>
  <c r="W799" i="1" a="1"/>
  <c r="W799" i="1" s="1"/>
  <c r="W800" i="1" a="1"/>
  <c r="W800" i="1" s="1"/>
  <c r="W801" i="1" a="1"/>
  <c r="W801" i="1" s="1"/>
  <c r="W802" i="1" a="1"/>
  <c r="W802" i="1" s="1"/>
  <c r="W803" i="1" a="1"/>
  <c r="W803" i="1" s="1"/>
  <c r="W804" i="1" a="1"/>
  <c r="W804" i="1" s="1"/>
  <c r="W805" i="1" a="1"/>
  <c r="W805" i="1" s="1"/>
  <c r="W806" i="1" a="1"/>
  <c r="W806" i="1" s="1"/>
  <c r="W807" i="1" a="1"/>
  <c r="W807" i="1" s="1"/>
  <c r="W808" i="1" a="1"/>
  <c r="W808" i="1" s="1"/>
  <c r="W809" i="1" a="1"/>
  <c r="W809" i="1" s="1"/>
  <c r="W810" i="1" a="1"/>
  <c r="W810" i="1" s="1"/>
  <c r="W811" i="1" a="1"/>
  <c r="W811" i="1" s="1"/>
  <c r="W812" i="1" a="1"/>
  <c r="W812" i="1" s="1"/>
  <c r="W813" i="1" a="1"/>
  <c r="W813" i="1" s="1"/>
  <c r="W814" i="1" a="1"/>
  <c r="W814" i="1" s="1"/>
  <c r="W815" i="1" a="1"/>
  <c r="W815" i="1" s="1"/>
  <c r="W816" i="1" a="1"/>
  <c r="W816" i="1" s="1"/>
  <c r="W817" i="1" a="1"/>
  <c r="W817" i="1" s="1"/>
  <c r="W818" i="1" a="1"/>
  <c r="W818" i="1" s="1"/>
  <c r="W819" i="1" a="1"/>
  <c r="W819" i="1" s="1"/>
  <c r="W820" i="1" a="1"/>
  <c r="W820" i="1" s="1"/>
  <c r="W821" i="1" a="1"/>
  <c r="W821" i="1" s="1"/>
  <c r="W822" i="1" a="1"/>
  <c r="W822" i="1" s="1"/>
  <c r="W823" i="1" a="1"/>
  <c r="W823" i="1" s="1"/>
  <c r="W824" i="1" a="1"/>
  <c r="W824" i="1" s="1"/>
  <c r="W825" i="1" a="1"/>
  <c r="W825" i="1" s="1"/>
  <c r="W826" i="1" a="1"/>
  <c r="W826" i="1" s="1"/>
  <c r="W827" i="1" a="1"/>
  <c r="W827" i="1" s="1"/>
  <c r="W828" i="1" a="1"/>
  <c r="W828" i="1" s="1"/>
  <c r="W829" i="1" a="1"/>
  <c r="W829" i="1" s="1"/>
  <c r="W830" i="1" a="1"/>
  <c r="W830" i="1" s="1"/>
  <c r="W831" i="1" a="1"/>
  <c r="W831" i="1" s="1"/>
  <c r="W832" i="1" a="1"/>
  <c r="W832" i="1" s="1"/>
  <c r="W833" i="1" a="1"/>
  <c r="W833" i="1" s="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s="1"/>
  <c r="W848" i="1" a="1"/>
  <c r="W848" i="1" s="1"/>
  <c r="W849" i="1" a="1"/>
  <c r="W849" i="1" s="1"/>
  <c r="W850" i="1" a="1"/>
  <c r="W850" i="1" s="1"/>
  <c r="W851" i="1" a="1"/>
  <c r="W851" i="1" s="1"/>
  <c r="W852" i="1" a="1"/>
  <c r="W852" i="1" s="1"/>
  <c r="W853" i="1" a="1"/>
  <c r="W853" i="1" s="1"/>
  <c r="W854" i="1" a="1"/>
  <c r="W854" i="1" s="1"/>
  <c r="W855" i="1" a="1"/>
  <c r="W855" i="1" s="1"/>
  <c r="W856" i="1" a="1"/>
  <c r="W856" i="1" s="1"/>
  <c r="W857" i="1" a="1"/>
  <c r="W857" i="1" s="1"/>
  <c r="W858" i="1" a="1"/>
  <c r="W858" i="1" s="1"/>
  <c r="W859" i="1" a="1"/>
  <c r="W859" i="1" s="1"/>
  <c r="W860" i="1" a="1"/>
  <c r="W860" i="1" s="1"/>
  <c r="W861" i="1" a="1"/>
  <c r="W861" i="1" s="1"/>
  <c r="W862" i="1" a="1"/>
  <c r="W862" i="1" s="1"/>
  <c r="W863" i="1" a="1"/>
  <c r="W863" i="1"/>
  <c r="W864" i="1" a="1"/>
  <c r="W864" i="1" s="1"/>
  <c r="W865" i="1" a="1"/>
  <c r="W865" i="1" s="1"/>
  <c r="W866" i="1" a="1"/>
  <c r="W866" i="1" s="1"/>
  <c r="W867" i="1" a="1"/>
  <c r="W867" i="1" s="1"/>
  <c r="W868" i="1" a="1"/>
  <c r="W868" i="1" s="1"/>
  <c r="W869" i="1" a="1"/>
  <c r="W869" i="1" s="1"/>
  <c r="W870" i="1" a="1"/>
  <c r="W870" i="1" s="1"/>
  <c r="W871" i="1" a="1"/>
  <c r="W871" i="1" s="1"/>
  <c r="W872" i="1" a="1"/>
  <c r="W872" i="1" s="1"/>
  <c r="W873" i="1" a="1"/>
  <c r="W873" i="1" s="1"/>
  <c r="W874" i="1" a="1"/>
  <c r="W874" i="1" s="1"/>
  <c r="W875" i="1" a="1"/>
  <c r="W875" i="1" s="1"/>
  <c r="W876" i="1" a="1"/>
  <c r="W876" i="1" s="1"/>
  <c r="W877" i="1" a="1"/>
  <c r="W877" i="1" s="1"/>
  <c r="W878" i="1" a="1"/>
  <c r="W878" i="1" s="1"/>
  <c r="W879" i="1" a="1"/>
  <c r="W879" i="1" s="1"/>
  <c r="W880" i="1" a="1"/>
  <c r="W880" i="1" s="1"/>
  <c r="W881" i="1" a="1"/>
  <c r="W881" i="1" s="1"/>
  <c r="W882" i="1" a="1"/>
  <c r="W882" i="1" s="1"/>
  <c r="W883" i="1" a="1"/>
  <c r="W883" i="1" s="1"/>
  <c r="W884" i="1" a="1"/>
  <c r="W884" i="1" s="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s="1"/>
  <c r="W896" i="1" a="1"/>
  <c r="W896" i="1" s="1"/>
  <c r="W897" i="1" a="1"/>
  <c r="W897" i="1" s="1"/>
  <c r="W898" i="1" a="1"/>
  <c r="W898" i="1" s="1"/>
  <c r="W899" i="1" a="1"/>
  <c r="W899" i="1" s="1"/>
  <c r="W900" i="1" a="1"/>
  <c r="W900" i="1" s="1"/>
  <c r="W901" i="1" a="1"/>
  <c r="W901" i="1" s="1"/>
  <c r="W902" i="1" a="1"/>
  <c r="W902" i="1" s="1"/>
  <c r="W903" i="1" a="1"/>
  <c r="W903" i="1" s="1"/>
  <c r="W904" i="1" a="1"/>
  <c r="W904" i="1" s="1"/>
  <c r="W905" i="1" a="1"/>
  <c r="W905" i="1" s="1"/>
  <c r="W906" i="1" a="1"/>
  <c r="W906" i="1" s="1"/>
  <c r="W907" i="1" a="1"/>
  <c r="W907" i="1" s="1"/>
  <c r="W908" i="1" a="1"/>
  <c r="W908" i="1" s="1"/>
  <c r="W909" i="1" a="1"/>
  <c r="W909" i="1" s="1"/>
  <c r="W910" i="1" a="1"/>
  <c r="W910" i="1" s="1"/>
  <c r="W911" i="1" a="1"/>
  <c r="W911" i="1" s="1"/>
  <c r="W912" i="1" a="1"/>
  <c r="W912" i="1" s="1"/>
  <c r="W913" i="1" a="1"/>
  <c r="W913" i="1" s="1"/>
  <c r="W914" i="1" a="1"/>
  <c r="W914" i="1" s="1"/>
  <c r="W915" i="1" a="1"/>
  <c r="W915" i="1" s="1"/>
  <c r="W916" i="1" a="1"/>
  <c r="W916" i="1" s="1"/>
  <c r="W917" i="1" a="1"/>
  <c r="W917" i="1" s="1"/>
  <c r="W918" i="1" a="1"/>
  <c r="W918" i="1" s="1"/>
  <c r="W919" i="1" a="1"/>
  <c r="W919" i="1" s="1"/>
  <c r="W920" i="1" a="1"/>
  <c r="W920" i="1" s="1"/>
  <c r="W921" i="1" a="1"/>
  <c r="W921" i="1" s="1"/>
  <c r="W922" i="1" a="1"/>
  <c r="W922" i="1" s="1"/>
  <c r="W923" i="1" a="1"/>
  <c r="W923" i="1" s="1"/>
  <c r="W924" i="1" a="1"/>
  <c r="W924" i="1" s="1"/>
  <c r="W925" i="1" a="1"/>
  <c r="W925" i="1" s="1"/>
  <c r="W926" i="1" a="1"/>
  <c r="W926" i="1" s="1"/>
  <c r="W927" i="1" a="1"/>
  <c r="W927" i="1" s="1"/>
  <c r="W928" i="1" a="1"/>
  <c r="W928" i="1" s="1"/>
  <c r="W929" i="1" a="1"/>
  <c r="W929" i="1" s="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s="1"/>
  <c r="W945" i="1" a="1"/>
  <c r="W945" i="1" s="1"/>
  <c r="W946" i="1" a="1"/>
  <c r="W946" i="1" s="1"/>
  <c r="W947" i="1" a="1"/>
  <c r="W947" i="1" s="1"/>
  <c r="W948" i="1" a="1"/>
  <c r="W948" i="1" s="1"/>
  <c r="W949" i="1" a="1"/>
  <c r="W949" i="1" s="1"/>
  <c r="W950" i="1" a="1"/>
  <c r="W950" i="1" s="1"/>
  <c r="W951" i="1" a="1"/>
  <c r="W951" i="1" s="1"/>
  <c r="W952" i="1" a="1"/>
  <c r="W952" i="1" s="1"/>
  <c r="W953" i="1" a="1"/>
  <c r="W953" i="1"/>
  <c r="W954" i="1" a="1"/>
  <c r="W954" i="1" s="1"/>
  <c r="W955" i="1" a="1"/>
  <c r="W955" i="1" s="1"/>
  <c r="W956" i="1" a="1"/>
  <c r="W956" i="1" s="1"/>
  <c r="W957" i="1" a="1"/>
  <c r="W957" i="1" s="1"/>
  <c r="W958" i="1" a="1"/>
  <c r="W958" i="1" s="1"/>
  <c r="W959" i="1" a="1"/>
  <c r="W959" i="1" s="1"/>
  <c r="W960" i="1" a="1"/>
  <c r="W960" i="1" s="1"/>
  <c r="W961" i="1" a="1"/>
  <c r="W961" i="1" s="1"/>
  <c r="W962" i="1" a="1"/>
  <c r="W962" i="1" s="1"/>
  <c r="W963" i="1" a="1"/>
  <c r="W963" i="1" s="1"/>
  <c r="W964" i="1" a="1"/>
  <c r="W964" i="1" s="1"/>
  <c r="W965" i="1" a="1"/>
  <c r="W965" i="1" s="1"/>
  <c r="W966" i="1" a="1"/>
  <c r="W966" i="1" s="1"/>
  <c r="W967" i="1" a="1"/>
  <c r="W967" i="1" s="1"/>
  <c r="W968" i="1" a="1"/>
  <c r="W968" i="1" s="1"/>
  <c r="W969" i="1" a="1"/>
  <c r="W969" i="1" s="1"/>
  <c r="W970" i="1" a="1"/>
  <c r="W970" i="1" s="1"/>
  <c r="W971" i="1" a="1"/>
  <c r="W971" i="1" s="1"/>
  <c r="W972" i="1" a="1"/>
  <c r="W972" i="1" s="1"/>
  <c r="W973" i="1" a="1"/>
  <c r="W973" i="1" s="1"/>
  <c r="W974" i="1" a="1"/>
  <c r="W974" i="1" s="1"/>
  <c r="W975" i="1" a="1"/>
  <c r="W975" i="1" s="1"/>
  <c r="W976" i="1" a="1"/>
  <c r="W976" i="1" s="1"/>
  <c r="W977" i="1" a="1"/>
  <c r="W977" i="1" s="1"/>
  <c r="W978" i="1" a="1"/>
  <c r="W978" i="1" s="1"/>
  <c r="W979" i="1" a="1"/>
  <c r="W979" i="1" s="1"/>
  <c r="W980" i="1" a="1"/>
  <c r="W980" i="1" s="1"/>
  <c r="W981" i="1" a="1"/>
  <c r="W981" i="1" s="1"/>
  <c r="W982" i="1" a="1"/>
  <c r="W982" i="1" s="1"/>
  <c r="W983" i="1" a="1"/>
  <c r="W983" i="1" s="1"/>
  <c r="W984" i="1" a="1"/>
  <c r="W984" i="1" s="1"/>
  <c r="W985" i="1" a="1"/>
  <c r="W985" i="1" s="1"/>
  <c r="W986" i="1" a="1"/>
  <c r="W986" i="1" s="1"/>
  <c r="W987" i="1" a="1"/>
  <c r="W987" i="1" s="1"/>
  <c r="W988" i="1" a="1"/>
  <c r="W988" i="1" s="1"/>
  <c r="W989" i="1" a="1"/>
  <c r="W989" i="1" s="1"/>
  <c r="W990" i="1" a="1"/>
  <c r="W990" i="1" s="1"/>
  <c r="W991" i="1" a="1"/>
  <c r="W991" i="1" s="1"/>
  <c r="W992" i="1" a="1"/>
  <c r="W992" i="1" s="1"/>
  <c r="W993" i="1" a="1"/>
  <c r="W993" i="1" s="1"/>
  <c r="W994" i="1" a="1"/>
  <c r="W994" i="1" s="1"/>
  <c r="W995" i="1" a="1"/>
  <c r="W995" i="1" s="1"/>
  <c r="W996" i="1" a="1"/>
  <c r="W996" i="1" s="1"/>
  <c r="W997" i="1" a="1"/>
  <c r="W997" i="1" s="1"/>
  <c r="W998" i="1" a="1"/>
  <c r="W998" i="1" s="1"/>
  <c r="W999" i="1" a="1"/>
  <c r="W999" i="1" s="1"/>
  <c r="W1000" i="1" a="1"/>
  <c r="W1000" i="1" s="1"/>
  <c r="W1001" i="1" a="1"/>
  <c r="W1001" i="1" s="1"/>
  <c r="W1002" i="1" a="1"/>
  <c r="W1002" i="1" s="1"/>
  <c r="W1003" i="1" a="1"/>
  <c r="W1003" i="1" s="1"/>
  <c r="W1004" i="1" a="1"/>
  <c r="W1004" i="1" s="1"/>
  <c r="W1005" i="1" a="1"/>
  <c r="W1005" i="1" s="1"/>
  <c r="W1006" i="1" a="1"/>
  <c r="W1006" i="1" s="1"/>
  <c r="W1007" i="1" a="1"/>
  <c r="W1007" i="1" s="1"/>
  <c r="W1008" i="1" a="1"/>
  <c r="W1008" i="1" s="1"/>
  <c r="W1009" i="1" a="1"/>
  <c r="W1009" i="1" s="1"/>
  <c r="W1010" i="1" a="1"/>
  <c r="W1010" i="1" s="1"/>
  <c r="W1011" i="1" a="1"/>
  <c r="W1011" i="1" s="1"/>
  <c r="W1012" i="1" a="1"/>
  <c r="W1012" i="1" s="1"/>
  <c r="W1013" i="1" a="1"/>
  <c r="W1013" i="1" s="1"/>
  <c r="W1014" i="1" a="1"/>
  <c r="W1014" i="1" s="1"/>
  <c r="W1015" i="1" a="1"/>
  <c r="W1015" i="1" s="1"/>
  <c r="W1016" i="1" a="1"/>
  <c r="W1016" i="1" s="1"/>
  <c r="W1017" i="1" a="1"/>
  <c r="W1017" i="1" s="1"/>
  <c r="W1018" i="1" a="1"/>
  <c r="W1018" i="1" s="1"/>
  <c r="W1019" i="1" a="1"/>
  <c r="W1019" i="1" s="1"/>
  <c r="W1020" i="1" a="1"/>
  <c r="W1020" i="1" s="1"/>
  <c r="W1021" i="1" a="1"/>
  <c r="W1021" i="1" s="1"/>
  <c r="W1022" i="1" a="1"/>
  <c r="W1022" i="1" s="1"/>
  <c r="W1023" i="1" a="1"/>
  <c r="W1023" i="1" s="1"/>
  <c r="W1024" i="1" a="1"/>
  <c r="W1024" i="1" s="1"/>
  <c r="W1025" i="1" a="1"/>
  <c r="W1025" i="1" s="1"/>
  <c r="W1026" i="1" a="1"/>
  <c r="W1026" i="1" s="1"/>
  <c r="W1027" i="1" a="1"/>
  <c r="W1027" i="1" s="1"/>
  <c r="W1028" i="1" a="1"/>
  <c r="W1028" i="1" s="1"/>
  <c r="W1029" i="1" a="1"/>
  <c r="W1029" i="1" s="1"/>
  <c r="W1030" i="1" a="1"/>
  <c r="W1030" i="1" s="1"/>
  <c r="W1031" i="1" a="1"/>
  <c r="W1031" i="1" s="1"/>
  <c r="W1032" i="1" a="1"/>
  <c r="W1032" i="1" s="1"/>
  <c r="W1033" i="1" a="1"/>
  <c r="W1033" i="1" s="1"/>
  <c r="W1034" i="1" a="1"/>
  <c r="W1034" i="1" s="1"/>
  <c r="W1035" i="1" a="1"/>
  <c r="W1035" i="1" s="1"/>
  <c r="W1036" i="1" a="1"/>
  <c r="W1036" i="1" s="1"/>
  <c r="W1037" i="1" a="1"/>
  <c r="W1037" i="1" s="1"/>
  <c r="W1038" i="1" a="1"/>
  <c r="W1038" i="1" s="1"/>
  <c r="W1039" i="1" a="1"/>
  <c r="W1039" i="1" s="1"/>
  <c r="W1040" i="1" a="1"/>
  <c r="W1040" i="1" s="1"/>
  <c r="W1041" i="1" a="1"/>
  <c r="W1041" i="1" s="1"/>
  <c r="W1042" i="1" a="1"/>
  <c r="W1042" i="1" s="1"/>
  <c r="W1043" i="1" a="1"/>
  <c r="W1043" i="1" s="1"/>
  <c r="W1044" i="1" a="1"/>
  <c r="W1044" i="1" s="1"/>
  <c r="W1045" i="1" a="1"/>
  <c r="W1045" i="1" s="1"/>
  <c r="W1046" i="1" a="1"/>
  <c r="W1046" i="1" s="1"/>
  <c r="W1047" i="1" a="1"/>
  <c r="W1047" i="1" s="1"/>
  <c r="W1048" i="1" a="1"/>
  <c r="W1048" i="1" s="1"/>
  <c r="W1049" i="1" a="1"/>
  <c r="W1049" i="1" s="1"/>
  <c r="W1050" i="1" a="1"/>
  <c r="W1050" i="1" s="1"/>
  <c r="W1051" i="1" a="1"/>
  <c r="W1051" i="1" s="1"/>
  <c r="W1052" i="1" a="1"/>
  <c r="W1052" i="1" s="1"/>
  <c r="W1053" i="1" a="1"/>
  <c r="W1053" i="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s="1"/>
  <c r="W1066" i="1" a="1"/>
  <c r="W1066" i="1" s="1"/>
  <c r="W1067" i="1" a="1"/>
  <c r="W1067" i="1"/>
  <c r="W1068" i="1" a="1"/>
  <c r="W1068" i="1" s="1"/>
  <c r="W1069" i="1" a="1"/>
  <c r="W1069" i="1" s="1"/>
  <c r="W1070" i="1" a="1"/>
  <c r="W1070" i="1" s="1"/>
  <c r="W1071" i="1" a="1"/>
  <c r="W1071" i="1"/>
  <c r="W1072" i="1" a="1"/>
  <c r="W1072" i="1" s="1"/>
  <c r="W1073" i="1" a="1"/>
  <c r="W1073" i="1" s="1"/>
  <c r="W1074" i="1" a="1"/>
  <c r="W1074" i="1" s="1"/>
  <c r="W1075" i="1" a="1"/>
  <c r="W1075" i="1" s="1"/>
  <c r="W1076" i="1" a="1"/>
  <c r="W1076" i="1" s="1"/>
  <c r="W1077" i="1" a="1"/>
  <c r="W1077" i="1" s="1"/>
  <c r="W1078" i="1" a="1"/>
  <c r="W1078" i="1" s="1"/>
  <c r="W1079" i="1" a="1"/>
  <c r="W1079" i="1" s="1"/>
  <c r="W1080" i="1" a="1"/>
  <c r="W1080" i="1" s="1"/>
  <c r="W1081" i="1" a="1"/>
  <c r="W1081" i="1" s="1"/>
  <c r="W1082" i="1" a="1"/>
  <c r="W1082" i="1" s="1"/>
  <c r="W1083" i="1" a="1"/>
  <c r="W1083" i="1" s="1"/>
  <c r="W1084" i="1" a="1"/>
  <c r="W1084" i="1" s="1"/>
  <c r="W1085" i="1" a="1"/>
  <c r="W1085" i="1" s="1"/>
  <c r="W1086" i="1" a="1"/>
  <c r="W1086" i="1" s="1"/>
  <c r="W1087" i="1" a="1"/>
  <c r="W1087" i="1" s="1"/>
  <c r="W1088" i="1" a="1"/>
  <c r="W1088" i="1" s="1"/>
  <c r="W1089" i="1" a="1"/>
  <c r="W1089" i="1" s="1"/>
  <c r="W1090" i="1" a="1"/>
  <c r="W1090" i="1" s="1"/>
  <c r="W1091" i="1" a="1"/>
  <c r="W1091" i="1" s="1"/>
  <c r="W1092" i="1" a="1"/>
  <c r="W1092" i="1" s="1"/>
  <c r="W1093" i="1" a="1"/>
  <c r="W1093" i="1" s="1"/>
  <c r="W1094" i="1" a="1"/>
  <c r="W1094" i="1" s="1"/>
  <c r="W1095" i="1" a="1"/>
  <c r="W1095" i="1" s="1"/>
  <c r="W1096" i="1" a="1"/>
  <c r="W1096" i="1" s="1"/>
  <c r="W1097" i="1" a="1"/>
  <c r="W1097" i="1" s="1"/>
  <c r="W1098" i="1" a="1"/>
  <c r="W1098" i="1" s="1"/>
  <c r="W1099" i="1" a="1"/>
  <c r="W1099" i="1" s="1"/>
  <c r="W1100" i="1" a="1"/>
  <c r="W1100" i="1" s="1"/>
  <c r="W1101" i="1" a="1"/>
  <c r="W1101" i="1" s="1"/>
  <c r="W1102" i="1" a="1"/>
  <c r="W1102" i="1" s="1"/>
  <c r="W1103" i="1" a="1"/>
  <c r="W1103" i="1" s="1"/>
  <c r="W1104" i="1" a="1"/>
  <c r="W1104" i="1" s="1"/>
  <c r="W1105" i="1" a="1"/>
  <c r="W1105" i="1" s="1"/>
  <c r="W1106" i="1" a="1"/>
  <c r="W1106" i="1" s="1"/>
  <c r="W1107" i="1" a="1"/>
  <c r="W1107" i="1" s="1"/>
  <c r="W1108" i="1" a="1"/>
  <c r="W1108" i="1" s="1"/>
  <c r="W1109" i="1" a="1"/>
  <c r="W1109" i="1" s="1"/>
  <c r="W1110" i="1" a="1"/>
  <c r="W1110" i="1" s="1"/>
  <c r="W1111" i="1" a="1"/>
  <c r="W1111" i="1" s="1"/>
  <c r="W1112" i="1" a="1"/>
  <c r="W1112" i="1" s="1"/>
  <c r="W1113" i="1" a="1"/>
  <c r="W1113" i="1" s="1"/>
  <c r="W1114" i="1" a="1"/>
  <c r="W1114" i="1" s="1"/>
  <c r="W1115" i="1" a="1"/>
  <c r="W1115" i="1" s="1"/>
  <c r="W1116" i="1" a="1"/>
  <c r="W1116" i="1" s="1"/>
  <c r="W1117" i="1" a="1"/>
  <c r="W1117" i="1" s="1"/>
  <c r="W1118" i="1" a="1"/>
  <c r="W1118" i="1" s="1"/>
  <c r="W1119" i="1" a="1"/>
  <c r="W1119" i="1"/>
  <c r="W1120" i="1" a="1"/>
  <c r="W1120" i="1" s="1"/>
  <c r="W1121" i="1" a="1"/>
  <c r="W1121" i="1" s="1"/>
  <c r="W1122" i="1" a="1"/>
  <c r="W1122" i="1" s="1"/>
  <c r="W1123" i="1" a="1"/>
  <c r="W1123" i="1" s="1"/>
  <c r="W1124" i="1" a="1"/>
  <c r="W1124" i="1" s="1"/>
  <c r="W1125" i="1" a="1"/>
  <c r="W1125" i="1" s="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s="1"/>
  <c r="W1136" i="1" a="1"/>
  <c r="W1136" i="1" s="1"/>
  <c r="W1137" i="1" a="1"/>
  <c r="W1137" i="1" s="1"/>
  <c r="W1138" i="1" a="1"/>
  <c r="W1138" i="1" s="1"/>
  <c r="W1139" i="1" a="1"/>
  <c r="W1139" i="1" s="1"/>
  <c r="W1140" i="1" a="1"/>
  <c r="W1140" i="1" s="1"/>
  <c r="W1141" i="1" a="1"/>
  <c r="W1141" i="1" s="1"/>
  <c r="W1142" i="1" a="1"/>
  <c r="W1142" i="1" s="1"/>
  <c r="W1143" i="1" a="1"/>
  <c r="W1143" i="1" s="1"/>
  <c r="W1144" i="1" a="1"/>
  <c r="W1144" i="1" s="1"/>
  <c r="W1145" i="1" a="1"/>
  <c r="W1145" i="1" s="1"/>
  <c r="W1146" i="1" a="1"/>
  <c r="W1146" i="1" s="1"/>
  <c r="W1147" i="1" a="1"/>
  <c r="W1147" i="1" s="1"/>
  <c r="W1148" i="1" a="1"/>
  <c r="W1148" i="1" s="1"/>
  <c r="W1149" i="1" a="1"/>
  <c r="W1149" i="1" s="1"/>
  <c r="W1150" i="1" a="1"/>
  <c r="W1150" i="1" s="1"/>
  <c r="W1151" i="1" a="1"/>
  <c r="W1151" i="1" s="1"/>
  <c r="W1152" i="1" a="1"/>
  <c r="W1152" i="1" s="1"/>
  <c r="W1153" i="1" a="1"/>
  <c r="W1153" i="1" s="1"/>
  <c r="W1154" i="1" a="1"/>
  <c r="W1154" i="1" s="1"/>
  <c r="W1155" i="1" a="1"/>
  <c r="W1155" i="1" s="1"/>
  <c r="W1156" i="1" a="1"/>
  <c r="W1156" i="1" s="1"/>
  <c r="W1157" i="1" a="1"/>
  <c r="W1157" i="1" s="1"/>
  <c r="W1158" i="1" a="1"/>
  <c r="W1158" i="1" s="1"/>
  <c r="W1159" i="1" a="1"/>
  <c r="W1159" i="1"/>
  <c r="W1160" i="1" a="1"/>
  <c r="W1160" i="1" s="1"/>
  <c r="W1161" i="1" a="1"/>
  <c r="W1161" i="1" s="1"/>
  <c r="W1162" i="1" a="1"/>
  <c r="W1162" i="1" s="1"/>
  <c r="W1163" i="1" a="1"/>
  <c r="W1163" i="1" s="1"/>
  <c r="W1164" i="1" a="1"/>
  <c r="W1164" i="1" s="1"/>
  <c r="W1165" i="1" a="1"/>
  <c r="W1165" i="1" s="1"/>
  <c r="W1166" i="1" a="1"/>
  <c r="W1166" i="1" s="1"/>
  <c r="W1167" i="1" a="1"/>
  <c r="W1167" i="1" s="1"/>
  <c r="W1168" i="1" a="1"/>
  <c r="W1168" i="1" s="1"/>
  <c r="W1169" i="1" a="1"/>
  <c r="W1169" i="1" s="1"/>
  <c r="W1170" i="1" a="1"/>
  <c r="W1170" i="1" s="1"/>
  <c r="W1171" i="1" a="1"/>
  <c r="W1171" i="1" s="1"/>
  <c r="W1172" i="1" a="1"/>
  <c r="W1172" i="1" s="1"/>
  <c r="W1173" i="1" a="1"/>
  <c r="W1173" i="1" s="1"/>
  <c r="W1174" i="1" a="1"/>
  <c r="W1174" i="1" s="1"/>
  <c r="W1175" i="1" a="1"/>
  <c r="W1175" i="1" s="1"/>
  <c r="W1176" i="1" a="1"/>
  <c r="W1176" i="1"/>
  <c r="W1177" i="1" a="1"/>
  <c r="W1177" i="1" s="1"/>
  <c r="W1178" i="1" a="1"/>
  <c r="W1178" i="1" s="1"/>
  <c r="W1179" i="1" a="1"/>
  <c r="W1179" i="1" s="1"/>
  <c r="W1180" i="1" a="1"/>
  <c r="W1180" i="1" s="1"/>
  <c r="W1181" i="1" a="1"/>
  <c r="W1181" i="1" s="1"/>
  <c r="W1182" i="1" a="1"/>
  <c r="W1182" i="1" s="1"/>
  <c r="W1183" i="1" a="1"/>
  <c r="W1183" i="1" s="1"/>
  <c r="W1184" i="1" a="1"/>
  <c r="W1184" i="1" s="1"/>
  <c r="W1185" i="1" a="1"/>
  <c r="W1185" i="1" s="1"/>
  <c r="W1186" i="1" a="1"/>
  <c r="W1186" i="1" s="1"/>
  <c r="W1187" i="1" a="1"/>
  <c r="W1187" i="1" s="1"/>
  <c r="W1188" i="1" a="1"/>
  <c r="W1188" i="1" s="1"/>
  <c r="W1189" i="1" a="1"/>
  <c r="W1189" i="1" s="1"/>
  <c r="W1190" i="1" a="1"/>
  <c r="W1190" i="1" s="1"/>
  <c r="W1191" i="1" a="1"/>
  <c r="W1191" i="1" s="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s="1"/>
  <c r="W1204" i="1" a="1"/>
  <c r="W1204" i="1" s="1"/>
  <c r="W1205" i="1" a="1"/>
  <c r="W1205" i="1" s="1"/>
  <c r="W1206" i="1" a="1"/>
  <c r="W1206" i="1" s="1"/>
  <c r="W1207" i="1" a="1"/>
  <c r="W1207" i="1" s="1"/>
  <c r="W1208" i="1" a="1"/>
  <c r="W1208" i="1" s="1"/>
  <c r="W1209" i="1" a="1"/>
  <c r="W1209" i="1" s="1"/>
  <c r="W1210" i="1" a="1"/>
  <c r="W1210" i="1" s="1"/>
  <c r="W1211" i="1" a="1"/>
  <c r="W1211" i="1" s="1"/>
  <c r="W1212" i="1" a="1"/>
  <c r="W1212" i="1" s="1"/>
  <c r="W1213" i="1" a="1"/>
  <c r="W1213" i="1" s="1"/>
  <c r="W1214" i="1" a="1"/>
  <c r="W1214" i="1" s="1"/>
  <c r="W1215" i="1" a="1"/>
  <c r="W1215" i="1" s="1"/>
  <c r="W1216" i="1" a="1"/>
  <c r="W1216" i="1" s="1"/>
  <c r="W1217" i="1" a="1"/>
  <c r="W1217" i="1" s="1"/>
  <c r="W1218" i="1" a="1"/>
  <c r="W1218" i="1" s="1"/>
  <c r="W1219" i="1" a="1"/>
  <c r="W1219" i="1" s="1"/>
  <c r="W1220" i="1" a="1"/>
  <c r="W1220" i="1" s="1"/>
  <c r="W1221" i="1" a="1"/>
  <c r="W1221" i="1" s="1"/>
  <c r="W1222" i="1" a="1"/>
  <c r="W1222" i="1" s="1"/>
  <c r="W1223" i="1" a="1"/>
  <c r="W1223" i="1" s="1"/>
  <c r="W1224" i="1" a="1"/>
  <c r="W1224" i="1"/>
  <c r="W1225" i="1" a="1"/>
  <c r="W1225" i="1" s="1"/>
  <c r="W1226" i="1" a="1"/>
  <c r="W1226" i="1" s="1"/>
  <c r="W1227" i="1" a="1"/>
  <c r="W1227" i="1" s="1"/>
  <c r="W1228" i="1" a="1"/>
  <c r="W1228" i="1" s="1"/>
  <c r="W1229" i="1" a="1"/>
  <c r="W1229" i="1" s="1"/>
  <c r="W1230" i="1" a="1"/>
  <c r="W1230" i="1" s="1"/>
  <c r="W1231" i="1" a="1"/>
  <c r="W1231" i="1" s="1"/>
  <c r="W1232" i="1" a="1"/>
  <c r="W1232" i="1" s="1"/>
  <c r="W1233" i="1" a="1"/>
  <c r="W1233" i="1" s="1"/>
  <c r="W1234" i="1" a="1"/>
  <c r="W1234" i="1" s="1"/>
  <c r="W1235" i="1" a="1"/>
  <c r="W1235" i="1" s="1"/>
  <c r="W1236" i="1" a="1"/>
  <c r="W1236" i="1" s="1"/>
  <c r="W1237" i="1" a="1"/>
  <c r="W1237" i="1" s="1"/>
  <c r="W1238" i="1" a="1"/>
  <c r="W1238" i="1" s="1"/>
  <c r="W1239" i="1" a="1"/>
  <c r="W1239" i="1" s="1"/>
  <c r="W1240" i="1" a="1"/>
  <c r="W1240" i="1" s="1"/>
  <c r="W1241" i="1" a="1"/>
  <c r="W1241" i="1"/>
  <c r="W1242" i="1" a="1"/>
  <c r="W1242" i="1" s="1"/>
  <c r="W1243" i="1" a="1"/>
  <c r="W1243" i="1" s="1"/>
  <c r="W1244" i="1" a="1"/>
  <c r="W1244" i="1" s="1"/>
  <c r="W1245" i="1" a="1"/>
  <c r="W1245" i="1" s="1"/>
  <c r="W1246" i="1" a="1"/>
  <c r="W1246" i="1" s="1"/>
  <c r="W1247" i="1" a="1"/>
  <c r="W1247" i="1" s="1"/>
  <c r="W1248" i="1" a="1"/>
  <c r="W1248" i="1" s="1"/>
  <c r="W1249" i="1" a="1"/>
  <c r="W1249" i="1" s="1"/>
  <c r="W1250" i="1" a="1"/>
  <c r="W1250" i="1" s="1"/>
  <c r="W1251" i="1" a="1"/>
  <c r="W1251" i="1" s="1"/>
  <c r="W1252" i="1" a="1"/>
  <c r="W1252" i="1" s="1"/>
  <c r="W1253" i="1" a="1"/>
  <c r="W1253" i="1" s="1"/>
  <c r="W1254" i="1" a="1"/>
  <c r="W1254" i="1" s="1"/>
  <c r="W1255" i="1" a="1"/>
  <c r="W1255" i="1" s="1"/>
  <c r="W1256" i="1" a="1"/>
  <c r="W1256" i="1" s="1"/>
  <c r="W1257" i="1" a="1"/>
  <c r="W1257" i="1" s="1"/>
  <c r="W1258" i="1" a="1"/>
  <c r="W1258" i="1" s="1"/>
  <c r="W1259" i="1" a="1"/>
  <c r="W1259" i="1"/>
  <c r="W1260" i="1" a="1"/>
  <c r="W1260" i="1" s="1"/>
  <c r="W1261" i="1" a="1"/>
  <c r="W1261" i="1" s="1"/>
  <c r="W1262" i="1" a="1"/>
  <c r="W1262" i="1" s="1"/>
  <c r="W1263" i="1" a="1"/>
  <c r="W1263" i="1" s="1"/>
  <c r="W1264" i="1" a="1"/>
  <c r="W1264" i="1" s="1"/>
  <c r="W1265" i="1" a="1"/>
  <c r="W1265" i="1" s="1"/>
  <c r="W1266" i="1" a="1"/>
  <c r="W1266" i="1" s="1"/>
  <c r="W1267" i="1" a="1"/>
  <c r="W1267" i="1" s="1"/>
  <c r="W1268" i="1" a="1"/>
  <c r="W1268" i="1" s="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s="1"/>
  <c r="W1280" i="1" a="1"/>
  <c r="W1280" i="1" s="1"/>
  <c r="W1281" i="1" a="1"/>
  <c r="W1281" i="1" s="1"/>
  <c r="W1282" i="1" a="1"/>
  <c r="W1282" i="1" s="1"/>
  <c r="W1283" i="1" a="1"/>
  <c r="W1283" i="1" s="1"/>
  <c r="W1284" i="1" a="1"/>
  <c r="W1284" i="1" s="1"/>
  <c r="W1285" i="1" a="1"/>
  <c r="W1285" i="1" s="1"/>
  <c r="W1286" i="1" a="1"/>
  <c r="W1286" i="1" s="1"/>
  <c r="W1287" i="1" a="1"/>
  <c r="W1287" i="1" s="1"/>
  <c r="W1288" i="1" a="1"/>
  <c r="W1288" i="1" s="1"/>
  <c r="W1289" i="1" a="1"/>
  <c r="W1289" i="1" s="1"/>
  <c r="W1290" i="1" a="1"/>
  <c r="W1290" i="1" s="1"/>
  <c r="W1291" i="1" a="1"/>
  <c r="W1291" i="1" s="1"/>
  <c r="W1292" i="1" a="1"/>
  <c r="W1292" i="1" s="1"/>
  <c r="W1293" i="1" a="1"/>
  <c r="W1293" i="1" s="1"/>
  <c r="W1294" i="1" a="1"/>
  <c r="W1294" i="1" s="1"/>
  <c r="W1295" i="1" a="1"/>
  <c r="W1295" i="1" s="1"/>
  <c r="W1296" i="1" a="1"/>
  <c r="W1296" i="1" s="1"/>
  <c r="W1297" i="1" a="1"/>
  <c r="W1297" i="1" s="1"/>
  <c r="W1298" i="1" a="1"/>
  <c r="W1298" i="1" s="1"/>
  <c r="W1299" i="1" a="1"/>
  <c r="W1299" i="1" s="1"/>
  <c r="W1300" i="1" a="1"/>
  <c r="W1300" i="1" s="1"/>
  <c r="W1301" i="1" a="1"/>
  <c r="W1301" i="1" s="1"/>
  <c r="W1302" i="1" a="1"/>
  <c r="W1302" i="1" s="1"/>
  <c r="W1303" i="1" a="1"/>
  <c r="W1303" i="1" s="1"/>
  <c r="W1304" i="1" a="1"/>
  <c r="W1304" i="1" s="1"/>
  <c r="W1305" i="1" a="1"/>
  <c r="W1305" i="1" s="1"/>
  <c r="W1306" i="1" a="1"/>
  <c r="W1306" i="1" s="1"/>
  <c r="W1307" i="1" a="1"/>
  <c r="W1307" i="1" s="1"/>
  <c r="W1308" i="1" a="1"/>
  <c r="W1308" i="1" s="1"/>
  <c r="W1309" i="1" a="1"/>
  <c r="W1309" i="1" s="1"/>
  <c r="W1310" i="1" a="1"/>
  <c r="W1310" i="1" s="1"/>
  <c r="W1311" i="1" a="1"/>
  <c r="W1311" i="1" s="1"/>
  <c r="W1312" i="1" a="1"/>
  <c r="W1312" i="1" s="1"/>
  <c r="W1313" i="1" a="1"/>
  <c r="W1313" i="1" s="1"/>
  <c r="W1314" i="1" a="1"/>
  <c r="W1314" i="1" s="1"/>
  <c r="W1315" i="1" a="1"/>
  <c r="W1315" i="1" s="1"/>
  <c r="W1316" i="1" a="1"/>
  <c r="W1316" i="1" s="1"/>
  <c r="W1317" i="1" a="1"/>
  <c r="W1317" i="1" s="1"/>
  <c r="W1318" i="1" a="1"/>
  <c r="W1318" i="1" s="1"/>
  <c r="W1319" i="1" a="1"/>
  <c r="W1319" i="1" s="1"/>
  <c r="W1320" i="1" a="1"/>
  <c r="W1320" i="1" s="1"/>
  <c r="W1321" i="1" a="1"/>
  <c r="W1321" i="1" s="1"/>
  <c r="W1322" i="1" a="1"/>
  <c r="W1322" i="1" s="1"/>
  <c r="W1323" i="1" a="1"/>
  <c r="W1323" i="1" s="1"/>
  <c r="W1324" i="1" a="1"/>
  <c r="W1324" i="1" s="1"/>
  <c r="W1325" i="1" a="1"/>
  <c r="W1325" i="1" s="1"/>
  <c r="W1326" i="1" a="1"/>
  <c r="W1326" i="1" s="1"/>
  <c r="W1327" i="1" a="1"/>
  <c r="W1327" i="1" s="1"/>
  <c r="W1328" i="1" a="1"/>
  <c r="W1328" i="1" s="1"/>
  <c r="W1329" i="1" a="1"/>
  <c r="W1329" i="1" s="1"/>
  <c r="W1330" i="1" a="1"/>
  <c r="W1330" i="1" s="1"/>
  <c r="W1331" i="1" a="1"/>
  <c r="W1331" i="1" s="1"/>
  <c r="W1332" i="1" a="1"/>
  <c r="W1332" i="1" s="1"/>
  <c r="W1333" i="1" a="1"/>
  <c r="W1333" i="1" s="1"/>
  <c r="W1334" i="1" a="1"/>
  <c r="W1334" i="1" s="1"/>
  <c r="W1335" i="1" a="1"/>
  <c r="W1335" i="1" s="1"/>
  <c r="W1336" i="1" a="1"/>
  <c r="W1336" i="1" s="1"/>
  <c r="W1337" i="1" a="1"/>
  <c r="W1337" i="1" s="1"/>
  <c r="W1338" i="1" a="1"/>
  <c r="W1338" i="1" s="1"/>
  <c r="W1339" i="1" a="1"/>
  <c r="W1339" i="1" s="1"/>
  <c r="W1340" i="1" a="1"/>
  <c r="W1340" i="1" s="1"/>
  <c r="W1341" i="1" a="1"/>
  <c r="W1341" i="1" s="1"/>
  <c r="W1342" i="1" a="1"/>
  <c r="W1342" i="1" s="1"/>
  <c r="W1343" i="1" a="1"/>
  <c r="W1343" i="1" s="1"/>
  <c r="W1344" i="1" a="1"/>
  <c r="W1344" i="1" s="1"/>
  <c r="W1345" i="1" a="1"/>
  <c r="W1345" i="1" s="1"/>
  <c r="W1346" i="1" a="1"/>
  <c r="W1346" i="1" s="1"/>
  <c r="W1347" i="1" a="1"/>
  <c r="W1347" i="1" s="1"/>
  <c r="W1348" i="1" a="1"/>
  <c r="W1348" i="1"/>
  <c r="W1349" i="1" a="1"/>
  <c r="W1349" i="1" s="1"/>
  <c r="W1350" i="1" a="1"/>
  <c r="W1350" i="1" s="1"/>
  <c r="W1351" i="1" a="1"/>
  <c r="W1351" i="1" s="1"/>
  <c r="W1352" i="1" a="1"/>
  <c r="W1352" i="1" s="1"/>
  <c r="W1353" i="1" a="1"/>
  <c r="W1353" i="1" s="1"/>
  <c r="W1354" i="1" a="1"/>
  <c r="W1354" i="1" s="1"/>
  <c r="W1355" i="1" a="1"/>
  <c r="W1355" i="1" s="1"/>
  <c r="W1356" i="1" a="1"/>
  <c r="W1356" i="1" s="1"/>
  <c r="W1357" i="1" a="1"/>
  <c r="W1357" i="1" s="1"/>
  <c r="W1358" i="1" a="1"/>
  <c r="W1358" i="1" s="1"/>
  <c r="W1359" i="1" a="1"/>
  <c r="W1359" i="1" s="1"/>
  <c r="W1360" i="1" a="1"/>
  <c r="W1360" i="1" s="1"/>
  <c r="W1361" i="1" a="1"/>
  <c r="W1361" i="1" s="1"/>
  <c r="W1362" i="1" a="1"/>
  <c r="W1362" i="1" s="1"/>
  <c r="W1363" i="1" a="1"/>
  <c r="W1363" i="1" s="1"/>
  <c r="W1364" i="1" a="1"/>
  <c r="W1364" i="1" s="1"/>
  <c r="W1365" i="1" a="1"/>
  <c r="W1365" i="1" s="1"/>
  <c r="W1366" i="1" a="1"/>
  <c r="W1366" i="1" s="1"/>
  <c r="W1367" i="1" a="1"/>
  <c r="W1367" i="1" s="1"/>
  <c r="W1368" i="1" a="1"/>
  <c r="W1368" i="1" s="1"/>
  <c r="W1369" i="1" a="1"/>
  <c r="W1369" i="1" s="1"/>
  <c r="W1370" i="1" a="1"/>
  <c r="W1370" i="1" s="1"/>
  <c r="W1371" i="1" a="1"/>
  <c r="W1371" i="1" s="1"/>
  <c r="W1372" i="1" a="1"/>
  <c r="W1372" i="1" s="1"/>
  <c r="W1373" i="1" a="1"/>
  <c r="W1373" i="1" s="1"/>
  <c r="W1374" i="1" a="1"/>
  <c r="W1374" i="1" s="1"/>
  <c r="W1375" i="1" a="1"/>
  <c r="W1375" i="1" s="1"/>
  <c r="W1376" i="1" a="1"/>
  <c r="W1376" i="1" s="1"/>
  <c r="W1377" i="1" a="1"/>
  <c r="W1377" i="1" s="1"/>
  <c r="W1378" i="1" a="1"/>
  <c r="W1378" i="1" s="1"/>
  <c r="W1379" i="1" a="1"/>
  <c r="W1379" i="1"/>
  <c r="W1380" i="1" a="1"/>
  <c r="W1380" i="1" s="1"/>
  <c r="W1381" i="1" a="1"/>
  <c r="W1381" i="1" s="1"/>
  <c r="W1382" i="1" a="1"/>
  <c r="W1382" i="1" s="1"/>
  <c r="W1383" i="1" a="1"/>
  <c r="W1383" i="1" s="1"/>
  <c r="W1384" i="1" a="1"/>
  <c r="W1384" i="1" s="1"/>
  <c r="W1385" i="1" a="1"/>
  <c r="W1385" i="1" s="1"/>
  <c r="W1386" i="1" a="1"/>
  <c r="W1386" i="1" s="1"/>
  <c r="W1387" i="1" a="1"/>
  <c r="W1387" i="1" s="1"/>
  <c r="W1388" i="1" a="1"/>
  <c r="W1388" i="1"/>
  <c r="W1389" i="1" a="1"/>
  <c r="W1389" i="1" s="1"/>
  <c r="W1390" i="1" a="1"/>
  <c r="W1390" i="1" s="1"/>
  <c r="W1391" i="1" a="1"/>
  <c r="W1391" i="1" s="1"/>
  <c r="W1392" i="1" a="1"/>
  <c r="W1392" i="1" s="1"/>
  <c r="W1393" i="1" a="1"/>
  <c r="W1393" i="1" s="1"/>
  <c r="W1394" i="1" a="1"/>
  <c r="W1394" i="1" s="1"/>
  <c r="W1395" i="1" a="1"/>
  <c r="W1395" i="1" s="1"/>
  <c r="W1396" i="1" a="1"/>
  <c r="W1396" i="1" s="1"/>
  <c r="W1397" i="1" a="1"/>
  <c r="W1397" i="1"/>
  <c r="W1398" i="1" a="1"/>
  <c r="W1398" i="1" s="1"/>
  <c r="W1399" i="1" a="1"/>
  <c r="W1399" i="1" s="1"/>
  <c r="W1400" i="1" a="1"/>
  <c r="W1400" i="1" s="1"/>
  <c r="W1401" i="1" a="1"/>
  <c r="W1401" i="1" s="1"/>
  <c r="W1402" i="1" a="1"/>
  <c r="W1402" i="1" s="1"/>
  <c r="W1403" i="1" a="1"/>
  <c r="W1403" i="1" s="1"/>
  <c r="W1404" i="1" a="1"/>
  <c r="W1404" i="1" s="1"/>
  <c r="W1405" i="1" a="1"/>
  <c r="W1405" i="1" s="1"/>
  <c r="W1406" i="1" a="1"/>
  <c r="W1406" i="1" s="1"/>
  <c r="W1407" i="1" a="1"/>
  <c r="W1407" i="1" s="1"/>
  <c r="W1408" i="1" a="1"/>
  <c r="W1408" i="1" s="1"/>
  <c r="W1409" i="1" a="1"/>
  <c r="W1409" i="1" s="1"/>
  <c r="W1410" i="1" a="1"/>
  <c r="W1410" i="1" s="1"/>
  <c r="W1411" i="1" a="1"/>
  <c r="W1411" i="1" s="1"/>
  <c r="W1412" i="1" a="1"/>
  <c r="W1412" i="1" s="1"/>
  <c r="W1413" i="1" a="1"/>
  <c r="W1413" i="1" s="1"/>
  <c r="W1414" i="1" a="1"/>
  <c r="W1414" i="1" s="1"/>
  <c r="W1415" i="1" a="1"/>
  <c r="W1415" i="1" s="1"/>
  <c r="W1416" i="1" a="1"/>
  <c r="W1416" i="1" s="1"/>
  <c r="W1417" i="1" a="1"/>
  <c r="W1417" i="1" s="1"/>
  <c r="W1418" i="1" a="1"/>
  <c r="W1418" i="1" s="1"/>
  <c r="W1419" i="1" a="1"/>
  <c r="W1419" i="1" s="1"/>
  <c r="W1420" i="1" a="1"/>
  <c r="W1420" i="1" s="1"/>
  <c r="W1421" i="1" a="1"/>
  <c r="W1421" i="1" s="1"/>
  <c r="W1422" i="1" a="1"/>
  <c r="W1422" i="1" s="1"/>
  <c r="W1423" i="1" a="1"/>
  <c r="W1423" i="1"/>
  <c r="W1424" i="1" a="1"/>
  <c r="W1424" i="1" s="1"/>
  <c r="W1425" i="1" a="1"/>
  <c r="W1425" i="1" s="1"/>
  <c r="W1426" i="1" a="1"/>
  <c r="W1426" i="1" s="1"/>
  <c r="W1427" i="1" a="1"/>
  <c r="W1427" i="1" s="1"/>
  <c r="W1428" i="1" a="1"/>
  <c r="W1428" i="1" s="1"/>
  <c r="W1429" i="1" a="1"/>
  <c r="W1429" i="1" s="1"/>
  <c r="W1430" i="1" a="1"/>
  <c r="W1430" i="1" s="1"/>
  <c r="W1431" i="1" a="1"/>
  <c r="W1431" i="1" s="1"/>
  <c r="W1432" i="1" a="1"/>
  <c r="W1432" i="1" s="1"/>
  <c r="W1433" i="1" a="1"/>
  <c r="W1433" i="1" s="1"/>
  <c r="W1434" i="1" a="1"/>
  <c r="W1434" i="1" s="1"/>
  <c r="W1435" i="1" a="1"/>
  <c r="W1435" i="1" s="1"/>
  <c r="W1436" i="1" a="1"/>
  <c r="W1436" i="1" s="1"/>
  <c r="W1437" i="1" a="1"/>
  <c r="W1437" i="1" s="1"/>
  <c r="W1438" i="1" a="1"/>
  <c r="W1438" i="1" s="1"/>
  <c r="W1439" i="1" a="1"/>
  <c r="W1439" i="1"/>
  <c r="W1440" i="1" a="1"/>
  <c r="W1440" i="1" s="1"/>
  <c r="W1441" i="1" a="1"/>
  <c r="W1441" i="1" s="1"/>
  <c r="W1442" i="1" a="1"/>
  <c r="W1442" i="1" s="1"/>
  <c r="W1443" i="1" a="1"/>
  <c r="W1443" i="1" s="1"/>
  <c r="W1444" i="1" a="1"/>
  <c r="W1444" i="1" s="1"/>
  <c r="W1445" i="1" a="1"/>
  <c r="W1445" i="1" s="1"/>
  <c r="W1446" i="1" a="1"/>
  <c r="W1446" i="1" s="1"/>
  <c r="W1447" i="1" a="1"/>
  <c r="W1447" i="1" s="1"/>
  <c r="W1448" i="1" a="1"/>
  <c r="W1448" i="1" s="1"/>
  <c r="W1449" i="1" a="1"/>
  <c r="W1449" i="1" s="1"/>
  <c r="W1450" i="1" a="1"/>
  <c r="W1450" i="1" s="1"/>
  <c r="W1451" i="1" a="1"/>
  <c r="W1451" i="1" s="1"/>
  <c r="W1452" i="1" a="1"/>
  <c r="W1452" i="1" s="1"/>
  <c r="W1453" i="1" a="1"/>
  <c r="W1453" i="1" s="1"/>
  <c r="W1454" i="1" a="1"/>
  <c r="W1454" i="1" s="1"/>
  <c r="W1455" i="1" a="1"/>
  <c r="W1455" i="1" s="1"/>
  <c r="W1456" i="1" a="1"/>
  <c r="W1456" i="1" s="1"/>
  <c r="W1457" i="1" a="1"/>
  <c r="W1457" i="1" s="1"/>
  <c r="W1458" i="1" a="1"/>
  <c r="W1458" i="1" s="1"/>
  <c r="W1459" i="1" a="1"/>
  <c r="W1459" i="1" s="1"/>
  <c r="W1460" i="1" a="1"/>
  <c r="W1460" i="1" s="1"/>
  <c r="W1461" i="1" a="1"/>
  <c r="W1461" i="1" s="1"/>
  <c r="W1462" i="1" a="1"/>
  <c r="W1462" i="1" s="1"/>
  <c r="W1463" i="1" a="1"/>
  <c r="W1463" i="1" s="1"/>
  <c r="W1464" i="1" a="1"/>
  <c r="W1464" i="1" s="1"/>
  <c r="W1465" i="1" a="1"/>
  <c r="W1465" i="1" s="1"/>
  <c r="W1466" i="1" a="1"/>
  <c r="W1466" i="1" s="1"/>
  <c r="W1467" i="1" a="1"/>
  <c r="W1467" i="1" s="1"/>
  <c r="W1468" i="1" a="1"/>
  <c r="W1468" i="1" s="1"/>
  <c r="W1469" i="1" a="1"/>
  <c r="W1469" i="1" s="1"/>
  <c r="W1470" i="1" a="1"/>
  <c r="W1470" i="1" s="1"/>
  <c r="W1471" i="1" a="1"/>
  <c r="W1471" i="1" s="1"/>
  <c r="W1472" i="1" a="1"/>
  <c r="W1472" i="1" s="1"/>
  <c r="W1473" i="1" a="1"/>
  <c r="W1473" i="1" s="1"/>
  <c r="W1474" i="1" a="1"/>
  <c r="W1474" i="1" s="1"/>
  <c r="W1475" i="1" a="1"/>
  <c r="W1475" i="1" s="1"/>
  <c r="W1476" i="1" a="1"/>
  <c r="W1476" i="1" s="1"/>
  <c r="W1477" i="1" a="1"/>
  <c r="W1477" i="1" s="1"/>
  <c r="W1478" i="1" a="1"/>
  <c r="W1478" i="1" s="1"/>
  <c r="W1479" i="1" a="1"/>
  <c r="W1479" i="1" s="1"/>
  <c r="W1480" i="1" a="1"/>
  <c r="W1480" i="1" s="1"/>
  <c r="W1481" i="1" a="1"/>
  <c r="W1481" i="1" s="1"/>
  <c r="W1482" i="1" a="1"/>
  <c r="W1482" i="1" s="1"/>
  <c r="W1483" i="1" a="1"/>
  <c r="W1483" i="1" s="1"/>
  <c r="W1484" i="1" a="1"/>
  <c r="W1484" i="1" s="1"/>
  <c r="W1485" i="1" a="1"/>
  <c r="W1485" i="1" s="1"/>
  <c r="W1486" i="1" a="1"/>
  <c r="W1486" i="1" s="1"/>
  <c r="W1487" i="1" a="1"/>
  <c r="W1487" i="1" s="1"/>
  <c r="W1488" i="1" a="1"/>
  <c r="W1488" i="1" s="1"/>
  <c r="W1489" i="1" a="1"/>
  <c r="W1489" i="1" s="1"/>
  <c r="W1490" i="1" a="1"/>
  <c r="W1490" i="1" s="1"/>
  <c r="W1491" i="1" a="1"/>
  <c r="W1491" i="1" s="1"/>
  <c r="W1492" i="1" a="1"/>
  <c r="W1492" i="1" s="1"/>
  <c r="W1493" i="1" a="1"/>
  <c r="W1493" i="1" s="1"/>
  <c r="W1494" i="1" a="1"/>
  <c r="W1494" i="1" s="1"/>
  <c r="W1495" i="1" a="1"/>
  <c r="W1495" i="1" s="1"/>
  <c r="W1496" i="1" a="1"/>
  <c r="W1496" i="1" s="1"/>
  <c r="W1497" i="1" a="1"/>
  <c r="W1497" i="1" s="1"/>
  <c r="W1498" i="1" a="1"/>
  <c r="W1498" i="1" s="1"/>
  <c r="W1499" i="1" a="1"/>
  <c r="W1499" i="1" s="1"/>
  <c r="W1500" i="1" a="1"/>
  <c r="W1500" i="1" s="1"/>
  <c r="W1501" i="1" a="1"/>
  <c r="W1501" i="1" s="1"/>
  <c r="W1502" i="1" a="1"/>
  <c r="W1502" i="1" s="1"/>
  <c r="W1503" i="1" a="1"/>
  <c r="W1503" i="1" s="1"/>
  <c r="W1504" i="1" a="1"/>
  <c r="W1504" i="1" s="1"/>
  <c r="W1505" i="1" a="1"/>
  <c r="W1505" i="1" s="1"/>
  <c r="W1506" i="1" a="1"/>
  <c r="W1506" i="1" s="1"/>
  <c r="W1507" i="1" a="1"/>
  <c r="W1507" i="1" s="1"/>
  <c r="W1508" i="1" a="1"/>
  <c r="W1508" i="1" s="1"/>
  <c r="W1509" i="1" a="1"/>
  <c r="W1509" i="1" s="1"/>
  <c r="W1510" i="1" a="1"/>
  <c r="W1510" i="1" s="1"/>
  <c r="W1511" i="1" a="1"/>
  <c r="W1511" i="1" s="1"/>
  <c r="W1512" i="1" a="1"/>
  <c r="W1512" i="1" s="1"/>
  <c r="W1513" i="1" a="1"/>
  <c r="W1513" i="1" s="1"/>
  <c r="W1514" i="1" a="1"/>
  <c r="W1514" i="1" s="1"/>
  <c r="W1515" i="1" a="1"/>
  <c r="W1515" i="1" s="1"/>
  <c r="W1516" i="1" a="1"/>
  <c r="W1516" i="1" s="1"/>
  <c r="W1517" i="1" a="1"/>
  <c r="W1517" i="1" s="1"/>
  <c r="W1518" i="1" a="1"/>
  <c r="W1518" i="1" s="1"/>
  <c r="W1519" i="1" a="1"/>
  <c r="W1519" i="1" s="1"/>
  <c r="W1520" i="1" a="1"/>
  <c r="W1520" i="1" s="1"/>
  <c r="W1521" i="1" a="1"/>
  <c r="W1521" i="1" s="1"/>
  <c r="W1522" i="1" a="1"/>
  <c r="W1522" i="1" s="1"/>
  <c r="W1523" i="1" a="1"/>
  <c r="W1523" i="1" s="1"/>
  <c r="W1524" i="1" a="1"/>
  <c r="W1524" i="1" s="1"/>
  <c r="W1525" i="1" a="1"/>
  <c r="W1525" i="1" s="1"/>
  <c r="W1526" i="1" a="1"/>
  <c r="W1526" i="1" s="1"/>
  <c r="W1527" i="1" a="1"/>
  <c r="W1527" i="1" s="1"/>
  <c r="W1528" i="1" a="1"/>
  <c r="W1528" i="1" s="1"/>
  <c r="W1529" i="1" a="1"/>
  <c r="W1529" i="1" s="1"/>
  <c r="W1530" i="1" a="1"/>
  <c r="W1530" i="1" s="1"/>
  <c r="W1531" i="1" a="1"/>
  <c r="W1531" i="1" s="1"/>
  <c r="W1532" i="1" a="1"/>
  <c r="W1532" i="1" s="1"/>
  <c r="W1533" i="1" a="1"/>
  <c r="W1533" i="1" s="1"/>
  <c r="W1534" i="1" a="1"/>
  <c r="W1534" i="1" s="1"/>
  <c r="W1535" i="1" a="1"/>
  <c r="W1535" i="1" s="1"/>
  <c r="W1536" i="1" a="1"/>
  <c r="W1536" i="1" s="1"/>
  <c r="W1537" i="1" a="1"/>
  <c r="W1537" i="1" s="1"/>
  <c r="W1538" i="1" a="1"/>
  <c r="W1538" i="1" s="1"/>
  <c r="W1539" i="1" a="1"/>
  <c r="W1539" i="1" s="1"/>
  <c r="W1540" i="1" a="1"/>
  <c r="W1540" i="1" s="1"/>
  <c r="W1541" i="1" a="1"/>
  <c r="W1541" i="1" s="1"/>
  <c r="W1542" i="1" a="1"/>
  <c r="W1542" i="1" s="1"/>
  <c r="W1543" i="1" a="1"/>
  <c r="W1543" i="1" s="1"/>
  <c r="W1544" i="1" a="1"/>
  <c r="W1544" i="1" s="1"/>
  <c r="W1545" i="1" a="1"/>
  <c r="W1545" i="1" s="1"/>
  <c r="W1546" i="1" a="1"/>
  <c r="W1546" i="1" s="1"/>
  <c r="W1547" i="1" a="1"/>
  <c r="W1547" i="1" s="1"/>
  <c r="W1548" i="1" a="1"/>
  <c r="W1548" i="1" s="1"/>
  <c r="W1549" i="1" a="1"/>
  <c r="W1549" i="1" s="1"/>
  <c r="W1550" i="1" a="1"/>
  <c r="W1550" i="1" s="1"/>
  <c r="W1551" i="1" a="1"/>
  <c r="W1551" i="1" s="1"/>
  <c r="W1552" i="1" a="1"/>
  <c r="W1552" i="1" s="1"/>
  <c r="W1553" i="1" a="1"/>
  <c r="W1553" i="1" s="1"/>
  <c r="W1554" i="1" a="1"/>
  <c r="W1554" i="1" s="1"/>
  <c r="W1555" i="1" a="1"/>
  <c r="W1555" i="1" s="1"/>
  <c r="W1556" i="1" a="1"/>
  <c r="W1556" i="1" s="1"/>
  <c r="W1557" i="1" a="1"/>
  <c r="W1557" i="1" s="1"/>
  <c r="W1558" i="1" a="1"/>
  <c r="W1558" i="1" s="1"/>
  <c r="W1559" i="1" a="1"/>
  <c r="W1559" i="1" s="1"/>
  <c r="W1560" i="1" a="1"/>
  <c r="W1560" i="1" s="1"/>
  <c r="W1561" i="1" a="1"/>
  <c r="W1561" i="1" s="1"/>
  <c r="W1562" i="1" a="1"/>
  <c r="W1562" i="1" s="1"/>
  <c r="W1563" i="1" a="1"/>
  <c r="W1563" i="1" s="1"/>
  <c r="W1564" i="1" a="1"/>
  <c r="W1564" i="1" s="1"/>
  <c r="W1565" i="1" a="1"/>
  <c r="W1565" i="1" s="1"/>
  <c r="W1566" i="1" a="1"/>
  <c r="W1566" i="1" s="1"/>
  <c r="W1567" i="1" a="1"/>
  <c r="W1567" i="1" s="1"/>
  <c r="W1568" i="1" a="1"/>
  <c r="W1568" i="1" s="1"/>
  <c r="W1569" i="1" a="1"/>
  <c r="W1569" i="1" s="1"/>
  <c r="W1570" i="1" a="1"/>
  <c r="W1570" i="1" s="1"/>
  <c r="W1571" i="1" a="1"/>
  <c r="W1571" i="1" s="1"/>
  <c r="W1572" i="1" a="1"/>
  <c r="W1572" i="1" s="1"/>
  <c r="W1573" i="1" a="1"/>
  <c r="W1573" i="1" s="1"/>
  <c r="W1574" i="1" a="1"/>
  <c r="W1574" i="1" s="1"/>
  <c r="W1575" i="1" a="1"/>
  <c r="W1575" i="1" s="1"/>
  <c r="W1576" i="1" a="1"/>
  <c r="W1576" i="1" s="1"/>
  <c r="W1577" i="1" a="1"/>
  <c r="W1577" i="1" s="1"/>
  <c r="W1578" i="1" a="1"/>
  <c r="W1578" i="1" s="1"/>
  <c r="W1579" i="1" a="1"/>
  <c r="W1579" i="1" s="1"/>
  <c r="W1580" i="1" a="1"/>
  <c r="W1580" i="1" s="1"/>
  <c r="W1581" i="1" a="1"/>
  <c r="W1581" i="1" s="1"/>
  <c r="W1582" i="1" a="1"/>
  <c r="W1582" i="1" s="1"/>
  <c r="W1583" i="1" a="1"/>
  <c r="W1583" i="1" s="1"/>
  <c r="W1584" i="1" a="1"/>
  <c r="W1584" i="1" s="1"/>
  <c r="W1585" i="1" a="1"/>
  <c r="W1585" i="1" s="1"/>
  <c r="W1586" i="1" a="1"/>
  <c r="W1586" i="1" s="1"/>
  <c r="W1587" i="1" a="1"/>
  <c r="W1587" i="1" s="1"/>
  <c r="W1588" i="1" a="1"/>
  <c r="W1588" i="1" s="1"/>
  <c r="W1589" i="1" a="1"/>
  <c r="W1589" i="1" s="1"/>
  <c r="W1590" i="1" a="1"/>
  <c r="W1590" i="1" s="1"/>
  <c r="W1591" i="1" a="1"/>
  <c r="W1591" i="1" s="1"/>
  <c r="W1592" i="1" a="1"/>
  <c r="W1592" i="1" s="1"/>
  <c r="W1593" i="1" a="1"/>
  <c r="W1593" i="1" s="1"/>
  <c r="W1594" i="1" a="1"/>
  <c r="W1594" i="1" s="1"/>
  <c r="W1595" i="1" a="1"/>
  <c r="W1595" i="1" s="1"/>
  <c r="W1596" i="1" a="1"/>
  <c r="W1596" i="1" s="1"/>
  <c r="W1597" i="1" a="1"/>
  <c r="W1597" i="1" s="1"/>
  <c r="W1598" i="1" a="1"/>
  <c r="W1598" i="1" s="1"/>
  <c r="W1599" i="1" a="1"/>
  <c r="W1599" i="1" s="1"/>
  <c r="W1600" i="1" a="1"/>
  <c r="W1600" i="1" s="1"/>
  <c r="W1601" i="1" a="1"/>
  <c r="W1601" i="1" s="1"/>
  <c r="W1602" i="1" a="1"/>
  <c r="W1602" i="1" s="1"/>
  <c r="W1603" i="1" a="1"/>
  <c r="W1603" i="1" s="1"/>
  <c r="W1604" i="1" a="1"/>
  <c r="W1604" i="1" s="1"/>
  <c r="W1605" i="1" a="1"/>
  <c r="W1605" i="1" s="1"/>
  <c r="W1606" i="1" a="1"/>
  <c r="W1606" i="1" s="1"/>
  <c r="W1607" i="1" a="1"/>
  <c r="W1607" i="1" s="1"/>
  <c r="W1608" i="1" a="1"/>
  <c r="W1608" i="1" s="1"/>
  <c r="W1609" i="1" a="1"/>
  <c r="W1609" i="1" s="1"/>
  <c r="W1610" i="1" a="1"/>
  <c r="W1610" i="1" s="1"/>
  <c r="W1611" i="1" a="1"/>
  <c r="W1611" i="1" s="1"/>
  <c r="W1612" i="1" a="1"/>
  <c r="W1612" i="1" s="1"/>
  <c r="W1613" i="1" a="1"/>
  <c r="W1613" i="1" s="1"/>
  <c r="W1614" i="1" a="1"/>
  <c r="W1614" i="1" s="1"/>
  <c r="W1615" i="1" a="1"/>
  <c r="W1615" i="1" s="1"/>
  <c r="W1616" i="1" a="1"/>
  <c r="W1616" i="1" s="1"/>
  <c r="W1617" i="1" a="1"/>
  <c r="W1617" i="1" s="1"/>
  <c r="W1618" i="1" a="1"/>
  <c r="W1618" i="1" s="1"/>
  <c r="W1619" i="1" a="1"/>
  <c r="W1619" i="1" s="1"/>
  <c r="W1620" i="1" a="1"/>
  <c r="W1620" i="1" s="1"/>
  <c r="W1621" i="1" a="1"/>
  <c r="W1621" i="1" s="1"/>
  <c r="W1622" i="1" a="1"/>
  <c r="W1622" i="1" s="1"/>
  <c r="W1623" i="1" a="1"/>
  <c r="W1623" i="1" s="1"/>
  <c r="W1624" i="1" a="1"/>
  <c r="W1624" i="1" s="1"/>
  <c r="W1625" i="1" a="1"/>
  <c r="W1625" i="1" s="1"/>
  <c r="W1626" i="1" a="1"/>
  <c r="W1626" i="1" s="1"/>
  <c r="W1627" i="1" a="1"/>
  <c r="W1627" i="1" s="1"/>
  <c r="W1628" i="1" a="1"/>
  <c r="W1628" i="1" s="1"/>
  <c r="W1629" i="1" a="1"/>
  <c r="W1629" i="1" s="1"/>
  <c r="W1630" i="1" a="1"/>
  <c r="W1630" i="1" s="1"/>
  <c r="W1631" i="1" a="1"/>
  <c r="W1631" i="1" s="1"/>
  <c r="W1632" i="1" a="1"/>
  <c r="W1632" i="1" s="1"/>
  <c r="W1633" i="1" a="1"/>
  <c r="W1633" i="1" s="1"/>
  <c r="W1634" i="1" a="1"/>
  <c r="W1634" i="1" s="1"/>
  <c r="W1635" i="1" a="1"/>
  <c r="W1635" i="1" s="1"/>
  <c r="W1636" i="1" a="1"/>
  <c r="W1636" i="1" s="1"/>
  <c r="W1637" i="1" a="1"/>
  <c r="W1637" i="1" s="1"/>
  <c r="W1638" i="1" a="1"/>
  <c r="W1638" i="1" s="1"/>
  <c r="W1639" i="1" a="1"/>
  <c r="W1639" i="1" s="1"/>
  <c r="W1640" i="1" a="1"/>
  <c r="W1640" i="1" s="1"/>
  <c r="W1641" i="1" a="1"/>
  <c r="W1641" i="1" s="1"/>
  <c r="W1642" i="1" a="1"/>
  <c r="W1642" i="1" s="1"/>
  <c r="W1643" i="1" a="1"/>
  <c r="W1643" i="1" s="1"/>
  <c r="W1644" i="1" a="1"/>
  <c r="W1644" i="1" s="1"/>
  <c r="W1645" i="1" a="1"/>
  <c r="W1645" i="1" s="1"/>
  <c r="W1646" i="1" a="1"/>
  <c r="W1646" i="1" s="1"/>
  <c r="W1647" i="1" a="1"/>
  <c r="W1647" i="1" s="1"/>
  <c r="W1648" i="1" a="1"/>
  <c r="W1648" i="1" s="1"/>
  <c r="W1649" i="1" a="1"/>
  <c r="W1649" i="1" s="1"/>
  <c r="W1650" i="1" a="1"/>
  <c r="W1650" i="1" s="1"/>
  <c r="W1651" i="1" a="1"/>
  <c r="W1651" i="1" s="1"/>
  <c r="W1652" i="1" a="1"/>
  <c r="W1652" i="1" s="1"/>
  <c r="W1653" i="1" a="1"/>
  <c r="W1653" i="1" s="1"/>
  <c r="W1654" i="1" a="1"/>
  <c r="W1654" i="1" s="1"/>
  <c r="W1655" i="1" a="1"/>
  <c r="W1655" i="1" s="1"/>
  <c r="W1656" i="1" a="1"/>
  <c r="W1656" i="1" s="1"/>
  <c r="W1657" i="1" a="1"/>
  <c r="W1657" i="1" s="1"/>
  <c r="W1658" i="1" a="1"/>
  <c r="W1658" i="1" s="1"/>
  <c r="W1659" i="1" a="1"/>
  <c r="W1659" i="1" s="1"/>
  <c r="W1660" i="1" a="1"/>
  <c r="W1660" i="1" s="1"/>
  <c r="W1661" i="1" a="1"/>
  <c r="W1661" i="1" s="1"/>
  <c r="W1662" i="1" a="1"/>
  <c r="W1662" i="1" s="1"/>
  <c r="W1663" i="1" a="1"/>
  <c r="W1663" i="1" s="1"/>
  <c r="W1664" i="1" a="1"/>
  <c r="W1664" i="1" s="1"/>
  <c r="W1665" i="1" a="1"/>
  <c r="W1665" i="1" s="1"/>
  <c r="W1666" i="1" a="1"/>
  <c r="W1666" i="1" s="1"/>
  <c r="W1667" i="1" a="1"/>
  <c r="W1667" i="1" s="1"/>
  <c r="W1668" i="1" a="1"/>
  <c r="W1668" i="1" s="1"/>
  <c r="W1669" i="1" a="1"/>
  <c r="W1669" i="1" s="1"/>
  <c r="W1670" i="1" a="1"/>
  <c r="W1670" i="1" s="1"/>
  <c r="W1671" i="1" a="1"/>
  <c r="W1671" i="1" s="1"/>
  <c r="W1672" i="1" a="1"/>
  <c r="W1672" i="1" s="1"/>
  <c r="W1673" i="1" a="1"/>
  <c r="W1673" i="1" s="1"/>
  <c r="W1674" i="1" a="1"/>
  <c r="W1674" i="1" s="1"/>
  <c r="W1675" i="1" a="1"/>
  <c r="W1675" i="1" s="1"/>
  <c r="W1676" i="1" a="1"/>
  <c r="W1676" i="1" s="1"/>
  <c r="W1677" i="1" a="1"/>
  <c r="W1677" i="1" s="1"/>
  <c r="W2" i="1" a="1"/>
  <c r="W2"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c r="C27" i="1" a="1"/>
  <c r="C27" i="1" s="1"/>
  <c r="C28" i="1" a="1"/>
  <c r="C28" i="1" s="1"/>
  <c r="C29" i="1" a="1"/>
  <c r="C29" i="1" s="1"/>
  <c r="C30" i="1" a="1"/>
  <c r="C30" i="1" s="1"/>
  <c r="C31" i="1" a="1"/>
  <c r="C31" i="1" s="1"/>
  <c r="C32" i="1" a="1"/>
  <c r="C32" i="1" s="1"/>
  <c r="C33" i="1" a="1"/>
  <c r="C33" i="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c r="C94" i="1" a="1"/>
  <c r="C94" i="1" s="1"/>
  <c r="C95" i="1" a="1"/>
  <c r="C95" i="1" s="1"/>
  <c r="C96" i="1" a="1"/>
  <c r="C96" i="1" s="1"/>
  <c r="C97" i="1" a="1"/>
  <c r="C97" i="1" s="1"/>
  <c r="C98" i="1" a="1"/>
  <c r="C98" i="1" s="1"/>
  <c r="C99" i="1" a="1"/>
  <c r="C99" i="1" s="1"/>
  <c r="C100" i="1" a="1"/>
  <c r="C100" i="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s="1"/>
  <c r="C188" i="1" a="1"/>
  <c r="C188" i="1" s="1"/>
  <c r="C189" i="1" a="1"/>
  <c r="C189" i="1" s="1"/>
  <c r="C190" i="1" a="1"/>
  <c r="C190" i="1" s="1"/>
  <c r="C191" i="1" a="1"/>
  <c r="C191" i="1" s="1"/>
  <c r="C192" i="1" a="1"/>
  <c r="C192" i="1" s="1"/>
  <c r="C193" i="1" a="1"/>
  <c r="C193" i="1" s="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s="1"/>
  <c r="C216" i="1" a="1"/>
  <c r="C216" i="1" s="1"/>
  <c r="C217" i="1" a="1"/>
  <c r="C217" i="1" s="1"/>
  <c r="C218" i="1" a="1"/>
  <c r="C218" i="1" s="1"/>
  <c r="C219" i="1" a="1"/>
  <c r="C219" i="1" s="1"/>
  <c r="C220" i="1" a="1"/>
  <c r="C220" i="1" s="1"/>
  <c r="C221" i="1" a="1"/>
  <c r="C221" i="1" s="1"/>
  <c r="C222" i="1" a="1"/>
  <c r="C222" i="1" s="1"/>
  <c r="C223" i="1" a="1"/>
  <c r="C223" i="1" s="1"/>
  <c r="C224" i="1" a="1"/>
  <c r="C224" i="1" s="1"/>
  <c r="C225" i="1" a="1"/>
  <c r="C225" i="1" s="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s="1"/>
  <c r="C302" i="1" a="1"/>
  <c r="C302" i="1" s="1"/>
  <c r="C303" i="1" a="1"/>
  <c r="C303" i="1" s="1"/>
  <c r="C304" i="1" a="1"/>
  <c r="C304" i="1" s="1"/>
  <c r="C305" i="1" a="1"/>
  <c r="C305" i="1" s="1"/>
  <c r="C306" i="1" a="1"/>
  <c r="C306" i="1" s="1"/>
  <c r="C307" i="1" a="1"/>
  <c r="C307" i="1" s="1"/>
  <c r="C308" i="1" a="1"/>
  <c r="C308" i="1" s="1"/>
  <c r="C309" i="1" a="1"/>
  <c r="C309" i="1" s="1"/>
  <c r="C310" i="1" a="1"/>
  <c r="C310" i="1" s="1"/>
  <c r="C311" i="1" a="1"/>
  <c r="C311" i="1" s="1"/>
  <c r="C312" i="1" a="1"/>
  <c r="C312" i="1" s="1"/>
  <c r="C313" i="1" a="1"/>
  <c r="C313" i="1" s="1"/>
  <c r="C314" i="1" a="1"/>
  <c r="C314" i="1" s="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s="1"/>
  <c r="C333" i="1" a="1"/>
  <c r="C333" i="1" s="1"/>
  <c r="C334" i="1" a="1"/>
  <c r="C334" i="1" s="1"/>
  <c r="C335" i="1" a="1"/>
  <c r="C335" i="1" s="1"/>
  <c r="C336" i="1" a="1"/>
  <c r="C336" i="1" s="1"/>
  <c r="C337" i="1" a="1"/>
  <c r="C337" i="1" s="1"/>
  <c r="C338" i="1" a="1"/>
  <c r="C338" i="1" s="1"/>
  <c r="C339" i="1" a="1"/>
  <c r="C339" i="1" s="1"/>
  <c r="C340" i="1" a="1"/>
  <c r="C340" i="1" s="1"/>
  <c r="C341" i="1" a="1"/>
  <c r="C341" i="1" s="1"/>
  <c r="C342" i="1" a="1"/>
  <c r="C342" i="1" s="1"/>
  <c r="C343" i="1" a="1"/>
  <c r="C343" i="1" s="1"/>
  <c r="C344" i="1" a="1"/>
  <c r="C344" i="1" s="1"/>
  <c r="C345" i="1" a="1"/>
  <c r="C345" i="1" s="1"/>
  <c r="C346" i="1" a="1"/>
  <c r="C346" i="1" s="1"/>
  <c r="C347" i="1" a="1"/>
  <c r="C347" i="1" s="1"/>
  <c r="C348" i="1" a="1"/>
  <c r="C348" i="1" s="1"/>
  <c r="C349" i="1" a="1"/>
  <c r="C349" i="1" s="1"/>
  <c r="C350" i="1" a="1"/>
  <c r="C350" i="1" s="1"/>
  <c r="C351" i="1" a="1"/>
  <c r="C351" i="1" s="1"/>
  <c r="C352" i="1" a="1"/>
  <c r="C352" i="1" s="1"/>
  <c r="C353" i="1" a="1"/>
  <c r="C353" i="1" s="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c r="C371" i="1" a="1"/>
  <c r="C371" i="1" s="1"/>
  <c r="C372" i="1" a="1"/>
  <c r="C372" i="1" s="1"/>
  <c r="C373" i="1" a="1"/>
  <c r="C373" i="1" s="1"/>
  <c r="C374" i="1" a="1"/>
  <c r="C374" i="1" s="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s="1"/>
  <c r="C402" i="1" a="1"/>
  <c r="C402" i="1" s="1"/>
  <c r="C403" i="1" a="1"/>
  <c r="C403" i="1" s="1"/>
  <c r="C404" i="1" a="1"/>
  <c r="C404" i="1" s="1"/>
  <c r="C405" i="1" a="1"/>
  <c r="C405" i="1" s="1"/>
  <c r="C406" i="1" a="1"/>
  <c r="C406" i="1" s="1"/>
  <c r="C407" i="1" a="1"/>
  <c r="C407" i="1" s="1"/>
  <c r="C408" i="1" a="1"/>
  <c r="C408" i="1" s="1"/>
  <c r="C409" i="1" a="1"/>
  <c r="C409" i="1" s="1"/>
  <c r="C410" i="1" a="1"/>
  <c r="C410" i="1"/>
  <c r="C411" i="1" a="1"/>
  <c r="C411" i="1" s="1"/>
  <c r="C412" i="1" a="1"/>
  <c r="C412" i="1" s="1"/>
  <c r="C413" i="1" a="1"/>
  <c r="C413" i="1" s="1"/>
  <c r="C414" i="1" a="1"/>
  <c r="C414" i="1" s="1"/>
  <c r="C415" i="1" a="1"/>
  <c r="C415" i="1" s="1"/>
  <c r="C416" i="1" a="1"/>
  <c r="C416" i="1" s="1"/>
  <c r="C417" i="1" a="1"/>
  <c r="C417" i="1" s="1"/>
  <c r="C418" i="1" a="1"/>
  <c r="C418" i="1" s="1"/>
  <c r="C419" i="1" a="1"/>
  <c r="C419" i="1"/>
  <c r="C420" i="1" a="1"/>
  <c r="C420" i="1" s="1"/>
  <c r="C421" i="1" a="1"/>
  <c r="C421" i="1" s="1"/>
  <c r="C422" i="1" a="1"/>
  <c r="C422" i="1" s="1"/>
  <c r="C423" i="1" a="1"/>
  <c r="C423" i="1" s="1"/>
  <c r="C424" i="1" a="1"/>
  <c r="C424" i="1" s="1"/>
  <c r="C425" i="1" a="1"/>
  <c r="C425" i="1" s="1"/>
  <c r="C426" i="1" a="1"/>
  <c r="C426" i="1" s="1"/>
  <c r="C427" i="1" a="1"/>
  <c r="C427" i="1" s="1"/>
  <c r="C428" i="1" a="1"/>
  <c r="C428" i="1" s="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s="1"/>
  <c r="C451" i="1" a="1"/>
  <c r="C451" i="1" s="1"/>
  <c r="C452" i="1" a="1"/>
  <c r="C452" i="1" s="1"/>
  <c r="C453" i="1" a="1"/>
  <c r="C453" i="1" s="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s="1"/>
  <c r="C480" i="1" a="1"/>
  <c r="C480" i="1" s="1"/>
  <c r="C481" i="1" a="1"/>
  <c r="C481" i="1" s="1"/>
  <c r="C482" i="1" a="1"/>
  <c r="C482" i="1" s="1"/>
  <c r="C483" i="1" a="1"/>
  <c r="C483" i="1" s="1"/>
  <c r="C484" i="1" a="1"/>
  <c r="C484" i="1" s="1"/>
  <c r="C485" i="1" a="1"/>
  <c r="C485" i="1" s="1"/>
  <c r="C486" i="1" a="1"/>
  <c r="C486" i="1" s="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s="1"/>
  <c r="C498" i="1" a="1"/>
  <c r="C498" i="1" s="1"/>
  <c r="C499" i="1" a="1"/>
  <c r="C499" i="1" s="1"/>
  <c r="C500" i="1" a="1"/>
  <c r="C500" i="1" s="1"/>
  <c r="C501" i="1" a="1"/>
  <c r="C501" i="1" s="1"/>
  <c r="C502" i="1" a="1"/>
  <c r="C502" i="1" s="1"/>
  <c r="C503" i="1" a="1"/>
  <c r="C503" i="1" s="1"/>
  <c r="C504" i="1" a="1"/>
  <c r="C504" i="1" s="1"/>
  <c r="C505" i="1" a="1"/>
  <c r="C505" i="1" s="1"/>
  <c r="C506" i="1" a="1"/>
  <c r="C506" i="1" s="1"/>
  <c r="C507" i="1" a="1"/>
  <c r="C507" i="1" s="1"/>
  <c r="C508" i="1" a="1"/>
  <c r="C508" i="1" s="1"/>
  <c r="C509" i="1" a="1"/>
  <c r="C509" i="1" s="1"/>
  <c r="C510" i="1" a="1"/>
  <c r="C510" i="1" s="1"/>
  <c r="C511" i="1" a="1"/>
  <c r="C511" i="1" s="1"/>
  <c r="C512" i="1" a="1"/>
  <c r="C512" i="1" s="1"/>
  <c r="C513" i="1" a="1"/>
  <c r="C513" i="1" s="1"/>
  <c r="C514" i="1" a="1"/>
  <c r="C514" i="1" s="1"/>
  <c r="C515" i="1" a="1"/>
  <c r="C515" i="1" s="1"/>
  <c r="C516" i="1" a="1"/>
  <c r="C516" i="1" s="1"/>
  <c r="C517" i="1" a="1"/>
  <c r="C517" i="1" s="1"/>
  <c r="C518" i="1" a="1"/>
  <c r="C518" i="1" s="1"/>
  <c r="C519" i="1" a="1"/>
  <c r="C519" i="1" s="1"/>
  <c r="C520" i="1" a="1"/>
  <c r="C520" i="1" s="1"/>
  <c r="C521" i="1" a="1"/>
  <c r="C521" i="1" s="1"/>
  <c r="C522" i="1" a="1"/>
  <c r="C522" i="1" s="1"/>
  <c r="C523" i="1" a="1"/>
  <c r="C523" i="1" s="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s="1"/>
  <c r="C554" i="1" a="1"/>
  <c r="C554" i="1" s="1"/>
  <c r="C555" i="1" a="1"/>
  <c r="C555" i="1" s="1"/>
  <c r="C556" i="1" a="1"/>
  <c r="C556" i="1" s="1"/>
  <c r="C557" i="1" a="1"/>
  <c r="C557" i="1"/>
  <c r="C558" i="1" a="1"/>
  <c r="C558" i="1" s="1"/>
  <c r="C559" i="1" a="1"/>
  <c r="C559" i="1" s="1"/>
  <c r="C560" i="1" a="1"/>
  <c r="C560" i="1" s="1"/>
  <c r="C561" i="1" a="1"/>
  <c r="C561" i="1" s="1"/>
  <c r="C562" i="1" a="1"/>
  <c r="C562" i="1" s="1"/>
  <c r="C563" i="1" a="1"/>
  <c r="C563" i="1" s="1"/>
  <c r="C564" i="1" a="1"/>
  <c r="C564" i="1" s="1"/>
  <c r="C565" i="1" a="1"/>
  <c r="C565" i="1" s="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c r="C577" i="1" a="1"/>
  <c r="C577" i="1" s="1"/>
  <c r="C578" i="1" a="1"/>
  <c r="C578" i="1" s="1"/>
  <c r="C579" i="1" a="1"/>
  <c r="C579" i="1" s="1"/>
  <c r="C580" i="1" a="1"/>
  <c r="C580" i="1" s="1"/>
  <c r="C581" i="1" a="1"/>
  <c r="C581" i="1" s="1"/>
  <c r="C582" i="1" a="1"/>
  <c r="C582" i="1" s="1"/>
  <c r="C583" i="1" a="1"/>
  <c r="C583" i="1" s="1"/>
  <c r="C584" i="1" a="1"/>
  <c r="C584" i="1" s="1"/>
  <c r="C585" i="1" a="1"/>
  <c r="C585" i="1" s="1"/>
  <c r="C586" i="1" a="1"/>
  <c r="C586" i="1" s="1"/>
  <c r="C587" i="1" a="1"/>
  <c r="C587" i="1" s="1"/>
  <c r="C588" i="1" a="1"/>
  <c r="C588" i="1" s="1"/>
  <c r="C589" i="1" a="1"/>
  <c r="C589" i="1" s="1"/>
  <c r="C590" i="1" a="1"/>
  <c r="C590" i="1" s="1"/>
  <c r="C591" i="1" a="1"/>
  <c r="C591" i="1" s="1"/>
  <c r="C592" i="1" a="1"/>
  <c r="C592" i="1"/>
  <c r="C593" i="1" a="1"/>
  <c r="C593" i="1" s="1"/>
  <c r="C594" i="1" a="1"/>
  <c r="C594" i="1" s="1"/>
  <c r="C595" i="1" a="1"/>
  <c r="C595" i="1" s="1"/>
  <c r="C596" i="1" a="1"/>
  <c r="C596" i="1" s="1"/>
  <c r="C597" i="1" a="1"/>
  <c r="C597" i="1" s="1"/>
  <c r="C598" i="1" a="1"/>
  <c r="C598" i="1" s="1"/>
  <c r="C599" i="1" a="1"/>
  <c r="C599" i="1" s="1"/>
  <c r="C600" i="1" a="1"/>
  <c r="C600" i="1" s="1"/>
  <c r="C601" i="1" a="1"/>
  <c r="C601" i="1" s="1"/>
  <c r="C602" i="1" a="1"/>
  <c r="C602" i="1" s="1"/>
  <c r="C603" i="1" a="1"/>
  <c r="C603" i="1" s="1"/>
  <c r="C604" i="1" a="1"/>
  <c r="C604" i="1" s="1"/>
  <c r="C605" i="1" a="1"/>
  <c r="C605" i="1" s="1"/>
  <c r="C606" i="1" a="1"/>
  <c r="C606" i="1" s="1"/>
  <c r="C607" i="1" a="1"/>
  <c r="C607" i="1" s="1"/>
  <c r="C608" i="1" a="1"/>
  <c r="C608" i="1" s="1"/>
  <c r="C609" i="1" a="1"/>
  <c r="C609" i="1" s="1"/>
  <c r="C610" i="1" a="1"/>
  <c r="C610" i="1" s="1"/>
  <c r="C611" i="1" a="1"/>
  <c r="C611" i="1" s="1"/>
  <c r="C612" i="1" a="1"/>
  <c r="C612" i="1" s="1"/>
  <c r="C613" i="1" a="1"/>
  <c r="C613" i="1" s="1"/>
  <c r="C614" i="1" a="1"/>
  <c r="C614" i="1" s="1"/>
  <c r="C615" i="1" a="1"/>
  <c r="C615" i="1" s="1"/>
  <c r="C616" i="1" a="1"/>
  <c r="C616" i="1" s="1"/>
  <c r="C617" i="1" a="1"/>
  <c r="C617" i="1" s="1"/>
  <c r="C618" i="1" a="1"/>
  <c r="C618" i="1" s="1"/>
  <c r="C619" i="1" a="1"/>
  <c r="C619" i="1" s="1"/>
  <c r="C620" i="1" a="1"/>
  <c r="C620" i="1" s="1"/>
  <c r="C621" i="1" a="1"/>
  <c r="C621" i="1" s="1"/>
  <c r="C622" i="1" a="1"/>
  <c r="C622" i="1" s="1"/>
  <c r="C623" i="1" a="1"/>
  <c r="C623" i="1" s="1"/>
  <c r="C624" i="1" a="1"/>
  <c r="C624" i="1" s="1"/>
  <c r="C625" i="1" a="1"/>
  <c r="C625" i="1" s="1"/>
  <c r="C626" i="1" a="1"/>
  <c r="C626" i="1" s="1"/>
  <c r="C627" i="1" a="1"/>
  <c r="C627" i="1" s="1"/>
  <c r="C628" i="1" a="1"/>
  <c r="C628" i="1" s="1"/>
  <c r="C629" i="1" a="1"/>
  <c r="C629" i="1" s="1"/>
  <c r="C630" i="1" a="1"/>
  <c r="C630" i="1" s="1"/>
  <c r="C631" i="1" a="1"/>
  <c r="C631" i="1" s="1"/>
  <c r="C632" i="1" a="1"/>
  <c r="C632" i="1" s="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s="1"/>
  <c r="C644" i="1" a="1"/>
  <c r="C644" i="1" s="1"/>
  <c r="C645" i="1" a="1"/>
  <c r="C645" i="1" s="1"/>
  <c r="C646" i="1" a="1"/>
  <c r="C646" i="1" s="1"/>
  <c r="C647" i="1" a="1"/>
  <c r="C647" i="1" s="1"/>
  <c r="C648" i="1" a="1"/>
  <c r="C648" i="1" s="1"/>
  <c r="C649" i="1" a="1"/>
  <c r="C649" i="1" s="1"/>
  <c r="C650" i="1" a="1"/>
  <c r="C650" i="1" s="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s="1"/>
  <c r="C662" i="1" a="1"/>
  <c r="C662" i="1" s="1"/>
  <c r="C663" i="1" a="1"/>
  <c r="C663" i="1" s="1"/>
  <c r="C664" i="1" a="1"/>
  <c r="C664" i="1" s="1"/>
  <c r="C665" i="1" a="1"/>
  <c r="C665" i="1" s="1"/>
  <c r="C666" i="1" a="1"/>
  <c r="C666" i="1" s="1"/>
  <c r="C667" i="1" a="1"/>
  <c r="C667" i="1" s="1"/>
  <c r="C668" i="1" a="1"/>
  <c r="C668" i="1" s="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s="1"/>
  <c r="C680" i="1" a="1"/>
  <c r="C680" i="1"/>
  <c r="C681" i="1" a="1"/>
  <c r="C681" i="1" s="1"/>
  <c r="C682" i="1" a="1"/>
  <c r="C682" i="1" s="1"/>
  <c r="C683" i="1" a="1"/>
  <c r="C683" i="1" s="1"/>
  <c r="C684" i="1" a="1"/>
  <c r="C684" i="1" s="1"/>
  <c r="C685" i="1" a="1"/>
  <c r="C685" i="1" s="1"/>
  <c r="C686" i="1" a="1"/>
  <c r="C686" i="1" s="1"/>
  <c r="C687" i="1" a="1"/>
  <c r="C687" i="1" s="1"/>
  <c r="C688" i="1" a="1"/>
  <c r="C688" i="1" s="1"/>
  <c r="C689" i="1" a="1"/>
  <c r="C689" i="1" s="1"/>
  <c r="C690" i="1" a="1"/>
  <c r="C690" i="1" s="1"/>
  <c r="C691" i="1" a="1"/>
  <c r="C691" i="1" s="1"/>
  <c r="C692" i="1" a="1"/>
  <c r="C692" i="1" s="1"/>
  <c r="C693" i="1" a="1"/>
  <c r="C693" i="1" s="1"/>
  <c r="C694" i="1" a="1"/>
  <c r="C694" i="1" s="1"/>
  <c r="C695" i="1" a="1"/>
  <c r="C695" i="1" s="1"/>
  <c r="C696" i="1" a="1"/>
  <c r="C696" i="1" s="1"/>
  <c r="C697" i="1" a="1"/>
  <c r="C697" i="1" s="1"/>
  <c r="C698" i="1" a="1"/>
  <c r="C698" i="1" s="1"/>
  <c r="C699" i="1" a="1"/>
  <c r="C699" i="1" s="1"/>
  <c r="C700" i="1" a="1"/>
  <c r="C700" i="1" s="1"/>
  <c r="C701" i="1" a="1"/>
  <c r="C701" i="1" s="1"/>
  <c r="C702" i="1" a="1"/>
  <c r="C702" i="1" s="1"/>
  <c r="C703" i="1" a="1"/>
  <c r="C703" i="1" s="1"/>
  <c r="C704" i="1" a="1"/>
  <c r="C704" i="1" s="1"/>
  <c r="C705" i="1" a="1"/>
  <c r="C705" i="1" s="1"/>
  <c r="C706" i="1" a="1"/>
  <c r="C706" i="1" s="1"/>
  <c r="C707" i="1" a="1"/>
  <c r="C707" i="1" s="1"/>
  <c r="C708" i="1" a="1"/>
  <c r="C708" i="1" s="1"/>
  <c r="C709" i="1" a="1"/>
  <c r="C709" i="1" s="1"/>
  <c r="C710" i="1" a="1"/>
  <c r="C710" i="1" s="1"/>
  <c r="C711" i="1" a="1"/>
  <c r="C711" i="1" s="1"/>
  <c r="C712" i="1" a="1"/>
  <c r="C712" i="1" s="1"/>
  <c r="C713" i="1" a="1"/>
  <c r="C713" i="1" s="1"/>
  <c r="C714" i="1" a="1"/>
  <c r="C714" i="1" s="1"/>
  <c r="C715" i="1" a="1"/>
  <c r="C715" i="1" s="1"/>
  <c r="C716" i="1" a="1"/>
  <c r="C716" i="1" s="1"/>
  <c r="C717" i="1" a="1"/>
  <c r="C717" i="1" s="1"/>
  <c r="C718" i="1" a="1"/>
  <c r="C718" i="1" s="1"/>
  <c r="C719" i="1" a="1"/>
  <c r="C719" i="1" s="1"/>
  <c r="C720" i="1" a="1"/>
  <c r="C720" i="1" s="1"/>
  <c r="C721" i="1" a="1"/>
  <c r="C721" i="1" s="1"/>
  <c r="C722" i="1" a="1"/>
  <c r="C722" i="1" s="1"/>
  <c r="C723" i="1" a="1"/>
  <c r="C723" i="1" s="1"/>
  <c r="C724" i="1" a="1"/>
  <c r="C724" i="1" s="1"/>
  <c r="C725" i="1" a="1"/>
  <c r="C725" i="1" s="1"/>
  <c r="C726" i="1" a="1"/>
  <c r="C726" i="1" s="1"/>
  <c r="C727" i="1" a="1"/>
  <c r="C727" i="1" s="1"/>
  <c r="C728" i="1" a="1"/>
  <c r="C728" i="1" s="1"/>
  <c r="C729" i="1" a="1"/>
  <c r="C729" i="1" s="1"/>
  <c r="C730" i="1" a="1"/>
  <c r="C730" i="1" s="1"/>
  <c r="C731" i="1" a="1"/>
  <c r="C731" i="1" s="1"/>
  <c r="C732" i="1" a="1"/>
  <c r="C732" i="1" s="1"/>
  <c r="C733" i="1" a="1"/>
  <c r="C733" i="1" s="1"/>
  <c r="C734" i="1" a="1"/>
  <c r="C734" i="1" s="1"/>
  <c r="C735" i="1" a="1"/>
  <c r="C735" i="1" s="1"/>
  <c r="C736" i="1" a="1"/>
  <c r="C736" i="1" s="1"/>
  <c r="C737" i="1" a="1"/>
  <c r="C737" i="1" s="1"/>
  <c r="C738" i="1" a="1"/>
  <c r="C738" i="1" s="1"/>
  <c r="C739" i="1" a="1"/>
  <c r="C739" i="1" s="1"/>
  <c r="C740" i="1" a="1"/>
  <c r="C740" i="1" s="1"/>
  <c r="C741" i="1" a="1"/>
  <c r="C741" i="1" s="1"/>
  <c r="C742" i="1" a="1"/>
  <c r="C742" i="1"/>
  <c r="C743" i="1" a="1"/>
  <c r="C743" i="1" s="1"/>
  <c r="C744" i="1" a="1"/>
  <c r="C744" i="1" s="1"/>
  <c r="C745" i="1" a="1"/>
  <c r="C745" i="1" s="1"/>
  <c r="C746" i="1" a="1"/>
  <c r="C746" i="1" s="1"/>
  <c r="C747" i="1" a="1"/>
  <c r="C747" i="1" s="1"/>
  <c r="C748" i="1" a="1"/>
  <c r="C748" i="1" s="1"/>
  <c r="C749" i="1" a="1"/>
  <c r="C749" i="1" s="1"/>
  <c r="C750" i="1" a="1"/>
  <c r="C750" i="1" s="1"/>
  <c r="C751" i="1" a="1"/>
  <c r="C751" i="1" s="1"/>
  <c r="C752" i="1" a="1"/>
  <c r="C752" i="1" s="1"/>
  <c r="C753" i="1" a="1"/>
  <c r="C753" i="1" s="1"/>
  <c r="C754" i="1" a="1"/>
  <c r="C754" i="1" s="1"/>
  <c r="C755" i="1" a="1"/>
  <c r="C755" i="1" s="1"/>
  <c r="C756" i="1" a="1"/>
  <c r="C756" i="1" s="1"/>
  <c r="C757" i="1" a="1"/>
  <c r="C757" i="1" s="1"/>
  <c r="C758" i="1" a="1"/>
  <c r="C758" i="1" s="1"/>
  <c r="C759" i="1" a="1"/>
  <c r="C759" i="1" s="1"/>
  <c r="C760" i="1" a="1"/>
  <c r="C760" i="1" s="1"/>
  <c r="C761" i="1" a="1"/>
  <c r="C761" i="1" s="1"/>
  <c r="C762" i="1" a="1"/>
  <c r="C762" i="1" s="1"/>
  <c r="C763" i="1" a="1"/>
  <c r="C763" i="1" s="1"/>
  <c r="C764" i="1" a="1"/>
  <c r="C764" i="1" s="1"/>
  <c r="C765" i="1" a="1"/>
  <c r="C765" i="1" s="1"/>
  <c r="C766" i="1" a="1"/>
  <c r="C766" i="1" s="1"/>
  <c r="C767" i="1" a="1"/>
  <c r="C767" i="1" s="1"/>
  <c r="C768" i="1" a="1"/>
  <c r="C768" i="1" s="1"/>
  <c r="C769" i="1" a="1"/>
  <c r="C769" i="1" s="1"/>
  <c r="C770" i="1" a="1"/>
  <c r="C770" i="1" s="1"/>
  <c r="C771" i="1" a="1"/>
  <c r="C771" i="1" s="1"/>
  <c r="C772" i="1" a="1"/>
  <c r="C772" i="1" s="1"/>
  <c r="C773" i="1" a="1"/>
  <c r="C773" i="1" s="1"/>
  <c r="C774" i="1" a="1"/>
  <c r="C774" i="1" s="1"/>
  <c r="C775" i="1" a="1"/>
  <c r="C775" i="1" s="1"/>
  <c r="C776" i="1" a="1"/>
  <c r="C776" i="1" s="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s="1"/>
  <c r="C790" i="1" a="1"/>
  <c r="C790" i="1" s="1"/>
  <c r="C791" i="1" a="1"/>
  <c r="C791" i="1" s="1"/>
  <c r="C792" i="1" a="1"/>
  <c r="C792" i="1" s="1"/>
  <c r="C793" i="1" a="1"/>
  <c r="C793" i="1" s="1"/>
  <c r="C794" i="1" a="1"/>
  <c r="C794" i="1" s="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s="1"/>
  <c r="C806" i="1" a="1"/>
  <c r="C806" i="1" s="1"/>
  <c r="C807" i="1" a="1"/>
  <c r="C807" i="1" s="1"/>
  <c r="C808" i="1" a="1"/>
  <c r="C808" i="1" s="1"/>
  <c r="C809" i="1" a="1"/>
  <c r="C809" i="1" s="1"/>
  <c r="C810" i="1" a="1"/>
  <c r="C810" i="1" s="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s="1"/>
  <c r="C824" i="1" a="1"/>
  <c r="C824" i="1" s="1"/>
  <c r="C825" i="1" a="1"/>
  <c r="C825" i="1" s="1"/>
  <c r="C826" i="1" a="1"/>
  <c r="C826" i="1" s="1"/>
  <c r="C827" i="1" a="1"/>
  <c r="C827" i="1" s="1"/>
  <c r="C828" i="1" a="1"/>
  <c r="C828" i="1" s="1"/>
  <c r="C829" i="1" a="1"/>
  <c r="C829" i="1" s="1"/>
  <c r="C830" i="1" a="1"/>
  <c r="C830" i="1" s="1"/>
  <c r="C831" i="1" a="1"/>
  <c r="C831" i="1" s="1"/>
  <c r="C832" i="1" a="1"/>
  <c r="C832" i="1" s="1"/>
  <c r="C833" i="1" a="1"/>
  <c r="C833" i="1" s="1"/>
  <c r="C834" i="1" a="1"/>
  <c r="C834" i="1" s="1"/>
  <c r="C835" i="1" a="1"/>
  <c r="C835" i="1" s="1"/>
  <c r="C836" i="1" a="1"/>
  <c r="C836" i="1" s="1"/>
  <c r="C837" i="1" a="1"/>
  <c r="C837" i="1" s="1"/>
  <c r="C838" i="1" a="1"/>
  <c r="C838" i="1" s="1"/>
  <c r="C839" i="1" a="1"/>
  <c r="C839" i="1" s="1"/>
  <c r="C840" i="1" a="1"/>
  <c r="C840" i="1" s="1"/>
  <c r="C841" i="1" a="1"/>
  <c r="C841" i="1" s="1"/>
  <c r="C842" i="1" a="1"/>
  <c r="C842" i="1" s="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s="1"/>
  <c r="C854" i="1" a="1"/>
  <c r="C854" i="1" s="1"/>
  <c r="C855" i="1" a="1"/>
  <c r="C855" i="1" s="1"/>
  <c r="C856" i="1" a="1"/>
  <c r="C856" i="1" s="1"/>
  <c r="C857" i="1" a="1"/>
  <c r="C857" i="1" s="1"/>
  <c r="C858" i="1" a="1"/>
  <c r="C858" i="1" s="1"/>
  <c r="C859" i="1" a="1"/>
  <c r="C859" i="1" s="1"/>
  <c r="C860" i="1" a="1"/>
  <c r="C860" i="1" s="1"/>
  <c r="C861" i="1" a="1"/>
  <c r="C861" i="1" s="1"/>
  <c r="C862" i="1" a="1"/>
  <c r="C862" i="1" s="1"/>
  <c r="C863" i="1" a="1"/>
  <c r="C863" i="1" s="1"/>
  <c r="C864" i="1" a="1"/>
  <c r="C864" i="1" s="1"/>
  <c r="C865" i="1" a="1"/>
  <c r="C865" i="1" s="1"/>
  <c r="C866" i="1" a="1"/>
  <c r="C866" i="1" s="1"/>
  <c r="C867" i="1" a="1"/>
  <c r="C867" i="1" s="1"/>
  <c r="C868" i="1" a="1"/>
  <c r="C868" i="1" s="1"/>
  <c r="C869" i="1" a="1"/>
  <c r="C869" i="1" s="1"/>
  <c r="C870" i="1" a="1"/>
  <c r="C870" i="1" s="1"/>
  <c r="C871" i="1" a="1"/>
  <c r="C871" i="1" s="1"/>
  <c r="C872" i="1" a="1"/>
  <c r="C872" i="1" s="1"/>
  <c r="C873" i="1" a="1"/>
  <c r="C873" i="1" s="1"/>
  <c r="C874" i="1" a="1"/>
  <c r="C874" i="1" s="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s="1"/>
  <c r="C886" i="1" a="1"/>
  <c r="C886" i="1" s="1"/>
  <c r="C887" i="1" a="1"/>
  <c r="C887" i="1" s="1"/>
  <c r="C888" i="1" a="1"/>
  <c r="C888" i="1" s="1"/>
  <c r="C889" i="1" a="1"/>
  <c r="C889" i="1" s="1"/>
  <c r="C890" i="1" a="1"/>
  <c r="C890" i="1" s="1"/>
  <c r="C891" i="1" a="1"/>
  <c r="C891" i="1" s="1"/>
  <c r="C892" i="1" a="1"/>
  <c r="C892" i="1" s="1"/>
  <c r="C893" i="1" a="1"/>
  <c r="C893" i="1" s="1"/>
  <c r="C894" i="1" a="1"/>
  <c r="C894" i="1" s="1"/>
  <c r="C895" i="1" a="1"/>
  <c r="C895" i="1" s="1"/>
  <c r="C896" i="1" a="1"/>
  <c r="C896" i="1" s="1"/>
  <c r="C897" i="1" a="1"/>
  <c r="C897" i="1" s="1"/>
  <c r="C898" i="1" a="1"/>
  <c r="C898" i="1" s="1"/>
  <c r="C899" i="1" a="1"/>
  <c r="C899" i="1" s="1"/>
  <c r="C900" i="1" a="1"/>
  <c r="C900" i="1" s="1"/>
  <c r="C901" i="1" a="1"/>
  <c r="C901" i="1" s="1"/>
  <c r="C902" i="1" a="1"/>
  <c r="C902" i="1" s="1"/>
  <c r="C903" i="1" a="1"/>
  <c r="C903" i="1" s="1"/>
  <c r="C904" i="1" a="1"/>
  <c r="C904" i="1" s="1"/>
  <c r="C905" i="1" a="1"/>
  <c r="C905" i="1" s="1"/>
  <c r="C906" i="1" a="1"/>
  <c r="C906" i="1" s="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s="1"/>
  <c r="C918" i="1" a="1"/>
  <c r="C918" i="1" s="1"/>
  <c r="C919" i="1" a="1"/>
  <c r="C919" i="1" s="1"/>
  <c r="C920" i="1" a="1"/>
  <c r="C920" i="1" s="1"/>
  <c r="C921" i="1" a="1"/>
  <c r="C921" i="1" s="1"/>
  <c r="C922" i="1" a="1"/>
  <c r="C922" i="1" s="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s="1"/>
  <c r="C934" i="1" a="1"/>
  <c r="C934" i="1" s="1"/>
  <c r="C935" i="1" a="1"/>
  <c r="C935" i="1" s="1"/>
  <c r="C936" i="1" a="1"/>
  <c r="C936" i="1" s="1"/>
  <c r="C937" i="1" a="1"/>
  <c r="C937" i="1" s="1"/>
  <c r="C938" i="1" a="1"/>
  <c r="C938" i="1" s="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s="1"/>
  <c r="C950" i="1" a="1"/>
  <c r="C950" i="1" s="1"/>
  <c r="C951" i="1" a="1"/>
  <c r="C951" i="1" s="1"/>
  <c r="C952" i="1" a="1"/>
  <c r="C952" i="1" s="1"/>
  <c r="C953" i="1" a="1"/>
  <c r="C953" i="1" s="1"/>
  <c r="C954" i="1" a="1"/>
  <c r="C954" i="1" s="1"/>
  <c r="C955" i="1" a="1"/>
  <c r="C955" i="1" s="1"/>
  <c r="C956" i="1" a="1"/>
  <c r="C956" i="1" s="1"/>
  <c r="C957" i="1" a="1"/>
  <c r="C957" i="1" s="1"/>
  <c r="C958" i="1" a="1"/>
  <c r="C958" i="1" s="1"/>
  <c r="C959" i="1" a="1"/>
  <c r="C959" i="1" s="1"/>
  <c r="C960" i="1" a="1"/>
  <c r="C960" i="1" s="1"/>
  <c r="C961" i="1" a="1"/>
  <c r="C961" i="1" s="1"/>
  <c r="C962" i="1" a="1"/>
  <c r="C962" i="1" s="1"/>
  <c r="C963" i="1" a="1"/>
  <c r="C963" i="1" s="1"/>
  <c r="C964" i="1" a="1"/>
  <c r="C964" i="1" s="1"/>
  <c r="C965" i="1" a="1"/>
  <c r="C965" i="1" s="1"/>
  <c r="C966" i="1" a="1"/>
  <c r="C966" i="1" s="1"/>
  <c r="C967" i="1" a="1"/>
  <c r="C967" i="1" s="1"/>
  <c r="C968" i="1" a="1"/>
  <c r="C968" i="1" s="1"/>
  <c r="C969" i="1" a="1"/>
  <c r="C969" i="1" s="1"/>
  <c r="C970" i="1" a="1"/>
  <c r="C970" i="1" s="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s="1"/>
  <c r="C982" i="1" a="1"/>
  <c r="C982" i="1" s="1"/>
  <c r="C983" i="1" a="1"/>
  <c r="C983" i="1" s="1"/>
  <c r="C984" i="1" a="1"/>
  <c r="C984" i="1" s="1"/>
  <c r="C985" i="1" a="1"/>
  <c r="C985" i="1" s="1"/>
  <c r="C986" i="1" a="1"/>
  <c r="C986" i="1" s="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s="1"/>
  <c r="C998" i="1" a="1"/>
  <c r="C998" i="1" s="1"/>
  <c r="C999" i="1" a="1"/>
  <c r="C999" i="1" s="1"/>
  <c r="C1000" i="1" a="1"/>
  <c r="C1000" i="1" s="1"/>
  <c r="C1001" i="1" a="1"/>
  <c r="C1001" i="1" s="1"/>
  <c r="C1002" i="1" a="1"/>
  <c r="C1002" i="1" s="1"/>
  <c r="C1003" i="1" a="1"/>
  <c r="C1003" i="1" s="1"/>
  <c r="C1004" i="1" a="1"/>
  <c r="C1004" i="1" s="1"/>
  <c r="C1005" i="1" a="1"/>
  <c r="C1005" i="1" s="1"/>
  <c r="C1006" i="1" a="1"/>
  <c r="C1006" i="1" s="1"/>
  <c r="C1007" i="1" a="1"/>
  <c r="C1007" i="1" s="1"/>
  <c r="C1008" i="1" a="1"/>
  <c r="C1008" i="1" s="1"/>
  <c r="C1009" i="1" a="1"/>
  <c r="C1009" i="1" s="1"/>
  <c r="C1010" i="1" a="1"/>
  <c r="C1010" i="1" s="1"/>
  <c r="C1011" i="1" a="1"/>
  <c r="C1011" i="1" s="1"/>
  <c r="C1012" i="1" a="1"/>
  <c r="C1012" i="1" s="1"/>
  <c r="C1013" i="1" a="1"/>
  <c r="C1013" i="1" s="1"/>
  <c r="C1014" i="1" a="1"/>
  <c r="C1014" i="1" s="1"/>
  <c r="C1015" i="1" a="1"/>
  <c r="C1015" i="1" s="1"/>
  <c r="C1016" i="1" a="1"/>
  <c r="C1016" i="1" s="1"/>
  <c r="C1017" i="1" a="1"/>
  <c r="C1017" i="1" s="1"/>
  <c r="C1018" i="1" a="1"/>
  <c r="C1018" i="1" s="1"/>
  <c r="C1019" i="1" a="1"/>
  <c r="C1019" i="1" s="1"/>
  <c r="C1020" i="1" a="1"/>
  <c r="C1020" i="1" s="1"/>
  <c r="C1021" i="1" a="1"/>
  <c r="C1021" i="1" s="1"/>
  <c r="C1022" i="1" a="1"/>
  <c r="C1022" i="1" s="1"/>
  <c r="C1023" i="1" a="1"/>
  <c r="C1023" i="1" s="1"/>
  <c r="C1024" i="1" a="1"/>
  <c r="C1024" i="1" s="1"/>
  <c r="C1025" i="1" a="1"/>
  <c r="C1025" i="1" s="1"/>
  <c r="C1026" i="1" a="1"/>
  <c r="C1026" i="1" s="1"/>
  <c r="C1027" i="1" a="1"/>
  <c r="C1027" i="1" s="1"/>
  <c r="C1028" i="1" a="1"/>
  <c r="C1028" i="1" s="1"/>
  <c r="C1029" i="1" a="1"/>
  <c r="C1029" i="1" s="1"/>
  <c r="C1030" i="1" a="1"/>
  <c r="C1030" i="1" s="1"/>
  <c r="C1031" i="1" a="1"/>
  <c r="C1031" i="1" s="1"/>
  <c r="C1032" i="1" a="1"/>
  <c r="C1032" i="1" s="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s="1"/>
  <c r="C1057" i="1" a="1"/>
  <c r="C1057" i="1" s="1"/>
  <c r="C1058" i="1" a="1"/>
  <c r="C1058" i="1" s="1"/>
  <c r="C1059" i="1" a="1"/>
  <c r="C1059" i="1" s="1"/>
  <c r="C1060" i="1" a="1"/>
  <c r="C1060" i="1" s="1"/>
  <c r="C1061" i="1" a="1"/>
  <c r="C1061" i="1" s="1"/>
  <c r="C1062" i="1" a="1"/>
  <c r="C1062" i="1" s="1"/>
  <c r="C1063" i="1" a="1"/>
  <c r="C1063" i="1" s="1"/>
  <c r="C1064" i="1" a="1"/>
  <c r="C1064" i="1" s="1"/>
  <c r="C1065" i="1" a="1"/>
  <c r="C1065" i="1" s="1"/>
  <c r="C1066" i="1" a="1"/>
  <c r="C1066" i="1" s="1"/>
  <c r="C1067" i="1" a="1"/>
  <c r="C1067" i="1" s="1"/>
  <c r="C1068" i="1" a="1"/>
  <c r="C1068" i="1" s="1"/>
  <c r="C1069" i="1" a="1"/>
  <c r="C1069" i="1" s="1"/>
  <c r="C1070" i="1" a="1"/>
  <c r="C1070" i="1" s="1"/>
  <c r="C1071" i="1" a="1"/>
  <c r="C1071" i="1" s="1"/>
  <c r="C1072" i="1" a="1"/>
  <c r="C1072" i="1" s="1"/>
  <c r="C1073" i="1" a="1"/>
  <c r="C1073" i="1" s="1"/>
  <c r="C1074" i="1" a="1"/>
  <c r="C1074" i="1" s="1"/>
  <c r="C1075" i="1" a="1"/>
  <c r="C1075" i="1" s="1"/>
  <c r="C1076" i="1" a="1"/>
  <c r="C1076" i="1" s="1"/>
  <c r="C1077" i="1" a="1"/>
  <c r="C1077" i="1" s="1"/>
  <c r="C1078" i="1" a="1"/>
  <c r="C1078" i="1" s="1"/>
  <c r="C1079" i="1" a="1"/>
  <c r="C1079" i="1" s="1"/>
  <c r="C1080" i="1" a="1"/>
  <c r="C1080" i="1" s="1"/>
  <c r="C1081" i="1" a="1"/>
  <c r="C1081" i="1" s="1"/>
  <c r="C1082" i="1" a="1"/>
  <c r="C1082" i="1" s="1"/>
  <c r="C1083" i="1" a="1"/>
  <c r="C1083" i="1" s="1"/>
  <c r="C1084" i="1" a="1"/>
  <c r="C1084" i="1" s="1"/>
  <c r="C1085" i="1" a="1"/>
  <c r="C1085" i="1" s="1"/>
  <c r="C1086" i="1" a="1"/>
  <c r="C1086" i="1" s="1"/>
  <c r="C1087" i="1" a="1"/>
  <c r="C1087" i="1" s="1"/>
  <c r="C1088" i="1" a="1"/>
  <c r="C1088" i="1" s="1"/>
  <c r="C1089" i="1" a="1"/>
  <c r="C1089" i="1" s="1"/>
  <c r="C1090" i="1" a="1"/>
  <c r="C1090" i="1" s="1"/>
  <c r="C1091" i="1" a="1"/>
  <c r="C1091" i="1" s="1"/>
  <c r="C1092" i="1" a="1"/>
  <c r="C1092" i="1" s="1"/>
  <c r="C1093" i="1" a="1"/>
  <c r="C1093" i="1" s="1"/>
  <c r="C1094" i="1" a="1"/>
  <c r="C1094" i="1" s="1"/>
  <c r="C1095" i="1" a="1"/>
  <c r="C1095" i="1" s="1"/>
  <c r="C1096" i="1" a="1"/>
  <c r="C1096" i="1" s="1"/>
  <c r="C1097" i="1" a="1"/>
  <c r="C1097" i="1" s="1"/>
  <c r="C1098" i="1" a="1"/>
  <c r="C1098" i="1" s="1"/>
  <c r="C1099" i="1" a="1"/>
  <c r="C1099" i="1" s="1"/>
  <c r="C1100" i="1" a="1"/>
  <c r="C1100" i="1" s="1"/>
  <c r="C1101" i="1" a="1"/>
  <c r="C1101" i="1" s="1"/>
  <c r="C1102" i="1" a="1"/>
  <c r="C1102" i="1" s="1"/>
  <c r="C1103" i="1" a="1"/>
  <c r="C1103" i="1" s="1"/>
  <c r="C1104" i="1" a="1"/>
  <c r="C1104" i="1" s="1"/>
  <c r="C1105" i="1" a="1"/>
  <c r="C1105" i="1" s="1"/>
  <c r="C1106" i="1" a="1"/>
  <c r="C1106" i="1" s="1"/>
  <c r="C1107" i="1" a="1"/>
  <c r="C1107" i="1" s="1"/>
  <c r="C1108" i="1" a="1"/>
  <c r="C1108" i="1" s="1"/>
  <c r="C1109" i="1" a="1"/>
  <c r="C1109" i="1" s="1"/>
  <c r="C1110" i="1" a="1"/>
  <c r="C1110" i="1" s="1"/>
  <c r="C1111" i="1" a="1"/>
  <c r="C1111" i="1" s="1"/>
  <c r="C1112" i="1" a="1"/>
  <c r="C1112" i="1" s="1"/>
  <c r="C1113" i="1" a="1"/>
  <c r="C1113" i="1" s="1"/>
  <c r="C1114" i="1" a="1"/>
  <c r="C1114" i="1" s="1"/>
  <c r="C1115" i="1" a="1"/>
  <c r="C1115" i="1" s="1"/>
  <c r="C1116" i="1" a="1"/>
  <c r="C1116" i="1" s="1"/>
  <c r="C1117" i="1" a="1"/>
  <c r="C1117" i="1" s="1"/>
  <c r="C1118" i="1" a="1"/>
  <c r="C1118" i="1" s="1"/>
  <c r="C1119" i="1" a="1"/>
  <c r="C1119" i="1" s="1"/>
  <c r="C1120" i="1" a="1"/>
  <c r="C1120" i="1" s="1"/>
  <c r="C1121" i="1" a="1"/>
  <c r="C1121" i="1" s="1"/>
  <c r="C1122" i="1" a="1"/>
  <c r="C1122" i="1" s="1"/>
  <c r="C1123" i="1" a="1"/>
  <c r="C1123" i="1" s="1"/>
  <c r="C1124" i="1" a="1"/>
  <c r="C1124" i="1" s="1"/>
  <c r="C1125" i="1" a="1"/>
  <c r="C1125" i="1" s="1"/>
  <c r="C1126" i="1" a="1"/>
  <c r="C1126" i="1" s="1"/>
  <c r="C1127" i="1" a="1"/>
  <c r="C1127" i="1" s="1"/>
  <c r="C1128" i="1" a="1"/>
  <c r="C1128" i="1" s="1"/>
  <c r="C1129" i="1" a="1"/>
  <c r="C1129" i="1" s="1"/>
  <c r="C1130" i="1" a="1"/>
  <c r="C1130" i="1" s="1"/>
  <c r="C1131" i="1" a="1"/>
  <c r="C1131" i="1" s="1"/>
  <c r="C1132" i="1" a="1"/>
  <c r="C1132" i="1" s="1"/>
  <c r="C1133" i="1" a="1"/>
  <c r="C1133" i="1" s="1"/>
  <c r="C1134" i="1" a="1"/>
  <c r="C1134" i="1" s="1"/>
  <c r="C1135" i="1" a="1"/>
  <c r="C1135" i="1" s="1"/>
  <c r="C1136" i="1" a="1"/>
  <c r="C1136" i="1" s="1"/>
  <c r="C1137" i="1" a="1"/>
  <c r="C1137" i="1" s="1"/>
  <c r="C1138" i="1" a="1"/>
  <c r="C1138" i="1" s="1"/>
  <c r="C1139" i="1" a="1"/>
  <c r="C1139" i="1" s="1"/>
  <c r="C1140" i="1" a="1"/>
  <c r="C1140" i="1"/>
  <c r="C1141" i="1" a="1"/>
  <c r="C1141" i="1" s="1"/>
  <c r="C1142" i="1" a="1"/>
  <c r="C1142" i="1" s="1"/>
  <c r="C1143" i="1" a="1"/>
  <c r="C1143" i="1" s="1"/>
  <c r="C1144" i="1" a="1"/>
  <c r="C1144" i="1" s="1"/>
  <c r="C1145" i="1" a="1"/>
  <c r="C1145" i="1" s="1"/>
  <c r="C1146" i="1" a="1"/>
  <c r="C1146" i="1" s="1"/>
  <c r="C1147" i="1" a="1"/>
  <c r="C1147" i="1" s="1"/>
  <c r="C1148" i="1" a="1"/>
  <c r="C1148" i="1" s="1"/>
  <c r="C1149" i="1" a="1"/>
  <c r="C1149" i="1" s="1"/>
  <c r="C1150" i="1" a="1"/>
  <c r="C1150" i="1" s="1"/>
  <c r="C1151" i="1" a="1"/>
  <c r="C1151" i="1" s="1"/>
  <c r="C1152" i="1" a="1"/>
  <c r="C1152" i="1" s="1"/>
  <c r="C1153" i="1" a="1"/>
  <c r="C1153" i="1" s="1"/>
  <c r="C1154" i="1" a="1"/>
  <c r="C1154" i="1" s="1"/>
  <c r="C1155" i="1" a="1"/>
  <c r="C1155" i="1" s="1"/>
  <c r="C1156" i="1" a="1"/>
  <c r="C1156" i="1" s="1"/>
  <c r="C1157" i="1" a="1"/>
  <c r="C1157" i="1" s="1"/>
  <c r="C1158" i="1" a="1"/>
  <c r="C1158" i="1" s="1"/>
  <c r="C1159" i="1" a="1"/>
  <c r="C1159" i="1" s="1"/>
  <c r="C1160" i="1" a="1"/>
  <c r="C1160" i="1" s="1"/>
  <c r="C1161" i="1" a="1"/>
  <c r="C1161" i="1" s="1"/>
  <c r="C1162" i="1" a="1"/>
  <c r="C1162" i="1" s="1"/>
  <c r="C1163" i="1" a="1"/>
  <c r="C1163" i="1" s="1"/>
  <c r="C1164" i="1" a="1"/>
  <c r="C1164" i="1" s="1"/>
  <c r="C1165" i="1" a="1"/>
  <c r="C1165" i="1" s="1"/>
  <c r="C1166" i="1" a="1"/>
  <c r="C1166" i="1" s="1"/>
  <c r="C1167" i="1" a="1"/>
  <c r="C1167" i="1" s="1"/>
  <c r="C1168" i="1" a="1"/>
  <c r="C1168" i="1" s="1"/>
  <c r="C1169" i="1" a="1"/>
  <c r="C1169" i="1" s="1"/>
  <c r="C1170" i="1" a="1"/>
  <c r="C1170" i="1" s="1"/>
  <c r="C1171" i="1" a="1"/>
  <c r="C1171" i="1" s="1"/>
  <c r="C1172" i="1" a="1"/>
  <c r="C1172" i="1" s="1"/>
  <c r="C1173" i="1" a="1"/>
  <c r="C1173" i="1" s="1"/>
  <c r="C1174" i="1" a="1"/>
  <c r="C1174" i="1" s="1"/>
  <c r="C1175" i="1" a="1"/>
  <c r="C1175" i="1" s="1"/>
  <c r="C1176" i="1" a="1"/>
  <c r="C1176" i="1" s="1"/>
  <c r="C1177" i="1" a="1"/>
  <c r="C1177" i="1" s="1"/>
  <c r="C1178" i="1" a="1"/>
  <c r="C1178" i="1" s="1"/>
  <c r="C1179" i="1" a="1"/>
  <c r="C1179" i="1" s="1"/>
  <c r="C1180" i="1" a="1"/>
  <c r="C1180" i="1" s="1"/>
  <c r="C1181" i="1" a="1"/>
  <c r="C1181" i="1" s="1"/>
  <c r="C1182" i="1" a="1"/>
  <c r="C1182" i="1" s="1"/>
  <c r="C1183" i="1" a="1"/>
  <c r="C1183" i="1" s="1"/>
  <c r="C1184" i="1" a="1"/>
  <c r="C1184" i="1" s="1"/>
  <c r="C1185" i="1" a="1"/>
  <c r="C1185" i="1" s="1"/>
  <c r="C1186" i="1" a="1"/>
  <c r="C1186" i="1" s="1"/>
  <c r="C1187" i="1" a="1"/>
  <c r="C1187" i="1" s="1"/>
  <c r="C1188" i="1" a="1"/>
  <c r="C1188" i="1" s="1"/>
  <c r="C1189" i="1" a="1"/>
  <c r="C1189" i="1" s="1"/>
  <c r="C1190" i="1" a="1"/>
  <c r="C1190" i="1" s="1"/>
  <c r="C1191" i="1" a="1"/>
  <c r="C1191" i="1" s="1"/>
  <c r="C1192" i="1" a="1"/>
  <c r="C1192" i="1" s="1"/>
  <c r="C1193" i="1" a="1"/>
  <c r="C1193" i="1" s="1"/>
  <c r="C1194" i="1" a="1"/>
  <c r="C1194" i="1" s="1"/>
  <c r="C1195" i="1" a="1"/>
  <c r="C1195" i="1" s="1"/>
  <c r="C1196" i="1" a="1"/>
  <c r="C1196" i="1" s="1"/>
  <c r="C1197" i="1" a="1"/>
  <c r="C1197" i="1" s="1"/>
  <c r="C1198" i="1" a="1"/>
  <c r="C1198" i="1" s="1"/>
  <c r="C1199" i="1" a="1"/>
  <c r="C1199" i="1" s="1"/>
  <c r="C1200" i="1" a="1"/>
  <c r="C1200" i="1" s="1"/>
  <c r="C1201" i="1" a="1"/>
  <c r="C1201" i="1" s="1"/>
  <c r="C1202" i="1" a="1"/>
  <c r="C1202" i="1" s="1"/>
  <c r="C1203" i="1" a="1"/>
  <c r="C1203" i="1" s="1"/>
  <c r="C1204" i="1" a="1"/>
  <c r="C1204" i="1" s="1"/>
  <c r="C1205" i="1" a="1"/>
  <c r="C1205" i="1" s="1"/>
  <c r="C1206" i="1" a="1"/>
  <c r="C1206" i="1" s="1"/>
  <c r="C1207" i="1" a="1"/>
  <c r="C1207" i="1" s="1"/>
  <c r="C1208" i="1" a="1"/>
  <c r="C1208" i="1" s="1"/>
  <c r="C1209" i="1" a="1"/>
  <c r="C1209" i="1" s="1"/>
  <c r="C1210" i="1" a="1"/>
  <c r="C1210" i="1" s="1"/>
  <c r="C1211" i="1" a="1"/>
  <c r="C1211" i="1" s="1"/>
  <c r="C1212" i="1" a="1"/>
  <c r="C1212" i="1" s="1"/>
  <c r="C1213" i="1" a="1"/>
  <c r="C1213" i="1" s="1"/>
  <c r="C1214" i="1" a="1"/>
  <c r="C1214" i="1" s="1"/>
  <c r="C1215" i="1" a="1"/>
  <c r="C1215" i="1" s="1"/>
  <c r="C1216" i="1" a="1"/>
  <c r="C1216" i="1" s="1"/>
  <c r="C1217" i="1" a="1"/>
  <c r="C1217" i="1" s="1"/>
  <c r="C1218" i="1" a="1"/>
  <c r="C1218" i="1" s="1"/>
  <c r="C1219" i="1" a="1"/>
  <c r="C1219" i="1" s="1"/>
  <c r="C1220" i="1" a="1"/>
  <c r="C1220" i="1" s="1"/>
  <c r="C1221" i="1" a="1"/>
  <c r="C1221" i="1" s="1"/>
  <c r="C1222" i="1" a="1"/>
  <c r="C1222" i="1" s="1"/>
  <c r="C1223" i="1" a="1"/>
  <c r="C1223" i="1" s="1"/>
  <c r="C1224" i="1" a="1"/>
  <c r="C1224" i="1" s="1"/>
  <c r="C1225" i="1" a="1"/>
  <c r="C1225" i="1" s="1"/>
  <c r="C1226" i="1" a="1"/>
  <c r="C1226" i="1" s="1"/>
  <c r="C1227" i="1" a="1"/>
  <c r="C1227" i="1" s="1"/>
  <c r="C1228" i="1" a="1"/>
  <c r="C1228" i="1" s="1"/>
  <c r="C1229" i="1" a="1"/>
  <c r="C1229" i="1" s="1"/>
  <c r="C1230" i="1" a="1"/>
  <c r="C1230" i="1" s="1"/>
  <c r="C1231" i="1" a="1"/>
  <c r="C1231" i="1" s="1"/>
  <c r="C1232" i="1" a="1"/>
  <c r="C1232" i="1" s="1"/>
  <c r="C1233" i="1" a="1"/>
  <c r="C1233" i="1" s="1"/>
  <c r="C1234" i="1" a="1"/>
  <c r="C1234" i="1" s="1"/>
  <c r="C1235" i="1" a="1"/>
  <c r="C1235" i="1" s="1"/>
  <c r="C1236" i="1" a="1"/>
  <c r="C1236" i="1" s="1"/>
  <c r="C1237" i="1" a="1"/>
  <c r="C1237" i="1" s="1"/>
  <c r="C1238" i="1" a="1"/>
  <c r="C1238" i="1" s="1"/>
  <c r="C1239" i="1" a="1"/>
  <c r="C1239" i="1" s="1"/>
  <c r="C1240" i="1" a="1"/>
  <c r="C1240" i="1" s="1"/>
  <c r="C1241" i="1" a="1"/>
  <c r="C1241" i="1" s="1"/>
  <c r="C1242" i="1" a="1"/>
  <c r="C1242" i="1" s="1"/>
  <c r="C1243" i="1" a="1"/>
  <c r="C1243" i="1" s="1"/>
  <c r="C1244" i="1" a="1"/>
  <c r="C1244" i="1" s="1"/>
  <c r="C1245" i="1" a="1"/>
  <c r="C1245" i="1" s="1"/>
  <c r="C1246" i="1" a="1"/>
  <c r="C1246" i="1" s="1"/>
  <c r="C1247" i="1" a="1"/>
  <c r="C1247" i="1" s="1"/>
  <c r="C1248" i="1" a="1"/>
  <c r="C1248" i="1" s="1"/>
  <c r="C1249" i="1" a="1"/>
  <c r="C1249" i="1"/>
  <c r="C1250" i="1" a="1"/>
  <c r="C1250" i="1" s="1"/>
  <c r="C1251" i="1" a="1"/>
  <c r="C1251" i="1" s="1"/>
  <c r="C1252" i="1" a="1"/>
  <c r="C1252" i="1" s="1"/>
  <c r="C1253" i="1" a="1"/>
  <c r="C1253" i="1" s="1"/>
  <c r="C1254" i="1" a="1"/>
  <c r="C1254" i="1" s="1"/>
  <c r="C1255" i="1" a="1"/>
  <c r="C1255" i="1" s="1"/>
  <c r="C1256" i="1" a="1"/>
  <c r="C1256" i="1" s="1"/>
  <c r="C1257" i="1" a="1"/>
  <c r="C1257" i="1" s="1"/>
  <c r="C1258" i="1" a="1"/>
  <c r="C1258" i="1" s="1"/>
  <c r="C1259" i="1" a="1"/>
  <c r="C1259" i="1" s="1"/>
  <c r="C1260" i="1" a="1"/>
  <c r="C1260" i="1" s="1"/>
  <c r="C1261" i="1" a="1"/>
  <c r="C1261" i="1" s="1"/>
  <c r="C1262" i="1" a="1"/>
  <c r="C1262" i="1" s="1"/>
  <c r="C1263" i="1" a="1"/>
  <c r="C1263" i="1" s="1"/>
  <c r="C1264" i="1" a="1"/>
  <c r="C1264" i="1" s="1"/>
  <c r="C1265" i="1" a="1"/>
  <c r="C1265" i="1" s="1"/>
  <c r="C1266" i="1" a="1"/>
  <c r="C1266" i="1" s="1"/>
  <c r="C1267" i="1" a="1"/>
  <c r="C1267" i="1" s="1"/>
  <c r="C1268" i="1" a="1"/>
  <c r="C1268" i="1" s="1"/>
  <c r="C1269" i="1" a="1"/>
  <c r="C1269" i="1" s="1"/>
  <c r="C1270" i="1" a="1"/>
  <c r="C1270" i="1" s="1"/>
  <c r="C1271" i="1" a="1"/>
  <c r="C1271" i="1" s="1"/>
  <c r="C1272" i="1" a="1"/>
  <c r="C1272" i="1" s="1"/>
  <c r="C1273" i="1" a="1"/>
  <c r="C1273" i="1" s="1"/>
  <c r="C1274" i="1" a="1"/>
  <c r="C1274" i="1" s="1"/>
  <c r="C1275" i="1" a="1"/>
  <c r="C1275" i="1" s="1"/>
  <c r="C1276" i="1" a="1"/>
  <c r="C1276" i="1" s="1"/>
  <c r="C1277" i="1" a="1"/>
  <c r="C1277" i="1" s="1"/>
  <c r="C1278" i="1" a="1"/>
  <c r="C1278" i="1" s="1"/>
  <c r="C1279" i="1" a="1"/>
  <c r="C1279" i="1" s="1"/>
  <c r="C1280" i="1" a="1"/>
  <c r="C1280" i="1" s="1"/>
  <c r="C1281" i="1" a="1"/>
  <c r="C1281" i="1" s="1"/>
  <c r="C1282" i="1" a="1"/>
  <c r="C1282" i="1" s="1"/>
  <c r="C1283" i="1" a="1"/>
  <c r="C1283" i="1" s="1"/>
  <c r="C1284" i="1" a="1"/>
  <c r="C1284" i="1" s="1"/>
  <c r="C1285" i="1" a="1"/>
  <c r="C1285" i="1"/>
  <c r="C1286" i="1" a="1"/>
  <c r="C1286" i="1" s="1"/>
  <c r="C1287" i="1" a="1"/>
  <c r="C1287" i="1" s="1"/>
  <c r="C1288" i="1" a="1"/>
  <c r="C1288" i="1" s="1"/>
  <c r="C1289" i="1" a="1"/>
  <c r="C1289" i="1" s="1"/>
  <c r="C1290" i="1" a="1"/>
  <c r="C1290" i="1" s="1"/>
  <c r="C1291" i="1" a="1"/>
  <c r="C1291" i="1" s="1"/>
  <c r="C1292" i="1" a="1"/>
  <c r="C1292" i="1" s="1"/>
  <c r="C1293" i="1" a="1"/>
  <c r="C1293" i="1" s="1"/>
  <c r="C1294" i="1" a="1"/>
  <c r="C1294" i="1" s="1"/>
  <c r="C1295" i="1" a="1"/>
  <c r="C1295" i="1" s="1"/>
  <c r="C1296" i="1" a="1"/>
  <c r="C1296" i="1" s="1"/>
  <c r="C1297" i="1" a="1"/>
  <c r="C1297" i="1" s="1"/>
  <c r="C1298" i="1" a="1"/>
  <c r="C1298" i="1" s="1"/>
  <c r="C1299" i="1" a="1"/>
  <c r="C1299" i="1" s="1"/>
  <c r="C1300" i="1" a="1"/>
  <c r="C1300" i="1" s="1"/>
  <c r="C1301" i="1" a="1"/>
  <c r="C1301" i="1" s="1"/>
  <c r="C1302" i="1" a="1"/>
  <c r="C1302" i="1" s="1"/>
  <c r="C1303" i="1" a="1"/>
  <c r="C1303" i="1" s="1"/>
  <c r="C1304" i="1" a="1"/>
  <c r="C1304" i="1" s="1"/>
  <c r="C1305" i="1" a="1"/>
  <c r="C1305" i="1" s="1"/>
  <c r="C1306" i="1" a="1"/>
  <c r="C1306" i="1" s="1"/>
  <c r="C1307" i="1" a="1"/>
  <c r="C1307" i="1" s="1"/>
  <c r="C1308" i="1" a="1"/>
  <c r="C1308" i="1" s="1"/>
  <c r="C1309" i="1" a="1"/>
  <c r="C1309" i="1" s="1"/>
  <c r="C1310" i="1" a="1"/>
  <c r="C1310" i="1" s="1"/>
  <c r="C1311" i="1" a="1"/>
  <c r="C1311" i="1" s="1"/>
  <c r="C1312" i="1" a="1"/>
  <c r="C1312" i="1" s="1"/>
  <c r="C1313" i="1" a="1"/>
  <c r="C1313" i="1"/>
  <c r="C1314" i="1" a="1"/>
  <c r="C1314" i="1" s="1"/>
  <c r="C1315" i="1" a="1"/>
  <c r="C1315" i="1" s="1"/>
  <c r="C1316" i="1" a="1"/>
  <c r="C1316" i="1" s="1"/>
  <c r="C1317" i="1" a="1"/>
  <c r="C1317" i="1" s="1"/>
  <c r="C1318" i="1" a="1"/>
  <c r="C1318" i="1" s="1"/>
  <c r="C1319" i="1" a="1"/>
  <c r="C1319" i="1" s="1"/>
  <c r="C1320" i="1" a="1"/>
  <c r="C1320" i="1" s="1"/>
  <c r="C1321" i="1" a="1"/>
  <c r="C1321" i="1" s="1"/>
  <c r="C1322" i="1" a="1"/>
  <c r="C1322" i="1" s="1"/>
  <c r="C1323" i="1" a="1"/>
  <c r="C1323" i="1" s="1"/>
  <c r="C1324" i="1" a="1"/>
  <c r="C1324" i="1" s="1"/>
  <c r="C1325" i="1" a="1"/>
  <c r="C1325" i="1" s="1"/>
  <c r="C1326" i="1" a="1"/>
  <c r="C1326" i="1" s="1"/>
  <c r="C1327" i="1" a="1"/>
  <c r="C1327" i="1" s="1"/>
  <c r="C1328" i="1" a="1"/>
  <c r="C1328" i="1" s="1"/>
  <c r="C1329" i="1" a="1"/>
  <c r="C1329" i="1" s="1"/>
  <c r="C1330" i="1" a="1"/>
  <c r="C1330" i="1" s="1"/>
  <c r="C1331" i="1" a="1"/>
  <c r="C1331" i="1" s="1"/>
  <c r="C1332" i="1" a="1"/>
  <c r="C1332" i="1" s="1"/>
  <c r="C1333" i="1" a="1"/>
  <c r="C1333" i="1" s="1"/>
  <c r="C1334" i="1" a="1"/>
  <c r="C1334" i="1" s="1"/>
  <c r="C1335" i="1" a="1"/>
  <c r="C1335" i="1" s="1"/>
  <c r="C1336" i="1" a="1"/>
  <c r="C1336" i="1" s="1"/>
  <c r="C1337" i="1" a="1"/>
  <c r="C1337" i="1" s="1"/>
  <c r="C1338" i="1" a="1"/>
  <c r="C1338" i="1" s="1"/>
  <c r="C1339" i="1" a="1"/>
  <c r="C1339" i="1" s="1"/>
  <c r="C1340" i="1" a="1"/>
  <c r="C1340" i="1" s="1"/>
  <c r="C1341" i="1" a="1"/>
  <c r="C1341" i="1" s="1"/>
  <c r="C1342" i="1" a="1"/>
  <c r="C1342" i="1" s="1"/>
  <c r="C1343" i="1" a="1"/>
  <c r="C1343" i="1" s="1"/>
  <c r="C1344" i="1" a="1"/>
  <c r="C1344" i="1" s="1"/>
  <c r="C1345" i="1" a="1"/>
  <c r="C1345" i="1"/>
  <c r="C1346" i="1" a="1"/>
  <c r="C1346" i="1" s="1"/>
  <c r="C1347" i="1" a="1"/>
  <c r="C1347" i="1" s="1"/>
  <c r="C1348" i="1" a="1"/>
  <c r="C1348" i="1" s="1"/>
  <c r="C1349" i="1" a="1"/>
  <c r="C1349" i="1"/>
  <c r="C1350" i="1" a="1"/>
  <c r="C1350" i="1" s="1"/>
  <c r="C1351" i="1" a="1"/>
  <c r="C1351" i="1" s="1"/>
  <c r="C1352" i="1" a="1"/>
  <c r="C1352" i="1" s="1"/>
  <c r="C1353" i="1" a="1"/>
  <c r="C1353" i="1" s="1"/>
  <c r="C1354" i="1" a="1"/>
  <c r="C1354" i="1" s="1"/>
  <c r="C1355" i="1" a="1"/>
  <c r="C1355" i="1" s="1"/>
  <c r="C1356" i="1" a="1"/>
  <c r="C1356" i="1" s="1"/>
  <c r="C1357" i="1" a="1"/>
  <c r="C1357" i="1" s="1"/>
  <c r="C1358" i="1" a="1"/>
  <c r="C1358" i="1" s="1"/>
  <c r="C1359" i="1" a="1"/>
  <c r="C1359" i="1" s="1"/>
  <c r="C1360" i="1" a="1"/>
  <c r="C1360" i="1" s="1"/>
  <c r="C1361" i="1" a="1"/>
  <c r="C1361" i="1" s="1"/>
  <c r="C1362" i="1" a="1"/>
  <c r="C1362" i="1" s="1"/>
  <c r="C1363" i="1" a="1"/>
  <c r="C1363" i="1" s="1"/>
  <c r="C1364" i="1" a="1"/>
  <c r="C1364" i="1" s="1"/>
  <c r="C1365" i="1" a="1"/>
  <c r="C1365" i="1" s="1"/>
  <c r="C1366" i="1" a="1"/>
  <c r="C1366" i="1" s="1"/>
  <c r="C1367" i="1" a="1"/>
  <c r="C1367" i="1" s="1"/>
  <c r="C1368" i="1" a="1"/>
  <c r="C1368" i="1" s="1"/>
  <c r="C1369" i="1" a="1"/>
  <c r="C1369" i="1" s="1"/>
  <c r="C1370" i="1" a="1"/>
  <c r="C1370" i="1" s="1"/>
  <c r="C1371" i="1" a="1"/>
  <c r="C1371" i="1" s="1"/>
  <c r="C1372" i="1" a="1"/>
  <c r="C1372" i="1" s="1"/>
  <c r="C1373" i="1" a="1"/>
  <c r="C1373" i="1" s="1"/>
  <c r="C1374" i="1" a="1"/>
  <c r="C1374" i="1" s="1"/>
  <c r="C1375" i="1" a="1"/>
  <c r="C1375" i="1" s="1"/>
  <c r="C1376" i="1" a="1"/>
  <c r="C1376" i="1" s="1"/>
  <c r="C1377" i="1" a="1"/>
  <c r="C1377" i="1" s="1"/>
  <c r="C1378" i="1" a="1"/>
  <c r="C1378" i="1" s="1"/>
  <c r="C1379" i="1" a="1"/>
  <c r="C1379" i="1" s="1"/>
  <c r="C1380" i="1" a="1"/>
  <c r="C1380" i="1" s="1"/>
  <c r="C1381" i="1" a="1"/>
  <c r="C1381" i="1" s="1"/>
  <c r="C1382" i="1" a="1"/>
  <c r="C1382" i="1" s="1"/>
  <c r="C1383" i="1" a="1"/>
  <c r="C1383" i="1" s="1"/>
  <c r="C1384" i="1" a="1"/>
  <c r="C1384" i="1" s="1"/>
  <c r="C1385" i="1" a="1"/>
  <c r="C1385" i="1" s="1"/>
  <c r="C1386" i="1" a="1"/>
  <c r="C1386" i="1" s="1"/>
  <c r="C1387" i="1" a="1"/>
  <c r="C1387" i="1" s="1"/>
  <c r="C1388" i="1" a="1"/>
  <c r="C1388" i="1" s="1"/>
  <c r="C1389" i="1" a="1"/>
  <c r="C1389" i="1" s="1"/>
  <c r="C1390" i="1" a="1"/>
  <c r="C1390" i="1" s="1"/>
  <c r="C1391" i="1" a="1"/>
  <c r="C1391" i="1" s="1"/>
  <c r="C1392" i="1" a="1"/>
  <c r="C1392" i="1" s="1"/>
  <c r="C1393" i="1" a="1"/>
  <c r="C1393" i="1" s="1"/>
  <c r="C1394" i="1" a="1"/>
  <c r="C1394" i="1" s="1"/>
  <c r="C1395" i="1" a="1"/>
  <c r="C1395" i="1" s="1"/>
  <c r="C1396" i="1" a="1"/>
  <c r="C1396" i="1" s="1"/>
  <c r="C1397" i="1" a="1"/>
  <c r="C1397" i="1" s="1"/>
  <c r="C1398" i="1" a="1"/>
  <c r="C1398" i="1" s="1"/>
  <c r="C1399" i="1" a="1"/>
  <c r="C1399" i="1" s="1"/>
  <c r="C1400" i="1" a="1"/>
  <c r="C1400" i="1" s="1"/>
  <c r="C1401" i="1" a="1"/>
  <c r="C1401" i="1" s="1"/>
  <c r="C1402" i="1" a="1"/>
  <c r="C1402" i="1" s="1"/>
  <c r="C1403" i="1" a="1"/>
  <c r="C1403" i="1" s="1"/>
  <c r="C1404" i="1" a="1"/>
  <c r="C1404" i="1" s="1"/>
  <c r="C1405" i="1" a="1"/>
  <c r="C1405" i="1" s="1"/>
  <c r="C1406" i="1" a="1"/>
  <c r="C1406" i="1" s="1"/>
  <c r="C1407" i="1" a="1"/>
  <c r="C1407" i="1" s="1"/>
  <c r="C1408" i="1" a="1"/>
  <c r="C1408" i="1" s="1"/>
  <c r="C1409" i="1" a="1"/>
  <c r="C1409" i="1" s="1"/>
  <c r="C1410" i="1" a="1"/>
  <c r="C1410" i="1" s="1"/>
  <c r="C1411" i="1" a="1"/>
  <c r="C1411" i="1" s="1"/>
  <c r="C1412" i="1" a="1"/>
  <c r="C1412" i="1" s="1"/>
  <c r="C1413" i="1" a="1"/>
  <c r="C1413" i="1" s="1"/>
  <c r="C1414" i="1" a="1"/>
  <c r="C1414" i="1" s="1"/>
  <c r="C1415" i="1" a="1"/>
  <c r="C1415" i="1" s="1"/>
  <c r="C1416" i="1" a="1"/>
  <c r="C1416" i="1" s="1"/>
  <c r="C1417" i="1" a="1"/>
  <c r="C1417" i="1"/>
  <c r="C1418" i="1" a="1"/>
  <c r="C1418" i="1" s="1"/>
  <c r="C1419" i="1" a="1"/>
  <c r="C1419" i="1" s="1"/>
  <c r="C1420" i="1" a="1"/>
  <c r="C1420" i="1" s="1"/>
  <c r="C1421" i="1" a="1"/>
  <c r="C1421" i="1" s="1"/>
  <c r="C1422" i="1" a="1"/>
  <c r="C1422" i="1" s="1"/>
  <c r="C1423" i="1" a="1"/>
  <c r="C1423" i="1" s="1"/>
  <c r="C1424" i="1" a="1"/>
  <c r="C1424" i="1" s="1"/>
  <c r="C1425" i="1" a="1"/>
  <c r="C1425" i="1" s="1"/>
  <c r="C1426" i="1" a="1"/>
  <c r="C1426" i="1" s="1"/>
  <c r="C1427" i="1" a="1"/>
  <c r="C1427" i="1" s="1"/>
  <c r="C1428" i="1" a="1"/>
  <c r="C1428" i="1" s="1"/>
  <c r="C1429" i="1" a="1"/>
  <c r="C1429" i="1" s="1"/>
  <c r="C1430" i="1" a="1"/>
  <c r="C1430" i="1" s="1"/>
  <c r="C1431" i="1" a="1"/>
  <c r="C1431" i="1" s="1"/>
  <c r="C1432" i="1" a="1"/>
  <c r="C1432" i="1" s="1"/>
  <c r="C1433" i="1" a="1"/>
  <c r="C1433" i="1" s="1"/>
  <c r="C1434" i="1" a="1"/>
  <c r="C1434" i="1" s="1"/>
  <c r="C1435" i="1" a="1"/>
  <c r="C1435" i="1" s="1"/>
  <c r="C1436" i="1" a="1"/>
  <c r="C1436" i="1" s="1"/>
  <c r="C1437" i="1" a="1"/>
  <c r="C1437" i="1"/>
  <c r="C1438" i="1" a="1"/>
  <c r="C1438" i="1" s="1"/>
  <c r="C1439" i="1" a="1"/>
  <c r="C1439" i="1" s="1"/>
  <c r="C1440" i="1" a="1"/>
  <c r="C1440" i="1" s="1"/>
  <c r="C1441" i="1" a="1"/>
  <c r="C1441" i="1" s="1"/>
  <c r="C1442" i="1" a="1"/>
  <c r="C1442" i="1" s="1"/>
  <c r="C1443" i="1" a="1"/>
  <c r="C1443" i="1" s="1"/>
  <c r="C1444" i="1" a="1"/>
  <c r="C1444" i="1" s="1"/>
  <c r="C1445" i="1" a="1"/>
  <c r="C1445" i="1" s="1"/>
  <c r="C1446" i="1" a="1"/>
  <c r="C1446" i="1" s="1"/>
  <c r="C1447" i="1" a="1"/>
  <c r="C1447" i="1" s="1"/>
  <c r="C1448" i="1" a="1"/>
  <c r="C1448" i="1" s="1"/>
  <c r="C1449" i="1" a="1"/>
  <c r="C1449" i="1" s="1"/>
  <c r="C1450" i="1" a="1"/>
  <c r="C1450" i="1" s="1"/>
  <c r="C1451" i="1" a="1"/>
  <c r="C1451" i="1" s="1"/>
  <c r="C1452" i="1" a="1"/>
  <c r="C1452" i="1" s="1"/>
  <c r="C1453" i="1" a="1"/>
  <c r="C1453" i="1" s="1"/>
  <c r="C1454" i="1" a="1"/>
  <c r="C1454" i="1" s="1"/>
  <c r="C1455" i="1" a="1"/>
  <c r="C1455" i="1" s="1"/>
  <c r="C1456" i="1" a="1"/>
  <c r="C1456" i="1" s="1"/>
  <c r="C1457" i="1" a="1"/>
  <c r="C1457" i="1" s="1"/>
  <c r="C1458" i="1" a="1"/>
  <c r="C1458" i="1" s="1"/>
  <c r="C1459" i="1" a="1"/>
  <c r="C1459" i="1" s="1"/>
  <c r="C1460" i="1" a="1"/>
  <c r="C1460" i="1" s="1"/>
  <c r="C1461" i="1" a="1"/>
  <c r="C1461" i="1" s="1"/>
  <c r="C1462" i="1" a="1"/>
  <c r="C1462" i="1" s="1"/>
  <c r="C1463" i="1" a="1"/>
  <c r="C1463" i="1" s="1"/>
  <c r="C1464" i="1" a="1"/>
  <c r="C1464" i="1" s="1"/>
  <c r="C1465" i="1" a="1"/>
  <c r="C1465" i="1" s="1"/>
  <c r="C1466" i="1" a="1"/>
  <c r="C1466" i="1" s="1"/>
  <c r="C1467" i="1" a="1"/>
  <c r="C1467" i="1" s="1"/>
  <c r="C1468" i="1" a="1"/>
  <c r="C1468" i="1" s="1"/>
  <c r="C1469" i="1" a="1"/>
  <c r="C1469" i="1" s="1"/>
  <c r="C1470" i="1" a="1"/>
  <c r="C1470" i="1" s="1"/>
  <c r="C1471" i="1" a="1"/>
  <c r="C1471" i="1" s="1"/>
  <c r="C1472" i="1" a="1"/>
  <c r="C1472" i="1" s="1"/>
  <c r="C1473" i="1" a="1"/>
  <c r="C1473" i="1" s="1"/>
  <c r="C1474" i="1" a="1"/>
  <c r="C1474" i="1" s="1"/>
  <c r="C1475" i="1" a="1"/>
  <c r="C1475" i="1" s="1"/>
  <c r="C1476" i="1" a="1"/>
  <c r="C1476" i="1" s="1"/>
  <c r="C1477" i="1" a="1"/>
  <c r="C1477" i="1" s="1"/>
  <c r="C1478" i="1" a="1"/>
  <c r="C1478" i="1" s="1"/>
  <c r="C1479" i="1" a="1"/>
  <c r="C1479" i="1" s="1"/>
  <c r="C1480" i="1" a="1"/>
  <c r="C1480" i="1" s="1"/>
  <c r="C1481" i="1" a="1"/>
  <c r="C1481" i="1" s="1"/>
  <c r="C1482" i="1" a="1"/>
  <c r="C1482" i="1" s="1"/>
  <c r="C1483" i="1" a="1"/>
  <c r="C1483" i="1" s="1"/>
  <c r="C1484" i="1" a="1"/>
  <c r="C1484" i="1" s="1"/>
  <c r="C1485" i="1" a="1"/>
  <c r="C1485" i="1" s="1"/>
  <c r="C1486" i="1" a="1"/>
  <c r="C1486" i="1" s="1"/>
  <c r="C1487" i="1" a="1"/>
  <c r="C1487" i="1" s="1"/>
  <c r="C1488" i="1" a="1"/>
  <c r="C1488" i="1" s="1"/>
  <c r="C1489" i="1" a="1"/>
  <c r="C1489" i="1" s="1"/>
  <c r="C1490" i="1" a="1"/>
  <c r="C1490" i="1" s="1"/>
  <c r="C1491" i="1" a="1"/>
  <c r="C1491" i="1" s="1"/>
  <c r="C1492" i="1" a="1"/>
  <c r="C1492" i="1" s="1"/>
  <c r="C1493" i="1" a="1"/>
  <c r="C1493" i="1" s="1"/>
  <c r="C1494" i="1" a="1"/>
  <c r="C1494" i="1" s="1"/>
  <c r="C1495" i="1" a="1"/>
  <c r="C1495" i="1" s="1"/>
  <c r="C1496" i="1" a="1"/>
  <c r="C1496" i="1" s="1"/>
  <c r="C1497" i="1" a="1"/>
  <c r="C1497" i="1" s="1"/>
  <c r="C1498" i="1" a="1"/>
  <c r="C1498" i="1" s="1"/>
  <c r="C1499" i="1" a="1"/>
  <c r="C1499" i="1" s="1"/>
  <c r="C1500" i="1" a="1"/>
  <c r="C1500" i="1" s="1"/>
  <c r="C1501" i="1" a="1"/>
  <c r="C1501" i="1"/>
  <c r="C1502" i="1" a="1"/>
  <c r="C1502" i="1" s="1"/>
  <c r="C1503" i="1" a="1"/>
  <c r="C1503" i="1" s="1"/>
  <c r="C1504" i="1" a="1"/>
  <c r="C1504" i="1" s="1"/>
  <c r="C1505" i="1" a="1"/>
  <c r="C1505" i="1" s="1"/>
  <c r="C1506" i="1" a="1"/>
  <c r="C1506" i="1" s="1"/>
  <c r="C1507" i="1" a="1"/>
  <c r="C1507" i="1" s="1"/>
  <c r="C1508" i="1" a="1"/>
  <c r="C1508" i="1" s="1"/>
  <c r="C1509" i="1" a="1"/>
  <c r="C1509" i="1" s="1"/>
  <c r="C1510" i="1" a="1"/>
  <c r="C1510" i="1" s="1"/>
  <c r="C1511" i="1" a="1"/>
  <c r="C1511" i="1" s="1"/>
  <c r="C1512" i="1" a="1"/>
  <c r="C1512" i="1" s="1"/>
  <c r="C1513" i="1" a="1"/>
  <c r="C1513" i="1" s="1"/>
  <c r="C1514" i="1" a="1"/>
  <c r="C1514" i="1" s="1"/>
  <c r="C1515" i="1" a="1"/>
  <c r="C1515" i="1" s="1"/>
  <c r="C1516" i="1" a="1"/>
  <c r="C1516" i="1" s="1"/>
  <c r="C1517" i="1" a="1"/>
  <c r="C1517" i="1" s="1"/>
  <c r="C1518" i="1" a="1"/>
  <c r="C1518" i="1" s="1"/>
  <c r="C1519" i="1" a="1"/>
  <c r="C1519" i="1" s="1"/>
  <c r="C1520" i="1" a="1"/>
  <c r="C1520" i="1" s="1"/>
  <c r="C1521" i="1" a="1"/>
  <c r="C1521" i="1"/>
  <c r="C1522" i="1" a="1"/>
  <c r="C1522" i="1" s="1"/>
  <c r="C1523" i="1" a="1"/>
  <c r="C1523" i="1" s="1"/>
  <c r="C1524" i="1" a="1"/>
  <c r="C1524" i="1" s="1"/>
  <c r="C1525" i="1" a="1"/>
  <c r="C1525" i="1" s="1"/>
  <c r="C1526" i="1" a="1"/>
  <c r="C1526" i="1" s="1"/>
  <c r="C1527" i="1" a="1"/>
  <c r="C1527" i="1" s="1"/>
  <c r="C1528" i="1" a="1"/>
  <c r="C1528" i="1" s="1"/>
  <c r="C1529" i="1" a="1"/>
  <c r="C1529" i="1" s="1"/>
  <c r="C1530" i="1" a="1"/>
  <c r="C1530" i="1" s="1"/>
  <c r="C1531" i="1" a="1"/>
  <c r="C1531" i="1" s="1"/>
  <c r="C1532" i="1" a="1"/>
  <c r="C1532" i="1" s="1"/>
  <c r="C1533" i="1" a="1"/>
  <c r="C1533" i="1" s="1"/>
  <c r="C1534" i="1" a="1"/>
  <c r="C1534" i="1" s="1"/>
  <c r="C1535" i="1" a="1"/>
  <c r="C1535" i="1" s="1"/>
  <c r="C1536" i="1" a="1"/>
  <c r="C1536" i="1" s="1"/>
  <c r="C1537" i="1" a="1"/>
  <c r="C1537" i="1" s="1"/>
  <c r="C1538" i="1" a="1"/>
  <c r="C1538" i="1" s="1"/>
  <c r="C1539" i="1" a="1"/>
  <c r="C1539" i="1" s="1"/>
  <c r="C1540" i="1" a="1"/>
  <c r="C1540" i="1" s="1"/>
  <c r="C1541" i="1" a="1"/>
  <c r="C1541" i="1" s="1"/>
  <c r="C1542" i="1" a="1"/>
  <c r="C1542" i="1" s="1"/>
  <c r="C1543" i="1" a="1"/>
  <c r="C1543" i="1" s="1"/>
  <c r="C1544" i="1" a="1"/>
  <c r="C1544" i="1" s="1"/>
  <c r="C1545" i="1" a="1"/>
  <c r="C1545" i="1" s="1"/>
  <c r="C1546" i="1" a="1"/>
  <c r="C1546" i="1" s="1"/>
  <c r="C1547" i="1" a="1"/>
  <c r="C1547" i="1" s="1"/>
  <c r="C1548" i="1" a="1"/>
  <c r="C1548" i="1" s="1"/>
  <c r="C1549" i="1" a="1"/>
  <c r="C1549" i="1" s="1"/>
  <c r="C1550" i="1" a="1"/>
  <c r="C1550" i="1" s="1"/>
  <c r="C1551" i="1" a="1"/>
  <c r="C1551" i="1" s="1"/>
  <c r="C1552" i="1" a="1"/>
  <c r="C1552" i="1" s="1"/>
  <c r="C1553" i="1" a="1"/>
  <c r="C1553" i="1" s="1"/>
  <c r="C1554" i="1" a="1"/>
  <c r="C1554" i="1" s="1"/>
  <c r="C1555" i="1" a="1"/>
  <c r="C1555" i="1" s="1"/>
  <c r="C1556" i="1" a="1"/>
  <c r="C1556" i="1" s="1"/>
  <c r="C1557" i="1" a="1"/>
  <c r="C1557" i="1" s="1"/>
  <c r="C1558" i="1" a="1"/>
  <c r="C1558" i="1" s="1"/>
  <c r="C1559" i="1" a="1"/>
  <c r="C1559" i="1" s="1"/>
  <c r="C1560" i="1" a="1"/>
  <c r="C1560" i="1" s="1"/>
  <c r="C1561" i="1" a="1"/>
  <c r="C1561" i="1" s="1"/>
  <c r="C1562" i="1" a="1"/>
  <c r="C1562" i="1" s="1"/>
  <c r="C1563" i="1" a="1"/>
  <c r="C1563" i="1" s="1"/>
  <c r="C1564" i="1" a="1"/>
  <c r="C1564" i="1" s="1"/>
  <c r="C1565" i="1" a="1"/>
  <c r="C1565" i="1"/>
  <c r="C1566" i="1" a="1"/>
  <c r="C1566" i="1" s="1"/>
  <c r="C1567" i="1" a="1"/>
  <c r="C1567" i="1" s="1"/>
  <c r="C1568" i="1" a="1"/>
  <c r="C1568" i="1" s="1"/>
  <c r="C1569" i="1" a="1"/>
  <c r="C1569" i="1" s="1"/>
  <c r="C1570" i="1" a="1"/>
  <c r="C1570" i="1" s="1"/>
  <c r="C1571" i="1" a="1"/>
  <c r="C1571" i="1" s="1"/>
  <c r="C1572" i="1" a="1"/>
  <c r="C1572" i="1" s="1"/>
  <c r="C1573" i="1" a="1"/>
  <c r="C1573" i="1"/>
  <c r="C1574" i="1" a="1"/>
  <c r="C1574" i="1" s="1"/>
  <c r="C1575" i="1" a="1"/>
  <c r="C1575" i="1" s="1"/>
  <c r="C1576" i="1" a="1"/>
  <c r="C1576" i="1" s="1"/>
  <c r="C1577" i="1" a="1"/>
  <c r="C1577" i="1" s="1"/>
  <c r="C1578" i="1" a="1"/>
  <c r="C1578" i="1" s="1"/>
  <c r="C1579" i="1" a="1"/>
  <c r="C1579" i="1" s="1"/>
  <c r="C1580" i="1" a="1"/>
  <c r="C1580" i="1" s="1"/>
  <c r="C1581" i="1" a="1"/>
  <c r="C1581" i="1" s="1"/>
  <c r="C1582" i="1" a="1"/>
  <c r="C1582" i="1" s="1"/>
  <c r="C1583" i="1" a="1"/>
  <c r="C1583" i="1" s="1"/>
  <c r="C1584" i="1" a="1"/>
  <c r="C1584" i="1" s="1"/>
  <c r="C1585" i="1" a="1"/>
  <c r="C1585" i="1" s="1"/>
  <c r="C1586" i="1" a="1"/>
  <c r="C1586" i="1" s="1"/>
  <c r="C1587" i="1" a="1"/>
  <c r="C1587" i="1" s="1"/>
  <c r="C1588" i="1" a="1"/>
  <c r="C1588" i="1" s="1"/>
  <c r="C1589" i="1" a="1"/>
  <c r="C1589" i="1" s="1"/>
  <c r="C1590" i="1" a="1"/>
  <c r="C1590" i="1" s="1"/>
  <c r="C1591" i="1" a="1"/>
  <c r="C1591" i="1" s="1"/>
  <c r="C1592" i="1" a="1"/>
  <c r="C1592" i="1" s="1"/>
  <c r="C1593" i="1" a="1"/>
  <c r="C1593" i="1" s="1"/>
  <c r="C1594" i="1" a="1"/>
  <c r="C1594" i="1" s="1"/>
  <c r="C1595" i="1" a="1"/>
  <c r="C1595" i="1" s="1"/>
  <c r="C1596" i="1" a="1"/>
  <c r="C1596" i="1" s="1"/>
  <c r="C1597" i="1" a="1"/>
  <c r="C1597" i="1" s="1"/>
  <c r="C1598" i="1" a="1"/>
  <c r="C1598" i="1" s="1"/>
  <c r="C1599" i="1" a="1"/>
  <c r="C1599" i="1" s="1"/>
  <c r="C1600" i="1" a="1"/>
  <c r="C1600" i="1" s="1"/>
  <c r="C1601" i="1" a="1"/>
  <c r="C1601" i="1" s="1"/>
  <c r="C1602" i="1" a="1"/>
  <c r="C1602" i="1" s="1"/>
  <c r="C1603" i="1" a="1"/>
  <c r="C1603" i="1" s="1"/>
  <c r="C1604" i="1" a="1"/>
  <c r="C1604" i="1" s="1"/>
  <c r="C1605" i="1" a="1"/>
  <c r="C1605" i="1" s="1"/>
  <c r="C1606" i="1" a="1"/>
  <c r="C1606" i="1" s="1"/>
  <c r="C1607" i="1" a="1"/>
  <c r="C1607" i="1" s="1"/>
  <c r="C1608" i="1" a="1"/>
  <c r="C1608" i="1" s="1"/>
  <c r="C1609" i="1" a="1"/>
  <c r="C1609" i="1" s="1"/>
  <c r="C1610" i="1" a="1"/>
  <c r="C1610" i="1" s="1"/>
  <c r="C1611" i="1" a="1"/>
  <c r="C1611" i="1" s="1"/>
  <c r="C1612" i="1" a="1"/>
  <c r="C1612" i="1" s="1"/>
  <c r="C1613" i="1" a="1"/>
  <c r="C1613" i="1" s="1"/>
  <c r="C1614" i="1" a="1"/>
  <c r="C1614" i="1" s="1"/>
  <c r="C1615" i="1" a="1"/>
  <c r="C1615" i="1" s="1"/>
  <c r="C1616" i="1" a="1"/>
  <c r="C1616" i="1" s="1"/>
  <c r="C1617" i="1" a="1"/>
  <c r="C1617" i="1" s="1"/>
  <c r="C1618" i="1" a="1"/>
  <c r="C1618" i="1" s="1"/>
  <c r="C1619" i="1" a="1"/>
  <c r="C1619" i="1" s="1"/>
  <c r="C1620" i="1" a="1"/>
  <c r="C1620" i="1" s="1"/>
  <c r="C1621" i="1" a="1"/>
  <c r="C1621" i="1" s="1"/>
  <c r="C1622" i="1" a="1"/>
  <c r="C1622" i="1" s="1"/>
  <c r="C1623" i="1" a="1"/>
  <c r="C1623" i="1" s="1"/>
  <c r="C1624" i="1" a="1"/>
  <c r="C1624" i="1" s="1"/>
  <c r="C1625" i="1" a="1"/>
  <c r="C1625" i="1" s="1"/>
  <c r="C1626" i="1" a="1"/>
  <c r="C1626" i="1" s="1"/>
  <c r="C1627" i="1" a="1"/>
  <c r="C1627" i="1" s="1"/>
  <c r="C1628" i="1" a="1"/>
  <c r="C1628" i="1" s="1"/>
  <c r="C1629" i="1" a="1"/>
  <c r="C1629" i="1" s="1"/>
  <c r="C1630" i="1" a="1"/>
  <c r="C1630" i="1" s="1"/>
  <c r="C1631" i="1" a="1"/>
  <c r="C1631" i="1" s="1"/>
  <c r="C1632" i="1" a="1"/>
  <c r="C1632" i="1" s="1"/>
  <c r="C1633" i="1" a="1"/>
  <c r="C1633" i="1" s="1"/>
  <c r="C1634" i="1" a="1"/>
  <c r="C1634" i="1" s="1"/>
  <c r="C1635" i="1" a="1"/>
  <c r="C1635" i="1" s="1"/>
  <c r="C1636" i="1" a="1"/>
  <c r="C1636" i="1" s="1"/>
  <c r="C1637" i="1" a="1"/>
  <c r="C1637" i="1" s="1"/>
  <c r="C1638" i="1" a="1"/>
  <c r="C1638" i="1" s="1"/>
  <c r="C1639" i="1" a="1"/>
  <c r="C1639" i="1" s="1"/>
  <c r="C1640" i="1" a="1"/>
  <c r="C1640" i="1" s="1"/>
  <c r="C1641" i="1" a="1"/>
  <c r="C1641" i="1" s="1"/>
  <c r="C1642" i="1" a="1"/>
  <c r="C1642" i="1" s="1"/>
  <c r="C1643" i="1" a="1"/>
  <c r="C1643" i="1" s="1"/>
  <c r="C1644" i="1" a="1"/>
  <c r="C1644" i="1" s="1"/>
  <c r="C1645" i="1" a="1"/>
  <c r="C1645" i="1" s="1"/>
  <c r="C1646" i="1" a="1"/>
  <c r="C1646" i="1" s="1"/>
  <c r="C1647" i="1" a="1"/>
  <c r="C1647" i="1" s="1"/>
  <c r="C1648" i="1" a="1"/>
  <c r="C1648" i="1" s="1"/>
  <c r="C1649" i="1" a="1"/>
  <c r="C1649" i="1" s="1"/>
  <c r="C1650" i="1" a="1"/>
  <c r="C1650" i="1"/>
  <c r="C1651" i="1" a="1"/>
  <c r="C1651" i="1" s="1"/>
  <c r="C1652" i="1" a="1"/>
  <c r="C1652" i="1" s="1"/>
  <c r="C1653" i="1" a="1"/>
  <c r="C1653" i="1" s="1"/>
  <c r="C1654" i="1" a="1"/>
  <c r="C1654" i="1" s="1"/>
  <c r="C1655" i="1" a="1"/>
  <c r="C1655" i="1" s="1"/>
  <c r="C1656" i="1" a="1"/>
  <c r="C1656" i="1" s="1"/>
  <c r="C1657" i="1" a="1"/>
  <c r="C1657" i="1" s="1"/>
  <c r="C1658" i="1" a="1"/>
  <c r="C1658" i="1" s="1"/>
  <c r="C1659" i="1" a="1"/>
  <c r="C1659" i="1" s="1"/>
  <c r="C1660" i="1" a="1"/>
  <c r="C1660" i="1" s="1"/>
  <c r="C1661" i="1" a="1"/>
  <c r="C1661" i="1" s="1"/>
  <c r="C1662" i="1" a="1"/>
  <c r="C1662" i="1" s="1"/>
  <c r="C1663" i="1" a="1"/>
  <c r="C1663" i="1" s="1"/>
  <c r="C1664" i="1" a="1"/>
  <c r="C1664" i="1" s="1"/>
  <c r="C1665" i="1" a="1"/>
  <c r="C1665" i="1"/>
  <c r="C1666" i="1" a="1"/>
  <c r="C1666" i="1" s="1"/>
  <c r="C1667" i="1" a="1"/>
  <c r="C1667" i="1" s="1"/>
  <c r="C1668" i="1" a="1"/>
  <c r="C1668" i="1" s="1"/>
  <c r="C1669" i="1" a="1"/>
  <c r="C1669" i="1" s="1"/>
  <c r="C1670" i="1" a="1"/>
  <c r="C1670" i="1" s="1"/>
  <c r="C1671" i="1" a="1"/>
  <c r="C1671" i="1" s="1"/>
  <c r="C1672" i="1" a="1"/>
  <c r="C1672" i="1" s="1"/>
  <c r="C1673" i="1" a="1"/>
  <c r="C1673" i="1" s="1"/>
  <c r="C1674" i="1" a="1"/>
  <c r="C1674" i="1" s="1"/>
  <c r="C1675" i="1" a="1"/>
  <c r="C1675" i="1" s="1"/>
  <c r="C1676" i="1" a="1"/>
  <c r="C1676" i="1" s="1"/>
  <c r="C1677" i="1" a="1"/>
  <c r="C1677"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<sst xmlns="http://schemas.openxmlformats.org/spreadsheetml/2006/main" count="15201" uniqueCount="82">
  <si>
    <t>EmployeeID</t>
  </si>
  <si>
    <t>Age</t>
  </si>
  <si>
    <t>Attrition</t>
  </si>
  <si>
    <t>BusinessTravel</t>
  </si>
  <si>
    <t>DailyRate</t>
  </si>
  <si>
    <t>Department</t>
  </si>
  <si>
    <t>DistanceFromHome</t>
  </si>
  <si>
    <t>Education</t>
  </si>
  <si>
    <t>EducationField</t>
  </si>
  <si>
    <t>EmployeeCount</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</si>
  <si>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</si>
  <si>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</si>
  <si>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</si>
  <si>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</si>
  <si>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</si>
  <si>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</si>
  <si>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</si>
  <si>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</si>
  <si>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</si>
  <si>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</si>
  <si>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</si>
  <si>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</si>
  <si>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</si>
  <si>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</si>
  <si>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</si>
  <si>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</si>
  <si>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</si>
  <si>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Shift</t>
  </si>
  <si>
    <t>TotalWorkingYears</t>
  </si>
  <si>
    <t>TrainingTimesLastYear</t>
  </si>
  <si>
    <t>WorkLifeBalance</t>
  </si>
  <si>
    <t>YearsAtCompany</t>
  </si>
  <si>
    <t>YearsInCurrentRole</t>
  </si>
  <si>
    <t>YearsSinceLastPromotion</t>
  </si>
  <si>
    <t>YearsWithCurrManager</t>
  </si>
  <si>
    <t>No</t>
  </si>
  <si>
    <t>Travel_Rarely</t>
  </si>
  <si>
    <t>Cardiology</t>
  </si>
  <si>
    <t>Life Sciences</t>
  </si>
  <si>
    <t>Female</t>
  </si>
  <si>
    <t>Nurse</t>
  </si>
  <si>
    <t>Single</t>
  </si>
  <si>
    <t>Y</t>
  </si>
  <si>
    <t>Yes</t>
  </si>
  <si>
    <t>Travel_Frequently</t>
  </si>
  <si>
    <t>Maternity</t>
  </si>
  <si>
    <t>Male</t>
  </si>
  <si>
    <t>Other</t>
  </si>
  <si>
    <t>Married</t>
  </si>
  <si>
    <t>Medical</t>
  </si>
  <si>
    <t>Divorced</t>
  </si>
  <si>
    <t>Therapist</t>
  </si>
  <si>
    <t>Non-Travel</t>
  </si>
  <si>
    <t>Administrative</t>
  </si>
  <si>
    <t>Neurology</t>
  </si>
  <si>
    <t>Marketing</t>
  </si>
  <si>
    <t>Technical Degree</t>
  </si>
  <si>
    <t>Human Resources</t>
  </si>
  <si>
    <t>Admin</t>
  </si>
  <si>
    <t>Attrition Group</t>
  </si>
  <si>
    <t>Age Group</t>
  </si>
  <si>
    <t>Salary Group</t>
  </si>
  <si>
    <t>Job Satisfaction rating</t>
  </si>
  <si>
    <t>Performance Group</t>
  </si>
  <si>
    <t>WLB Group</t>
  </si>
  <si>
    <t>Column Labels</t>
  </si>
  <si>
    <t>Current Employee</t>
  </si>
  <si>
    <t>Former Employee</t>
  </si>
  <si>
    <t>Grand Total</t>
  </si>
  <si>
    <t>Row Labels</t>
  </si>
  <si>
    <t>Count of EmployeeID</t>
  </si>
  <si>
    <t>15-25</t>
  </si>
  <si>
    <t>26-35</t>
  </si>
  <si>
    <t>36-45</t>
  </si>
  <si>
    <t>46-55</t>
  </si>
  <si>
    <t>56-65</t>
  </si>
  <si>
    <t>Category</t>
  </si>
  <si>
    <t>Value</t>
  </si>
  <si>
    <t>Average workers age</t>
  </si>
  <si>
    <t>Good Salary</t>
  </si>
  <si>
    <t>High Salary</t>
  </si>
  <si>
    <t>Low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</si>
</sst>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FFFFFF"/>
      <name val="Aptos Narrow"/>
      <family val="2"/>
      <scheme val="minor"/>
    </font>
    <font>
      <sz val="12"/>
      <color rgb="FF00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3E54"/>
        <bgColor indexed="64"/>
      </patternFill>
    </fill>
    <fill>
      <patternFill patternType="solid">
        <fgColor rgb="FF0F3E54"/>
        <bgColor rgb="FF000000"/>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42" applyNumberFormat="1" applyFont="1"/>
    <xf numFmtId="0" fontId="0" fillId="0" borderId="0" xfId="0" pivotButton="1"/>
    <xf numFmtId="0" fontId="0" fillId="0" borderId="0" xfId="0" applyAlignment="1">
      <alignment horizontal="left"/>
    </xf>
    <xf numFmtId="10" fontId="0" fillId="0" borderId="0" xfId="0" applyNumberFormat="1"/>
    <xf numFmtId="0" fontId="17" fillId="33" borderId="0" xfId="0" applyFont="1" applyFill="1"/>
    <xf numFmtId="0" fontId="18" fillId="34" borderId="0" xfId="0" applyFont="1" applyFill="1"/>
    <xf numFmtId="0" fontId="19" fillId="0" borderId="0" xfId="0" applyFont="1"/>
    <xf numFmtId="1" fontId="0" fillId="0" borderId="0" xfId="0" applyNumberFormat="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val="0"/>
        <i val="0"/>
        <strike val="0"/>
        <condense val="0"/>
        <extend val="0"/>
        <outline val="0"/>
        <shadow val="0"/>
        <u val="none"/>
        <vertAlign val="baseline"/>
        <sz val="12"/>
        <color theme="1"/>
        <name val="Aptos Narrow"/>
        <family val="2"/>
        <scheme val="minor"/>
      </font>
      <numFmt numFmtId="164" formatCode="_(&quot;$&quot;* #,##0_);_(&quot;$&quot;* \(#,##0\);_(&quot;$&quot;* &quot;-&quot;??_);_(@_)"/>
    </dxf>
    <dxf>
      <font>
        <b/>
        <color theme="1"/>
      </font>
      <border>
        <bottom style="thin">
          <color theme="5"/>
        </bottom>
        <vertical/>
        <horizontal/>
      </border>
    </dxf>
    <dxf>
      <font>
        <color theme="1"/>
      </font>
      <fill>
        <patternFill>
          <bgColor rgb="FF0E4C69"/>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Dark1 2" pivot="0" table="0" count="10" xr9:uid="{B468F6B0-3F67-4548-8171-F76DFECF7F98}">
      <tableStyleElement type="wholeTable" dxfId="4"/>
      <tableStyleElement type="headerRow" dxfId="3"/>
    </tableStyle>
    <tableStyle name="SlicerStyleDark2 2" pivot="0" table="0" count="10" xr9:uid="{E6A67AA0-6A8D-2D43-8FD9-C516E77D1B3E}">
      <tableStyleElement type="wholeTable" dxfId="2"/>
      <tableStyleElement type="headerRow" dxfId="1"/>
    </tableStyle>
  </tableStyles>
  <colors>
    <mruColors>
      <color rgb="FF0F3E54"/>
      <color rgb="FFFD4300"/>
      <color rgb="FF114C66"/>
      <color rgb="FF00C3DA"/>
      <color rgb="FF0E4C69"/>
      <color rgb="FF114B65"/>
      <color rgb="FF10496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2673976500601"/>
          <c:y val="0.15357438243716803"/>
          <c:w val="0.60546520469987986"/>
          <c:h val="0.70803034866543324"/>
        </c:manualLayout>
      </c:layout>
      <c:doughnutChart>
        <c:varyColors val="1"/>
        <c:ser>
          <c:idx val="0"/>
          <c:order val="0"/>
          <c:spPr>
            <a:ln>
              <a:noFill/>
            </a:ln>
          </c:spPr>
          <c:dPt>
            <c:idx val="0"/>
            <c:bubble3D val="0"/>
            <c:spPr>
              <a:solidFill>
                <a:srgbClr val="FD4300"/>
              </a:solidFill>
              <a:ln w="19050">
                <a:noFill/>
              </a:ln>
              <a:effectLst/>
            </c:spPr>
            <c:extLst>
              <c:ext xmlns:c16="http://schemas.microsoft.com/office/drawing/2014/chart" uri="{C3380CC4-5D6E-409C-BE32-E72D297353CC}">
                <c16:uniqueId val="{00000001-A59A-8744-AABD-FFF1558AC9F7}"/>
              </c:ext>
            </c:extLst>
          </c:dPt>
          <c:dPt>
            <c:idx val="1"/>
            <c:bubble3D val="0"/>
            <c:spPr>
              <a:solidFill>
                <a:schemeClr val="bg2"/>
              </a:solidFill>
              <a:ln w="19050">
                <a:noFill/>
              </a:ln>
              <a:effectLst/>
            </c:spPr>
            <c:extLst>
              <c:ext xmlns:c16="http://schemas.microsoft.com/office/drawing/2014/chart" uri="{C3380CC4-5D6E-409C-BE32-E72D297353CC}">
                <c16:uniqueId val="{00000003-A59A-8744-AABD-FFF1558AC9F7}"/>
              </c:ext>
            </c:extLst>
          </c:dPt>
          <c:dLbls>
            <c:dLbl>
              <c:idx val="0"/>
              <c:layout>
                <c:manualLayout>
                  <c:x val="-8.7659924862333385E-2"/>
                  <c:y val="0.2797676839981779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2C24DE53-E1D4-4F47-812D-3A6C16962BE1}" type="PERCENTAGE">
                      <a:rPr lang="en-US" sz="2800" b="1">
                        <a:solidFill>
                          <a:srgbClr val="FF0000"/>
                        </a:solidFill>
                      </a:rPr>
                      <a:pPr>
                        <a:defRPr b="1"/>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8669960372600481"/>
                      <c:h val="0.38260363115767554"/>
                    </c:manualLayout>
                  </c15:layout>
                  <c15:dlblFieldTable/>
                  <c15:showDataLabelsRange val="0"/>
                </c:ext>
                <c:ext xmlns:c16="http://schemas.microsoft.com/office/drawing/2014/chart" uri="{C3380CC4-5D6E-409C-BE32-E72D297353CC}">
                  <c16:uniqueId val="{00000001-A59A-8744-AABD-FFF1558AC9F7}"/>
                </c:ext>
              </c:extLst>
            </c:dLbl>
            <c:dLbl>
              <c:idx val="1"/>
              <c:delete val="1"/>
              <c:extLst>
                <c:ext xmlns:c15="http://schemas.microsoft.com/office/drawing/2012/chart" uri="{CE6537A1-D6FC-4f65-9D91-7224C49458BB}"/>
                <c:ext xmlns:c16="http://schemas.microsoft.com/office/drawing/2014/chart" uri="{C3380CC4-5D6E-409C-BE32-E72D297353CC}">
                  <c16:uniqueId val="{00000003-A59A-8744-AABD-FFF1558AC9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Calculations!$B$7:$B$8</c:f>
              <c:strCache>
                <c:ptCount val="2"/>
                <c:pt idx="0">
                  <c:v>Former Employee</c:v>
                </c:pt>
                <c:pt idx="1">
                  <c:v>Other</c:v>
                </c:pt>
              </c:strCache>
            </c:strRef>
          </c:cat>
          <c:val>
            <c:numRef>
              <c:f>Calculations!$C$7:$C$8</c:f>
              <c:numCache>
                <c:formatCode>General</c:formatCode>
                <c:ptCount val="2"/>
                <c:pt idx="0">
                  <c:v>199</c:v>
                </c:pt>
                <c:pt idx="1">
                  <c:v>1477</c:v>
                </c:pt>
              </c:numCache>
            </c:numRef>
          </c:val>
          <c:extLst>
            <c:ext xmlns:c16="http://schemas.microsoft.com/office/drawing/2014/chart" uri="{C3380CC4-5D6E-409C-BE32-E72D297353CC}">
              <c16:uniqueId val="{00000004-A59A-8744-AABD-FFF1558AC9F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3006993006993"/>
          <c:y val="0.1484375"/>
          <c:w val="0.62937062937062938"/>
          <c:h val="0.703125"/>
        </c:manualLayout>
      </c:layout>
      <c:doughnutChart>
        <c:varyColors val="1"/>
        <c:ser>
          <c:idx val="0"/>
          <c:order val="0"/>
          <c:spPr>
            <a:solidFill>
              <a:srgbClr val="FD4300"/>
            </a:solidFill>
            <a:ln>
              <a:noFill/>
            </a:ln>
          </c:spPr>
          <c:dPt>
            <c:idx val="0"/>
            <c:bubble3D val="0"/>
            <c:spPr>
              <a:solidFill>
                <a:srgbClr val="00C3DA"/>
              </a:solidFill>
              <a:ln w="19050">
                <a:noFill/>
              </a:ln>
              <a:effectLst/>
            </c:spPr>
            <c:extLst>
              <c:ext xmlns:c16="http://schemas.microsoft.com/office/drawing/2014/chart" uri="{C3380CC4-5D6E-409C-BE32-E72D297353CC}">
                <c16:uniqueId val="{00000001-BFA1-BE4F-926E-ACAEDAC2EF11}"/>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BFA1-BE4F-926E-ACAEDAC2EF11}"/>
              </c:ext>
            </c:extLst>
          </c:dPt>
          <c:dLbls>
            <c:dLbl>
              <c:idx val="0"/>
              <c:layout>
                <c:manualLayout>
                  <c:x val="-8.7986757337151042E-2"/>
                  <c:y val="-0.25591893342877597"/>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00C3DA"/>
                        </a:solidFill>
                        <a:latin typeface="+mn-lt"/>
                        <a:ea typeface="+mn-ea"/>
                        <a:cs typeface="+mn-cs"/>
                      </a:defRPr>
                    </a:pPr>
                    <a:fld id="{4F38BDCF-6D1B-6849-A7B0-A55CB7867AD1}" type="PERCENTAGE">
                      <a:rPr lang="en-US" sz="2800" b="1">
                        <a:solidFill>
                          <a:srgbClr val="00C3DA"/>
                        </a:solidFill>
                      </a:rPr>
                      <a:pPr>
                        <a:defRPr b="1">
                          <a:solidFill>
                            <a:srgbClr val="00C3DA"/>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C3D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2923076923076919"/>
                      <c:h val="0.48117187500000003"/>
                    </c:manualLayout>
                  </c15:layout>
                  <c15:dlblFieldTable/>
                  <c15:showDataLabelsRange val="0"/>
                </c:ext>
                <c:ext xmlns:c16="http://schemas.microsoft.com/office/drawing/2014/chart" uri="{C3380CC4-5D6E-409C-BE32-E72D297353CC}">
                  <c16:uniqueId val="{00000001-BFA1-BE4F-926E-ACAEDAC2EF11}"/>
                </c:ext>
              </c:extLst>
            </c:dLbl>
            <c:dLbl>
              <c:idx val="1"/>
              <c:delete val="1"/>
              <c:extLst>
                <c:ext xmlns:c15="http://schemas.microsoft.com/office/drawing/2012/chart" uri="{CE6537A1-D6FC-4f65-9D91-7224C49458BB}"/>
                <c:ext xmlns:c16="http://schemas.microsoft.com/office/drawing/2014/chart" uri="{C3380CC4-5D6E-409C-BE32-E72D297353CC}">
                  <c16:uniqueId val="{00000003-BFA1-BE4F-926E-ACAEDAC2EF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Calculations!$G$7:$G$8</c:f>
              <c:strCache>
                <c:ptCount val="2"/>
                <c:pt idx="0">
                  <c:v>Current Employee</c:v>
                </c:pt>
                <c:pt idx="1">
                  <c:v>Other</c:v>
                </c:pt>
              </c:strCache>
            </c:strRef>
          </c:cat>
          <c:val>
            <c:numRef>
              <c:f>Calculations!$H$7:$H$8</c:f>
              <c:numCache>
                <c:formatCode>General</c:formatCode>
                <c:ptCount val="2"/>
                <c:pt idx="0">
                  <c:v>1477</c:v>
                </c:pt>
                <c:pt idx="1">
                  <c:v>199</c:v>
                </c:pt>
              </c:numCache>
            </c:numRef>
          </c:val>
          <c:extLst>
            <c:ext xmlns:c16="http://schemas.microsoft.com/office/drawing/2014/chart" uri="{C3380CC4-5D6E-409C-BE32-E72D297353CC}">
              <c16:uniqueId val="{00000004-BFA1-BE4F-926E-ACAEDAC2EF1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age group!PivotTable4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C3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D4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7198724376572E-2"/>
          <c:y val="0.19704159417430453"/>
          <c:w val="0.89839988086595557"/>
          <c:h val="0.68106935949635006"/>
        </c:manualLayout>
      </c:layout>
      <c:barChart>
        <c:barDir val="col"/>
        <c:grouping val="clustered"/>
        <c:varyColors val="0"/>
        <c:ser>
          <c:idx val="0"/>
          <c:order val="0"/>
          <c:tx>
            <c:strRef>
              <c:f>'Attrition by age group'!$B$3:$B$4</c:f>
              <c:strCache>
                <c:ptCount val="1"/>
                <c:pt idx="0">
                  <c:v>Current Employee</c:v>
                </c:pt>
              </c:strCache>
            </c:strRef>
          </c:tx>
          <c:spPr>
            <a:solidFill>
              <a:srgbClr val="00C3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age group'!$A$5:$A$10</c:f>
              <c:strCache>
                <c:ptCount val="5"/>
                <c:pt idx="0">
                  <c:v>15-25</c:v>
                </c:pt>
                <c:pt idx="1">
                  <c:v>26-35</c:v>
                </c:pt>
                <c:pt idx="2">
                  <c:v>36-45</c:v>
                </c:pt>
                <c:pt idx="3">
                  <c:v>46-55</c:v>
                </c:pt>
                <c:pt idx="4">
                  <c:v>56-65</c:v>
                </c:pt>
              </c:strCache>
            </c:strRef>
          </c:cat>
          <c:val>
            <c:numRef>
              <c:f>'Attrition by age group'!$B$5:$B$10</c:f>
              <c:numCache>
                <c:formatCode>General</c:formatCode>
                <c:ptCount val="5"/>
                <c:pt idx="0">
                  <c:v>89</c:v>
                </c:pt>
                <c:pt idx="1">
                  <c:v>585</c:v>
                </c:pt>
                <c:pt idx="2">
                  <c:v>506</c:v>
                </c:pt>
                <c:pt idx="3">
                  <c:v>251</c:v>
                </c:pt>
                <c:pt idx="4">
                  <c:v>46</c:v>
                </c:pt>
              </c:numCache>
            </c:numRef>
          </c:val>
          <c:extLst>
            <c:ext xmlns:c16="http://schemas.microsoft.com/office/drawing/2014/chart" uri="{C3380CC4-5D6E-409C-BE32-E72D297353CC}">
              <c16:uniqueId val="{00000000-B2F7-104C-9046-7AD1F9A6D597}"/>
            </c:ext>
          </c:extLst>
        </c:ser>
        <c:ser>
          <c:idx val="1"/>
          <c:order val="1"/>
          <c:tx>
            <c:strRef>
              <c:f>'Attrition by age group'!$C$3:$C$4</c:f>
              <c:strCache>
                <c:ptCount val="1"/>
                <c:pt idx="0">
                  <c:v>Former Employee</c:v>
                </c:pt>
              </c:strCache>
            </c:strRef>
          </c:tx>
          <c:spPr>
            <a:solidFill>
              <a:srgbClr val="FD4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group'!$A$5:$A$10</c:f>
              <c:strCache>
                <c:ptCount val="5"/>
                <c:pt idx="0">
                  <c:v>15-25</c:v>
                </c:pt>
                <c:pt idx="1">
                  <c:v>26-35</c:v>
                </c:pt>
                <c:pt idx="2">
                  <c:v>36-45</c:v>
                </c:pt>
                <c:pt idx="3">
                  <c:v>46-55</c:v>
                </c:pt>
                <c:pt idx="4">
                  <c:v>56-65</c:v>
                </c:pt>
              </c:strCache>
            </c:strRef>
          </c:cat>
          <c:val>
            <c:numRef>
              <c:f>'Attrition by age group'!$C$5:$C$10</c:f>
              <c:numCache>
                <c:formatCode>General</c:formatCode>
                <c:ptCount val="5"/>
                <c:pt idx="0">
                  <c:v>50</c:v>
                </c:pt>
                <c:pt idx="1">
                  <c:v>109</c:v>
                </c:pt>
                <c:pt idx="2">
                  <c:v>24</c:v>
                </c:pt>
                <c:pt idx="3">
                  <c:v>11</c:v>
                </c:pt>
                <c:pt idx="4">
                  <c:v>5</c:v>
                </c:pt>
              </c:numCache>
            </c:numRef>
          </c:val>
          <c:extLst>
            <c:ext xmlns:c16="http://schemas.microsoft.com/office/drawing/2014/chart" uri="{C3380CC4-5D6E-409C-BE32-E72D297353CC}">
              <c16:uniqueId val="{00000007-174E-2A44-BD91-78236A6FF0BC}"/>
            </c:ext>
          </c:extLst>
        </c:ser>
        <c:dLbls>
          <c:showLegendKey val="0"/>
          <c:showVal val="0"/>
          <c:showCatName val="0"/>
          <c:showSerName val="0"/>
          <c:showPercent val="0"/>
          <c:showBubbleSize val="0"/>
        </c:dLbls>
        <c:gapWidth val="42"/>
        <c:axId val="1963866575"/>
        <c:axId val="752657871"/>
      </c:barChart>
      <c:catAx>
        <c:axId val="19638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52657871"/>
        <c:crosses val="autoZero"/>
        <c:auto val="1"/>
        <c:lblAlgn val="ctr"/>
        <c:lblOffset val="100"/>
        <c:noMultiLvlLbl val="0"/>
      </c:catAx>
      <c:valAx>
        <c:axId val="752657871"/>
        <c:scaling>
          <c:orientation val="minMax"/>
        </c:scaling>
        <c:delete val="1"/>
        <c:axPos val="l"/>
        <c:numFmt formatCode="General" sourceLinked="1"/>
        <c:majorTickMark val="none"/>
        <c:minorTickMark val="none"/>
        <c:tickLblPos val="nextTo"/>
        <c:crossAx val="1963866575"/>
        <c:crosses val="autoZero"/>
        <c:crossBetween val="between"/>
      </c:valAx>
      <c:spPr>
        <a:noFill/>
        <a:ln>
          <a:noFill/>
        </a:ln>
        <a:effectLst/>
      </c:spPr>
    </c:plotArea>
    <c:legend>
      <c:legendPos val="tr"/>
      <c:layout>
        <c:manualLayout>
          <c:xMode val="edge"/>
          <c:yMode val="edge"/>
          <c:x val="0.78103956530227114"/>
          <c:y val="9.3676814988290405E-2"/>
          <c:w val="0.19502749398060779"/>
          <c:h val="0.1737287679586748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department!PivotTable4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solidFill>
            <a:srgbClr val="114C66"/>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1CE960A3-6841-D54D-A8C3-478158A7EBE2}" type="VALUE">
                  <a:rPr lang="en-US" sz="1200" baseline="0"/>
                  <a:pPr>
                    <a:defRPr sz="12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separator>, </c:separator>
          <c:extLst>
            <c:ext xmlns:c15="http://schemas.microsoft.com/office/drawing/2012/chart" uri="{CE6537A1-D6FC-4f65-9D91-7224C49458BB}">
              <c15:dlblFieldTable/>
              <c15:showDataLabelsRange val="0"/>
            </c:ext>
          </c:extLst>
        </c:dLbl>
      </c:pivotFmt>
      <c:pivotFmt>
        <c:idx val="28"/>
        <c:spPr>
          <a:solidFill>
            <a:srgbClr val="00C3DA"/>
          </a:solidFill>
          <a:ln>
            <a:noFill/>
          </a:ln>
          <a:effectLst/>
        </c:spPr>
      </c:pivotFmt>
      <c:pivotFmt>
        <c:idx val="29"/>
        <c:spPr>
          <a:solidFill>
            <a:srgbClr val="FD4300"/>
          </a:solidFill>
          <a:ln>
            <a:noFill/>
          </a:ln>
          <a:effectLst/>
        </c:spPr>
      </c:pivotFmt>
    </c:pivotFmts>
    <c:plotArea>
      <c:layout>
        <c:manualLayout>
          <c:layoutTarget val="inner"/>
          <c:xMode val="edge"/>
          <c:yMode val="edge"/>
          <c:x val="0.32030720591744216"/>
          <c:y val="0.21571850393700787"/>
          <c:w val="0.58640032211882609"/>
          <c:h val="0.71671150481189849"/>
        </c:manualLayout>
      </c:layout>
      <c:doughnutChart>
        <c:varyColors val="1"/>
        <c:ser>
          <c:idx val="0"/>
          <c:order val="0"/>
          <c:tx>
            <c:strRef>
              <c:f>'Attrition by department'!$B$3</c:f>
              <c:strCache>
                <c:ptCount val="1"/>
                <c:pt idx="0">
                  <c:v>Total</c:v>
                </c:pt>
              </c:strCache>
            </c:strRef>
          </c:tx>
          <c:spPr>
            <a:ln>
              <a:noFill/>
            </a:ln>
          </c:spPr>
          <c:dPt>
            <c:idx val="0"/>
            <c:bubble3D val="0"/>
            <c:spPr>
              <a:solidFill>
                <a:srgbClr val="114C66"/>
              </a:solidFill>
              <a:ln>
                <a:noFill/>
              </a:ln>
              <a:effectLst/>
            </c:spPr>
            <c:extLst>
              <c:ext xmlns:c16="http://schemas.microsoft.com/office/drawing/2014/chart" uri="{C3380CC4-5D6E-409C-BE32-E72D297353CC}">
                <c16:uniqueId val="{00000001-1194-D245-9FEB-425E525D4D12}"/>
              </c:ext>
            </c:extLst>
          </c:dPt>
          <c:dPt>
            <c:idx val="1"/>
            <c:bubble3D val="0"/>
            <c:spPr>
              <a:solidFill>
                <a:srgbClr val="00C3DA"/>
              </a:solidFill>
              <a:ln>
                <a:noFill/>
              </a:ln>
              <a:effectLst/>
            </c:spPr>
            <c:extLst>
              <c:ext xmlns:c16="http://schemas.microsoft.com/office/drawing/2014/chart" uri="{C3380CC4-5D6E-409C-BE32-E72D297353CC}">
                <c16:uniqueId val="{00000003-1194-D245-9FEB-425E525D4D12}"/>
              </c:ext>
            </c:extLst>
          </c:dPt>
          <c:dPt>
            <c:idx val="2"/>
            <c:bubble3D val="0"/>
            <c:spPr>
              <a:solidFill>
                <a:srgbClr val="FD4300"/>
              </a:solidFill>
              <a:ln>
                <a:noFill/>
              </a:ln>
              <a:effectLst/>
            </c:spPr>
            <c:extLst>
              <c:ext xmlns:c16="http://schemas.microsoft.com/office/drawing/2014/chart" uri="{C3380CC4-5D6E-409C-BE32-E72D297353CC}">
                <c16:uniqueId val="{00000005-1194-D245-9FEB-425E525D4D12}"/>
              </c:ext>
            </c:extLst>
          </c:dPt>
          <c:dLbls>
            <c:dLbl>
              <c:idx val="0"/>
              <c:layout>
                <c:manualLayout>
                  <c:x val="0"/>
                  <c:y val="0"/>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1CE960A3-6841-D54D-A8C3-478158A7EBE2}" type="VALUE">
                      <a:rPr lang="en-US" sz="1200" baseline="0"/>
                      <a:pPr>
                        <a:defRPr sz="12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1194-D245-9FEB-425E525D4D1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Ref>
              <c:f>'Attrition by department'!$A$4:$A$7</c:f>
              <c:strCache>
                <c:ptCount val="3"/>
                <c:pt idx="0">
                  <c:v>Cardiology</c:v>
                </c:pt>
                <c:pt idx="1">
                  <c:v>Maternity</c:v>
                </c:pt>
                <c:pt idx="2">
                  <c:v>Neurology</c:v>
                </c:pt>
              </c:strCache>
            </c:strRef>
          </c:cat>
          <c:val>
            <c:numRef>
              <c:f>'Attrition by department'!$B$4:$B$7</c:f>
              <c:numCache>
                <c:formatCode>General</c:formatCode>
                <c:ptCount val="3"/>
                <c:pt idx="0">
                  <c:v>531</c:v>
                </c:pt>
                <c:pt idx="1">
                  <c:v>796</c:v>
                </c:pt>
                <c:pt idx="2">
                  <c:v>349</c:v>
                </c:pt>
              </c:numCache>
            </c:numRef>
          </c:val>
          <c:extLst>
            <c:ext xmlns:c16="http://schemas.microsoft.com/office/drawing/2014/chart" uri="{C3380CC4-5D6E-409C-BE32-E72D297353CC}">
              <c16:uniqueId val="{00000006-1194-D245-9FEB-425E525D4D12}"/>
            </c:ext>
          </c:extLst>
        </c:ser>
        <c:dLbls>
          <c:showLegendKey val="0"/>
          <c:showVal val="0"/>
          <c:showCatName val="0"/>
          <c:showSerName val="0"/>
          <c:showPercent val="0"/>
          <c:showBubbleSize val="0"/>
          <c:showLeaderLines val="0"/>
        </c:dLbls>
        <c:firstSliceAng val="272"/>
        <c:holeSize val="70"/>
      </c:doughnutChart>
      <c:spPr>
        <a:noFill/>
        <a:ln>
          <a:noFill/>
        </a:ln>
        <a:effectLst/>
      </c:spPr>
    </c:plotArea>
    <c:legend>
      <c:legendPos val="l"/>
      <c:layout>
        <c:manualLayout>
          <c:xMode val="edge"/>
          <c:yMode val="edge"/>
          <c:x val="3.0303030303030304E-2"/>
          <c:y val="0.36718649752114318"/>
          <c:w val="0.22701473395371036"/>
          <c:h val="0.2692390805409413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employee education!PivotTable4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C3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D4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7624671916011"/>
          <c:y val="8.294930875576037E-2"/>
          <c:w val="0.77266819772528428"/>
          <c:h val="0.79262672811059909"/>
        </c:manualLayout>
      </c:layout>
      <c:barChart>
        <c:barDir val="bar"/>
        <c:grouping val="percentStacked"/>
        <c:varyColors val="0"/>
        <c:ser>
          <c:idx val="0"/>
          <c:order val="0"/>
          <c:tx>
            <c:strRef>
              <c:f>'Attrition by employee education'!$B$3:$B$4</c:f>
              <c:strCache>
                <c:ptCount val="1"/>
                <c:pt idx="0">
                  <c:v>Current Employee</c:v>
                </c:pt>
              </c:strCache>
            </c:strRef>
          </c:tx>
          <c:spPr>
            <a:solidFill>
              <a:srgbClr val="00C3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employee education'!$A$5:$A$11</c:f>
              <c:strCache>
                <c:ptCount val="6"/>
                <c:pt idx="0">
                  <c:v>Technical Degree</c:v>
                </c:pt>
                <c:pt idx="1">
                  <c:v>Other</c:v>
                </c:pt>
                <c:pt idx="2">
                  <c:v>Medical</c:v>
                </c:pt>
                <c:pt idx="3">
                  <c:v>Marketing</c:v>
                </c:pt>
                <c:pt idx="4">
                  <c:v>Life Sciences</c:v>
                </c:pt>
                <c:pt idx="5">
                  <c:v>Human Resources</c:v>
                </c:pt>
              </c:strCache>
            </c:strRef>
          </c:cat>
          <c:val>
            <c:numRef>
              <c:f>'Attrition by employee education'!$B$5:$B$11</c:f>
              <c:numCache>
                <c:formatCode>General</c:formatCode>
                <c:ptCount val="6"/>
                <c:pt idx="0">
                  <c:v>127</c:v>
                </c:pt>
                <c:pt idx="1">
                  <c:v>80</c:v>
                </c:pt>
                <c:pt idx="2">
                  <c:v>473</c:v>
                </c:pt>
                <c:pt idx="3">
                  <c:v>161</c:v>
                </c:pt>
                <c:pt idx="4">
                  <c:v>613</c:v>
                </c:pt>
                <c:pt idx="5">
                  <c:v>23</c:v>
                </c:pt>
              </c:numCache>
            </c:numRef>
          </c:val>
          <c:extLst>
            <c:ext xmlns:c16="http://schemas.microsoft.com/office/drawing/2014/chart" uri="{C3380CC4-5D6E-409C-BE32-E72D297353CC}">
              <c16:uniqueId val="{00000000-06D4-174A-A3B2-49CEC13DC29B}"/>
            </c:ext>
          </c:extLst>
        </c:ser>
        <c:ser>
          <c:idx val="1"/>
          <c:order val="1"/>
          <c:tx>
            <c:strRef>
              <c:f>'Attrition by employee education'!$C$3:$C$4</c:f>
              <c:strCache>
                <c:ptCount val="1"/>
                <c:pt idx="0">
                  <c:v>Former Employee</c:v>
                </c:pt>
              </c:strCache>
            </c:strRef>
          </c:tx>
          <c:spPr>
            <a:solidFill>
              <a:srgbClr val="FD4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employee education'!$A$5:$A$11</c:f>
              <c:strCache>
                <c:ptCount val="6"/>
                <c:pt idx="0">
                  <c:v>Technical Degree</c:v>
                </c:pt>
                <c:pt idx="1">
                  <c:v>Other</c:v>
                </c:pt>
                <c:pt idx="2">
                  <c:v>Medical</c:v>
                </c:pt>
                <c:pt idx="3">
                  <c:v>Marketing</c:v>
                </c:pt>
                <c:pt idx="4">
                  <c:v>Life Sciences</c:v>
                </c:pt>
                <c:pt idx="5">
                  <c:v>Human Resources</c:v>
                </c:pt>
              </c:strCache>
            </c:strRef>
          </c:cat>
          <c:val>
            <c:numRef>
              <c:f>'Attrition by employee education'!$C$5:$C$11</c:f>
              <c:numCache>
                <c:formatCode>General</c:formatCode>
                <c:ptCount val="6"/>
                <c:pt idx="0">
                  <c:v>22</c:v>
                </c:pt>
                <c:pt idx="1">
                  <c:v>8</c:v>
                </c:pt>
                <c:pt idx="2">
                  <c:v>51</c:v>
                </c:pt>
                <c:pt idx="3">
                  <c:v>28</c:v>
                </c:pt>
                <c:pt idx="4">
                  <c:v>84</c:v>
                </c:pt>
                <c:pt idx="5">
                  <c:v>6</c:v>
                </c:pt>
              </c:numCache>
            </c:numRef>
          </c:val>
          <c:extLst>
            <c:ext xmlns:c16="http://schemas.microsoft.com/office/drawing/2014/chart" uri="{C3380CC4-5D6E-409C-BE32-E72D297353CC}">
              <c16:uniqueId val="{00000007-8B46-EA4B-BD65-30074DE0CACB}"/>
            </c:ext>
          </c:extLst>
        </c:ser>
        <c:dLbls>
          <c:showLegendKey val="0"/>
          <c:showVal val="0"/>
          <c:showCatName val="0"/>
          <c:showSerName val="0"/>
          <c:showPercent val="0"/>
          <c:showBubbleSize val="0"/>
        </c:dLbls>
        <c:gapWidth val="39"/>
        <c:overlap val="100"/>
        <c:axId val="2138072272"/>
        <c:axId val="1408941216"/>
      </c:barChart>
      <c:catAx>
        <c:axId val="213807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08941216"/>
        <c:crosses val="autoZero"/>
        <c:auto val="1"/>
        <c:lblAlgn val="ctr"/>
        <c:lblOffset val="100"/>
        <c:noMultiLvlLbl val="0"/>
      </c:catAx>
      <c:valAx>
        <c:axId val="1408941216"/>
        <c:scaling>
          <c:orientation val="minMax"/>
        </c:scaling>
        <c:delete val="1"/>
        <c:axPos val="b"/>
        <c:numFmt formatCode="0%" sourceLinked="1"/>
        <c:majorTickMark val="none"/>
        <c:minorTickMark val="none"/>
        <c:tickLblPos val="nextTo"/>
        <c:crossAx val="213807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business travel!PivotTable4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solidFill>
            <a:srgbClr val="FD4300"/>
          </a:solidFill>
          <a:ln>
            <a:noFill/>
          </a:ln>
          <a:effectLst/>
        </c:spPr>
      </c:pivotFmt>
      <c:pivotFmt>
        <c:idx val="29"/>
        <c:spPr>
          <a:solidFill>
            <a:srgbClr val="114C66"/>
          </a:solidFill>
          <a:ln>
            <a:noFill/>
          </a:ln>
          <a:effectLst/>
        </c:spPr>
        <c:dLbl>
          <c:idx val="0"/>
          <c:layout>
            <c:manualLayout>
              <c:x val="-9.0909090909090905E-3"/>
              <c:y val="-1.29870129870129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extLst>
        </c:dLbl>
      </c:pivotFmt>
      <c:pivotFmt>
        <c:idx val="30"/>
        <c:spPr>
          <a:solidFill>
            <a:srgbClr val="00C3DA"/>
          </a:solidFill>
          <a:ln>
            <a:noFill/>
          </a:ln>
          <a:effectLst/>
        </c:spPr>
      </c:pivotFmt>
    </c:pivotFmts>
    <c:plotArea>
      <c:layout>
        <c:manualLayout>
          <c:layoutTarget val="inner"/>
          <c:xMode val="edge"/>
          <c:yMode val="edge"/>
          <c:x val="0.44247652768236195"/>
          <c:y val="7.1428471883492453E-2"/>
          <c:w val="0.48329048843187661"/>
          <c:h val="0.89523809523809528"/>
        </c:manualLayout>
      </c:layout>
      <c:doughnutChart>
        <c:varyColors val="1"/>
        <c:ser>
          <c:idx val="0"/>
          <c:order val="0"/>
          <c:tx>
            <c:strRef>
              <c:f>'Attrition by business travel'!$B$3</c:f>
              <c:strCache>
                <c:ptCount val="1"/>
                <c:pt idx="0">
                  <c:v>Total</c:v>
                </c:pt>
              </c:strCache>
            </c:strRef>
          </c:tx>
          <c:spPr>
            <a:ln>
              <a:noFill/>
            </a:ln>
          </c:spPr>
          <c:dPt>
            <c:idx val="0"/>
            <c:bubble3D val="0"/>
            <c:spPr>
              <a:solidFill>
                <a:srgbClr val="00C3DA"/>
              </a:solidFill>
              <a:ln>
                <a:noFill/>
              </a:ln>
              <a:effectLst/>
            </c:spPr>
            <c:extLst>
              <c:ext xmlns:c16="http://schemas.microsoft.com/office/drawing/2014/chart" uri="{C3380CC4-5D6E-409C-BE32-E72D297353CC}">
                <c16:uniqueId val="{00000001-9598-0C48-90C9-7AFCB1401B17}"/>
              </c:ext>
            </c:extLst>
          </c:dPt>
          <c:dPt>
            <c:idx val="1"/>
            <c:bubble3D val="0"/>
            <c:spPr>
              <a:solidFill>
                <a:srgbClr val="114C66"/>
              </a:solidFill>
              <a:ln>
                <a:noFill/>
              </a:ln>
              <a:effectLst/>
            </c:spPr>
            <c:extLst>
              <c:ext xmlns:c16="http://schemas.microsoft.com/office/drawing/2014/chart" uri="{C3380CC4-5D6E-409C-BE32-E72D297353CC}">
                <c16:uniqueId val="{00000003-9598-0C48-90C9-7AFCB1401B17}"/>
              </c:ext>
            </c:extLst>
          </c:dPt>
          <c:dPt>
            <c:idx val="2"/>
            <c:bubble3D val="0"/>
            <c:spPr>
              <a:solidFill>
                <a:srgbClr val="FD4300"/>
              </a:solidFill>
              <a:ln>
                <a:noFill/>
              </a:ln>
              <a:effectLst/>
            </c:spPr>
            <c:extLst>
              <c:ext xmlns:c16="http://schemas.microsoft.com/office/drawing/2014/chart" uri="{C3380CC4-5D6E-409C-BE32-E72D297353CC}">
                <c16:uniqueId val="{00000005-9598-0C48-90C9-7AFCB1401B17}"/>
              </c:ext>
            </c:extLst>
          </c:dPt>
          <c:dLbls>
            <c:dLbl>
              <c:idx val="1"/>
              <c:layout>
                <c:manualLayout>
                  <c:x val="-9.0909090909090905E-3"/>
                  <c:y val="-1.29870129870129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598-0C48-90C9-7AFCB1401B1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Ref>
              <c:f>'Attrition by business travel'!$A$4:$A$7</c:f>
              <c:strCache>
                <c:ptCount val="3"/>
                <c:pt idx="0">
                  <c:v>Travel_Rarely</c:v>
                </c:pt>
                <c:pt idx="1">
                  <c:v>Travel_Frequently</c:v>
                </c:pt>
                <c:pt idx="2">
                  <c:v>Non-Travel</c:v>
                </c:pt>
              </c:strCache>
            </c:strRef>
          </c:cat>
          <c:val>
            <c:numRef>
              <c:f>'Attrition by business travel'!$B$4:$B$7</c:f>
              <c:numCache>
                <c:formatCode>General</c:formatCode>
                <c:ptCount val="3"/>
                <c:pt idx="0">
                  <c:v>1184</c:v>
                </c:pt>
                <c:pt idx="1">
                  <c:v>320</c:v>
                </c:pt>
                <c:pt idx="2">
                  <c:v>172</c:v>
                </c:pt>
              </c:numCache>
            </c:numRef>
          </c:val>
          <c:extLst>
            <c:ext xmlns:c16="http://schemas.microsoft.com/office/drawing/2014/chart" uri="{C3380CC4-5D6E-409C-BE32-E72D297353CC}">
              <c16:uniqueId val="{00000006-9598-0C48-90C9-7AFCB1401B17}"/>
            </c:ext>
          </c:extLst>
        </c:ser>
        <c:dLbls>
          <c:showLegendKey val="0"/>
          <c:showVal val="0"/>
          <c:showCatName val="0"/>
          <c:showSerName val="0"/>
          <c:showPercent val="0"/>
          <c:showBubbleSize val="0"/>
          <c:showLeaderLines val="0"/>
        </c:dLbls>
        <c:firstSliceAng val="356"/>
        <c:holeSize val="65"/>
      </c:doughnutChart>
      <c:spPr>
        <a:noFill/>
        <a:ln>
          <a:noFill/>
        </a:ln>
        <a:effectLst/>
      </c:spPr>
    </c:plotArea>
    <c:legend>
      <c:legendPos val="l"/>
      <c:layout>
        <c:manualLayout>
          <c:xMode val="edge"/>
          <c:yMode val="edge"/>
          <c:x val="2.4608501118568233E-2"/>
          <c:y val="0.27807957633614383"/>
          <c:w val="0.22302436188764996"/>
          <c:h val="0.4773301682877875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gender!PivotTable4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C3DA"/>
          </a:solidFill>
          <a:ln>
            <a:noFill/>
          </a:ln>
          <a:effectLst/>
        </c:spPr>
        <c:dLbl>
          <c:idx val="0"/>
          <c:layout>
            <c:manualLayout>
              <c:x val="0.62777777777777766"/>
              <c:y val="-2.608695652173912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D4300"/>
          </a:solidFill>
          <a:ln>
            <a:noFill/>
          </a:ln>
          <a:effectLst/>
        </c:spPr>
        <c:dLbl>
          <c:idx val="0"/>
          <c:layout>
            <c:manualLayout>
              <c:x val="0.65277777777777768"/>
              <c:y val="-1.304347826086972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3114610673667"/>
          <c:y val="0.21634474495035946"/>
          <c:w val="0.71805774278215229"/>
          <c:h val="0.73148148148148162"/>
        </c:manualLayout>
      </c:layout>
      <c:barChart>
        <c:barDir val="bar"/>
        <c:grouping val="percentStacked"/>
        <c:varyColors val="0"/>
        <c:ser>
          <c:idx val="0"/>
          <c:order val="0"/>
          <c:tx>
            <c:strRef>
              <c:f>'Attrition by gender'!$B$3:$B$4</c:f>
              <c:strCache>
                <c:ptCount val="1"/>
                <c:pt idx="0">
                  <c:v>Current Employee</c:v>
                </c:pt>
              </c:strCache>
            </c:strRef>
          </c:tx>
          <c:spPr>
            <a:solidFill>
              <a:schemeClr val="accent1"/>
            </a:solidFill>
            <a:ln>
              <a:noFill/>
            </a:ln>
            <a:effectLst/>
          </c:spPr>
          <c:invertIfNegative val="0"/>
          <c:dPt>
            <c:idx val="0"/>
            <c:invertIfNegative val="0"/>
            <c:bubble3D val="0"/>
            <c:spPr>
              <a:solidFill>
                <a:srgbClr val="FD4300"/>
              </a:solidFill>
              <a:ln>
                <a:noFill/>
              </a:ln>
              <a:effectLst/>
            </c:spPr>
            <c:extLst>
              <c:ext xmlns:c16="http://schemas.microsoft.com/office/drawing/2014/chart" uri="{C3380CC4-5D6E-409C-BE32-E72D297353CC}">
                <c16:uniqueId val="{00000003-4FF4-5D46-AA39-4E770325E137}"/>
              </c:ext>
            </c:extLst>
          </c:dPt>
          <c:dPt>
            <c:idx val="1"/>
            <c:invertIfNegative val="0"/>
            <c:bubble3D val="0"/>
            <c:spPr>
              <a:solidFill>
                <a:srgbClr val="00C3DA"/>
              </a:solidFill>
              <a:ln>
                <a:noFill/>
              </a:ln>
              <a:effectLst/>
            </c:spPr>
            <c:extLst>
              <c:ext xmlns:c16="http://schemas.microsoft.com/office/drawing/2014/chart" uri="{C3380CC4-5D6E-409C-BE32-E72D297353CC}">
                <c16:uniqueId val="{00000002-4FF4-5D46-AA39-4E770325E137}"/>
              </c:ext>
            </c:extLst>
          </c:dPt>
          <c:dLbls>
            <c:dLbl>
              <c:idx val="0"/>
              <c:layout>
                <c:manualLayout>
                  <c:x val="0.65277777777777768"/>
                  <c:y val="-1.3043478260869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F4-5D46-AA39-4E770325E137}"/>
                </c:ext>
              </c:extLst>
            </c:dLbl>
            <c:dLbl>
              <c:idx val="1"/>
              <c:layout>
                <c:manualLayout>
                  <c:x val="0.62777777777777766"/>
                  <c:y val="-2.60869565217391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F4-5D46-AA39-4E770325E13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gender'!$A$5:$A$7</c:f>
              <c:strCache>
                <c:ptCount val="2"/>
                <c:pt idx="0">
                  <c:v>Female</c:v>
                </c:pt>
                <c:pt idx="1">
                  <c:v>Male</c:v>
                </c:pt>
              </c:strCache>
            </c:strRef>
          </c:cat>
          <c:val>
            <c:numRef>
              <c:f>'Attrition by gender'!$B$5:$B$7</c:f>
              <c:numCache>
                <c:formatCode>0.00%</c:formatCode>
                <c:ptCount val="2"/>
                <c:pt idx="0">
                  <c:v>0.87315634218289084</c:v>
                </c:pt>
                <c:pt idx="1">
                  <c:v>0.88677354709418843</c:v>
                </c:pt>
              </c:numCache>
            </c:numRef>
          </c:val>
          <c:extLst>
            <c:ext xmlns:c16="http://schemas.microsoft.com/office/drawing/2014/chart" uri="{C3380CC4-5D6E-409C-BE32-E72D297353CC}">
              <c16:uniqueId val="{00000000-4FF4-5D46-AA39-4E770325E137}"/>
            </c:ext>
          </c:extLst>
        </c:ser>
        <c:ser>
          <c:idx val="1"/>
          <c:order val="1"/>
          <c:tx>
            <c:strRef>
              <c:f>'Attrition by gender'!$C$3:$C$4</c:f>
              <c:strCache>
                <c:ptCount val="1"/>
                <c:pt idx="0">
                  <c:v>Former Employee</c:v>
                </c:pt>
              </c:strCache>
            </c:strRef>
          </c:tx>
          <c:spPr>
            <a:solidFill>
              <a:schemeClr val="bg1">
                <a:lumMod val="95000"/>
              </a:schemeClr>
            </a:solidFill>
            <a:ln>
              <a:noFill/>
            </a:ln>
            <a:effectLst/>
          </c:spPr>
          <c:invertIfNegative val="0"/>
          <c:cat>
            <c:strRef>
              <c:f>'Attrition by gender'!$A$5:$A$7</c:f>
              <c:strCache>
                <c:ptCount val="2"/>
                <c:pt idx="0">
                  <c:v>Female</c:v>
                </c:pt>
                <c:pt idx="1">
                  <c:v>Male</c:v>
                </c:pt>
              </c:strCache>
            </c:strRef>
          </c:cat>
          <c:val>
            <c:numRef>
              <c:f>'Attrition by gender'!$C$5:$C$7</c:f>
              <c:numCache>
                <c:formatCode>0.00%</c:formatCode>
                <c:ptCount val="2"/>
                <c:pt idx="0">
                  <c:v>0.12684365781710916</c:v>
                </c:pt>
                <c:pt idx="1">
                  <c:v>0.11322645290581163</c:v>
                </c:pt>
              </c:numCache>
            </c:numRef>
          </c:val>
          <c:extLst>
            <c:ext xmlns:c16="http://schemas.microsoft.com/office/drawing/2014/chart" uri="{C3380CC4-5D6E-409C-BE32-E72D297353CC}">
              <c16:uniqueId val="{0000000B-B4EF-FC46-8E41-6EBEBA189F49}"/>
            </c:ext>
          </c:extLst>
        </c:ser>
        <c:dLbls>
          <c:showLegendKey val="0"/>
          <c:showVal val="0"/>
          <c:showCatName val="0"/>
          <c:showSerName val="0"/>
          <c:showPercent val="0"/>
          <c:showBubbleSize val="0"/>
        </c:dLbls>
        <c:gapWidth val="106"/>
        <c:overlap val="100"/>
        <c:axId val="2138072272"/>
        <c:axId val="1408941216"/>
      </c:barChart>
      <c:catAx>
        <c:axId val="21380722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08941216"/>
        <c:crosses val="autoZero"/>
        <c:auto val="1"/>
        <c:lblAlgn val="ctr"/>
        <c:lblOffset val="100"/>
        <c:noMultiLvlLbl val="0"/>
      </c:catAx>
      <c:valAx>
        <c:axId val="1408941216"/>
        <c:scaling>
          <c:orientation val="minMax"/>
        </c:scaling>
        <c:delete val="1"/>
        <c:axPos val="b"/>
        <c:numFmt formatCode="0%" sourceLinked="1"/>
        <c:majorTickMark val="none"/>
        <c:minorTickMark val="none"/>
        <c:tickLblPos val="nextTo"/>
        <c:crossAx val="213807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marital status!PivotTable4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rgbClr val="00C3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D4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4.8519732189164985E-2"/>
          <c:y val="0.25152129817444219"/>
          <c:w val="0.92990687915507575"/>
          <c:h val="0.62629505997348711"/>
        </c:manualLayout>
      </c:layout>
      <c:barChart>
        <c:barDir val="col"/>
        <c:grouping val="percentStacked"/>
        <c:varyColors val="0"/>
        <c:ser>
          <c:idx val="0"/>
          <c:order val="0"/>
          <c:tx>
            <c:strRef>
              <c:f>'Attrition by marital status'!$B$3:$B$4</c:f>
              <c:strCache>
                <c:ptCount val="1"/>
                <c:pt idx="0">
                  <c:v>Current Employee</c:v>
                </c:pt>
              </c:strCache>
            </c:strRef>
          </c:tx>
          <c:spPr>
            <a:solidFill>
              <a:srgbClr val="00C3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marital status'!$A$5:$A$8</c:f>
              <c:strCache>
                <c:ptCount val="3"/>
                <c:pt idx="0">
                  <c:v>Divorced</c:v>
                </c:pt>
                <c:pt idx="1">
                  <c:v>Married</c:v>
                </c:pt>
                <c:pt idx="2">
                  <c:v>Single</c:v>
                </c:pt>
              </c:strCache>
            </c:strRef>
          </c:cat>
          <c:val>
            <c:numRef>
              <c:f>'Attrition by marital status'!$B$5:$B$8</c:f>
              <c:numCache>
                <c:formatCode>General</c:formatCode>
                <c:ptCount val="3"/>
                <c:pt idx="0">
                  <c:v>353</c:v>
                </c:pt>
                <c:pt idx="1">
                  <c:v>716</c:v>
                </c:pt>
                <c:pt idx="2">
                  <c:v>408</c:v>
                </c:pt>
              </c:numCache>
            </c:numRef>
          </c:val>
          <c:extLst>
            <c:ext xmlns:c16="http://schemas.microsoft.com/office/drawing/2014/chart" uri="{C3380CC4-5D6E-409C-BE32-E72D297353CC}">
              <c16:uniqueId val="{00000000-0F4C-1540-A4F9-F933DEC88166}"/>
            </c:ext>
          </c:extLst>
        </c:ser>
        <c:ser>
          <c:idx val="1"/>
          <c:order val="1"/>
          <c:tx>
            <c:strRef>
              <c:f>'Attrition by marital status'!$C$3:$C$4</c:f>
              <c:strCache>
                <c:ptCount val="1"/>
                <c:pt idx="0">
                  <c:v>Former Employee</c:v>
                </c:pt>
              </c:strCache>
            </c:strRef>
          </c:tx>
          <c:spPr>
            <a:solidFill>
              <a:srgbClr val="FD4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marital status'!$A$5:$A$8</c:f>
              <c:strCache>
                <c:ptCount val="3"/>
                <c:pt idx="0">
                  <c:v>Divorced</c:v>
                </c:pt>
                <c:pt idx="1">
                  <c:v>Married</c:v>
                </c:pt>
                <c:pt idx="2">
                  <c:v>Single</c:v>
                </c:pt>
              </c:strCache>
            </c:strRef>
          </c:cat>
          <c:val>
            <c:numRef>
              <c:f>'Attrition by marital status'!$C$5:$C$8</c:f>
              <c:numCache>
                <c:formatCode>General</c:formatCode>
                <c:ptCount val="3"/>
                <c:pt idx="0">
                  <c:v>24</c:v>
                </c:pt>
                <c:pt idx="1">
                  <c:v>61</c:v>
                </c:pt>
                <c:pt idx="2">
                  <c:v>114</c:v>
                </c:pt>
              </c:numCache>
            </c:numRef>
          </c:val>
          <c:extLst>
            <c:ext xmlns:c16="http://schemas.microsoft.com/office/drawing/2014/chart" uri="{C3380CC4-5D6E-409C-BE32-E72D297353CC}">
              <c16:uniqueId val="{00000007-22F9-D843-85CD-08CCDF35A073}"/>
            </c:ext>
          </c:extLst>
        </c:ser>
        <c:dLbls>
          <c:showLegendKey val="0"/>
          <c:showVal val="0"/>
          <c:showCatName val="0"/>
          <c:showSerName val="0"/>
          <c:showPercent val="0"/>
          <c:showBubbleSize val="0"/>
        </c:dLbls>
        <c:gapWidth val="39"/>
        <c:overlap val="100"/>
        <c:axId val="1963866575"/>
        <c:axId val="752657871"/>
      </c:barChart>
      <c:catAx>
        <c:axId val="19638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2657871"/>
        <c:crosses val="autoZero"/>
        <c:auto val="1"/>
        <c:lblAlgn val="ctr"/>
        <c:lblOffset val="100"/>
        <c:noMultiLvlLbl val="0"/>
      </c:catAx>
      <c:valAx>
        <c:axId val="752657871"/>
        <c:scaling>
          <c:orientation val="minMax"/>
        </c:scaling>
        <c:delete val="1"/>
        <c:axPos val="l"/>
        <c:numFmt formatCode="0%" sourceLinked="1"/>
        <c:majorTickMark val="none"/>
        <c:minorTickMark val="none"/>
        <c:tickLblPos val="nextTo"/>
        <c:crossAx val="196386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age group (2)!PivotTable4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73599641508223E-2"/>
          <c:y val="9.7363083164300201E-2"/>
          <c:w val="0.89839988086595557"/>
          <c:h val="0.81290763603839578"/>
        </c:manualLayout>
      </c:layout>
      <c:barChart>
        <c:barDir val="col"/>
        <c:grouping val="clustered"/>
        <c:varyColors val="0"/>
        <c:ser>
          <c:idx val="0"/>
          <c:order val="0"/>
          <c:tx>
            <c:strRef>
              <c:f>'Attrition by age group (2)'!$B$3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age group (2)'!$A$4:$A$7</c:f>
              <c:strCache>
                <c:ptCount val="3"/>
                <c:pt idx="0">
                  <c:v>Low Salary</c:v>
                </c:pt>
                <c:pt idx="1">
                  <c:v>Good Salary</c:v>
                </c:pt>
                <c:pt idx="2">
                  <c:v>High Salary</c:v>
                </c:pt>
              </c:strCache>
            </c:strRef>
          </c:cat>
          <c:val>
            <c:numRef>
              <c:f>'Attrition by age group (2)'!$B$4:$B$7</c:f>
              <c:numCache>
                <c:formatCode>General</c:formatCode>
                <c:ptCount val="3"/>
                <c:pt idx="0">
                  <c:v>859</c:v>
                </c:pt>
                <c:pt idx="1">
                  <c:v>593</c:v>
                </c:pt>
                <c:pt idx="2">
                  <c:v>224</c:v>
                </c:pt>
              </c:numCache>
            </c:numRef>
          </c:val>
          <c:extLst>
            <c:ext xmlns:c16="http://schemas.microsoft.com/office/drawing/2014/chart" uri="{C3380CC4-5D6E-409C-BE32-E72D297353CC}">
              <c16:uniqueId val="{00000000-087F-824D-B961-7489E8724CBE}"/>
            </c:ext>
          </c:extLst>
        </c:ser>
        <c:dLbls>
          <c:showLegendKey val="0"/>
          <c:showVal val="0"/>
          <c:showCatName val="0"/>
          <c:showSerName val="0"/>
          <c:showPercent val="0"/>
          <c:showBubbleSize val="0"/>
        </c:dLbls>
        <c:gapWidth val="100"/>
        <c:overlap val="-27"/>
        <c:axId val="1963866575"/>
        <c:axId val="752657871"/>
      </c:barChart>
      <c:catAx>
        <c:axId val="19638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52657871"/>
        <c:crosses val="autoZero"/>
        <c:auto val="1"/>
        <c:lblAlgn val="ctr"/>
        <c:lblOffset val="100"/>
        <c:noMultiLvlLbl val="0"/>
      </c:catAx>
      <c:valAx>
        <c:axId val="752657871"/>
        <c:scaling>
          <c:orientation val="minMax"/>
        </c:scaling>
        <c:delete val="1"/>
        <c:axPos val="l"/>
        <c:numFmt formatCode="General" sourceLinked="1"/>
        <c:majorTickMark val="none"/>
        <c:minorTickMark val="none"/>
        <c:tickLblPos val="nextTo"/>
        <c:crossAx val="196386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59-0945-A0B3-D4B85A100A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859-0945-A0B3-D4B85A100AE6}"/>
              </c:ext>
            </c:extLst>
          </c:dPt>
          <c:dLbls>
            <c:dLbl>
              <c:idx val="0"/>
              <c:layout>
                <c:manualLayout>
                  <c:x val="-0.10400000000000008"/>
                  <c:y val="0.2962962962962962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59-0945-A0B3-D4B85A100AE6}"/>
                </c:ext>
              </c:extLst>
            </c:dLbl>
            <c:dLbl>
              <c:idx val="1"/>
              <c:delete val="1"/>
              <c:extLst>
                <c:ext xmlns:c15="http://schemas.microsoft.com/office/drawing/2012/chart" uri="{CE6537A1-D6FC-4f65-9D91-7224C49458BB}"/>
                <c:ext xmlns:c16="http://schemas.microsoft.com/office/drawing/2014/chart" uri="{C3380CC4-5D6E-409C-BE32-E72D297353CC}">
                  <c16:uniqueId val="{00000002-3859-0945-A0B3-D4B85A100A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Calculations!$B$7:$B$8</c:f>
              <c:strCache>
                <c:ptCount val="2"/>
                <c:pt idx="0">
                  <c:v>Former Employee</c:v>
                </c:pt>
                <c:pt idx="1">
                  <c:v>Other</c:v>
                </c:pt>
              </c:strCache>
            </c:strRef>
          </c:cat>
          <c:val>
            <c:numRef>
              <c:f>Calculations!$C$7:$C$8</c:f>
              <c:numCache>
                <c:formatCode>General</c:formatCode>
                <c:ptCount val="2"/>
                <c:pt idx="0">
                  <c:v>199</c:v>
                </c:pt>
                <c:pt idx="1">
                  <c:v>1477</c:v>
                </c:pt>
              </c:numCache>
            </c:numRef>
          </c:val>
          <c:extLst>
            <c:ext xmlns:c16="http://schemas.microsoft.com/office/drawing/2014/chart" uri="{C3380CC4-5D6E-409C-BE32-E72D297353CC}">
              <c16:uniqueId val="{00000000-3859-0945-A0B3-D4B85A100AE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D3-0D4D-A15D-DD28E01563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4D3-0D4D-A15D-DD28E01563FF}"/>
              </c:ext>
            </c:extLst>
          </c:dPt>
          <c:dLbls>
            <c:dLbl>
              <c:idx val="0"/>
              <c:layout>
                <c:manualLayout>
                  <c:x val="-7.4999999999999997E-2"/>
                  <c:y val="-0.3333333333333334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D3-0D4D-A15D-DD28E01563FF}"/>
                </c:ext>
              </c:extLst>
            </c:dLbl>
            <c:dLbl>
              <c:idx val="1"/>
              <c:delete val="1"/>
              <c:extLst>
                <c:ext xmlns:c15="http://schemas.microsoft.com/office/drawing/2012/chart" uri="{CE6537A1-D6FC-4f65-9D91-7224C49458BB}"/>
                <c:ext xmlns:c16="http://schemas.microsoft.com/office/drawing/2014/chart" uri="{C3380CC4-5D6E-409C-BE32-E72D297353CC}">
                  <c16:uniqueId val="{00000002-E4D3-0D4D-A15D-DD28E01563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Calculations!$G$7:$G$8</c:f>
              <c:strCache>
                <c:ptCount val="2"/>
                <c:pt idx="0">
                  <c:v>Current Employee</c:v>
                </c:pt>
                <c:pt idx="1">
                  <c:v>Other</c:v>
                </c:pt>
              </c:strCache>
            </c:strRef>
          </c:cat>
          <c:val>
            <c:numRef>
              <c:f>Calculations!$H$7:$H$8</c:f>
              <c:numCache>
                <c:formatCode>General</c:formatCode>
                <c:ptCount val="2"/>
                <c:pt idx="0">
                  <c:v>1477</c:v>
                </c:pt>
                <c:pt idx="1">
                  <c:v>199</c:v>
                </c:pt>
              </c:numCache>
            </c:numRef>
          </c:val>
          <c:extLst>
            <c:ext xmlns:c16="http://schemas.microsoft.com/office/drawing/2014/chart" uri="{C3380CC4-5D6E-409C-BE32-E72D297353CC}">
              <c16:uniqueId val="{00000000-E4D3-0D4D-A15D-DD28E01563F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age group!PivotTable4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73522458628844E-2"/>
          <c:y val="9.330628803245436E-2"/>
          <c:w val="0.89839988086595557"/>
          <c:h val="0.81290763603839578"/>
        </c:manualLayout>
      </c:layout>
      <c:barChart>
        <c:barDir val="col"/>
        <c:grouping val="clustered"/>
        <c:varyColors val="0"/>
        <c:ser>
          <c:idx val="0"/>
          <c:order val="0"/>
          <c:tx>
            <c:strRef>
              <c:f>'Attrition by age group'!$B$3:$B$4</c:f>
              <c:strCache>
                <c:ptCount val="1"/>
                <c:pt idx="0">
                  <c:v>Current Employee</c:v>
                </c:pt>
              </c:strCache>
            </c:strRef>
          </c:tx>
          <c:spPr>
            <a:solidFill>
              <a:schemeClr val="accent1"/>
            </a:solidFill>
            <a:ln>
              <a:noFill/>
            </a:ln>
            <a:effectLst/>
          </c:spPr>
          <c:invertIfNegative val="0"/>
          <c:cat>
            <c:strRef>
              <c:f>'Attrition by age group'!$A$5:$A$10</c:f>
              <c:strCache>
                <c:ptCount val="5"/>
                <c:pt idx="0">
                  <c:v>15-25</c:v>
                </c:pt>
                <c:pt idx="1">
                  <c:v>26-35</c:v>
                </c:pt>
                <c:pt idx="2">
                  <c:v>36-45</c:v>
                </c:pt>
                <c:pt idx="3">
                  <c:v>46-55</c:v>
                </c:pt>
                <c:pt idx="4">
                  <c:v>56-65</c:v>
                </c:pt>
              </c:strCache>
            </c:strRef>
          </c:cat>
          <c:val>
            <c:numRef>
              <c:f>'Attrition by age group'!$B$5:$B$10</c:f>
              <c:numCache>
                <c:formatCode>General</c:formatCode>
                <c:ptCount val="5"/>
                <c:pt idx="0">
                  <c:v>89</c:v>
                </c:pt>
                <c:pt idx="1">
                  <c:v>585</c:v>
                </c:pt>
                <c:pt idx="2">
                  <c:v>506</c:v>
                </c:pt>
                <c:pt idx="3">
                  <c:v>251</c:v>
                </c:pt>
                <c:pt idx="4">
                  <c:v>46</c:v>
                </c:pt>
              </c:numCache>
            </c:numRef>
          </c:val>
          <c:extLst>
            <c:ext xmlns:c16="http://schemas.microsoft.com/office/drawing/2014/chart" uri="{C3380CC4-5D6E-409C-BE32-E72D297353CC}">
              <c16:uniqueId val="{00000000-E624-7440-9B44-3BD603BA4A7E}"/>
            </c:ext>
          </c:extLst>
        </c:ser>
        <c:ser>
          <c:idx val="1"/>
          <c:order val="1"/>
          <c:tx>
            <c:strRef>
              <c:f>'Attrition by age group'!$C$3:$C$4</c:f>
              <c:strCache>
                <c:ptCount val="1"/>
                <c:pt idx="0">
                  <c:v>Former Employee</c:v>
                </c:pt>
              </c:strCache>
            </c:strRef>
          </c:tx>
          <c:spPr>
            <a:solidFill>
              <a:schemeClr val="accent2"/>
            </a:solidFill>
            <a:ln>
              <a:noFill/>
            </a:ln>
            <a:effectLst/>
          </c:spPr>
          <c:invertIfNegative val="0"/>
          <c:cat>
            <c:strRef>
              <c:f>'Attrition by age group'!$A$5:$A$10</c:f>
              <c:strCache>
                <c:ptCount val="5"/>
                <c:pt idx="0">
                  <c:v>15-25</c:v>
                </c:pt>
                <c:pt idx="1">
                  <c:v>26-35</c:v>
                </c:pt>
                <c:pt idx="2">
                  <c:v>36-45</c:v>
                </c:pt>
                <c:pt idx="3">
                  <c:v>46-55</c:v>
                </c:pt>
                <c:pt idx="4">
                  <c:v>56-65</c:v>
                </c:pt>
              </c:strCache>
            </c:strRef>
          </c:cat>
          <c:val>
            <c:numRef>
              <c:f>'Attrition by age group'!$C$5:$C$10</c:f>
              <c:numCache>
                <c:formatCode>General</c:formatCode>
                <c:ptCount val="5"/>
                <c:pt idx="0">
                  <c:v>50</c:v>
                </c:pt>
                <c:pt idx="1">
                  <c:v>109</c:v>
                </c:pt>
                <c:pt idx="2">
                  <c:v>24</c:v>
                </c:pt>
                <c:pt idx="3">
                  <c:v>11</c:v>
                </c:pt>
                <c:pt idx="4">
                  <c:v>5</c:v>
                </c:pt>
              </c:numCache>
            </c:numRef>
          </c:val>
          <c:extLst>
            <c:ext xmlns:c16="http://schemas.microsoft.com/office/drawing/2014/chart" uri="{C3380CC4-5D6E-409C-BE32-E72D297353CC}">
              <c16:uniqueId val="{00000006-6C36-A541-A3E3-286316F96C51}"/>
            </c:ext>
          </c:extLst>
        </c:ser>
        <c:dLbls>
          <c:showLegendKey val="0"/>
          <c:showVal val="0"/>
          <c:showCatName val="0"/>
          <c:showSerName val="0"/>
          <c:showPercent val="0"/>
          <c:showBubbleSize val="0"/>
        </c:dLbls>
        <c:gapWidth val="100"/>
        <c:overlap val="-27"/>
        <c:axId val="1963866575"/>
        <c:axId val="752657871"/>
      </c:barChart>
      <c:catAx>
        <c:axId val="19638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57871"/>
        <c:crosses val="autoZero"/>
        <c:auto val="1"/>
        <c:lblAlgn val="ctr"/>
        <c:lblOffset val="100"/>
        <c:noMultiLvlLbl val="0"/>
      </c:catAx>
      <c:valAx>
        <c:axId val="752657871"/>
        <c:scaling>
          <c:orientation val="minMax"/>
        </c:scaling>
        <c:delete val="1"/>
        <c:axPos val="l"/>
        <c:numFmt formatCode="General" sourceLinked="1"/>
        <c:majorTickMark val="none"/>
        <c:minorTickMark val="none"/>
        <c:tickLblPos val="nextTo"/>
        <c:crossAx val="1963866575"/>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age group (2)!PivotTable4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73522458628844E-2"/>
          <c:y val="9.330628803245436E-2"/>
          <c:w val="0.89839988086595557"/>
          <c:h val="0.81290763603839578"/>
        </c:manualLayout>
      </c:layout>
      <c:barChart>
        <c:barDir val="col"/>
        <c:grouping val="clustered"/>
        <c:varyColors val="0"/>
        <c:ser>
          <c:idx val="0"/>
          <c:order val="0"/>
          <c:tx>
            <c:strRef>
              <c:f>'Attrition by age group (2)'!$B$3</c:f>
              <c:strCache>
                <c:ptCount val="1"/>
                <c:pt idx="0">
                  <c:v>Total</c:v>
                </c:pt>
              </c:strCache>
            </c:strRef>
          </c:tx>
          <c:spPr>
            <a:solidFill>
              <a:schemeClr val="accent1"/>
            </a:solidFill>
            <a:ln>
              <a:noFill/>
            </a:ln>
            <a:effectLst/>
          </c:spPr>
          <c:invertIfNegative val="0"/>
          <c:cat>
            <c:strRef>
              <c:f>'Attrition by age group (2)'!$A$4:$A$7</c:f>
              <c:strCache>
                <c:ptCount val="3"/>
                <c:pt idx="0">
                  <c:v>Low Salary</c:v>
                </c:pt>
                <c:pt idx="1">
                  <c:v>Good Salary</c:v>
                </c:pt>
                <c:pt idx="2">
                  <c:v>High Salary</c:v>
                </c:pt>
              </c:strCache>
            </c:strRef>
          </c:cat>
          <c:val>
            <c:numRef>
              <c:f>'Attrition by age group (2)'!$B$4:$B$7</c:f>
              <c:numCache>
                <c:formatCode>General</c:formatCode>
                <c:ptCount val="3"/>
                <c:pt idx="0">
                  <c:v>859</c:v>
                </c:pt>
                <c:pt idx="1">
                  <c:v>593</c:v>
                </c:pt>
                <c:pt idx="2">
                  <c:v>224</c:v>
                </c:pt>
              </c:numCache>
            </c:numRef>
          </c:val>
          <c:extLst>
            <c:ext xmlns:c16="http://schemas.microsoft.com/office/drawing/2014/chart" uri="{C3380CC4-5D6E-409C-BE32-E72D297353CC}">
              <c16:uniqueId val="{00000002-3B9C-F848-9389-ED4F736AEF96}"/>
            </c:ext>
          </c:extLst>
        </c:ser>
        <c:dLbls>
          <c:showLegendKey val="0"/>
          <c:showVal val="0"/>
          <c:showCatName val="0"/>
          <c:showSerName val="0"/>
          <c:showPercent val="0"/>
          <c:showBubbleSize val="0"/>
        </c:dLbls>
        <c:gapWidth val="100"/>
        <c:overlap val="-27"/>
        <c:axId val="1963866575"/>
        <c:axId val="752657871"/>
      </c:barChart>
      <c:catAx>
        <c:axId val="19638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57871"/>
        <c:crosses val="autoZero"/>
        <c:auto val="1"/>
        <c:lblAlgn val="ctr"/>
        <c:lblOffset val="100"/>
        <c:noMultiLvlLbl val="0"/>
      </c:catAx>
      <c:valAx>
        <c:axId val="752657871"/>
        <c:scaling>
          <c:orientation val="minMax"/>
        </c:scaling>
        <c:delete val="1"/>
        <c:axPos val="l"/>
        <c:numFmt formatCode="General" sourceLinked="1"/>
        <c:majorTickMark val="none"/>
        <c:minorTickMark val="none"/>
        <c:tickLblPos val="nextTo"/>
        <c:crossAx val="196386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marital status!PivotTable4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661257606490872"/>
          <c:w val="0.93888888888888888"/>
          <c:h val="0.71960134800594144"/>
        </c:manualLayout>
      </c:layout>
      <c:barChart>
        <c:barDir val="col"/>
        <c:grouping val="percentStacked"/>
        <c:varyColors val="0"/>
        <c:ser>
          <c:idx val="0"/>
          <c:order val="0"/>
          <c:tx>
            <c:strRef>
              <c:f>'Attrition by marital status'!$B$3:$B$4</c:f>
              <c:strCache>
                <c:ptCount val="1"/>
                <c:pt idx="0">
                  <c:v>Current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marital status'!$A$5:$A$8</c:f>
              <c:strCache>
                <c:ptCount val="3"/>
                <c:pt idx="0">
                  <c:v>Divorced</c:v>
                </c:pt>
                <c:pt idx="1">
                  <c:v>Married</c:v>
                </c:pt>
                <c:pt idx="2">
                  <c:v>Single</c:v>
                </c:pt>
              </c:strCache>
            </c:strRef>
          </c:cat>
          <c:val>
            <c:numRef>
              <c:f>'Attrition by marital status'!$B$5:$B$8</c:f>
              <c:numCache>
                <c:formatCode>General</c:formatCode>
                <c:ptCount val="3"/>
                <c:pt idx="0">
                  <c:v>353</c:v>
                </c:pt>
                <c:pt idx="1">
                  <c:v>716</c:v>
                </c:pt>
                <c:pt idx="2">
                  <c:v>408</c:v>
                </c:pt>
              </c:numCache>
            </c:numRef>
          </c:val>
          <c:extLst>
            <c:ext xmlns:c16="http://schemas.microsoft.com/office/drawing/2014/chart" uri="{C3380CC4-5D6E-409C-BE32-E72D297353CC}">
              <c16:uniqueId val="{00000002-4E27-934E-8565-47C93851231D}"/>
            </c:ext>
          </c:extLst>
        </c:ser>
        <c:ser>
          <c:idx val="1"/>
          <c:order val="1"/>
          <c:tx>
            <c:strRef>
              <c:f>'Attrition by marital status'!$C$3:$C$4</c:f>
              <c:strCache>
                <c:ptCount val="1"/>
                <c:pt idx="0">
                  <c:v>Former Employee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marital status'!$A$5:$A$8</c:f>
              <c:strCache>
                <c:ptCount val="3"/>
                <c:pt idx="0">
                  <c:v>Divorced</c:v>
                </c:pt>
                <c:pt idx="1">
                  <c:v>Married</c:v>
                </c:pt>
                <c:pt idx="2">
                  <c:v>Single</c:v>
                </c:pt>
              </c:strCache>
            </c:strRef>
          </c:cat>
          <c:val>
            <c:numRef>
              <c:f>'Attrition by marital status'!$C$5:$C$8</c:f>
              <c:numCache>
                <c:formatCode>General</c:formatCode>
                <c:ptCount val="3"/>
                <c:pt idx="0">
                  <c:v>24</c:v>
                </c:pt>
                <c:pt idx="1">
                  <c:v>61</c:v>
                </c:pt>
                <c:pt idx="2">
                  <c:v>114</c:v>
                </c:pt>
              </c:numCache>
            </c:numRef>
          </c:val>
          <c:extLst>
            <c:ext xmlns:c16="http://schemas.microsoft.com/office/drawing/2014/chart" uri="{C3380CC4-5D6E-409C-BE32-E72D297353CC}">
              <c16:uniqueId val="{00000006-F35A-AA49-A500-4B609364504A}"/>
            </c:ext>
          </c:extLst>
        </c:ser>
        <c:dLbls>
          <c:showLegendKey val="0"/>
          <c:showVal val="0"/>
          <c:showCatName val="0"/>
          <c:showSerName val="0"/>
          <c:showPercent val="0"/>
          <c:showBubbleSize val="0"/>
        </c:dLbls>
        <c:gapWidth val="100"/>
        <c:overlap val="100"/>
        <c:axId val="1963866575"/>
        <c:axId val="752657871"/>
      </c:barChart>
      <c:catAx>
        <c:axId val="19638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57871"/>
        <c:crosses val="autoZero"/>
        <c:auto val="1"/>
        <c:lblAlgn val="ctr"/>
        <c:lblOffset val="100"/>
        <c:noMultiLvlLbl val="0"/>
      </c:catAx>
      <c:valAx>
        <c:axId val="752657871"/>
        <c:scaling>
          <c:orientation val="minMax"/>
        </c:scaling>
        <c:delete val="1"/>
        <c:axPos val="l"/>
        <c:numFmt formatCode="0%" sourceLinked="1"/>
        <c:majorTickMark val="none"/>
        <c:minorTickMark val="none"/>
        <c:tickLblPos val="nextTo"/>
        <c:crossAx val="196386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business travel!PivotTable4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doughnutChart>
        <c:varyColors val="1"/>
        <c:ser>
          <c:idx val="0"/>
          <c:order val="0"/>
          <c:tx>
            <c:strRef>
              <c:f>'Attrition by business travel'!$B$3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15E-2B44-A83D-FAB09315414F}"/>
              </c:ext>
            </c:extLst>
          </c:dPt>
          <c:dPt>
            <c:idx val="1"/>
            <c:bubble3D val="0"/>
            <c:spPr>
              <a:solidFill>
                <a:schemeClr val="accent2"/>
              </a:solidFill>
              <a:ln>
                <a:noFill/>
              </a:ln>
              <a:effectLst/>
            </c:spPr>
            <c:extLst>
              <c:ext xmlns:c16="http://schemas.microsoft.com/office/drawing/2014/chart" uri="{C3380CC4-5D6E-409C-BE32-E72D297353CC}">
                <c16:uniqueId val="{00000003-815E-2B44-A83D-FAB09315414F}"/>
              </c:ext>
            </c:extLst>
          </c:dPt>
          <c:dPt>
            <c:idx val="2"/>
            <c:bubble3D val="0"/>
            <c:spPr>
              <a:solidFill>
                <a:schemeClr val="accent3"/>
              </a:solidFill>
              <a:ln>
                <a:noFill/>
              </a:ln>
              <a:effectLst/>
            </c:spPr>
            <c:extLst>
              <c:ext xmlns:c16="http://schemas.microsoft.com/office/drawing/2014/chart" uri="{C3380CC4-5D6E-409C-BE32-E72D297353CC}">
                <c16:uniqueId val="{00000005-815E-2B44-A83D-FAB09315414F}"/>
              </c:ext>
            </c:extLst>
          </c:dPt>
          <c:cat>
            <c:strRef>
              <c:f>'Attrition by business travel'!$A$4:$A$7</c:f>
              <c:strCache>
                <c:ptCount val="3"/>
                <c:pt idx="0">
                  <c:v>Travel_Rarely</c:v>
                </c:pt>
                <c:pt idx="1">
                  <c:v>Travel_Frequently</c:v>
                </c:pt>
                <c:pt idx="2">
                  <c:v>Non-Travel</c:v>
                </c:pt>
              </c:strCache>
            </c:strRef>
          </c:cat>
          <c:val>
            <c:numRef>
              <c:f>'Attrition by business travel'!$B$4:$B$7</c:f>
              <c:numCache>
                <c:formatCode>General</c:formatCode>
                <c:ptCount val="3"/>
                <c:pt idx="0">
                  <c:v>1184</c:v>
                </c:pt>
                <c:pt idx="1">
                  <c:v>320</c:v>
                </c:pt>
                <c:pt idx="2">
                  <c:v>172</c:v>
                </c:pt>
              </c:numCache>
            </c:numRef>
          </c:val>
          <c:extLst>
            <c:ext xmlns:c16="http://schemas.microsoft.com/office/drawing/2014/chart" uri="{C3380CC4-5D6E-409C-BE32-E72D297353CC}">
              <c16:uniqueId val="{00000002-66DA-6B48-AB47-0CE31B5BE27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employee education!PivotTable4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'Attrition by employee education'!$B$3:$B$4</c:f>
              <c:strCache>
                <c:ptCount val="1"/>
                <c:pt idx="0">
                  <c:v>Current Employee</c:v>
                </c:pt>
              </c:strCache>
            </c:strRef>
          </c:tx>
          <c:spPr>
            <a:solidFill>
              <a:schemeClr val="accent1"/>
            </a:solidFill>
            <a:ln>
              <a:noFill/>
            </a:ln>
            <a:effectLst/>
          </c:spPr>
          <c:invertIfNegative val="0"/>
          <c:cat>
            <c:strRef>
              <c:f>'Attrition by employee education'!$A$5:$A$11</c:f>
              <c:strCache>
                <c:ptCount val="6"/>
                <c:pt idx="0">
                  <c:v>Technical Degree</c:v>
                </c:pt>
                <c:pt idx="1">
                  <c:v>Other</c:v>
                </c:pt>
                <c:pt idx="2">
                  <c:v>Medical</c:v>
                </c:pt>
                <c:pt idx="3">
                  <c:v>Marketing</c:v>
                </c:pt>
                <c:pt idx="4">
                  <c:v>Life Sciences</c:v>
                </c:pt>
                <c:pt idx="5">
                  <c:v>Human Resources</c:v>
                </c:pt>
              </c:strCache>
            </c:strRef>
          </c:cat>
          <c:val>
            <c:numRef>
              <c:f>'Attrition by employee education'!$B$5:$B$11</c:f>
              <c:numCache>
                <c:formatCode>General</c:formatCode>
                <c:ptCount val="6"/>
                <c:pt idx="0">
                  <c:v>127</c:v>
                </c:pt>
                <c:pt idx="1">
                  <c:v>80</c:v>
                </c:pt>
                <c:pt idx="2">
                  <c:v>473</c:v>
                </c:pt>
                <c:pt idx="3">
                  <c:v>161</c:v>
                </c:pt>
                <c:pt idx="4">
                  <c:v>613</c:v>
                </c:pt>
                <c:pt idx="5">
                  <c:v>23</c:v>
                </c:pt>
              </c:numCache>
            </c:numRef>
          </c:val>
          <c:extLst>
            <c:ext xmlns:c16="http://schemas.microsoft.com/office/drawing/2014/chart" uri="{C3380CC4-5D6E-409C-BE32-E72D297353CC}">
              <c16:uniqueId val="{00000000-8D62-EE49-A89A-CA661615692F}"/>
            </c:ext>
          </c:extLst>
        </c:ser>
        <c:ser>
          <c:idx val="1"/>
          <c:order val="1"/>
          <c:tx>
            <c:strRef>
              <c:f>'Attrition by employee education'!$C$3:$C$4</c:f>
              <c:strCache>
                <c:ptCount val="1"/>
                <c:pt idx="0">
                  <c:v>Former Employee</c:v>
                </c:pt>
              </c:strCache>
            </c:strRef>
          </c:tx>
          <c:spPr>
            <a:solidFill>
              <a:schemeClr val="accent2"/>
            </a:solidFill>
            <a:ln>
              <a:noFill/>
            </a:ln>
            <a:effectLst/>
          </c:spPr>
          <c:invertIfNegative val="0"/>
          <c:cat>
            <c:strRef>
              <c:f>'Attrition by employee education'!$A$5:$A$11</c:f>
              <c:strCache>
                <c:ptCount val="6"/>
                <c:pt idx="0">
                  <c:v>Technical Degree</c:v>
                </c:pt>
                <c:pt idx="1">
                  <c:v>Other</c:v>
                </c:pt>
                <c:pt idx="2">
                  <c:v>Medical</c:v>
                </c:pt>
                <c:pt idx="3">
                  <c:v>Marketing</c:v>
                </c:pt>
                <c:pt idx="4">
                  <c:v>Life Sciences</c:v>
                </c:pt>
                <c:pt idx="5">
                  <c:v>Human Resources</c:v>
                </c:pt>
              </c:strCache>
            </c:strRef>
          </c:cat>
          <c:val>
            <c:numRef>
              <c:f>'Attrition by employee education'!$C$5:$C$11</c:f>
              <c:numCache>
                <c:formatCode>General</c:formatCode>
                <c:ptCount val="6"/>
                <c:pt idx="0">
                  <c:v>22</c:v>
                </c:pt>
                <c:pt idx="1">
                  <c:v>8</c:v>
                </c:pt>
                <c:pt idx="2">
                  <c:v>51</c:v>
                </c:pt>
                <c:pt idx="3">
                  <c:v>28</c:v>
                </c:pt>
                <c:pt idx="4">
                  <c:v>84</c:v>
                </c:pt>
                <c:pt idx="5">
                  <c:v>6</c:v>
                </c:pt>
              </c:numCache>
            </c:numRef>
          </c:val>
          <c:extLst>
            <c:ext xmlns:c16="http://schemas.microsoft.com/office/drawing/2014/chart" uri="{C3380CC4-5D6E-409C-BE32-E72D297353CC}">
              <c16:uniqueId val="{00000006-9DBD-634C-8531-404F06EBE064}"/>
            </c:ext>
          </c:extLst>
        </c:ser>
        <c:dLbls>
          <c:showLegendKey val="0"/>
          <c:showVal val="0"/>
          <c:showCatName val="0"/>
          <c:showSerName val="0"/>
          <c:showPercent val="0"/>
          <c:showBubbleSize val="0"/>
        </c:dLbls>
        <c:gapWidth val="150"/>
        <c:overlap val="100"/>
        <c:axId val="2138072272"/>
        <c:axId val="1408941216"/>
      </c:barChart>
      <c:catAx>
        <c:axId val="213807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41216"/>
        <c:crosses val="autoZero"/>
        <c:auto val="1"/>
        <c:lblAlgn val="ctr"/>
        <c:lblOffset val="100"/>
        <c:noMultiLvlLbl val="0"/>
      </c:catAx>
      <c:valAx>
        <c:axId val="14089412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7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gender!PivotTable4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'Attrition by gender'!$B$3:$B$4</c:f>
              <c:strCache>
                <c:ptCount val="1"/>
                <c:pt idx="0">
                  <c:v>Current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gender'!$A$5:$A$7</c:f>
              <c:strCache>
                <c:ptCount val="2"/>
                <c:pt idx="0">
                  <c:v>Female</c:v>
                </c:pt>
                <c:pt idx="1">
                  <c:v>Male</c:v>
                </c:pt>
              </c:strCache>
            </c:strRef>
          </c:cat>
          <c:val>
            <c:numRef>
              <c:f>'Attrition by gender'!$B$5:$B$7</c:f>
              <c:numCache>
                <c:formatCode>0.00%</c:formatCode>
                <c:ptCount val="2"/>
                <c:pt idx="0">
                  <c:v>0.87315634218289084</c:v>
                </c:pt>
                <c:pt idx="1">
                  <c:v>0.88677354709418843</c:v>
                </c:pt>
              </c:numCache>
            </c:numRef>
          </c:val>
          <c:extLst>
            <c:ext xmlns:c16="http://schemas.microsoft.com/office/drawing/2014/chart" uri="{C3380CC4-5D6E-409C-BE32-E72D297353CC}">
              <c16:uniqueId val="{00000002-B1E5-2843-9D80-B5E73E9BEFEB}"/>
            </c:ext>
          </c:extLst>
        </c:ser>
        <c:ser>
          <c:idx val="1"/>
          <c:order val="1"/>
          <c:tx>
            <c:strRef>
              <c:f>'Attrition by gender'!$C$3:$C$4</c:f>
              <c:strCache>
                <c:ptCount val="1"/>
                <c:pt idx="0">
                  <c:v>Former Employee</c:v>
                </c:pt>
              </c:strCache>
            </c:strRef>
          </c:tx>
          <c:spPr>
            <a:solidFill>
              <a:schemeClr val="accent2"/>
            </a:solidFill>
            <a:ln>
              <a:noFill/>
            </a:ln>
            <a:effectLst/>
          </c:spPr>
          <c:invertIfNegative val="0"/>
          <c:cat>
            <c:strRef>
              <c:f>'Attrition by gender'!$A$5:$A$7</c:f>
              <c:strCache>
                <c:ptCount val="2"/>
                <c:pt idx="0">
                  <c:v>Female</c:v>
                </c:pt>
                <c:pt idx="1">
                  <c:v>Male</c:v>
                </c:pt>
              </c:strCache>
            </c:strRef>
          </c:cat>
          <c:val>
            <c:numRef>
              <c:f>'Attrition by gender'!$C$5:$C$7</c:f>
              <c:numCache>
                <c:formatCode>0.00%</c:formatCode>
                <c:ptCount val="2"/>
                <c:pt idx="0">
                  <c:v>0.12684365781710916</c:v>
                </c:pt>
                <c:pt idx="1">
                  <c:v>0.11322645290581163</c:v>
                </c:pt>
              </c:numCache>
            </c:numRef>
          </c:val>
          <c:extLst>
            <c:ext xmlns:c16="http://schemas.microsoft.com/office/drawing/2014/chart" uri="{C3380CC4-5D6E-409C-BE32-E72D297353CC}">
              <c16:uniqueId val="{00000007-DF0C-7140-A5DC-CBF4A86B99C0}"/>
            </c:ext>
          </c:extLst>
        </c:ser>
        <c:dLbls>
          <c:showLegendKey val="0"/>
          <c:showVal val="0"/>
          <c:showCatName val="0"/>
          <c:showSerName val="0"/>
          <c:showPercent val="0"/>
          <c:showBubbleSize val="0"/>
        </c:dLbls>
        <c:gapWidth val="150"/>
        <c:overlap val="100"/>
        <c:axId val="2138072272"/>
        <c:axId val="1408941216"/>
      </c:barChart>
      <c:catAx>
        <c:axId val="21380722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41216"/>
        <c:crosses val="autoZero"/>
        <c:auto val="1"/>
        <c:lblAlgn val="ctr"/>
        <c:lblOffset val="100"/>
        <c:noMultiLvlLbl val="0"/>
      </c:catAx>
      <c:valAx>
        <c:axId val="14089412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7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File.xlsx]Attrition by department!PivotTable4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s>
    <c:plotArea>
      <c:layout/>
      <c:doughnutChart>
        <c:varyColors val="1"/>
        <c:ser>
          <c:idx val="0"/>
          <c:order val="0"/>
          <c:tx>
            <c:strRef>
              <c:f>'Attrition by department'!$B$3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E3C-7443-88B7-85F7CF6A9E6E}"/>
              </c:ext>
            </c:extLst>
          </c:dPt>
          <c:dPt>
            <c:idx val="1"/>
            <c:bubble3D val="0"/>
            <c:spPr>
              <a:solidFill>
                <a:schemeClr val="accent2"/>
              </a:solidFill>
              <a:ln>
                <a:noFill/>
              </a:ln>
              <a:effectLst/>
            </c:spPr>
            <c:extLst>
              <c:ext xmlns:c16="http://schemas.microsoft.com/office/drawing/2014/chart" uri="{C3380CC4-5D6E-409C-BE32-E72D297353CC}">
                <c16:uniqueId val="{00000003-BE3C-7443-88B7-85F7CF6A9E6E}"/>
              </c:ext>
            </c:extLst>
          </c:dPt>
          <c:dPt>
            <c:idx val="2"/>
            <c:bubble3D val="0"/>
            <c:spPr>
              <a:solidFill>
                <a:schemeClr val="accent3"/>
              </a:solidFill>
              <a:ln>
                <a:noFill/>
              </a:ln>
              <a:effectLst/>
            </c:spPr>
            <c:extLst>
              <c:ext xmlns:c16="http://schemas.microsoft.com/office/drawing/2014/chart" uri="{C3380CC4-5D6E-409C-BE32-E72D297353CC}">
                <c16:uniqueId val="{00000005-BE3C-7443-88B7-85F7CF6A9E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Cardiology</c:v>
                </c:pt>
                <c:pt idx="1">
                  <c:v>Maternity</c:v>
                </c:pt>
                <c:pt idx="2">
                  <c:v>Neurology</c:v>
                </c:pt>
              </c:strCache>
            </c:strRef>
          </c:cat>
          <c:val>
            <c:numRef>
              <c:f>'Attrition by department'!$B$4:$B$7</c:f>
              <c:numCache>
                <c:formatCode>General</c:formatCode>
                <c:ptCount val="3"/>
                <c:pt idx="0">
                  <c:v>531</c:v>
                </c:pt>
                <c:pt idx="1">
                  <c:v>796</c:v>
                </c:pt>
                <c:pt idx="2">
                  <c:v>349</c:v>
                </c:pt>
              </c:numCache>
            </c:numRef>
          </c:val>
          <c:extLst>
            <c:ext xmlns:c16="http://schemas.microsoft.com/office/drawing/2014/chart" uri="{C3380CC4-5D6E-409C-BE32-E72D297353CC}">
              <c16:uniqueId val="{00000002-B61E-B246-9C0B-ED90EEB28DC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Attrittion File.xlsx]Overall attrition rate!PivotTable4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s>
    <c:plotArea>
      <c:layout/>
      <c:doughnutChart>
        <c:varyColors val="1"/>
        <c:ser>
          <c:idx val="0"/>
          <c:order val="0"/>
          <c:tx>
            <c:strRef>
              <c:f>'Overall attrition rate'!$B$3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6D9-2140-8658-4EA0FB0A8013}"/>
              </c:ext>
            </c:extLst>
          </c:dPt>
          <c:dPt>
            <c:idx val="1"/>
            <c:bubble3D val="0"/>
            <c:spPr>
              <a:solidFill>
                <a:schemeClr val="accent2"/>
              </a:solidFill>
              <a:ln>
                <a:noFill/>
              </a:ln>
              <a:effectLst/>
            </c:spPr>
            <c:extLst>
              <c:ext xmlns:c16="http://schemas.microsoft.com/office/drawing/2014/chart" uri="{C3380CC4-5D6E-409C-BE32-E72D297353CC}">
                <c16:uniqueId val="{00000003-06D9-2140-8658-4EA0FB0A80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attrition rate'!$A$4:$A$6</c:f>
              <c:strCache>
                <c:ptCount val="2"/>
                <c:pt idx="0">
                  <c:v>Current Employee</c:v>
                </c:pt>
                <c:pt idx="1">
                  <c:v>Former Employee</c:v>
                </c:pt>
              </c:strCache>
            </c:strRef>
          </c:cat>
          <c:val>
            <c:numRef>
              <c:f>'Overall attrition rate'!$B$4:$B$6</c:f>
              <c:numCache>
                <c:formatCode>General</c:formatCode>
                <c:ptCount val="2"/>
                <c:pt idx="0">
                  <c:v>1477</c:v>
                </c:pt>
                <c:pt idx="1">
                  <c:v>199</c:v>
                </c:pt>
              </c:numCache>
            </c:numRef>
          </c:val>
          <c:extLst>
            <c:ext xmlns:c16="http://schemas.microsoft.com/office/drawing/2014/chart" uri="{C3380CC4-5D6E-409C-BE32-E72D297353CC}">
              <c16:uniqueId val="{00000007-646E-0549-ACA1-89D243E6125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7.sv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165100</xdr:colOff>
      <xdr:row>0</xdr:row>
      <xdr:rowOff>177800</xdr:rowOff>
    </xdr:from>
    <xdr:to>
      <xdr:col>10</xdr:col>
      <xdr:colOff>38100</xdr:colOff>
      <xdr:row>19</xdr:row>
      <xdr:rowOff>190500</xdr:rowOff>
    </xdr:to>
    <xdr:sp macro="" textlink="">
      <xdr:nvSpPr>
        <xdr:cNvPr id="2" name="Rounded Rectangle 1">
          <a:extLst>
            <a:ext uri="{FF2B5EF4-FFF2-40B4-BE49-F238E27FC236}">
              <a16:creationId xmlns:a16="http://schemas.microsoft.com/office/drawing/2014/main" id="{DD5793CA-85F7-AB4C-B438-A2EACE4B3EED}"/>
            </a:ext>
          </a:extLst>
        </xdr:cNvPr>
        <xdr:cNvSpPr/>
      </xdr:nvSpPr>
      <xdr:spPr>
        <a:xfrm>
          <a:off x="165100" y="177800"/>
          <a:ext cx="8128000" cy="3873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panose="020B0604020202020204" pitchFamily="34" charset="0"/>
              <a:cs typeface="Arial" panose="020B0604020202020204" pitchFamily="34" charset="0"/>
            </a:rPr>
            <a:t>Key Metrics to Examine</a:t>
          </a:r>
          <a:br>
            <a:rPr lang="en-US" sz="1600" b="1">
              <a:latin typeface="Arial" panose="020B0604020202020204" pitchFamily="34" charset="0"/>
              <a:cs typeface="Arial" panose="020B0604020202020204" pitchFamily="34" charset="0"/>
            </a:rPr>
          </a:br>
          <a:endParaRPr lang="en-US" sz="1600" b="1">
            <a:latin typeface="Arial" panose="020B0604020202020204" pitchFamily="34" charset="0"/>
            <a:cs typeface="Arial" panose="020B0604020202020204" pitchFamily="34" charset="0"/>
          </a:endParaRPr>
        </a:p>
        <a:p>
          <a:r>
            <a:rPr lang="en-US" sz="1600" b="0">
              <a:latin typeface="Arial" panose="020B0604020202020204" pitchFamily="34" charset="0"/>
              <a:cs typeface="Arial" panose="020B0604020202020204" pitchFamily="34" charset="0"/>
            </a:rPr>
            <a:t>1.Attrition Rate (overall and segmented by department, role, age group, gender, marital status).</a:t>
          </a:r>
        </a:p>
        <a:p>
          <a:r>
            <a:rPr lang="en-US" sz="1600" b="0">
              <a:latin typeface="Arial" panose="020B0604020202020204" pitchFamily="34" charset="0"/>
              <a:cs typeface="Arial" panose="020B0604020202020204" pitchFamily="34" charset="0"/>
            </a:rPr>
            <a:t>2.Job Satisfaction Scores (by role, department, manager).</a:t>
          </a:r>
        </a:p>
        <a:p>
          <a:r>
            <a:rPr lang="en-US" sz="1600" b="0">
              <a:latin typeface="Arial" panose="020B0604020202020204" pitchFamily="34" charset="0"/>
              <a:cs typeface="Arial" panose="020B0604020202020204" pitchFamily="34" charset="0"/>
            </a:rPr>
            <a:t>3.Work-Life Balance Index (distribution across attrition vs. non-attrition).</a:t>
          </a:r>
        </a:p>
        <a:p>
          <a:r>
            <a:rPr lang="en-US" sz="1600" b="0">
              <a:latin typeface="Arial" panose="020B0604020202020204" pitchFamily="34" charset="0"/>
              <a:cs typeface="Arial" panose="020B0604020202020204" pitchFamily="34" charset="0"/>
            </a:rPr>
            <a:t>4.Compensation Metrics: MonthlyIncome, Salary Category, DailyRate, 5.PercentSalaryHike.</a:t>
          </a:r>
        </a:p>
        <a:p>
          <a:r>
            <a:rPr lang="en-US" sz="1600" b="0">
              <a:latin typeface="Arial" panose="020B0604020202020204" pitchFamily="34" charset="0"/>
              <a:cs typeface="Arial" panose="020B0604020202020204" pitchFamily="34" charset="0"/>
            </a:rPr>
            <a:t>6.Performance Indicators: PerformanceRating, JobInvolvement, TotalWorkingYears.</a:t>
          </a:r>
        </a:p>
        <a:p>
          <a:r>
            <a:rPr lang="en-US" sz="1600" b="0">
              <a:latin typeface="Arial" panose="020B0604020202020204" pitchFamily="34" charset="0"/>
              <a:cs typeface="Arial" panose="020B0604020202020204" pitchFamily="34" charset="0"/>
            </a:rPr>
            <a:t>7.Engagement Metrics: EnvironmentSatisfaction, RelationshipSatisfaction, TrainingTimesLastYear.</a:t>
          </a:r>
        </a:p>
        <a:p>
          <a:pPr algn="l"/>
          <a:br>
            <a:rPr lang="en-US" sz="1600" b="0"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endParaRPr lang="en-US" sz="16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228600</xdr:colOff>
      <xdr:row>20</xdr:row>
      <xdr:rowOff>190500</xdr:rowOff>
    </xdr:from>
    <xdr:to>
      <xdr:col>9</xdr:col>
      <xdr:colOff>711200</xdr:colOff>
      <xdr:row>35</xdr:row>
      <xdr:rowOff>139700</xdr:rowOff>
    </xdr:to>
    <xdr:sp macro="" textlink="">
      <xdr:nvSpPr>
        <xdr:cNvPr id="3" name="Rounded Rectangle 2">
          <a:extLst>
            <a:ext uri="{FF2B5EF4-FFF2-40B4-BE49-F238E27FC236}">
              <a16:creationId xmlns:a16="http://schemas.microsoft.com/office/drawing/2014/main" id="{6280D789-9822-6244-B04F-6666B123B976}"/>
            </a:ext>
          </a:extLst>
        </xdr:cNvPr>
        <xdr:cNvSpPr/>
      </xdr:nvSpPr>
      <xdr:spPr>
        <a:xfrm>
          <a:off x="228600" y="4254500"/>
          <a:ext cx="7912100" cy="299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Key Dimensions to Analyze</a:t>
          </a:r>
          <a:br>
            <a:rPr lang="en-US" sz="1600" b="1"/>
          </a:br>
          <a:endParaRPr lang="en-US" sz="1600" b="1"/>
        </a:p>
        <a:p>
          <a:r>
            <a:rPr lang="en-US" sz="1600" b="0"/>
            <a:t>1.Demographics: Age, Gender, MaritalStatus, Education, EducationField.</a:t>
          </a:r>
        </a:p>
        <a:p>
          <a:r>
            <a:rPr lang="en-US" sz="1600" b="0"/>
            <a:t>2.Job-related: Department, JobRole, JobLevel, BusinessTravel, Distance category.</a:t>
          </a:r>
        </a:p>
        <a:p>
          <a:r>
            <a:rPr lang="en-US" sz="1600" b="0"/>
            <a:t>3.Tenure &amp; Career Progression: YearsAtCompany, YearsInCurrentRole, YearsSinceLastPromotion, YearsWithCurrManager.</a:t>
          </a:r>
        </a:p>
        <a:p>
          <a:r>
            <a:rPr lang="en-US" sz="1600" b="0"/>
            <a:t>4.Work Conditions: OverTime, StandardHours, Shift.</a:t>
          </a:r>
        </a:p>
        <a:p>
          <a:pPr algn="l"/>
          <a:endParaRPr lang="en-US" sz="1600" b="0"/>
        </a:p>
      </xdr:txBody>
    </xdr:sp>
    <xdr:clientData/>
  </xdr:twoCellAnchor>
  <xdr:twoCellAnchor>
    <xdr:from>
      <xdr:col>10</xdr:col>
      <xdr:colOff>647700</xdr:colOff>
      <xdr:row>0</xdr:row>
      <xdr:rowOff>190500</xdr:rowOff>
    </xdr:from>
    <xdr:to>
      <xdr:col>19</xdr:col>
      <xdr:colOff>558800</xdr:colOff>
      <xdr:row>20</xdr:row>
      <xdr:rowOff>0</xdr:rowOff>
    </xdr:to>
    <xdr:sp macro="" textlink="">
      <xdr:nvSpPr>
        <xdr:cNvPr id="4" name="Rounded Rectangle 3">
          <a:extLst>
            <a:ext uri="{FF2B5EF4-FFF2-40B4-BE49-F238E27FC236}">
              <a16:creationId xmlns:a16="http://schemas.microsoft.com/office/drawing/2014/main" id="{BC1B878B-CF42-A443-9118-AB14F06AA369}"/>
            </a:ext>
          </a:extLst>
        </xdr:cNvPr>
        <xdr:cNvSpPr/>
      </xdr:nvSpPr>
      <xdr:spPr>
        <a:xfrm>
          <a:off x="8902700" y="190500"/>
          <a:ext cx="7340600" cy="3873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bg1"/>
              </a:solidFill>
              <a:latin typeface="Arial" panose="020B0604020202020204" pitchFamily="34" charset="0"/>
              <a:cs typeface="Arial" panose="020B0604020202020204" pitchFamily="34" charset="0"/>
            </a:rPr>
            <a:t>                                         POTENTIAL ANALYSIS / QUESTIONS</a:t>
          </a:r>
          <a:br>
            <a:rPr lang="en-US" sz="1400" b="1" baseline="0">
              <a:solidFill>
                <a:schemeClr val="bg1"/>
              </a:solidFill>
              <a:latin typeface="Arial" panose="020B0604020202020204" pitchFamily="34" charset="0"/>
              <a:cs typeface="Arial" panose="020B0604020202020204" pitchFamily="34" charset="0"/>
            </a:rPr>
          </a:br>
          <a:br>
            <a:rPr lang="en-US" sz="1400" b="1"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1. Attrition by age group</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2. Attrition by earnings </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3. Attrition by work ditance</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4. Attrition by gender </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5. Attrition by employee education field </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6. Attrition by businees travels</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7. Attrition by deapartment</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8. Overall Attrition rate</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9. Attrition by perormance</a:t>
          </a: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10. Attrition by marital status </a:t>
          </a:r>
          <a:br>
            <a:rPr lang="en-US" sz="1400" b="0" baseline="0">
              <a:solidFill>
                <a:schemeClr val="bg1"/>
              </a:solidFill>
              <a:latin typeface="Arial" panose="020B0604020202020204" pitchFamily="34" charset="0"/>
              <a:cs typeface="Arial" panose="020B0604020202020204" pitchFamily="34" charset="0"/>
            </a:rPr>
          </a:br>
          <a:br>
            <a:rPr lang="en-US" sz="1400" b="1" baseline="0">
              <a:solidFill>
                <a:schemeClr val="bg1"/>
              </a:solidFill>
              <a:latin typeface="Arial" panose="020B0604020202020204" pitchFamily="34" charset="0"/>
              <a:cs typeface="Arial" panose="020B0604020202020204" pitchFamily="34" charset="0"/>
            </a:rPr>
          </a:br>
          <a:endParaRPr lang="en-US" sz="14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571500</xdr:colOff>
      <xdr:row>20</xdr:row>
      <xdr:rowOff>152400</xdr:rowOff>
    </xdr:from>
    <xdr:to>
      <xdr:col>19</xdr:col>
      <xdr:colOff>508000</xdr:colOff>
      <xdr:row>36</xdr:row>
      <xdr:rowOff>38100</xdr:rowOff>
    </xdr:to>
    <xdr:sp macro="" textlink="">
      <xdr:nvSpPr>
        <xdr:cNvPr id="5" name="Rounded Rectangle 4">
          <a:extLst>
            <a:ext uri="{FF2B5EF4-FFF2-40B4-BE49-F238E27FC236}">
              <a16:creationId xmlns:a16="http://schemas.microsoft.com/office/drawing/2014/main" id="{636CCF85-36A7-914B-B072-30F9A47C5708}"/>
            </a:ext>
          </a:extLst>
        </xdr:cNvPr>
        <xdr:cNvSpPr/>
      </xdr:nvSpPr>
      <xdr:spPr>
        <a:xfrm>
          <a:off x="8826500" y="4216400"/>
          <a:ext cx="7366000" cy="3136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Potential Challenges / Limitations</a:t>
          </a:r>
        </a:p>
        <a:p>
          <a:r>
            <a:rPr lang="en-US" sz="1600" b="0"/>
            <a:t>Class Imbalance: Fewer employees may have left compared to those who stayed, biasing models.</a:t>
          </a:r>
        </a:p>
        <a:p>
          <a:r>
            <a:rPr lang="en-US" sz="1600" b="0"/>
            <a:t>Self-reported measures: Satisfaction and involvement scores may be subjective.</a:t>
          </a:r>
        </a:p>
        <a:p>
          <a:r>
            <a:rPr lang="en-US" sz="1600" b="0"/>
            <a:t>Categorical Encoding: Many categorical variables require careful transformation for analysis.</a:t>
          </a:r>
        </a:p>
        <a:p>
          <a:r>
            <a:rPr lang="en-US" sz="1600" b="0"/>
            <a:t>Data Redundancy: Columns like </a:t>
          </a:r>
          <a:r>
            <a:rPr lang="en-US" sz="1600" b="0" i="1"/>
            <a:t>EmployeeCount</a:t>
          </a:r>
          <a:r>
            <a:rPr lang="en-US" sz="1600" b="0"/>
            <a:t> and </a:t>
          </a:r>
          <a:r>
            <a:rPr lang="en-US" sz="1600" b="0" i="1"/>
            <a:t>Over18</a:t>
          </a:r>
          <a:r>
            <a:rPr lang="en-US" sz="1600" b="0"/>
            <a:t> may not add analytical value.</a:t>
          </a:r>
        </a:p>
        <a:p>
          <a:r>
            <a:rPr lang="en-US" sz="1600" b="0"/>
            <a:t>Missing Context: Dataset may lack external factors (e.g., industry benchmarks, company culture).</a:t>
          </a:r>
        </a:p>
        <a:p>
          <a:pPr algn="l"/>
          <a:endParaRPr lang="en-US" sz="16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673100</xdr:colOff>
      <xdr:row>0</xdr:row>
      <xdr:rowOff>0</xdr:rowOff>
    </xdr:from>
    <xdr:to>
      <xdr:col>19</xdr:col>
      <xdr:colOff>635000</xdr:colOff>
      <xdr:row>7</xdr:row>
      <xdr:rowOff>40640</xdr:rowOff>
    </xdr:to>
    <xdr:sp macro="" textlink="">
      <xdr:nvSpPr>
        <xdr:cNvPr id="2" name="Rounded Rectangle 1">
          <a:extLst>
            <a:ext uri="{FF2B5EF4-FFF2-40B4-BE49-F238E27FC236}">
              <a16:creationId xmlns:a16="http://schemas.microsoft.com/office/drawing/2014/main" id="{9D9E1470-86F9-A855-6288-A137F6F19156}"/>
            </a:ext>
          </a:extLst>
        </xdr:cNvPr>
        <xdr:cNvSpPr/>
      </xdr:nvSpPr>
      <xdr:spPr>
        <a:xfrm>
          <a:off x="3149600" y="0"/>
          <a:ext cx="13169900" cy="1463040"/>
        </a:xfrm>
        <a:prstGeom prst="roundRect">
          <a:avLst/>
        </a:prstGeom>
        <a:solidFill>
          <a:srgbClr val="0E4C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4</xdr:col>
      <xdr:colOff>609600</xdr:colOff>
      <xdr:row>4</xdr:row>
      <xdr:rowOff>63500</xdr:rowOff>
    </xdr:from>
    <xdr:to>
      <xdr:col>8</xdr:col>
      <xdr:colOff>343408</xdr:colOff>
      <xdr:row>11</xdr:row>
      <xdr:rowOff>177292</xdr:rowOff>
    </xdr:to>
    <xdr:sp macro="" textlink="">
      <xdr:nvSpPr>
        <xdr:cNvPr id="3" name="Rounded Rectangle 2">
          <a:extLst>
            <a:ext uri="{FF2B5EF4-FFF2-40B4-BE49-F238E27FC236}">
              <a16:creationId xmlns:a16="http://schemas.microsoft.com/office/drawing/2014/main" id="{980405B1-9C44-0A19-65A1-EDE7260BC3D3}"/>
            </a:ext>
          </a:extLst>
        </xdr:cNvPr>
        <xdr:cNvSpPr/>
      </xdr:nvSpPr>
      <xdr:spPr>
        <a:xfrm>
          <a:off x="3911600" y="876300"/>
          <a:ext cx="3035808" cy="15361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50800</xdr:colOff>
      <xdr:row>6</xdr:row>
      <xdr:rowOff>114300</xdr:rowOff>
    </xdr:from>
    <xdr:to>
      <xdr:col>3</xdr:col>
      <xdr:colOff>738124</xdr:colOff>
      <xdr:row>14</xdr:row>
      <xdr:rowOff>15748</xdr:rowOff>
    </xdr:to>
    <xdr:sp macro="" textlink="">
      <xdr:nvSpPr>
        <xdr:cNvPr id="8" name="Rounded Rectangle 7">
          <a:extLst>
            <a:ext uri="{FF2B5EF4-FFF2-40B4-BE49-F238E27FC236}">
              <a16:creationId xmlns:a16="http://schemas.microsoft.com/office/drawing/2014/main" id="{624AB73D-4CDA-D44C-B1D4-C51B5FDBABB3}"/>
            </a:ext>
          </a:extLst>
        </xdr:cNvPr>
        <xdr:cNvSpPr/>
      </xdr:nvSpPr>
      <xdr:spPr>
        <a:xfrm>
          <a:off x="50800" y="1333500"/>
          <a:ext cx="3163824" cy="1527048"/>
        </a:xfrm>
        <a:prstGeom prst="roundRect">
          <a:avLst/>
        </a:prstGeom>
        <a:solidFill>
          <a:srgbClr val="0E4C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50800</xdr:colOff>
      <xdr:row>14</xdr:row>
      <xdr:rowOff>50800</xdr:rowOff>
    </xdr:from>
    <xdr:to>
      <xdr:col>3</xdr:col>
      <xdr:colOff>738124</xdr:colOff>
      <xdr:row>21</xdr:row>
      <xdr:rowOff>155448</xdr:rowOff>
    </xdr:to>
    <xdr:sp macro="" textlink="">
      <xdr:nvSpPr>
        <xdr:cNvPr id="9" name="Rounded Rectangle 8">
          <a:extLst>
            <a:ext uri="{FF2B5EF4-FFF2-40B4-BE49-F238E27FC236}">
              <a16:creationId xmlns:a16="http://schemas.microsoft.com/office/drawing/2014/main" id="{777957C7-E526-D944-A0DF-138BA55D2AAA}"/>
            </a:ext>
          </a:extLst>
        </xdr:cNvPr>
        <xdr:cNvSpPr/>
      </xdr:nvSpPr>
      <xdr:spPr>
        <a:xfrm>
          <a:off x="50800" y="2895600"/>
          <a:ext cx="3163824" cy="1527048"/>
        </a:xfrm>
        <a:prstGeom prst="roundRect">
          <a:avLst/>
        </a:prstGeom>
        <a:solidFill>
          <a:srgbClr val="FD43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22</xdr:row>
      <xdr:rowOff>0</xdr:rowOff>
    </xdr:from>
    <xdr:to>
      <xdr:col>3</xdr:col>
      <xdr:colOff>812800</xdr:colOff>
      <xdr:row>41</xdr:row>
      <xdr:rowOff>139700</xdr:rowOff>
    </xdr:to>
    <xdr:sp macro="" textlink="">
      <xdr:nvSpPr>
        <xdr:cNvPr id="10" name="Rounded Rectangle 9">
          <a:extLst>
            <a:ext uri="{FF2B5EF4-FFF2-40B4-BE49-F238E27FC236}">
              <a16:creationId xmlns:a16="http://schemas.microsoft.com/office/drawing/2014/main" id="{CAB1A2F5-5C12-704C-8AFE-2C5340DD08E3}"/>
            </a:ext>
          </a:extLst>
        </xdr:cNvPr>
        <xdr:cNvSpPr/>
      </xdr:nvSpPr>
      <xdr:spPr>
        <a:xfrm>
          <a:off x="38100" y="4470400"/>
          <a:ext cx="3251200" cy="4000500"/>
        </a:xfrm>
        <a:prstGeom prst="roundRect">
          <a:avLst/>
        </a:prstGeom>
        <a:solidFill>
          <a:srgbClr val="00C3D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12</xdr:row>
      <xdr:rowOff>88900</xdr:rowOff>
    </xdr:from>
    <xdr:to>
      <xdr:col>11</xdr:col>
      <xdr:colOff>505460</xdr:colOff>
      <xdr:row>26</xdr:row>
      <xdr:rowOff>14732</xdr:rowOff>
    </xdr:to>
    <xdr:sp macro="" textlink="">
      <xdr:nvSpPr>
        <xdr:cNvPr id="11" name="Rounded Rectangle 10">
          <a:extLst>
            <a:ext uri="{FF2B5EF4-FFF2-40B4-BE49-F238E27FC236}">
              <a16:creationId xmlns:a16="http://schemas.microsoft.com/office/drawing/2014/main" id="{E71DDAF5-866F-8547-A880-39BCD5E6FB71}"/>
            </a:ext>
          </a:extLst>
        </xdr:cNvPr>
        <xdr:cNvSpPr/>
      </xdr:nvSpPr>
      <xdr:spPr>
        <a:xfrm>
          <a:off x="3378200" y="2527300"/>
          <a:ext cx="6207760" cy="27706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88900</xdr:colOff>
      <xdr:row>26</xdr:row>
      <xdr:rowOff>101600</xdr:rowOff>
    </xdr:from>
    <xdr:to>
      <xdr:col>10</xdr:col>
      <xdr:colOff>690372</xdr:colOff>
      <xdr:row>41</xdr:row>
      <xdr:rowOff>152400</xdr:rowOff>
    </xdr:to>
    <xdr:sp macro="" textlink="">
      <xdr:nvSpPr>
        <xdr:cNvPr id="12" name="Rounded Rectangle 11">
          <a:extLst>
            <a:ext uri="{FF2B5EF4-FFF2-40B4-BE49-F238E27FC236}">
              <a16:creationId xmlns:a16="http://schemas.microsoft.com/office/drawing/2014/main" id="{609B849E-81B3-5949-B2F7-7046E0F8B6ED}"/>
            </a:ext>
          </a:extLst>
        </xdr:cNvPr>
        <xdr:cNvSpPr/>
      </xdr:nvSpPr>
      <xdr:spPr>
        <a:xfrm>
          <a:off x="3390900" y="5384800"/>
          <a:ext cx="5554472" cy="3098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596900</xdr:colOff>
      <xdr:row>11</xdr:row>
      <xdr:rowOff>190500</xdr:rowOff>
    </xdr:from>
    <xdr:to>
      <xdr:col>21</xdr:col>
      <xdr:colOff>495300</xdr:colOff>
      <xdr:row>26</xdr:row>
      <xdr:rowOff>127000</xdr:rowOff>
    </xdr:to>
    <xdr:sp macro="" textlink="">
      <xdr:nvSpPr>
        <xdr:cNvPr id="13" name="Rounded Rectangle 12">
          <a:extLst>
            <a:ext uri="{FF2B5EF4-FFF2-40B4-BE49-F238E27FC236}">
              <a16:creationId xmlns:a16="http://schemas.microsoft.com/office/drawing/2014/main" id="{F189E81A-E26D-C74F-BD29-52CB9F72328A}"/>
            </a:ext>
          </a:extLst>
        </xdr:cNvPr>
        <xdr:cNvSpPr/>
      </xdr:nvSpPr>
      <xdr:spPr>
        <a:xfrm>
          <a:off x="12979400" y="2425700"/>
          <a:ext cx="4851400" cy="2984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596900</xdr:colOff>
      <xdr:row>12</xdr:row>
      <xdr:rowOff>88900</xdr:rowOff>
    </xdr:from>
    <xdr:to>
      <xdr:col>15</xdr:col>
      <xdr:colOff>495300</xdr:colOff>
      <xdr:row>26</xdr:row>
      <xdr:rowOff>76200</xdr:rowOff>
    </xdr:to>
    <xdr:sp macro="" textlink="">
      <xdr:nvSpPr>
        <xdr:cNvPr id="14" name="Rounded Rectangle 13">
          <a:extLst>
            <a:ext uri="{FF2B5EF4-FFF2-40B4-BE49-F238E27FC236}">
              <a16:creationId xmlns:a16="http://schemas.microsoft.com/office/drawing/2014/main" id="{32DE030D-6D76-F540-B775-0BCF9268A2A2}"/>
            </a:ext>
          </a:extLst>
        </xdr:cNvPr>
        <xdr:cNvSpPr/>
      </xdr:nvSpPr>
      <xdr:spPr>
        <a:xfrm>
          <a:off x="9677400" y="2527300"/>
          <a:ext cx="3200400" cy="2832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762000</xdr:colOff>
      <xdr:row>26</xdr:row>
      <xdr:rowOff>190500</xdr:rowOff>
    </xdr:from>
    <xdr:to>
      <xdr:col>16</xdr:col>
      <xdr:colOff>408432</xdr:colOff>
      <xdr:row>41</xdr:row>
      <xdr:rowOff>165100</xdr:rowOff>
    </xdr:to>
    <xdr:sp macro="" textlink="">
      <xdr:nvSpPr>
        <xdr:cNvPr id="15" name="Rounded Rectangle 14">
          <a:extLst>
            <a:ext uri="{FF2B5EF4-FFF2-40B4-BE49-F238E27FC236}">
              <a16:creationId xmlns:a16="http://schemas.microsoft.com/office/drawing/2014/main" id="{7AA37F0D-6E53-2C4A-8EE9-A662D3CCCA15}"/>
            </a:ext>
          </a:extLst>
        </xdr:cNvPr>
        <xdr:cNvSpPr/>
      </xdr:nvSpPr>
      <xdr:spPr>
        <a:xfrm>
          <a:off x="9017000" y="5473700"/>
          <a:ext cx="4599432" cy="3022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26</xdr:row>
      <xdr:rowOff>190500</xdr:rowOff>
    </xdr:from>
    <xdr:to>
      <xdr:col>21</xdr:col>
      <xdr:colOff>545084</xdr:colOff>
      <xdr:row>41</xdr:row>
      <xdr:rowOff>141732</xdr:rowOff>
    </xdr:to>
    <xdr:sp macro="" textlink="">
      <xdr:nvSpPr>
        <xdr:cNvPr id="16" name="Rounded Rectangle 15">
          <a:extLst>
            <a:ext uri="{FF2B5EF4-FFF2-40B4-BE49-F238E27FC236}">
              <a16:creationId xmlns:a16="http://schemas.microsoft.com/office/drawing/2014/main" id="{F8D4289F-F1DD-5C4D-978D-046FB26DC2FA}"/>
            </a:ext>
          </a:extLst>
        </xdr:cNvPr>
        <xdr:cNvSpPr/>
      </xdr:nvSpPr>
      <xdr:spPr>
        <a:xfrm>
          <a:off x="13665200" y="5473700"/>
          <a:ext cx="4215384" cy="29992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42</xdr:row>
      <xdr:rowOff>12700</xdr:rowOff>
    </xdr:from>
    <xdr:to>
      <xdr:col>22</xdr:col>
      <xdr:colOff>63500</xdr:colOff>
      <xdr:row>43</xdr:row>
      <xdr:rowOff>50800</xdr:rowOff>
    </xdr:to>
    <xdr:sp macro="" textlink="">
      <xdr:nvSpPr>
        <xdr:cNvPr id="18" name="Rectangle 17">
          <a:extLst>
            <a:ext uri="{FF2B5EF4-FFF2-40B4-BE49-F238E27FC236}">
              <a16:creationId xmlns:a16="http://schemas.microsoft.com/office/drawing/2014/main" id="{2ED0593F-28D4-2DEA-22AF-D8AE45EA87FF}"/>
            </a:ext>
          </a:extLst>
        </xdr:cNvPr>
        <xdr:cNvSpPr/>
      </xdr:nvSpPr>
      <xdr:spPr>
        <a:xfrm>
          <a:off x="12700" y="8547100"/>
          <a:ext cx="18211800" cy="241300"/>
        </a:xfrm>
        <a:prstGeom prst="rect">
          <a:avLst/>
        </a:prstGeom>
        <a:solidFill>
          <a:srgbClr val="114C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14C66"/>
            </a:solidFill>
          </a:endParaRPr>
        </a:p>
      </xdr:txBody>
    </xdr:sp>
    <xdr:clientData/>
  </xdr:twoCellAnchor>
  <xdr:twoCellAnchor editAs="oneCell">
    <xdr:from>
      <xdr:col>3</xdr:col>
      <xdr:colOff>723900</xdr:colOff>
      <xdr:row>0</xdr:row>
      <xdr:rowOff>50800</xdr:rowOff>
    </xdr:from>
    <xdr:to>
      <xdr:col>4</xdr:col>
      <xdr:colOff>609600</xdr:colOff>
      <xdr:row>4</xdr:row>
      <xdr:rowOff>38100</xdr:rowOff>
    </xdr:to>
    <xdr:pic>
      <xdr:nvPicPr>
        <xdr:cNvPr id="19" name="Picture 18">
          <a:extLst>
            <a:ext uri="{FF2B5EF4-FFF2-40B4-BE49-F238E27FC236}">
              <a16:creationId xmlns:a16="http://schemas.microsoft.com/office/drawing/2014/main" id="{02218194-D5B8-51D4-903D-69FB01B9D35D}"/>
            </a:ext>
          </a:extLst>
        </xdr:cNvPr>
        <xdr:cNvPicPr>
          <a:picLocks noChangeAspect="1"/>
        </xdr:cNvPicPr>
      </xdr:nvPicPr>
      <xdr:blipFill>
        <a:blip xmlns:r="http://schemas.openxmlformats.org/officeDocument/2006/relationships" r:embed="rId1"/>
        <a:stretch>
          <a:fillRect/>
        </a:stretch>
      </xdr:blipFill>
      <xdr:spPr>
        <a:xfrm>
          <a:off x="3200400" y="50800"/>
          <a:ext cx="711200" cy="800100"/>
        </a:xfrm>
        <a:prstGeom prst="rect">
          <a:avLst/>
        </a:prstGeom>
      </xdr:spPr>
    </xdr:pic>
    <xdr:clientData/>
  </xdr:twoCellAnchor>
  <xdr:twoCellAnchor>
    <xdr:from>
      <xdr:col>4</xdr:col>
      <xdr:colOff>520700</xdr:colOff>
      <xdr:row>0</xdr:row>
      <xdr:rowOff>12700</xdr:rowOff>
    </xdr:from>
    <xdr:to>
      <xdr:col>13</xdr:col>
      <xdr:colOff>368300</xdr:colOff>
      <xdr:row>2</xdr:row>
      <xdr:rowOff>101600</xdr:rowOff>
    </xdr:to>
    <xdr:sp macro="" textlink="">
      <xdr:nvSpPr>
        <xdr:cNvPr id="20" name="TextBox 19">
          <a:extLst>
            <a:ext uri="{FF2B5EF4-FFF2-40B4-BE49-F238E27FC236}">
              <a16:creationId xmlns:a16="http://schemas.microsoft.com/office/drawing/2014/main" id="{AFAC0084-0289-0E26-1DF4-4E9D807B0D9D}"/>
            </a:ext>
          </a:extLst>
        </xdr:cNvPr>
        <xdr:cNvSpPr txBox="1"/>
      </xdr:nvSpPr>
      <xdr:spPr>
        <a:xfrm>
          <a:off x="3822700" y="12700"/>
          <a:ext cx="72771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Garamond" panose="02020404030301010803" pitchFamily="18" charset="0"/>
            </a:rPr>
            <a:t>CASA Employee Attrition</a:t>
          </a:r>
          <a:r>
            <a:rPr lang="en-US" sz="3200" b="1" baseline="0">
              <a:solidFill>
                <a:schemeClr val="bg1"/>
              </a:solidFill>
              <a:latin typeface="Garamond" panose="02020404030301010803" pitchFamily="18" charset="0"/>
            </a:rPr>
            <a:t> Dashboard </a:t>
          </a:r>
          <a:br>
            <a:rPr lang="en-US" sz="3200" b="1" baseline="0">
              <a:solidFill>
                <a:schemeClr val="bg1"/>
              </a:solidFill>
              <a:latin typeface="Garamond" panose="02020404030301010803" pitchFamily="18" charset="0"/>
            </a:rPr>
          </a:br>
          <a:endParaRPr lang="en-US" sz="3200" b="1">
            <a:solidFill>
              <a:schemeClr val="bg1"/>
            </a:solidFill>
            <a:latin typeface="Garamond" panose="02020404030301010803" pitchFamily="18" charset="0"/>
          </a:endParaRPr>
        </a:p>
      </xdr:txBody>
    </xdr:sp>
    <xdr:clientData/>
  </xdr:twoCellAnchor>
  <xdr:twoCellAnchor>
    <xdr:from>
      <xdr:col>4</xdr:col>
      <xdr:colOff>558800</xdr:colOff>
      <xdr:row>2</xdr:row>
      <xdr:rowOff>12700</xdr:rowOff>
    </xdr:from>
    <xdr:to>
      <xdr:col>10</xdr:col>
      <xdr:colOff>177800</xdr:colOff>
      <xdr:row>4</xdr:row>
      <xdr:rowOff>63500</xdr:rowOff>
    </xdr:to>
    <xdr:sp macro="" textlink="">
      <xdr:nvSpPr>
        <xdr:cNvPr id="21" name="TextBox 20">
          <a:extLst>
            <a:ext uri="{FF2B5EF4-FFF2-40B4-BE49-F238E27FC236}">
              <a16:creationId xmlns:a16="http://schemas.microsoft.com/office/drawing/2014/main" id="{CB0952DA-8425-69F9-7134-F61C5555FEBC}"/>
            </a:ext>
          </a:extLst>
        </xdr:cNvPr>
        <xdr:cNvSpPr txBox="1"/>
      </xdr:nvSpPr>
      <xdr:spPr>
        <a:xfrm>
          <a:off x="3860800" y="419100"/>
          <a:ext cx="457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85000"/>
                </a:schemeClr>
              </a:solidFill>
              <a:latin typeface="Garamond" panose="02020404030301010803" pitchFamily="18" charset="0"/>
            </a:rPr>
            <a:t>Visualizing</a:t>
          </a:r>
          <a:r>
            <a:rPr lang="en-US" sz="1600" baseline="0">
              <a:solidFill>
                <a:schemeClr val="bg1">
                  <a:lumMod val="85000"/>
                </a:schemeClr>
              </a:solidFill>
              <a:latin typeface="Garamond" panose="02020404030301010803" pitchFamily="18" charset="0"/>
            </a:rPr>
            <a:t> the departure patterns of employees</a:t>
          </a:r>
        </a:p>
        <a:p>
          <a:endParaRPr lang="en-US" sz="1100"/>
        </a:p>
      </xdr:txBody>
    </xdr:sp>
    <xdr:clientData/>
  </xdr:twoCellAnchor>
  <xdr:twoCellAnchor>
    <xdr:from>
      <xdr:col>9</xdr:col>
      <xdr:colOff>38100</xdr:colOff>
      <xdr:row>4</xdr:row>
      <xdr:rowOff>50800</xdr:rowOff>
    </xdr:from>
    <xdr:to>
      <xdr:col>12</xdr:col>
      <xdr:colOff>597408</xdr:colOff>
      <xdr:row>11</xdr:row>
      <xdr:rowOff>164592</xdr:rowOff>
    </xdr:to>
    <xdr:sp macro="" textlink="">
      <xdr:nvSpPr>
        <xdr:cNvPr id="7" name="Rounded Rectangle 6">
          <a:extLst>
            <a:ext uri="{FF2B5EF4-FFF2-40B4-BE49-F238E27FC236}">
              <a16:creationId xmlns:a16="http://schemas.microsoft.com/office/drawing/2014/main" id="{65C118C3-4ADD-D247-A59B-73B3CAF15542}"/>
            </a:ext>
          </a:extLst>
        </xdr:cNvPr>
        <xdr:cNvSpPr/>
      </xdr:nvSpPr>
      <xdr:spPr>
        <a:xfrm>
          <a:off x="7467600" y="863600"/>
          <a:ext cx="3035808" cy="15361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304800</xdr:colOff>
      <xdr:row>4</xdr:row>
      <xdr:rowOff>12700</xdr:rowOff>
    </xdr:from>
    <xdr:to>
      <xdr:col>17</xdr:col>
      <xdr:colOff>38608</xdr:colOff>
      <xdr:row>11</xdr:row>
      <xdr:rowOff>126492</xdr:rowOff>
    </xdr:to>
    <xdr:sp macro="" textlink="">
      <xdr:nvSpPr>
        <xdr:cNvPr id="17" name="Rounded Rectangle 16">
          <a:extLst>
            <a:ext uri="{FF2B5EF4-FFF2-40B4-BE49-F238E27FC236}">
              <a16:creationId xmlns:a16="http://schemas.microsoft.com/office/drawing/2014/main" id="{C15813FB-74B7-474C-99B6-935663F800C9}"/>
            </a:ext>
          </a:extLst>
        </xdr:cNvPr>
        <xdr:cNvSpPr/>
      </xdr:nvSpPr>
      <xdr:spPr>
        <a:xfrm>
          <a:off x="11036300" y="825500"/>
          <a:ext cx="3035808" cy="15361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431800</xdr:colOff>
      <xdr:row>3</xdr:row>
      <xdr:rowOff>190500</xdr:rowOff>
    </xdr:from>
    <xdr:to>
      <xdr:col>21</xdr:col>
      <xdr:colOff>293624</xdr:colOff>
      <xdr:row>11</xdr:row>
      <xdr:rowOff>91948</xdr:rowOff>
    </xdr:to>
    <xdr:sp macro="" textlink="">
      <xdr:nvSpPr>
        <xdr:cNvPr id="22" name="Rounded Rectangle 21">
          <a:extLst>
            <a:ext uri="{FF2B5EF4-FFF2-40B4-BE49-F238E27FC236}">
              <a16:creationId xmlns:a16="http://schemas.microsoft.com/office/drawing/2014/main" id="{1B8FC48A-F3F4-5D44-B791-F67CDDAF3F81}"/>
            </a:ext>
          </a:extLst>
        </xdr:cNvPr>
        <xdr:cNvSpPr/>
      </xdr:nvSpPr>
      <xdr:spPr>
        <a:xfrm>
          <a:off x="14465300" y="800100"/>
          <a:ext cx="3163824" cy="15270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editAs="oneCell">
    <xdr:from>
      <xdr:col>4</xdr:col>
      <xdr:colOff>723900</xdr:colOff>
      <xdr:row>4</xdr:row>
      <xdr:rowOff>139700</xdr:rowOff>
    </xdr:from>
    <xdr:to>
      <xdr:col>6</xdr:col>
      <xdr:colOff>215900</xdr:colOff>
      <xdr:row>10</xdr:row>
      <xdr:rowOff>190500</xdr:rowOff>
    </xdr:to>
    <xdr:pic>
      <xdr:nvPicPr>
        <xdr:cNvPr id="23" name="Graphic 22" descr="Users with solid fill">
          <a:extLst>
            <a:ext uri="{FF2B5EF4-FFF2-40B4-BE49-F238E27FC236}">
              <a16:creationId xmlns:a16="http://schemas.microsoft.com/office/drawing/2014/main" id="{6B28C25E-33F5-F4B3-8AD5-F990F1EA1D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025900" y="952500"/>
          <a:ext cx="1143000" cy="1270000"/>
        </a:xfrm>
        <a:prstGeom prst="rect">
          <a:avLst/>
        </a:prstGeom>
      </xdr:spPr>
    </xdr:pic>
    <xdr:clientData/>
  </xdr:twoCellAnchor>
  <xdr:twoCellAnchor editAs="oneCell">
    <xdr:from>
      <xdr:col>2</xdr:col>
      <xdr:colOff>469900</xdr:colOff>
      <xdr:row>8</xdr:row>
      <xdr:rowOff>101600</xdr:rowOff>
    </xdr:from>
    <xdr:to>
      <xdr:col>3</xdr:col>
      <xdr:colOff>714248</xdr:colOff>
      <xdr:row>13</xdr:row>
      <xdr:rowOff>182880</xdr:rowOff>
    </xdr:to>
    <xdr:pic>
      <xdr:nvPicPr>
        <xdr:cNvPr id="25" name="Graphic 24" descr="Users with solid fill">
          <a:extLst>
            <a:ext uri="{FF2B5EF4-FFF2-40B4-BE49-F238E27FC236}">
              <a16:creationId xmlns:a16="http://schemas.microsoft.com/office/drawing/2014/main" id="{16F3DF0F-67C7-1AA7-D246-023508186CB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20900" y="1727200"/>
          <a:ext cx="1069848" cy="1097280"/>
        </a:xfrm>
        <a:prstGeom prst="rect">
          <a:avLst/>
        </a:prstGeom>
      </xdr:spPr>
    </xdr:pic>
    <xdr:clientData/>
  </xdr:twoCellAnchor>
  <xdr:twoCellAnchor>
    <xdr:from>
      <xdr:col>6</xdr:col>
      <xdr:colOff>228600</xdr:colOff>
      <xdr:row>4</xdr:row>
      <xdr:rowOff>88900</xdr:rowOff>
    </xdr:from>
    <xdr:to>
      <xdr:col>8</xdr:col>
      <xdr:colOff>25400</xdr:colOff>
      <xdr:row>7</xdr:row>
      <xdr:rowOff>50800</xdr:rowOff>
    </xdr:to>
    <xdr:sp macro="" textlink="">
      <xdr:nvSpPr>
        <xdr:cNvPr id="26" name="TextBox 25">
          <a:extLst>
            <a:ext uri="{FF2B5EF4-FFF2-40B4-BE49-F238E27FC236}">
              <a16:creationId xmlns:a16="http://schemas.microsoft.com/office/drawing/2014/main" id="{BB3710A4-ADE2-384E-C1C1-1C05212C0D3A}"/>
            </a:ext>
          </a:extLst>
        </xdr:cNvPr>
        <xdr:cNvSpPr txBox="1"/>
      </xdr:nvSpPr>
      <xdr:spPr>
        <a:xfrm>
          <a:off x="5181600" y="901700"/>
          <a:ext cx="1447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14C66"/>
              </a:solidFill>
              <a:latin typeface="Garamond" panose="02020404030301010803" pitchFamily="18" charset="0"/>
            </a:rPr>
            <a:t>Total</a:t>
          </a:r>
          <a:r>
            <a:rPr lang="en-US" sz="1600" b="1" baseline="0">
              <a:solidFill>
                <a:srgbClr val="114C66"/>
              </a:solidFill>
              <a:latin typeface="Garamond" panose="02020404030301010803" pitchFamily="18" charset="0"/>
            </a:rPr>
            <a:t> </a:t>
          </a:r>
          <a:br>
            <a:rPr lang="en-US" sz="1600" b="1" baseline="0">
              <a:solidFill>
                <a:srgbClr val="114C66"/>
              </a:solidFill>
              <a:latin typeface="Garamond" panose="02020404030301010803" pitchFamily="18" charset="0"/>
            </a:rPr>
          </a:br>
          <a:r>
            <a:rPr lang="en-US" sz="1600" b="1" baseline="0">
              <a:solidFill>
                <a:srgbClr val="114C66"/>
              </a:solidFill>
              <a:latin typeface="Garamond" panose="02020404030301010803" pitchFamily="18" charset="0"/>
            </a:rPr>
            <a:t>Employees</a:t>
          </a:r>
          <a:endParaRPr lang="en-US" sz="1600" b="1">
            <a:solidFill>
              <a:srgbClr val="114C66"/>
            </a:solidFill>
            <a:latin typeface="Garamond" panose="02020404030301010803" pitchFamily="18" charset="0"/>
          </a:endParaRPr>
        </a:p>
      </xdr:txBody>
    </xdr:sp>
    <xdr:clientData/>
  </xdr:twoCellAnchor>
  <xdr:twoCellAnchor>
    <xdr:from>
      <xdr:col>10</xdr:col>
      <xdr:colOff>596900</xdr:colOff>
      <xdr:row>4</xdr:row>
      <xdr:rowOff>88900</xdr:rowOff>
    </xdr:from>
    <xdr:to>
      <xdr:col>12</xdr:col>
      <xdr:colOff>393700</xdr:colOff>
      <xdr:row>7</xdr:row>
      <xdr:rowOff>50800</xdr:rowOff>
    </xdr:to>
    <xdr:sp macro="" textlink="">
      <xdr:nvSpPr>
        <xdr:cNvPr id="27" name="TextBox 26">
          <a:extLst>
            <a:ext uri="{FF2B5EF4-FFF2-40B4-BE49-F238E27FC236}">
              <a16:creationId xmlns:a16="http://schemas.microsoft.com/office/drawing/2014/main" id="{1BECA32D-C3EA-AE4F-B173-02C29C777CC4}"/>
            </a:ext>
          </a:extLst>
        </xdr:cNvPr>
        <xdr:cNvSpPr txBox="1"/>
      </xdr:nvSpPr>
      <xdr:spPr>
        <a:xfrm>
          <a:off x="8851900" y="901700"/>
          <a:ext cx="1447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14C66"/>
              </a:solidFill>
              <a:latin typeface="Garamond" panose="02020404030301010803" pitchFamily="18" charset="0"/>
            </a:rPr>
            <a:t>Total</a:t>
          </a:r>
          <a:r>
            <a:rPr lang="en-US" sz="1600" b="1" baseline="0">
              <a:latin typeface="Garamond" panose="02020404030301010803" pitchFamily="18" charset="0"/>
            </a:rPr>
            <a:t> </a:t>
          </a:r>
          <a:r>
            <a:rPr lang="en-US" sz="1600" b="1" baseline="0">
              <a:solidFill>
                <a:srgbClr val="00C3DA"/>
              </a:solidFill>
              <a:latin typeface="Garamond" panose="02020404030301010803" pitchFamily="18" charset="0"/>
            </a:rPr>
            <a:t>Active</a:t>
          </a:r>
          <a:br>
            <a:rPr lang="en-US" sz="1600" b="1" baseline="0">
              <a:latin typeface="Garamond" panose="02020404030301010803" pitchFamily="18" charset="0"/>
            </a:rPr>
          </a:br>
          <a:r>
            <a:rPr lang="en-US" sz="1600" b="1" baseline="0">
              <a:solidFill>
                <a:srgbClr val="114C66"/>
              </a:solidFill>
              <a:latin typeface="Garamond" panose="02020404030301010803" pitchFamily="18" charset="0"/>
            </a:rPr>
            <a:t>Employees</a:t>
          </a:r>
          <a:endParaRPr lang="en-US" sz="1600" b="1">
            <a:solidFill>
              <a:srgbClr val="114C66"/>
            </a:solidFill>
            <a:latin typeface="Garamond" panose="02020404030301010803" pitchFamily="18" charset="0"/>
          </a:endParaRPr>
        </a:p>
      </xdr:txBody>
    </xdr:sp>
    <xdr:clientData/>
  </xdr:twoCellAnchor>
  <xdr:twoCellAnchor>
    <xdr:from>
      <xdr:col>15</xdr:col>
      <xdr:colOff>12700</xdr:colOff>
      <xdr:row>4</xdr:row>
      <xdr:rowOff>12700</xdr:rowOff>
    </xdr:from>
    <xdr:to>
      <xdr:col>16</xdr:col>
      <xdr:colOff>635000</xdr:colOff>
      <xdr:row>6</xdr:row>
      <xdr:rowOff>177800</xdr:rowOff>
    </xdr:to>
    <xdr:sp macro="" textlink="">
      <xdr:nvSpPr>
        <xdr:cNvPr id="28" name="TextBox 27">
          <a:extLst>
            <a:ext uri="{FF2B5EF4-FFF2-40B4-BE49-F238E27FC236}">
              <a16:creationId xmlns:a16="http://schemas.microsoft.com/office/drawing/2014/main" id="{07828752-10B8-AC41-A446-A1976AC61172}"/>
            </a:ext>
          </a:extLst>
        </xdr:cNvPr>
        <xdr:cNvSpPr txBox="1"/>
      </xdr:nvSpPr>
      <xdr:spPr>
        <a:xfrm>
          <a:off x="12395200" y="825500"/>
          <a:ext cx="1447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14C66"/>
              </a:solidFill>
              <a:latin typeface="Garamond" panose="02020404030301010803" pitchFamily="18" charset="0"/>
            </a:rPr>
            <a:t>Total</a:t>
          </a:r>
          <a:r>
            <a:rPr lang="en-US" sz="1600" b="1" baseline="0">
              <a:latin typeface="Garamond" panose="02020404030301010803" pitchFamily="18" charset="0"/>
            </a:rPr>
            <a:t> </a:t>
          </a:r>
          <a:r>
            <a:rPr lang="en-US" sz="1600" b="1" baseline="0">
              <a:solidFill>
                <a:srgbClr val="FD4300"/>
              </a:solidFill>
              <a:latin typeface="Garamond" panose="02020404030301010803" pitchFamily="18" charset="0"/>
            </a:rPr>
            <a:t>Attrition</a:t>
          </a:r>
          <a:br>
            <a:rPr lang="en-US" sz="1600" b="1" baseline="0">
              <a:latin typeface="Garamond" panose="02020404030301010803" pitchFamily="18" charset="0"/>
            </a:rPr>
          </a:br>
          <a:r>
            <a:rPr lang="en-US" sz="1600" b="1" baseline="0">
              <a:solidFill>
                <a:srgbClr val="114C66"/>
              </a:solidFill>
              <a:latin typeface="Garamond" panose="02020404030301010803" pitchFamily="18" charset="0"/>
            </a:rPr>
            <a:t>Employees</a:t>
          </a:r>
          <a:endParaRPr lang="en-US" sz="1600" b="1">
            <a:solidFill>
              <a:srgbClr val="114C66"/>
            </a:solidFill>
            <a:latin typeface="Garamond" panose="02020404030301010803" pitchFamily="18" charset="0"/>
          </a:endParaRPr>
        </a:p>
      </xdr:txBody>
    </xdr:sp>
    <xdr:clientData/>
  </xdr:twoCellAnchor>
  <xdr:twoCellAnchor>
    <xdr:from>
      <xdr:col>19</xdr:col>
      <xdr:colOff>25400</xdr:colOff>
      <xdr:row>4</xdr:row>
      <xdr:rowOff>0</xdr:rowOff>
    </xdr:from>
    <xdr:to>
      <xdr:col>20</xdr:col>
      <xdr:colOff>800100</xdr:colOff>
      <xdr:row>6</xdr:row>
      <xdr:rowOff>165100</xdr:rowOff>
    </xdr:to>
    <xdr:sp macro="" textlink="">
      <xdr:nvSpPr>
        <xdr:cNvPr id="29" name="TextBox 28">
          <a:extLst>
            <a:ext uri="{FF2B5EF4-FFF2-40B4-BE49-F238E27FC236}">
              <a16:creationId xmlns:a16="http://schemas.microsoft.com/office/drawing/2014/main" id="{C95D05CF-4192-5642-A5DE-F6636FFEE773}"/>
            </a:ext>
          </a:extLst>
        </xdr:cNvPr>
        <xdr:cNvSpPr txBox="1"/>
      </xdr:nvSpPr>
      <xdr:spPr>
        <a:xfrm>
          <a:off x="15709900" y="812800"/>
          <a:ext cx="1600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14C66"/>
              </a:solidFill>
              <a:latin typeface="Garamond" panose="02020404030301010803" pitchFamily="18" charset="0"/>
            </a:rPr>
            <a:t>Average Age Of All Employees</a:t>
          </a:r>
        </a:p>
      </xdr:txBody>
    </xdr:sp>
    <xdr:clientData/>
  </xdr:twoCellAnchor>
  <xdr:twoCellAnchor editAs="oneCell">
    <xdr:from>
      <xdr:col>2</xdr:col>
      <xdr:colOff>457200</xdr:colOff>
      <xdr:row>16</xdr:row>
      <xdr:rowOff>63500</xdr:rowOff>
    </xdr:from>
    <xdr:to>
      <xdr:col>3</xdr:col>
      <xdr:colOff>698500</xdr:colOff>
      <xdr:row>21</xdr:row>
      <xdr:rowOff>88900</xdr:rowOff>
    </xdr:to>
    <xdr:pic>
      <xdr:nvPicPr>
        <xdr:cNvPr id="30" name="Graphic 29" descr="Users with solid fill">
          <a:extLst>
            <a:ext uri="{FF2B5EF4-FFF2-40B4-BE49-F238E27FC236}">
              <a16:creationId xmlns:a16="http://schemas.microsoft.com/office/drawing/2014/main" id="{C17B3596-00B5-B040-B2F9-F362BC41D3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08200" y="3314700"/>
          <a:ext cx="1066800" cy="1041400"/>
        </a:xfrm>
        <a:prstGeom prst="rect">
          <a:avLst/>
        </a:prstGeom>
      </xdr:spPr>
    </xdr:pic>
    <xdr:clientData/>
  </xdr:twoCellAnchor>
  <xdr:twoCellAnchor>
    <xdr:from>
      <xdr:col>13</xdr:col>
      <xdr:colOff>76200</xdr:colOff>
      <xdr:row>3</xdr:row>
      <xdr:rowOff>76200</xdr:rowOff>
    </xdr:from>
    <xdr:to>
      <xdr:col>15</xdr:col>
      <xdr:colOff>382016</xdr:colOff>
      <xdr:row>11</xdr:row>
      <xdr:rowOff>123952</xdr:rowOff>
    </xdr:to>
    <xdr:graphicFrame macro="">
      <xdr:nvGraphicFramePr>
        <xdr:cNvPr id="31" name="Chart 30">
          <a:extLst>
            <a:ext uri="{FF2B5EF4-FFF2-40B4-BE49-F238E27FC236}">
              <a16:creationId xmlns:a16="http://schemas.microsoft.com/office/drawing/2014/main" id="{DFB29A35-D345-154C-9C9F-AA49DCF6F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635000</xdr:colOff>
      <xdr:row>3</xdr:row>
      <xdr:rowOff>127000</xdr:rowOff>
    </xdr:from>
    <xdr:to>
      <xdr:col>11</xdr:col>
      <xdr:colOff>114300</xdr:colOff>
      <xdr:row>11</xdr:row>
      <xdr:rowOff>177800</xdr:rowOff>
    </xdr:to>
    <xdr:graphicFrame macro="">
      <xdr:nvGraphicFramePr>
        <xdr:cNvPr id="32" name="Chart 31">
          <a:extLst>
            <a:ext uri="{FF2B5EF4-FFF2-40B4-BE49-F238E27FC236}">
              <a16:creationId xmlns:a16="http://schemas.microsoft.com/office/drawing/2014/main" id="{B11F6069-0182-364E-872C-D2D944EC0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469900</xdr:colOff>
      <xdr:row>4</xdr:row>
      <xdr:rowOff>38100</xdr:rowOff>
    </xdr:from>
    <xdr:to>
      <xdr:col>19</xdr:col>
      <xdr:colOff>114300</xdr:colOff>
      <xdr:row>10</xdr:row>
      <xdr:rowOff>139700</xdr:rowOff>
    </xdr:to>
    <xdr:pic>
      <xdr:nvPicPr>
        <xdr:cNvPr id="34" name="Graphic 33" descr="Children with solid fill">
          <a:extLst>
            <a:ext uri="{FF2B5EF4-FFF2-40B4-BE49-F238E27FC236}">
              <a16:creationId xmlns:a16="http://schemas.microsoft.com/office/drawing/2014/main" id="{5401011E-5CCF-5F9C-DB71-E466140C203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4503400" y="850900"/>
          <a:ext cx="1295400" cy="1320800"/>
        </a:xfrm>
        <a:prstGeom prst="rect">
          <a:avLst/>
        </a:prstGeom>
      </xdr:spPr>
    </xdr:pic>
    <xdr:clientData/>
  </xdr:twoCellAnchor>
  <xdr:twoCellAnchor>
    <xdr:from>
      <xdr:col>4</xdr:col>
      <xdr:colOff>127000</xdr:colOff>
      <xdr:row>12</xdr:row>
      <xdr:rowOff>76200</xdr:rowOff>
    </xdr:from>
    <xdr:to>
      <xdr:col>11</xdr:col>
      <xdr:colOff>495300</xdr:colOff>
      <xdr:row>26</xdr:row>
      <xdr:rowOff>19050</xdr:rowOff>
    </xdr:to>
    <xdr:graphicFrame macro="">
      <xdr:nvGraphicFramePr>
        <xdr:cNvPr id="35" name="Chart 34">
          <a:extLst>
            <a:ext uri="{FF2B5EF4-FFF2-40B4-BE49-F238E27FC236}">
              <a16:creationId xmlns:a16="http://schemas.microsoft.com/office/drawing/2014/main" id="{8EFDEA61-DBA4-4A4E-9006-1911DE750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292100</xdr:colOff>
      <xdr:row>12</xdr:row>
      <xdr:rowOff>76200</xdr:rowOff>
    </xdr:from>
    <xdr:to>
      <xdr:col>7</xdr:col>
      <xdr:colOff>393700</xdr:colOff>
      <xdr:row>15</xdr:row>
      <xdr:rowOff>38100</xdr:rowOff>
    </xdr:to>
    <xdr:sp macro="" textlink="">
      <xdr:nvSpPr>
        <xdr:cNvPr id="36" name="TextBox 35">
          <a:extLst>
            <a:ext uri="{FF2B5EF4-FFF2-40B4-BE49-F238E27FC236}">
              <a16:creationId xmlns:a16="http://schemas.microsoft.com/office/drawing/2014/main" id="{684A78E1-82F3-C04C-9540-4E54C72AB46C}"/>
            </a:ext>
          </a:extLst>
        </xdr:cNvPr>
        <xdr:cNvSpPr txBox="1"/>
      </xdr:nvSpPr>
      <xdr:spPr>
        <a:xfrm>
          <a:off x="3594100" y="2514600"/>
          <a:ext cx="25781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14C66"/>
              </a:solidFill>
              <a:latin typeface="Garamond" panose="02020404030301010803" pitchFamily="18" charset="0"/>
            </a:rPr>
            <a:t>Total</a:t>
          </a:r>
          <a:r>
            <a:rPr lang="en-US" sz="1800" b="1" baseline="0">
              <a:solidFill>
                <a:srgbClr val="114C66"/>
              </a:solidFill>
              <a:latin typeface="Garamond" panose="02020404030301010803" pitchFamily="18" charset="0"/>
            </a:rPr>
            <a:t> Attrition</a:t>
          </a:r>
          <a:br>
            <a:rPr lang="en-US" sz="1600" b="1" baseline="0">
              <a:solidFill>
                <a:srgbClr val="114C66"/>
              </a:solidFill>
              <a:latin typeface="Garamond" panose="02020404030301010803" pitchFamily="18" charset="0"/>
            </a:rPr>
          </a:br>
          <a:r>
            <a:rPr lang="en-US" sz="1200" b="1" baseline="0">
              <a:solidFill>
                <a:srgbClr val="114C66"/>
              </a:solidFill>
              <a:latin typeface="Garamond" panose="02020404030301010803" pitchFamily="18" charset="0"/>
            </a:rPr>
            <a:t>by Employee Age Group</a:t>
          </a:r>
          <a:br>
            <a:rPr lang="en-US" sz="1600" b="1" baseline="0">
              <a:latin typeface="Garamond" panose="02020404030301010803" pitchFamily="18" charset="0"/>
            </a:rPr>
          </a:br>
          <a:endParaRPr lang="en-US" sz="1600" b="1">
            <a:latin typeface="Garamond" panose="02020404030301010803" pitchFamily="18" charset="0"/>
          </a:endParaRPr>
        </a:p>
      </xdr:txBody>
    </xdr:sp>
    <xdr:clientData/>
  </xdr:twoCellAnchor>
  <xdr:twoCellAnchor>
    <xdr:from>
      <xdr:col>11</xdr:col>
      <xdr:colOff>571500</xdr:colOff>
      <xdr:row>12</xdr:row>
      <xdr:rowOff>88900</xdr:rowOff>
    </xdr:from>
    <xdr:to>
      <xdr:col>15</xdr:col>
      <xdr:colOff>622300</xdr:colOff>
      <xdr:row>26</xdr:row>
      <xdr:rowOff>76200</xdr:rowOff>
    </xdr:to>
    <xdr:graphicFrame macro="">
      <xdr:nvGraphicFramePr>
        <xdr:cNvPr id="37" name="Chart 36">
          <a:extLst>
            <a:ext uri="{FF2B5EF4-FFF2-40B4-BE49-F238E27FC236}">
              <a16:creationId xmlns:a16="http://schemas.microsoft.com/office/drawing/2014/main" id="{E306F7DC-E8C0-CF40-86AE-BA8DD8DEB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12700</xdr:colOff>
      <xdr:row>12</xdr:row>
      <xdr:rowOff>76200</xdr:rowOff>
    </xdr:from>
    <xdr:to>
      <xdr:col>15</xdr:col>
      <xdr:colOff>114300</xdr:colOff>
      <xdr:row>15</xdr:row>
      <xdr:rowOff>38100</xdr:rowOff>
    </xdr:to>
    <xdr:sp macro="" textlink="">
      <xdr:nvSpPr>
        <xdr:cNvPr id="39" name="TextBox 38">
          <a:extLst>
            <a:ext uri="{FF2B5EF4-FFF2-40B4-BE49-F238E27FC236}">
              <a16:creationId xmlns:a16="http://schemas.microsoft.com/office/drawing/2014/main" id="{AB0E21A6-C272-744C-895F-F8A7190563FF}"/>
            </a:ext>
          </a:extLst>
        </xdr:cNvPr>
        <xdr:cNvSpPr txBox="1"/>
      </xdr:nvSpPr>
      <xdr:spPr>
        <a:xfrm>
          <a:off x="9918700" y="2514600"/>
          <a:ext cx="25781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14C66"/>
              </a:solidFill>
              <a:latin typeface="Garamond" panose="02020404030301010803" pitchFamily="18" charset="0"/>
            </a:rPr>
            <a:t>Total</a:t>
          </a:r>
          <a:r>
            <a:rPr lang="en-US" sz="1800" b="1" baseline="0">
              <a:solidFill>
                <a:srgbClr val="114C66"/>
              </a:solidFill>
              <a:latin typeface="Garamond" panose="02020404030301010803" pitchFamily="18" charset="0"/>
            </a:rPr>
            <a:t> Attrition</a:t>
          </a:r>
          <a:br>
            <a:rPr lang="en-US" sz="1600" b="1" baseline="0">
              <a:solidFill>
                <a:srgbClr val="114C66"/>
              </a:solidFill>
              <a:latin typeface="Garamond" panose="02020404030301010803" pitchFamily="18" charset="0"/>
            </a:rPr>
          </a:br>
          <a:r>
            <a:rPr lang="en-US" sz="1200" b="1" baseline="0">
              <a:solidFill>
                <a:srgbClr val="114C66"/>
              </a:solidFill>
              <a:latin typeface="Garamond" panose="02020404030301010803" pitchFamily="18" charset="0"/>
            </a:rPr>
            <a:t>by Employee Department</a:t>
          </a:r>
          <a:br>
            <a:rPr lang="en-US" sz="1600" b="1" baseline="0">
              <a:solidFill>
                <a:srgbClr val="114C66"/>
              </a:solidFill>
              <a:latin typeface="Garamond" panose="02020404030301010803" pitchFamily="18" charset="0"/>
            </a:rPr>
          </a:br>
          <a:endParaRPr lang="en-US" sz="1600" b="1">
            <a:solidFill>
              <a:srgbClr val="114C66"/>
            </a:solidFill>
            <a:latin typeface="Garamond" panose="02020404030301010803" pitchFamily="18" charset="0"/>
          </a:endParaRPr>
        </a:p>
      </xdr:txBody>
    </xdr:sp>
    <xdr:clientData/>
  </xdr:twoCellAnchor>
  <xdr:twoCellAnchor>
    <xdr:from>
      <xdr:col>15</xdr:col>
      <xdr:colOff>647700</xdr:colOff>
      <xdr:row>14</xdr:row>
      <xdr:rowOff>25400</xdr:rowOff>
    </xdr:from>
    <xdr:to>
      <xdr:col>21</xdr:col>
      <xdr:colOff>266700</xdr:colOff>
      <xdr:row>27</xdr:row>
      <xdr:rowOff>139700</xdr:rowOff>
    </xdr:to>
    <xdr:graphicFrame macro="">
      <xdr:nvGraphicFramePr>
        <xdr:cNvPr id="40" name="Chart 39">
          <a:extLst>
            <a:ext uri="{FF2B5EF4-FFF2-40B4-BE49-F238E27FC236}">
              <a16:creationId xmlns:a16="http://schemas.microsoft.com/office/drawing/2014/main" id="{C19356D1-7F40-A94D-B89F-833F8A513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114300</xdr:colOff>
      <xdr:row>11</xdr:row>
      <xdr:rowOff>152400</xdr:rowOff>
    </xdr:from>
    <xdr:to>
      <xdr:col>19</xdr:col>
      <xdr:colOff>215900</xdr:colOff>
      <xdr:row>14</xdr:row>
      <xdr:rowOff>114300</xdr:rowOff>
    </xdr:to>
    <xdr:sp macro="" textlink="">
      <xdr:nvSpPr>
        <xdr:cNvPr id="41" name="TextBox 40">
          <a:extLst>
            <a:ext uri="{FF2B5EF4-FFF2-40B4-BE49-F238E27FC236}">
              <a16:creationId xmlns:a16="http://schemas.microsoft.com/office/drawing/2014/main" id="{060B3833-38AA-E14C-BDFA-424834B84EF3}"/>
            </a:ext>
          </a:extLst>
        </xdr:cNvPr>
        <xdr:cNvSpPr txBox="1"/>
      </xdr:nvSpPr>
      <xdr:spPr>
        <a:xfrm>
          <a:off x="13322300" y="2387600"/>
          <a:ext cx="25781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14C66"/>
              </a:solidFill>
              <a:latin typeface="Garamond" panose="02020404030301010803" pitchFamily="18" charset="0"/>
            </a:rPr>
            <a:t>Total</a:t>
          </a:r>
          <a:r>
            <a:rPr lang="en-US" sz="1800" b="1" baseline="0">
              <a:solidFill>
                <a:srgbClr val="114C66"/>
              </a:solidFill>
              <a:latin typeface="Garamond" panose="02020404030301010803" pitchFamily="18" charset="0"/>
            </a:rPr>
            <a:t> Attrition</a:t>
          </a:r>
          <a:br>
            <a:rPr lang="en-US" sz="1600" b="1" baseline="0">
              <a:solidFill>
                <a:srgbClr val="114C66"/>
              </a:solidFill>
              <a:latin typeface="Garamond" panose="02020404030301010803" pitchFamily="18" charset="0"/>
            </a:rPr>
          </a:br>
          <a:r>
            <a:rPr lang="en-US" sz="1200" b="1" baseline="0">
              <a:solidFill>
                <a:srgbClr val="114C66"/>
              </a:solidFill>
              <a:latin typeface="Garamond" panose="02020404030301010803" pitchFamily="18" charset="0"/>
            </a:rPr>
            <a:t>by Employee Education</a:t>
          </a:r>
          <a:br>
            <a:rPr lang="en-US" sz="1600" b="1" baseline="0">
              <a:latin typeface="Garamond" panose="02020404030301010803" pitchFamily="18" charset="0"/>
            </a:rPr>
          </a:br>
          <a:endParaRPr lang="en-US" sz="1600" b="1">
            <a:latin typeface="Garamond" panose="02020404030301010803" pitchFamily="18" charset="0"/>
          </a:endParaRPr>
        </a:p>
      </xdr:txBody>
    </xdr:sp>
    <xdr:clientData/>
  </xdr:twoCellAnchor>
  <xdr:twoCellAnchor>
    <xdr:from>
      <xdr:col>4</xdr:col>
      <xdr:colOff>114300</xdr:colOff>
      <xdr:row>27</xdr:row>
      <xdr:rowOff>76200</xdr:rowOff>
    </xdr:from>
    <xdr:to>
      <xdr:col>10</xdr:col>
      <xdr:colOff>749300</xdr:colOff>
      <xdr:row>41</xdr:row>
      <xdr:rowOff>165100</xdr:rowOff>
    </xdr:to>
    <xdr:graphicFrame macro="">
      <xdr:nvGraphicFramePr>
        <xdr:cNvPr id="42" name="Chart 41">
          <a:extLst>
            <a:ext uri="{FF2B5EF4-FFF2-40B4-BE49-F238E27FC236}">
              <a16:creationId xmlns:a16="http://schemas.microsoft.com/office/drawing/2014/main" id="{473837F9-AD6C-534D-8E66-ED7F8B350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317500</xdr:colOff>
      <xdr:row>26</xdr:row>
      <xdr:rowOff>165100</xdr:rowOff>
    </xdr:from>
    <xdr:to>
      <xdr:col>7</xdr:col>
      <xdr:colOff>647700</xdr:colOff>
      <xdr:row>29</xdr:row>
      <xdr:rowOff>127000</xdr:rowOff>
    </xdr:to>
    <xdr:sp macro="" textlink="">
      <xdr:nvSpPr>
        <xdr:cNvPr id="43" name="TextBox 42">
          <a:extLst>
            <a:ext uri="{FF2B5EF4-FFF2-40B4-BE49-F238E27FC236}">
              <a16:creationId xmlns:a16="http://schemas.microsoft.com/office/drawing/2014/main" id="{E48E4D0F-44B5-6A4B-801A-97B8E89BCE2D}"/>
            </a:ext>
          </a:extLst>
        </xdr:cNvPr>
        <xdr:cNvSpPr txBox="1"/>
      </xdr:nvSpPr>
      <xdr:spPr>
        <a:xfrm>
          <a:off x="3619500" y="5448300"/>
          <a:ext cx="2806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14C66"/>
              </a:solidFill>
              <a:latin typeface="Garamond" panose="02020404030301010803" pitchFamily="18" charset="0"/>
            </a:rPr>
            <a:t>Total</a:t>
          </a:r>
          <a:r>
            <a:rPr lang="en-US" sz="1800" b="1" baseline="0">
              <a:solidFill>
                <a:srgbClr val="114C66"/>
              </a:solidFill>
              <a:latin typeface="Garamond" panose="02020404030301010803" pitchFamily="18" charset="0"/>
            </a:rPr>
            <a:t> Attrition</a:t>
          </a:r>
          <a:br>
            <a:rPr lang="en-US" sz="1600" b="1" baseline="0">
              <a:solidFill>
                <a:srgbClr val="114C66"/>
              </a:solidFill>
              <a:latin typeface="Garamond" panose="02020404030301010803" pitchFamily="18" charset="0"/>
            </a:rPr>
          </a:br>
          <a:r>
            <a:rPr lang="en-US" sz="1200" b="1" baseline="0">
              <a:solidFill>
                <a:srgbClr val="114C66"/>
              </a:solidFill>
              <a:latin typeface="Garamond" panose="02020404030301010803" pitchFamily="18" charset="0"/>
            </a:rPr>
            <a:t>by Employee Business Travels</a:t>
          </a:r>
          <a:br>
            <a:rPr lang="en-US" sz="1600" b="1" baseline="0">
              <a:latin typeface="Garamond" panose="02020404030301010803" pitchFamily="18" charset="0"/>
            </a:rPr>
          </a:br>
          <a:endParaRPr lang="en-US" sz="1600" b="1">
            <a:latin typeface="Garamond" panose="02020404030301010803" pitchFamily="18" charset="0"/>
          </a:endParaRPr>
        </a:p>
      </xdr:txBody>
    </xdr:sp>
    <xdr:clientData/>
  </xdr:twoCellAnchor>
  <xdr:twoCellAnchor>
    <xdr:from>
      <xdr:col>11</xdr:col>
      <xdr:colOff>228600</xdr:colOff>
      <xdr:row>27</xdr:row>
      <xdr:rowOff>12700</xdr:rowOff>
    </xdr:from>
    <xdr:to>
      <xdr:col>14</xdr:col>
      <xdr:colOff>558800</xdr:colOff>
      <xdr:row>29</xdr:row>
      <xdr:rowOff>177800</xdr:rowOff>
    </xdr:to>
    <xdr:sp macro="" textlink="">
      <xdr:nvSpPr>
        <xdr:cNvPr id="44" name="TextBox 43">
          <a:extLst>
            <a:ext uri="{FF2B5EF4-FFF2-40B4-BE49-F238E27FC236}">
              <a16:creationId xmlns:a16="http://schemas.microsoft.com/office/drawing/2014/main" id="{3206D9C4-8CF3-6042-A60E-A7F9A5D563E3}"/>
            </a:ext>
          </a:extLst>
        </xdr:cNvPr>
        <xdr:cNvSpPr txBox="1"/>
      </xdr:nvSpPr>
      <xdr:spPr>
        <a:xfrm>
          <a:off x="9309100" y="5499100"/>
          <a:ext cx="2806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14C66"/>
              </a:solidFill>
              <a:latin typeface="Garamond" panose="02020404030301010803" pitchFamily="18" charset="0"/>
            </a:rPr>
            <a:t>Total</a:t>
          </a:r>
          <a:r>
            <a:rPr lang="en-US" sz="1800" b="1" baseline="0">
              <a:solidFill>
                <a:srgbClr val="114C66"/>
              </a:solidFill>
              <a:latin typeface="Garamond" panose="02020404030301010803" pitchFamily="18" charset="0"/>
            </a:rPr>
            <a:t> Attrition</a:t>
          </a:r>
          <a:br>
            <a:rPr lang="en-US" sz="1600" b="1" baseline="0">
              <a:solidFill>
                <a:srgbClr val="114C66"/>
              </a:solidFill>
              <a:latin typeface="Garamond" panose="02020404030301010803" pitchFamily="18" charset="0"/>
            </a:rPr>
          </a:br>
          <a:r>
            <a:rPr lang="en-US" sz="1200" b="1" baseline="0">
              <a:solidFill>
                <a:srgbClr val="114C66"/>
              </a:solidFill>
              <a:latin typeface="Garamond" panose="02020404030301010803" pitchFamily="18" charset="0"/>
            </a:rPr>
            <a:t>by Employee Gender</a:t>
          </a:r>
          <a:br>
            <a:rPr lang="en-US" sz="1600" b="1" baseline="0">
              <a:solidFill>
                <a:srgbClr val="114C66"/>
              </a:solidFill>
              <a:latin typeface="Garamond" panose="02020404030301010803" pitchFamily="18" charset="0"/>
            </a:rPr>
          </a:br>
          <a:endParaRPr lang="en-US" sz="1600" b="1">
            <a:solidFill>
              <a:srgbClr val="114C66"/>
            </a:solidFill>
            <a:latin typeface="Garamond" panose="02020404030301010803" pitchFamily="18" charset="0"/>
          </a:endParaRPr>
        </a:p>
      </xdr:txBody>
    </xdr:sp>
    <xdr:clientData/>
  </xdr:twoCellAnchor>
  <xdr:twoCellAnchor>
    <xdr:from>
      <xdr:col>10</xdr:col>
      <xdr:colOff>749300</xdr:colOff>
      <xdr:row>27</xdr:row>
      <xdr:rowOff>0</xdr:rowOff>
    </xdr:from>
    <xdr:to>
      <xdr:col>16</xdr:col>
      <xdr:colOff>368300</xdr:colOff>
      <xdr:row>41</xdr:row>
      <xdr:rowOff>76200</xdr:rowOff>
    </xdr:to>
    <xdr:graphicFrame macro="">
      <xdr:nvGraphicFramePr>
        <xdr:cNvPr id="4" name="Chart 3">
          <a:extLst>
            <a:ext uri="{FF2B5EF4-FFF2-40B4-BE49-F238E27FC236}">
              <a16:creationId xmlns:a16="http://schemas.microsoft.com/office/drawing/2014/main" id="{8DCA2B13-0BFA-D94A-B4A2-ADE2F8C2D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457200</xdr:colOff>
      <xdr:row>26</xdr:row>
      <xdr:rowOff>190500</xdr:rowOff>
    </xdr:from>
    <xdr:to>
      <xdr:col>21</xdr:col>
      <xdr:colOff>571500</xdr:colOff>
      <xdr:row>42</xdr:row>
      <xdr:rowOff>69850</xdr:rowOff>
    </xdr:to>
    <xdr:graphicFrame macro="">
      <xdr:nvGraphicFramePr>
        <xdr:cNvPr id="5" name="Chart 4">
          <a:extLst>
            <a:ext uri="{FF2B5EF4-FFF2-40B4-BE49-F238E27FC236}">
              <a16:creationId xmlns:a16="http://schemas.microsoft.com/office/drawing/2014/main" id="{E65D49D1-CC6B-9443-B611-2CEEBA54F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698500</xdr:colOff>
      <xdr:row>26</xdr:row>
      <xdr:rowOff>190500</xdr:rowOff>
    </xdr:from>
    <xdr:to>
      <xdr:col>20</xdr:col>
      <xdr:colOff>203200</xdr:colOff>
      <xdr:row>29</xdr:row>
      <xdr:rowOff>152400</xdr:rowOff>
    </xdr:to>
    <xdr:sp macro="" textlink="">
      <xdr:nvSpPr>
        <xdr:cNvPr id="6" name="TextBox 5">
          <a:extLst>
            <a:ext uri="{FF2B5EF4-FFF2-40B4-BE49-F238E27FC236}">
              <a16:creationId xmlns:a16="http://schemas.microsoft.com/office/drawing/2014/main" id="{2204FFFF-CC4D-814F-B3E6-41DD0A0F9764}"/>
            </a:ext>
          </a:extLst>
        </xdr:cNvPr>
        <xdr:cNvSpPr txBox="1"/>
      </xdr:nvSpPr>
      <xdr:spPr>
        <a:xfrm>
          <a:off x="13906500" y="5473700"/>
          <a:ext cx="2806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rgbClr val="114C66"/>
              </a:solidFill>
              <a:latin typeface="Garamond" panose="02020404030301010803" pitchFamily="18" charset="0"/>
            </a:rPr>
            <a:t>Total</a:t>
          </a:r>
          <a:r>
            <a:rPr lang="en-US" sz="1800" b="1" baseline="0">
              <a:solidFill>
                <a:srgbClr val="114C66"/>
              </a:solidFill>
              <a:latin typeface="Garamond" panose="02020404030301010803" pitchFamily="18" charset="0"/>
            </a:rPr>
            <a:t> Attrition</a:t>
          </a:r>
          <a:br>
            <a:rPr lang="en-US" sz="1600" b="1" baseline="0">
              <a:solidFill>
                <a:srgbClr val="114C66"/>
              </a:solidFill>
              <a:latin typeface="Garamond" panose="02020404030301010803" pitchFamily="18" charset="0"/>
            </a:rPr>
          </a:br>
          <a:r>
            <a:rPr lang="en-US" sz="1200" b="1" baseline="0">
              <a:solidFill>
                <a:srgbClr val="114C66"/>
              </a:solidFill>
              <a:latin typeface="Garamond" panose="02020404030301010803" pitchFamily="18" charset="0"/>
            </a:rPr>
            <a:t>by Employee Marital Status</a:t>
          </a:r>
          <a:br>
            <a:rPr lang="en-US" sz="1600" b="1" baseline="0">
              <a:solidFill>
                <a:srgbClr val="114C66"/>
              </a:solidFill>
              <a:latin typeface="Garamond" panose="02020404030301010803" pitchFamily="18" charset="0"/>
            </a:rPr>
          </a:br>
          <a:endParaRPr lang="en-US" sz="1600" b="1">
            <a:solidFill>
              <a:srgbClr val="114C66"/>
            </a:solidFill>
            <a:latin typeface="Garamond" panose="02020404030301010803" pitchFamily="18" charset="0"/>
          </a:endParaRPr>
        </a:p>
      </xdr:txBody>
    </xdr:sp>
    <xdr:clientData/>
  </xdr:twoCellAnchor>
  <xdr:twoCellAnchor>
    <xdr:from>
      <xdr:col>6</xdr:col>
      <xdr:colOff>215900</xdr:colOff>
      <xdr:row>7</xdr:row>
      <xdr:rowOff>0</xdr:rowOff>
    </xdr:from>
    <xdr:to>
      <xdr:col>8</xdr:col>
      <xdr:colOff>63500</xdr:colOff>
      <xdr:row>10</xdr:row>
      <xdr:rowOff>177800</xdr:rowOff>
    </xdr:to>
    <xdr:sp macro="" textlink="">
      <xdr:nvSpPr>
        <xdr:cNvPr id="24" name="TextBox 23">
          <a:extLst>
            <a:ext uri="{FF2B5EF4-FFF2-40B4-BE49-F238E27FC236}">
              <a16:creationId xmlns:a16="http://schemas.microsoft.com/office/drawing/2014/main" id="{B0F8A1E7-66C6-0616-5F8A-43AD46467A98}"/>
            </a:ext>
          </a:extLst>
        </xdr:cNvPr>
        <xdr:cNvSpPr txBox="1"/>
      </xdr:nvSpPr>
      <xdr:spPr>
        <a:xfrm>
          <a:off x="5168900" y="1422400"/>
          <a:ext cx="14986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0E4C69"/>
              </a:solidFill>
            </a:rPr>
            <a:t>1,676</a:t>
          </a:r>
        </a:p>
      </xdr:txBody>
    </xdr:sp>
    <xdr:clientData/>
  </xdr:twoCellAnchor>
  <xdr:twoCellAnchor>
    <xdr:from>
      <xdr:col>10</xdr:col>
      <xdr:colOff>609600</xdr:colOff>
      <xdr:row>7</xdr:row>
      <xdr:rowOff>12700</xdr:rowOff>
    </xdr:from>
    <xdr:to>
      <xdr:col>12</xdr:col>
      <xdr:colOff>457200</xdr:colOff>
      <xdr:row>10</xdr:row>
      <xdr:rowOff>190500</xdr:rowOff>
    </xdr:to>
    <xdr:sp macro="" textlink="">
      <xdr:nvSpPr>
        <xdr:cNvPr id="33" name="TextBox 32">
          <a:extLst>
            <a:ext uri="{FF2B5EF4-FFF2-40B4-BE49-F238E27FC236}">
              <a16:creationId xmlns:a16="http://schemas.microsoft.com/office/drawing/2014/main" id="{0CF2DFF5-CE74-4B49-8E15-EA2A2E5097C3}"/>
            </a:ext>
          </a:extLst>
        </xdr:cNvPr>
        <xdr:cNvSpPr txBox="1"/>
      </xdr:nvSpPr>
      <xdr:spPr>
        <a:xfrm>
          <a:off x="8864600" y="1435100"/>
          <a:ext cx="14986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0E4C69"/>
              </a:solidFill>
            </a:rPr>
            <a:t>1,477</a:t>
          </a:r>
        </a:p>
      </xdr:txBody>
    </xdr:sp>
    <xdr:clientData/>
  </xdr:twoCellAnchor>
  <xdr:twoCellAnchor>
    <xdr:from>
      <xdr:col>15</xdr:col>
      <xdr:colOff>76200</xdr:colOff>
      <xdr:row>6</xdr:row>
      <xdr:rowOff>152400</xdr:rowOff>
    </xdr:from>
    <xdr:to>
      <xdr:col>16</xdr:col>
      <xdr:colOff>749300</xdr:colOff>
      <xdr:row>10</xdr:row>
      <xdr:rowOff>127000</xdr:rowOff>
    </xdr:to>
    <xdr:sp macro="" textlink="">
      <xdr:nvSpPr>
        <xdr:cNvPr id="38" name="TextBox 37">
          <a:extLst>
            <a:ext uri="{FF2B5EF4-FFF2-40B4-BE49-F238E27FC236}">
              <a16:creationId xmlns:a16="http://schemas.microsoft.com/office/drawing/2014/main" id="{6491CD50-5251-5A42-A48B-A1618EDBEEF9}"/>
            </a:ext>
          </a:extLst>
        </xdr:cNvPr>
        <xdr:cNvSpPr txBox="1"/>
      </xdr:nvSpPr>
      <xdr:spPr>
        <a:xfrm>
          <a:off x="12458700" y="1371600"/>
          <a:ext cx="14986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0E4C69"/>
              </a:solidFill>
            </a:rPr>
            <a:t>199</a:t>
          </a:r>
        </a:p>
      </xdr:txBody>
    </xdr:sp>
    <xdr:clientData/>
  </xdr:twoCellAnchor>
  <xdr:twoCellAnchor>
    <xdr:from>
      <xdr:col>19</xdr:col>
      <xdr:colOff>165100</xdr:colOff>
      <xdr:row>6</xdr:row>
      <xdr:rowOff>177800</xdr:rowOff>
    </xdr:from>
    <xdr:to>
      <xdr:col>21</xdr:col>
      <xdr:colOff>12700</xdr:colOff>
      <xdr:row>10</xdr:row>
      <xdr:rowOff>152400</xdr:rowOff>
    </xdr:to>
    <xdr:sp macro="" textlink="">
      <xdr:nvSpPr>
        <xdr:cNvPr id="45" name="TextBox 44">
          <a:extLst>
            <a:ext uri="{FF2B5EF4-FFF2-40B4-BE49-F238E27FC236}">
              <a16:creationId xmlns:a16="http://schemas.microsoft.com/office/drawing/2014/main" id="{FF4DB0E5-B7AA-7949-943D-3BCE9108E01A}"/>
            </a:ext>
          </a:extLst>
        </xdr:cNvPr>
        <xdr:cNvSpPr txBox="1"/>
      </xdr:nvSpPr>
      <xdr:spPr>
        <a:xfrm>
          <a:off x="15849600" y="1397000"/>
          <a:ext cx="14986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rgbClr val="0E4C69"/>
              </a:solidFill>
            </a:rPr>
            <a:t>37</a:t>
          </a:r>
        </a:p>
      </xdr:txBody>
    </xdr:sp>
    <xdr:clientData/>
  </xdr:twoCellAnchor>
  <xdr:twoCellAnchor>
    <xdr:from>
      <xdr:col>0</xdr:col>
      <xdr:colOff>101600</xdr:colOff>
      <xdr:row>6</xdr:row>
      <xdr:rowOff>127000</xdr:rowOff>
    </xdr:from>
    <xdr:to>
      <xdr:col>3</xdr:col>
      <xdr:colOff>203200</xdr:colOff>
      <xdr:row>9</xdr:row>
      <xdr:rowOff>88900</xdr:rowOff>
    </xdr:to>
    <xdr:sp macro="" textlink="">
      <xdr:nvSpPr>
        <xdr:cNvPr id="46" name="TextBox 45">
          <a:extLst>
            <a:ext uri="{FF2B5EF4-FFF2-40B4-BE49-F238E27FC236}">
              <a16:creationId xmlns:a16="http://schemas.microsoft.com/office/drawing/2014/main" id="{B8326FD5-54A4-AD43-8B46-64F7410A492A}"/>
            </a:ext>
          </a:extLst>
        </xdr:cNvPr>
        <xdr:cNvSpPr txBox="1"/>
      </xdr:nvSpPr>
      <xdr:spPr>
        <a:xfrm>
          <a:off x="101600" y="1346200"/>
          <a:ext cx="25781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latin typeface="Garamond" panose="02020404030301010803" pitchFamily="18" charset="0"/>
            </a:rPr>
            <a:t>Total</a:t>
          </a:r>
          <a:r>
            <a:rPr lang="en-US" sz="1800" b="1" baseline="0">
              <a:solidFill>
                <a:schemeClr val="bg1"/>
              </a:solidFill>
              <a:latin typeface="Garamond" panose="02020404030301010803" pitchFamily="18" charset="0"/>
            </a:rPr>
            <a:t> Attrition</a:t>
          </a:r>
          <a:br>
            <a:rPr lang="en-US" sz="1600" b="1" baseline="0">
              <a:solidFill>
                <a:schemeClr val="bg1"/>
              </a:solidFill>
              <a:latin typeface="Garamond" panose="02020404030301010803" pitchFamily="18" charset="0"/>
            </a:rPr>
          </a:br>
          <a:r>
            <a:rPr lang="en-US" sz="1200" b="1" baseline="0">
              <a:solidFill>
                <a:schemeClr val="bg1"/>
              </a:solidFill>
              <a:latin typeface="Garamond" panose="02020404030301010803" pitchFamily="18" charset="0"/>
            </a:rPr>
            <a:t>by High Performace Employees</a:t>
          </a:r>
          <a:endParaRPr lang="en-US" sz="1600" b="1">
            <a:solidFill>
              <a:schemeClr val="bg1"/>
            </a:solidFill>
            <a:latin typeface="Garamond" panose="02020404030301010803" pitchFamily="18" charset="0"/>
          </a:endParaRPr>
        </a:p>
      </xdr:txBody>
    </xdr:sp>
    <xdr:clientData/>
  </xdr:twoCellAnchor>
  <xdr:twoCellAnchor>
    <xdr:from>
      <xdr:col>0</xdr:col>
      <xdr:colOff>127000</xdr:colOff>
      <xdr:row>14</xdr:row>
      <xdr:rowOff>63500</xdr:rowOff>
    </xdr:from>
    <xdr:to>
      <xdr:col>3</xdr:col>
      <xdr:colOff>228600</xdr:colOff>
      <xdr:row>17</xdr:row>
      <xdr:rowOff>25400</xdr:rowOff>
    </xdr:to>
    <xdr:sp macro="" textlink="">
      <xdr:nvSpPr>
        <xdr:cNvPr id="47" name="TextBox 46">
          <a:extLst>
            <a:ext uri="{FF2B5EF4-FFF2-40B4-BE49-F238E27FC236}">
              <a16:creationId xmlns:a16="http://schemas.microsoft.com/office/drawing/2014/main" id="{79E57D7E-0DEB-444E-80F1-BE8694B03F0D}"/>
            </a:ext>
          </a:extLst>
        </xdr:cNvPr>
        <xdr:cNvSpPr txBox="1"/>
      </xdr:nvSpPr>
      <xdr:spPr>
        <a:xfrm>
          <a:off x="127000" y="2908300"/>
          <a:ext cx="25781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latin typeface="Garamond" panose="02020404030301010803" pitchFamily="18" charset="0"/>
            </a:rPr>
            <a:t>Total</a:t>
          </a:r>
          <a:r>
            <a:rPr lang="en-US" sz="1800" b="1" baseline="0">
              <a:solidFill>
                <a:schemeClr val="bg1"/>
              </a:solidFill>
              <a:latin typeface="Garamond" panose="02020404030301010803" pitchFamily="18" charset="0"/>
            </a:rPr>
            <a:t> Attrition</a:t>
          </a:r>
          <a:br>
            <a:rPr lang="en-US" sz="1600" b="1" baseline="0">
              <a:solidFill>
                <a:schemeClr val="bg1"/>
              </a:solidFill>
              <a:latin typeface="Garamond" panose="02020404030301010803" pitchFamily="18" charset="0"/>
            </a:rPr>
          </a:br>
          <a:r>
            <a:rPr lang="en-US" sz="1200" b="1" baseline="0">
              <a:solidFill>
                <a:schemeClr val="bg1"/>
              </a:solidFill>
              <a:latin typeface="Garamond" panose="02020404030301010803" pitchFamily="18" charset="0"/>
            </a:rPr>
            <a:t>by Low Performance Employees</a:t>
          </a:r>
          <a:br>
            <a:rPr lang="en-US" sz="1600" b="1" baseline="0">
              <a:latin typeface="Garamond" panose="02020404030301010803" pitchFamily="18" charset="0"/>
            </a:rPr>
          </a:br>
          <a:endParaRPr lang="en-US" sz="1600" b="1">
            <a:latin typeface="Garamond" panose="02020404030301010803" pitchFamily="18" charset="0"/>
          </a:endParaRPr>
        </a:p>
      </xdr:txBody>
    </xdr:sp>
    <xdr:clientData/>
  </xdr:twoCellAnchor>
  <xdr:twoCellAnchor>
    <xdr:from>
      <xdr:col>0</xdr:col>
      <xdr:colOff>292100</xdr:colOff>
      <xdr:row>16</xdr:row>
      <xdr:rowOff>190500</xdr:rowOff>
    </xdr:from>
    <xdr:to>
      <xdr:col>2</xdr:col>
      <xdr:colOff>139700</xdr:colOff>
      <xdr:row>20</xdr:row>
      <xdr:rowOff>165100</xdr:rowOff>
    </xdr:to>
    <xdr:sp macro="" textlink="">
      <xdr:nvSpPr>
        <xdr:cNvPr id="48" name="TextBox 47">
          <a:extLst>
            <a:ext uri="{FF2B5EF4-FFF2-40B4-BE49-F238E27FC236}">
              <a16:creationId xmlns:a16="http://schemas.microsoft.com/office/drawing/2014/main" id="{6624A2F9-E751-FB41-9685-4CE2AB4594BE}"/>
            </a:ext>
          </a:extLst>
        </xdr:cNvPr>
        <xdr:cNvSpPr txBox="1"/>
      </xdr:nvSpPr>
      <xdr:spPr>
        <a:xfrm>
          <a:off x="292100" y="3441700"/>
          <a:ext cx="14986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1,424</a:t>
          </a:r>
        </a:p>
      </xdr:txBody>
    </xdr:sp>
    <xdr:clientData/>
  </xdr:twoCellAnchor>
  <xdr:twoCellAnchor>
    <xdr:from>
      <xdr:col>0</xdr:col>
      <xdr:colOff>266700</xdr:colOff>
      <xdr:row>9</xdr:row>
      <xdr:rowOff>50800</xdr:rowOff>
    </xdr:from>
    <xdr:to>
      <xdr:col>2</xdr:col>
      <xdr:colOff>114300</xdr:colOff>
      <xdr:row>13</xdr:row>
      <xdr:rowOff>25400</xdr:rowOff>
    </xdr:to>
    <xdr:sp macro="" textlink="">
      <xdr:nvSpPr>
        <xdr:cNvPr id="49" name="TextBox 48">
          <a:extLst>
            <a:ext uri="{FF2B5EF4-FFF2-40B4-BE49-F238E27FC236}">
              <a16:creationId xmlns:a16="http://schemas.microsoft.com/office/drawing/2014/main" id="{151EA324-0CA2-C34B-8A6A-79A27CCF953F}"/>
            </a:ext>
          </a:extLst>
        </xdr:cNvPr>
        <xdr:cNvSpPr txBox="1"/>
      </xdr:nvSpPr>
      <xdr:spPr>
        <a:xfrm>
          <a:off x="266700" y="1879600"/>
          <a:ext cx="14986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252</a:t>
          </a:r>
        </a:p>
      </xdr:txBody>
    </xdr:sp>
    <xdr:clientData/>
  </xdr:twoCellAnchor>
  <xdr:twoCellAnchor>
    <xdr:from>
      <xdr:col>0</xdr:col>
      <xdr:colOff>0</xdr:colOff>
      <xdr:row>25</xdr:row>
      <xdr:rowOff>76200</xdr:rowOff>
    </xdr:from>
    <xdr:to>
      <xdr:col>3</xdr:col>
      <xdr:colOff>711200</xdr:colOff>
      <xdr:row>40</xdr:row>
      <xdr:rowOff>120650</xdr:rowOff>
    </xdr:to>
    <xdr:graphicFrame macro="">
      <xdr:nvGraphicFramePr>
        <xdr:cNvPr id="50" name="Chart 49">
          <a:extLst>
            <a:ext uri="{FF2B5EF4-FFF2-40B4-BE49-F238E27FC236}">
              <a16:creationId xmlns:a16="http://schemas.microsoft.com/office/drawing/2014/main" id="{16016055-66C2-7F4A-A562-222DC83AE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228600</xdr:colOff>
      <xdr:row>22</xdr:row>
      <xdr:rowOff>76200</xdr:rowOff>
    </xdr:from>
    <xdr:to>
      <xdr:col>3</xdr:col>
      <xdr:colOff>330200</xdr:colOff>
      <xdr:row>25</xdr:row>
      <xdr:rowOff>38100</xdr:rowOff>
    </xdr:to>
    <xdr:sp macro="" textlink="">
      <xdr:nvSpPr>
        <xdr:cNvPr id="51" name="TextBox 50">
          <a:extLst>
            <a:ext uri="{FF2B5EF4-FFF2-40B4-BE49-F238E27FC236}">
              <a16:creationId xmlns:a16="http://schemas.microsoft.com/office/drawing/2014/main" id="{18F4C9BB-FDD0-6341-B95A-AAC5D16D7522}"/>
            </a:ext>
          </a:extLst>
        </xdr:cNvPr>
        <xdr:cNvSpPr txBox="1"/>
      </xdr:nvSpPr>
      <xdr:spPr>
        <a:xfrm>
          <a:off x="228600" y="4546600"/>
          <a:ext cx="25781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latin typeface="Garamond" panose="02020404030301010803" pitchFamily="18" charset="0"/>
            </a:rPr>
            <a:t>Total</a:t>
          </a:r>
          <a:r>
            <a:rPr lang="en-US" sz="1800" b="1" baseline="0">
              <a:solidFill>
                <a:schemeClr val="bg1"/>
              </a:solidFill>
              <a:latin typeface="Garamond" panose="02020404030301010803" pitchFamily="18" charset="0"/>
            </a:rPr>
            <a:t> Attrition</a:t>
          </a:r>
          <a:br>
            <a:rPr lang="en-US" sz="1600" b="1" baseline="0">
              <a:solidFill>
                <a:schemeClr val="bg1"/>
              </a:solidFill>
              <a:latin typeface="Garamond" panose="02020404030301010803" pitchFamily="18" charset="0"/>
            </a:rPr>
          </a:br>
          <a:r>
            <a:rPr lang="en-US" sz="1200" b="1" baseline="0">
              <a:solidFill>
                <a:schemeClr val="bg1"/>
              </a:solidFill>
              <a:latin typeface="Garamond" panose="02020404030301010803" pitchFamily="18" charset="0"/>
            </a:rPr>
            <a:t>by Employee Earnings</a:t>
          </a:r>
          <a:br>
            <a:rPr lang="en-US" sz="1600" b="1" baseline="0">
              <a:latin typeface="Garamond" panose="02020404030301010803" pitchFamily="18" charset="0"/>
            </a:rPr>
          </a:br>
          <a:endParaRPr lang="en-US" sz="1600" b="1">
            <a:latin typeface="Garamond" panose="02020404030301010803" pitchFamily="18" charset="0"/>
          </a:endParaRPr>
        </a:p>
      </xdr:txBody>
    </xdr:sp>
    <xdr:clientData/>
  </xdr:twoCellAnchor>
  <xdr:twoCellAnchor editAs="oneCell">
    <xdr:from>
      <xdr:col>0</xdr:col>
      <xdr:colOff>88900</xdr:colOff>
      <xdr:row>1</xdr:row>
      <xdr:rowOff>88900</xdr:rowOff>
    </xdr:from>
    <xdr:to>
      <xdr:col>3</xdr:col>
      <xdr:colOff>372746</xdr:colOff>
      <xdr:row>5</xdr:row>
      <xdr:rowOff>127000</xdr:rowOff>
    </xdr:to>
    <mc:AlternateContent xmlns:mc="http://schemas.openxmlformats.org/markup-compatibility/2006" xmlns:a14="http://schemas.microsoft.com/office/drawing/2010/main">
      <mc:Choice Requires="a14">
        <xdr:graphicFrame macro="">
          <xdr:nvGraphicFramePr>
            <xdr:cNvPr id="52" name="Gender">
              <a:extLst>
                <a:ext uri="{FF2B5EF4-FFF2-40B4-BE49-F238E27FC236}">
                  <a16:creationId xmlns:a16="http://schemas.microsoft.com/office/drawing/2014/main" id="{0C011DD3-2B5C-0869-F4E1-AD6DEF90F41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900" y="292100"/>
              <a:ext cx="2760346"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50800</xdr:colOff>
      <xdr:row>0</xdr:row>
      <xdr:rowOff>0</xdr:rowOff>
    </xdr:from>
    <xdr:to>
      <xdr:col>19</xdr:col>
      <xdr:colOff>55246</xdr:colOff>
      <xdr:row>3</xdr:row>
      <xdr:rowOff>12700</xdr:rowOff>
    </xdr:to>
    <mc:AlternateContent xmlns:mc="http://schemas.openxmlformats.org/markup-compatibility/2006" xmlns:a14="http://schemas.microsoft.com/office/drawing/2010/main">
      <mc:Choice Requires="a14">
        <xdr:graphicFrame macro="">
          <xdr:nvGraphicFramePr>
            <xdr:cNvPr id="53" name="Attrition Group">
              <a:extLst>
                <a:ext uri="{FF2B5EF4-FFF2-40B4-BE49-F238E27FC236}">
                  <a16:creationId xmlns:a16="http://schemas.microsoft.com/office/drawing/2014/main" id="{14FEF753-2687-B4C3-2A97-C4CAF37A9A53}"/>
                </a:ext>
              </a:extLst>
            </xdr:cNvPr>
            <xdr:cNvGraphicFramePr/>
          </xdr:nvGraphicFramePr>
          <xdr:xfrm>
            <a:off x="0" y="0"/>
            <a:ext cx="0" cy="0"/>
          </xdr:xfrm>
          <a:graphic>
            <a:graphicData uri="http://schemas.microsoft.com/office/drawing/2010/slicer">
              <sle:slicer xmlns:sle="http://schemas.microsoft.com/office/drawing/2010/slicer" name="Attrition Group"/>
            </a:graphicData>
          </a:graphic>
        </xdr:graphicFrame>
      </mc:Choice>
      <mc:Fallback xmlns="">
        <xdr:sp macro="" textlink="">
          <xdr:nvSpPr>
            <xdr:cNvPr id="0" name=""/>
            <xdr:cNvSpPr>
              <a:spLocks noTextEdit="1"/>
            </xdr:cNvSpPr>
          </xdr:nvSpPr>
          <xdr:spPr>
            <a:xfrm>
              <a:off x="11607800" y="0"/>
              <a:ext cx="4131946" cy="62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660400</xdr:colOff>
      <xdr:row>42</xdr:row>
      <xdr:rowOff>0</xdr:rowOff>
    </xdr:from>
    <xdr:to>
      <xdr:col>22</xdr:col>
      <xdr:colOff>165100</xdr:colOff>
      <xdr:row>43</xdr:row>
      <xdr:rowOff>114300</xdr:rowOff>
    </xdr:to>
    <xdr:sp macro="" textlink="">
      <xdr:nvSpPr>
        <xdr:cNvPr id="54" name="TextBox 53">
          <a:extLst>
            <a:ext uri="{FF2B5EF4-FFF2-40B4-BE49-F238E27FC236}">
              <a16:creationId xmlns:a16="http://schemas.microsoft.com/office/drawing/2014/main" id="{C4B81241-3051-1348-B50B-BE2CECFAA8FD}"/>
            </a:ext>
          </a:extLst>
        </xdr:cNvPr>
        <xdr:cNvSpPr txBox="1"/>
      </xdr:nvSpPr>
      <xdr:spPr>
        <a:xfrm>
          <a:off x="15519400" y="8534400"/>
          <a:ext cx="2806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lumMod val="85000"/>
                </a:schemeClr>
              </a:solidFill>
              <a:latin typeface="Garamond" panose="02020404030301010803" pitchFamily="18" charset="0"/>
            </a:rPr>
            <a:t>BY: MARIAM.</a:t>
          </a:r>
          <a:r>
            <a:rPr lang="en-US" sz="1200" b="0" baseline="0">
              <a:solidFill>
                <a:schemeClr val="bg1">
                  <a:lumMod val="85000"/>
                </a:schemeClr>
              </a:solidFill>
              <a:latin typeface="Garamond" panose="02020404030301010803" pitchFamily="18" charset="0"/>
            </a:rPr>
            <a:t> M .SAADUDEEN</a:t>
          </a:r>
        </a:p>
        <a:p>
          <a:endParaRPr lang="en-US"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127000</xdr:rowOff>
    </xdr:from>
    <xdr:to>
      <xdr:col>7</xdr:col>
      <xdr:colOff>38100</xdr:colOff>
      <xdr:row>19</xdr:row>
      <xdr:rowOff>177800</xdr:rowOff>
    </xdr:to>
    <xdr:sp macro="" textlink="">
      <xdr:nvSpPr>
        <xdr:cNvPr id="2" name="Rounded Rectangle 1">
          <a:extLst>
            <a:ext uri="{FF2B5EF4-FFF2-40B4-BE49-F238E27FC236}">
              <a16:creationId xmlns:a16="http://schemas.microsoft.com/office/drawing/2014/main" id="{68704426-B6E7-7547-B03C-74FCC7352F49}"/>
            </a:ext>
          </a:extLst>
        </xdr:cNvPr>
        <xdr:cNvSpPr/>
      </xdr:nvSpPr>
      <xdr:spPr>
        <a:xfrm>
          <a:off x="114300" y="127000"/>
          <a:ext cx="5702300" cy="3911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solidFill>
                <a:schemeClr val="bg1"/>
              </a:solidFill>
              <a:latin typeface="Arial" panose="020B0604020202020204" pitchFamily="34" charset="0"/>
              <a:cs typeface="Arial" panose="020B0604020202020204" pitchFamily="34" charset="0"/>
            </a:rPr>
            <a:t>Attrition by employees age group</a:t>
          </a:r>
          <a:br>
            <a:rPr lang="en-US" sz="1600" b="0" baseline="0">
              <a:solidFill>
                <a:schemeClr val="bg1"/>
              </a:solidFill>
              <a:latin typeface="Arial" panose="020B0604020202020204" pitchFamily="34" charset="0"/>
              <a:cs typeface="Arial" panose="020B0604020202020204" pitchFamily="34" charset="0"/>
            </a:rPr>
          </a:b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1. Employees between the age group "26-35" has the highest attrition rate in the company with a total of 109.</a:t>
          </a:r>
        </a:p>
        <a:p>
          <a:pPr algn="l"/>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2. The largest number of current employees in the company also falls between the age group of "26-35" with a total of 585. </a:t>
          </a:r>
          <a:br>
            <a:rPr lang="en-US" sz="1600" b="0" baseline="0">
              <a:solidFill>
                <a:schemeClr val="bg1"/>
              </a:solidFill>
              <a:latin typeface="Arial" panose="020B0604020202020204" pitchFamily="34" charset="0"/>
              <a:cs typeface="Arial" panose="020B0604020202020204" pitchFamily="34" charset="0"/>
            </a:rPr>
          </a:b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3. The age group with the second highest attrition rate are employees under the age group of "15-25"</a:t>
          </a:r>
          <a:br>
            <a:rPr lang="en-US" sz="1600" b="0" baseline="0">
              <a:solidFill>
                <a:schemeClr val="bg1"/>
              </a:solidFill>
              <a:latin typeface="Arial" panose="020B0604020202020204" pitchFamily="34" charset="0"/>
              <a:cs typeface="Arial" panose="020B0604020202020204" pitchFamily="34" charset="0"/>
            </a:rPr>
          </a:br>
          <a:br>
            <a:rPr lang="en-US" sz="1600" b="0" baseline="0">
              <a:solidFill>
                <a:schemeClr val="bg1"/>
              </a:solidFill>
              <a:latin typeface="Arial" panose="020B0604020202020204" pitchFamily="34" charset="0"/>
              <a:cs typeface="Arial" panose="020B0604020202020204" pitchFamily="34" charset="0"/>
            </a:rPr>
          </a:br>
          <a:r>
            <a:rPr lang="en-US" sz="1600" b="0" baseline="0">
              <a:solidFill>
                <a:schemeClr val="bg1"/>
              </a:solidFill>
              <a:latin typeface="Arial" panose="020B0604020202020204" pitchFamily="34" charset="0"/>
              <a:cs typeface="Arial" panose="020B0604020202020204" pitchFamily="34" charset="0"/>
            </a:rPr>
            <a:t>4. employees in the age group "56-65" has the lowest attrition rate as well as the lowest number of current employees.</a:t>
          </a:r>
          <a:endParaRPr lang="en-US" sz="16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279400</xdr:colOff>
      <xdr:row>0</xdr:row>
      <xdr:rowOff>139700</xdr:rowOff>
    </xdr:from>
    <xdr:to>
      <xdr:col>14</xdr:col>
      <xdr:colOff>76200</xdr:colOff>
      <xdr:row>19</xdr:row>
      <xdr:rowOff>152400</xdr:rowOff>
    </xdr:to>
    <xdr:sp macro="" textlink="">
      <xdr:nvSpPr>
        <xdr:cNvPr id="3" name="Rounded Rectangle 2">
          <a:extLst>
            <a:ext uri="{FF2B5EF4-FFF2-40B4-BE49-F238E27FC236}">
              <a16:creationId xmlns:a16="http://schemas.microsoft.com/office/drawing/2014/main" id="{5F6353A0-7BD7-2F41-97E5-B26DB363005A}"/>
            </a:ext>
          </a:extLst>
        </xdr:cNvPr>
        <xdr:cNvSpPr/>
      </xdr:nvSpPr>
      <xdr:spPr>
        <a:xfrm>
          <a:off x="6057900" y="139700"/>
          <a:ext cx="5575300" cy="3873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solidFill>
                <a:schemeClr val="bg1"/>
              </a:solidFill>
              <a:latin typeface="Arial" panose="020B0604020202020204" pitchFamily="34" charset="0"/>
              <a:cs typeface="Arial" panose="020B0604020202020204" pitchFamily="34" charset="0"/>
            </a:rPr>
            <a:t>Attrition by employees department </a:t>
          </a:r>
          <a:br>
            <a:rPr lang="en-US" sz="1400" b="0" baseline="0">
              <a:solidFill>
                <a:schemeClr val="bg1"/>
              </a:solidFill>
              <a:latin typeface="Arial" panose="020B0604020202020204" pitchFamily="34" charset="0"/>
              <a:cs typeface="Arial" panose="020B0604020202020204" pitchFamily="34" charset="0"/>
            </a:rPr>
          </a:br>
          <a:br>
            <a:rPr lang="en-US" sz="1400" b="1" baseline="0">
              <a:solidFill>
                <a:schemeClr val="bg1"/>
              </a:solidFill>
              <a:latin typeface="Arial" panose="020B0604020202020204" pitchFamily="34" charset="0"/>
              <a:cs typeface="Arial" panose="020B0604020202020204" pitchFamily="34" charset="0"/>
            </a:rPr>
          </a:br>
          <a:r>
            <a:rPr lang="en-US" sz="1600" b="1" baseline="0">
              <a:solidFill>
                <a:schemeClr val="bg1"/>
              </a:solidFill>
              <a:latin typeface="Arial" panose="020B0604020202020204" pitchFamily="34" charset="0"/>
              <a:cs typeface="Arial" panose="020B0604020202020204" pitchFamily="34" charset="0"/>
            </a:rPr>
            <a:t>1. the maternity department has the highest attrittion rate with a total of "698" as well as the highest current employees with a total of "98".</a:t>
          </a:r>
          <a:br>
            <a:rPr lang="en-US" sz="1600" b="1"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r>
            <a:rPr lang="en-US" sz="1600" b="1" baseline="0">
              <a:solidFill>
                <a:schemeClr val="bg1"/>
              </a:solidFill>
              <a:latin typeface="Arial" panose="020B0604020202020204" pitchFamily="34" charset="0"/>
              <a:cs typeface="Arial" panose="020B0604020202020204" pitchFamily="34" charset="0"/>
            </a:rPr>
            <a:t>2. the neurology department has the lowest attrition rate as well the lowest current employees with a total of "322" and "27" respectively.</a:t>
          </a:r>
        </a:p>
      </xdr:txBody>
    </xdr:sp>
    <xdr:clientData/>
  </xdr:twoCellAnchor>
  <xdr:twoCellAnchor>
    <xdr:from>
      <xdr:col>14</xdr:col>
      <xdr:colOff>254000</xdr:colOff>
      <xdr:row>0</xdr:row>
      <xdr:rowOff>50800</xdr:rowOff>
    </xdr:from>
    <xdr:to>
      <xdr:col>20</xdr:col>
      <xdr:colOff>736600</xdr:colOff>
      <xdr:row>21</xdr:row>
      <xdr:rowOff>76200</xdr:rowOff>
    </xdr:to>
    <xdr:sp macro="" textlink="">
      <xdr:nvSpPr>
        <xdr:cNvPr id="4" name="Rounded Rectangle 3">
          <a:extLst>
            <a:ext uri="{FF2B5EF4-FFF2-40B4-BE49-F238E27FC236}">
              <a16:creationId xmlns:a16="http://schemas.microsoft.com/office/drawing/2014/main" id="{69DF63B2-9663-0A4C-A1FC-1F9C16CEE9AF}"/>
            </a:ext>
          </a:extLst>
        </xdr:cNvPr>
        <xdr:cNvSpPr/>
      </xdr:nvSpPr>
      <xdr:spPr>
        <a:xfrm>
          <a:off x="11811000" y="50800"/>
          <a:ext cx="5435600" cy="4292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bg1"/>
              </a:solidFill>
              <a:latin typeface="Arial" panose="020B0604020202020204" pitchFamily="34" charset="0"/>
              <a:cs typeface="Arial" panose="020B0604020202020204" pitchFamily="34" charset="0"/>
            </a:rPr>
            <a:t>Attrition by employees marital status.</a:t>
          </a:r>
          <a:br>
            <a:rPr lang="en-US" sz="1600" b="1"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r>
            <a:rPr lang="en-US" sz="1600" b="1" baseline="0">
              <a:solidFill>
                <a:schemeClr val="bg1"/>
              </a:solidFill>
              <a:latin typeface="Arial" panose="020B0604020202020204" pitchFamily="34" charset="0"/>
              <a:cs typeface="Arial" panose="020B0604020202020204" pitchFamily="34" charset="0"/>
            </a:rPr>
            <a:t>1. majority of the current employees are married with a total of 718.</a:t>
          </a:r>
          <a:br>
            <a:rPr lang="en-US" sz="1600" b="1"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r>
            <a:rPr lang="en-US" sz="1600" b="1" baseline="0">
              <a:solidFill>
                <a:schemeClr val="bg1"/>
              </a:solidFill>
              <a:latin typeface="Arial" panose="020B0604020202020204" pitchFamily="34" charset="0"/>
              <a:cs typeface="Arial" panose="020B0604020202020204" pitchFamily="34" charset="0"/>
            </a:rPr>
            <a:t>2. single employees has the highest attrition rate with a total of 114.</a:t>
          </a:r>
          <a:br>
            <a:rPr lang="en-US" sz="1600" b="1"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r>
            <a:rPr lang="en-US" sz="1600" b="1" baseline="0">
              <a:solidFill>
                <a:schemeClr val="bg1"/>
              </a:solidFill>
              <a:latin typeface="Arial" panose="020B0604020202020204" pitchFamily="34" charset="0"/>
              <a:cs typeface="Arial" panose="020B0604020202020204" pitchFamily="34" charset="0"/>
            </a:rPr>
            <a:t>3. the singles has the second highest number of current employees with a total of 408. </a:t>
          </a:r>
          <a:br>
            <a:rPr lang="en-US" sz="1600" b="1"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r>
            <a:rPr lang="en-US" sz="1600" b="1" baseline="0">
              <a:solidFill>
                <a:schemeClr val="bg1"/>
              </a:solidFill>
              <a:latin typeface="Arial" panose="020B0604020202020204" pitchFamily="34" charset="0"/>
              <a:cs typeface="Arial" panose="020B0604020202020204" pitchFamily="34" charset="0"/>
            </a:rPr>
            <a:t>4. the divorced employees has the lowest attrition rate as well as the lowest number of current employee.</a:t>
          </a:r>
          <a:endParaRPr lang="en-US" sz="1600" b="0"/>
        </a:p>
      </xdr:txBody>
    </xdr:sp>
    <xdr:clientData/>
  </xdr:twoCellAnchor>
  <xdr:twoCellAnchor>
    <xdr:from>
      <xdr:col>0</xdr:col>
      <xdr:colOff>101600</xdr:colOff>
      <xdr:row>20</xdr:row>
      <xdr:rowOff>88900</xdr:rowOff>
    </xdr:from>
    <xdr:to>
      <xdr:col>7</xdr:col>
      <xdr:colOff>266700</xdr:colOff>
      <xdr:row>40</xdr:row>
      <xdr:rowOff>38100</xdr:rowOff>
    </xdr:to>
    <xdr:sp macro="" textlink="">
      <xdr:nvSpPr>
        <xdr:cNvPr id="5" name="Rounded Rectangle 4">
          <a:extLst>
            <a:ext uri="{FF2B5EF4-FFF2-40B4-BE49-F238E27FC236}">
              <a16:creationId xmlns:a16="http://schemas.microsoft.com/office/drawing/2014/main" id="{E2ADF5A8-E54A-1C46-822D-D6BD221D851D}"/>
            </a:ext>
          </a:extLst>
        </xdr:cNvPr>
        <xdr:cNvSpPr/>
      </xdr:nvSpPr>
      <xdr:spPr>
        <a:xfrm>
          <a:off x="101600" y="4152900"/>
          <a:ext cx="5943600" cy="4013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Arial" panose="020B0604020202020204" pitchFamily="34" charset="0"/>
              <a:cs typeface="Arial" panose="020B0604020202020204" pitchFamily="34" charset="0"/>
            </a:rPr>
            <a:t>Attrition</a:t>
          </a:r>
          <a:r>
            <a:rPr lang="en-US" sz="1800" b="1" baseline="0">
              <a:latin typeface="Arial" panose="020B0604020202020204" pitchFamily="34" charset="0"/>
              <a:cs typeface="Arial" panose="020B0604020202020204" pitchFamily="34" charset="0"/>
            </a:rPr>
            <a:t> by employee earnings</a:t>
          </a:r>
          <a:br>
            <a:rPr lang="en-US" sz="1800" b="1" baseline="0">
              <a:latin typeface="Arial" panose="020B0604020202020204" pitchFamily="34" charset="0"/>
              <a:cs typeface="Arial" panose="020B0604020202020204" pitchFamily="34" charset="0"/>
            </a:rPr>
          </a:br>
          <a:br>
            <a:rPr lang="en-US" sz="1800" b="1" baseline="0">
              <a:latin typeface="Arial" panose="020B0604020202020204" pitchFamily="34" charset="0"/>
              <a:cs typeface="Arial" panose="020B0604020202020204" pitchFamily="34" charset="0"/>
            </a:rPr>
          </a:br>
          <a:r>
            <a:rPr lang="en-US" sz="1600" b="1" baseline="0">
              <a:latin typeface="Arial" panose="020B0604020202020204" pitchFamily="34" charset="0"/>
              <a:cs typeface="Arial" panose="020B0604020202020204" pitchFamily="34" charset="0"/>
            </a:rPr>
            <a:t>1. </a:t>
          </a:r>
          <a:r>
            <a:rPr lang="en-US" sz="1600" b="0" baseline="0">
              <a:latin typeface="Arial" panose="020B0604020202020204" pitchFamily="34" charset="0"/>
              <a:cs typeface="Arial" panose="020B0604020202020204" pitchFamily="34" charset="0"/>
            </a:rPr>
            <a:t>majority of the current employees have a low salary with a total of 706 of them.</a:t>
          </a:r>
          <a:br>
            <a:rPr lang="en-US" sz="1600" b="0" baseline="0">
              <a:latin typeface="Arial" panose="020B0604020202020204" pitchFamily="34" charset="0"/>
              <a:cs typeface="Arial" panose="020B0604020202020204" pitchFamily="34" charset="0"/>
            </a:rPr>
          </a:br>
          <a:br>
            <a:rPr lang="en-US" sz="1600" b="0" baseline="0">
              <a:latin typeface="Arial" panose="020B0604020202020204" pitchFamily="34" charset="0"/>
              <a:cs typeface="Arial" panose="020B0604020202020204" pitchFamily="34" charset="0"/>
            </a:rPr>
          </a:br>
          <a:r>
            <a:rPr lang="en-US" sz="1600" b="0" baseline="0">
              <a:latin typeface="Arial" panose="020B0604020202020204" pitchFamily="34" charset="0"/>
              <a:cs typeface="Arial" panose="020B0604020202020204" pitchFamily="34" charset="0"/>
            </a:rPr>
            <a:t>2. only 218 employees currenly earn a high salary in the company.</a:t>
          </a:r>
          <a:br>
            <a:rPr lang="en-US" sz="1600" b="0" baseline="0">
              <a:latin typeface="Arial" panose="020B0604020202020204" pitchFamily="34" charset="0"/>
              <a:cs typeface="Arial" panose="020B0604020202020204" pitchFamily="34" charset="0"/>
            </a:rPr>
          </a:br>
          <a:br>
            <a:rPr lang="en-US" sz="1600" b="0" baseline="0">
              <a:latin typeface="Arial" panose="020B0604020202020204" pitchFamily="34" charset="0"/>
              <a:cs typeface="Arial" panose="020B0604020202020204" pitchFamily="34" charset="0"/>
            </a:rPr>
          </a:br>
          <a:r>
            <a:rPr lang="en-US" sz="1600" b="0" baseline="0">
              <a:latin typeface="Arial" panose="020B0604020202020204" pitchFamily="34" charset="0"/>
              <a:cs typeface="Arial" panose="020B0604020202020204" pitchFamily="34" charset="0"/>
            </a:rPr>
            <a:t>3. 553 employees currently earn a fairly good salaries.</a:t>
          </a:r>
          <a:br>
            <a:rPr lang="en-US" sz="1600" b="0" baseline="0">
              <a:latin typeface="Arial" panose="020B0604020202020204" pitchFamily="34" charset="0"/>
              <a:cs typeface="Arial" panose="020B0604020202020204" pitchFamily="34" charset="0"/>
            </a:rPr>
          </a:br>
          <a:br>
            <a:rPr lang="en-US" sz="1600" b="0" baseline="0">
              <a:latin typeface="Arial" panose="020B0604020202020204" pitchFamily="34" charset="0"/>
              <a:cs typeface="Arial" panose="020B0604020202020204" pitchFamily="34" charset="0"/>
            </a:rPr>
          </a:br>
          <a:r>
            <a:rPr lang="en-US" sz="1600" b="0" baseline="0">
              <a:latin typeface="Arial" panose="020B0604020202020204" pitchFamily="34" charset="0"/>
              <a:cs typeface="Arial" panose="020B0604020202020204" pitchFamily="34" charset="0"/>
            </a:rPr>
            <a:t>4. the male employee earn higher than the female employee.</a:t>
          </a:r>
          <a:endParaRPr lang="en-US" sz="1600" b="1">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317500</xdr:colOff>
      <xdr:row>0</xdr:row>
      <xdr:rowOff>139700</xdr:rowOff>
    </xdr:from>
    <xdr:to>
      <xdr:col>8</xdr:col>
      <xdr:colOff>457200</xdr:colOff>
      <xdr:row>38</xdr:row>
      <xdr:rowOff>127000</xdr:rowOff>
    </xdr:to>
    <xdr:sp macro="" textlink="">
      <xdr:nvSpPr>
        <xdr:cNvPr id="2" name="Rounded Rectangle 1">
          <a:extLst>
            <a:ext uri="{FF2B5EF4-FFF2-40B4-BE49-F238E27FC236}">
              <a16:creationId xmlns:a16="http://schemas.microsoft.com/office/drawing/2014/main" id="{B97C8AC8-6BBF-CF42-AE6D-6A2F2F412945}"/>
            </a:ext>
          </a:extLst>
        </xdr:cNvPr>
        <xdr:cNvSpPr/>
      </xdr:nvSpPr>
      <xdr:spPr>
        <a:xfrm>
          <a:off x="317500" y="139700"/>
          <a:ext cx="6743700" cy="7708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baseline="0">
              <a:solidFill>
                <a:schemeClr val="bg1"/>
              </a:solidFill>
              <a:latin typeface="Arial" panose="020B0604020202020204" pitchFamily="34" charset="0"/>
              <a:cs typeface="Arial" panose="020B0604020202020204" pitchFamily="34" charset="0"/>
            </a:rPr>
            <a:t>RECOMMENDATION</a:t>
          </a:r>
          <a:br>
            <a:rPr lang="en-US" sz="1600" b="1" baseline="0">
              <a:solidFill>
                <a:schemeClr val="bg1"/>
              </a:solidFill>
              <a:latin typeface="Arial" panose="020B0604020202020204" pitchFamily="34" charset="0"/>
              <a:cs typeface="Arial" panose="020B0604020202020204" pitchFamily="34" charset="0"/>
            </a:rPr>
          </a:br>
          <a:br>
            <a:rPr lang="en-US" sz="1600" b="1" baseline="0">
              <a:solidFill>
                <a:schemeClr val="bg1"/>
              </a:solidFill>
              <a:latin typeface="Arial" panose="020B0604020202020204" pitchFamily="34" charset="0"/>
              <a:cs typeface="Arial" panose="020B0604020202020204" pitchFamily="34" charset="0"/>
            </a:rPr>
          </a:br>
          <a:r>
            <a:rPr lang="en-US" sz="1600" b="1">
              <a:solidFill>
                <a:schemeClr val="lt1"/>
              </a:solidFill>
              <a:effectLst/>
              <a:latin typeface="Arial" panose="020B0604020202020204" pitchFamily="34" charset="0"/>
              <a:ea typeface="+mn-ea"/>
              <a:cs typeface="Arial" panose="020B0604020202020204" pitchFamily="34" charset="0"/>
            </a:rPr>
            <a:t>Address Work-Life Balance Issues</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Implement flexible work arrangements (remote/hybrid, flexible hours).</a:t>
          </a:r>
        </a:p>
        <a:p>
          <a:pPr lvl="1"/>
          <a:r>
            <a:rPr lang="en-US" sz="1600">
              <a:solidFill>
                <a:schemeClr val="lt1"/>
              </a:solidFill>
              <a:effectLst/>
              <a:latin typeface="Arial" panose="020B0604020202020204" pitchFamily="34" charset="0"/>
              <a:ea typeface="+mn-ea"/>
              <a:cs typeface="Arial" panose="020B0604020202020204" pitchFamily="34" charset="0"/>
            </a:rPr>
            <a:t>Monitor overtime and redistribute workloads to reduce burnout.</a:t>
          </a:r>
        </a:p>
        <a:p>
          <a:r>
            <a:rPr lang="en-US" sz="1600" b="1">
              <a:solidFill>
                <a:schemeClr val="lt1"/>
              </a:solidFill>
              <a:effectLst/>
              <a:latin typeface="Arial" panose="020B0604020202020204" pitchFamily="34" charset="0"/>
              <a:ea typeface="+mn-ea"/>
              <a:cs typeface="Arial" panose="020B0604020202020204" pitchFamily="34" charset="0"/>
            </a:rPr>
            <a:t>Enhance Employee Engagement &amp; Satisfaction</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Conduct regular pulse surveys to capture employee sentiment.</a:t>
          </a:r>
        </a:p>
        <a:p>
          <a:pPr lvl="1"/>
          <a:r>
            <a:rPr lang="en-US" sz="1600">
              <a:solidFill>
                <a:schemeClr val="lt1"/>
              </a:solidFill>
              <a:effectLst/>
              <a:latin typeface="Arial" panose="020B0604020202020204" pitchFamily="34" charset="0"/>
              <a:ea typeface="+mn-ea"/>
              <a:cs typeface="Arial" panose="020B0604020202020204" pitchFamily="34" charset="0"/>
            </a:rPr>
            <a:t>Improve environment satisfaction by fostering a positive workplace culture.</a:t>
          </a:r>
        </a:p>
        <a:p>
          <a:r>
            <a:rPr lang="en-US" sz="1600" b="1">
              <a:solidFill>
                <a:schemeClr val="lt1"/>
              </a:solidFill>
              <a:effectLst/>
              <a:latin typeface="Arial" panose="020B0604020202020204" pitchFamily="34" charset="0"/>
              <a:ea typeface="+mn-ea"/>
              <a:cs typeface="Arial" panose="020B0604020202020204" pitchFamily="34" charset="0"/>
            </a:rPr>
            <a:t>Career Growth &amp; Development</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Provide structured career progression paths.</a:t>
          </a:r>
        </a:p>
        <a:p>
          <a:pPr lvl="1"/>
          <a:r>
            <a:rPr lang="en-US" sz="1600">
              <a:solidFill>
                <a:schemeClr val="lt1"/>
              </a:solidFill>
              <a:effectLst/>
              <a:latin typeface="Arial" panose="020B0604020202020204" pitchFamily="34" charset="0"/>
              <a:ea typeface="+mn-ea"/>
              <a:cs typeface="Arial" panose="020B0604020202020204" pitchFamily="34" charset="0"/>
            </a:rPr>
            <a:t>Offer mentorship programs and leadership development for mid-level employees.</a:t>
          </a:r>
        </a:p>
        <a:p>
          <a:pPr lvl="1"/>
          <a:r>
            <a:rPr lang="en-US" sz="1600">
              <a:solidFill>
                <a:schemeClr val="lt1"/>
              </a:solidFill>
              <a:effectLst/>
              <a:latin typeface="Arial" panose="020B0604020202020204" pitchFamily="34" charset="0"/>
              <a:ea typeface="+mn-ea"/>
              <a:cs typeface="Arial" panose="020B0604020202020204" pitchFamily="34" charset="0"/>
            </a:rPr>
            <a:t>Increase access to training and certifications to improve job involvement.</a:t>
          </a:r>
        </a:p>
        <a:p>
          <a:r>
            <a:rPr lang="en-US" sz="1600" b="1">
              <a:solidFill>
                <a:schemeClr val="lt1"/>
              </a:solidFill>
              <a:effectLst/>
              <a:latin typeface="Arial" panose="020B0604020202020204" pitchFamily="34" charset="0"/>
              <a:ea typeface="+mn-ea"/>
              <a:cs typeface="Arial" panose="020B0604020202020204" pitchFamily="34" charset="0"/>
            </a:rPr>
            <a:t>Compensation &amp; Benefits Review</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Benchmark salaries against industry standards and adjust where necessary.</a:t>
          </a:r>
        </a:p>
        <a:p>
          <a:pPr lvl="1"/>
          <a:r>
            <a:rPr lang="en-US" sz="1600">
              <a:solidFill>
                <a:schemeClr val="lt1"/>
              </a:solidFill>
              <a:effectLst/>
              <a:latin typeface="Arial" panose="020B0604020202020204" pitchFamily="34" charset="0"/>
              <a:ea typeface="+mn-ea"/>
              <a:cs typeface="Arial" panose="020B0604020202020204" pitchFamily="34" charset="0"/>
            </a:rPr>
            <a:t>Introduce retention bonuses or performance-linked incentives.</a:t>
          </a:r>
        </a:p>
        <a:p>
          <a:r>
            <a:rPr lang="en-US" sz="1600" b="1">
              <a:solidFill>
                <a:schemeClr val="lt1"/>
              </a:solidFill>
              <a:effectLst/>
              <a:latin typeface="Arial" panose="020B0604020202020204" pitchFamily="34" charset="0"/>
              <a:ea typeface="+mn-ea"/>
              <a:cs typeface="Arial" panose="020B0604020202020204" pitchFamily="34" charset="0"/>
            </a:rPr>
            <a:t>Managerial &amp; Leadership Improvements</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Train managers on people management and employee motivation.</a:t>
          </a:r>
        </a:p>
        <a:p>
          <a:pPr lvl="1"/>
          <a:r>
            <a:rPr lang="en-US" sz="1600">
              <a:solidFill>
                <a:schemeClr val="lt1"/>
              </a:solidFill>
              <a:effectLst/>
              <a:latin typeface="Arial" panose="020B0604020202020204" pitchFamily="34" charset="0"/>
              <a:ea typeface="+mn-ea"/>
              <a:cs typeface="Arial" panose="020B0604020202020204" pitchFamily="34" charset="0"/>
            </a:rPr>
            <a:t>Encourage open communication and regular feedback sessions.</a:t>
          </a:r>
        </a:p>
        <a:p>
          <a:pPr algn="l"/>
          <a:endParaRPr lang="en-US" sz="16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152400</xdr:colOff>
      <xdr:row>1</xdr:row>
      <xdr:rowOff>0</xdr:rowOff>
    </xdr:from>
    <xdr:to>
      <xdr:col>18</xdr:col>
      <xdr:colOff>215900</xdr:colOff>
      <xdr:row>36</xdr:row>
      <xdr:rowOff>114300</xdr:rowOff>
    </xdr:to>
    <xdr:sp macro="" textlink="">
      <xdr:nvSpPr>
        <xdr:cNvPr id="3" name="Rounded Rectangle 2">
          <a:extLst>
            <a:ext uri="{FF2B5EF4-FFF2-40B4-BE49-F238E27FC236}">
              <a16:creationId xmlns:a16="http://schemas.microsoft.com/office/drawing/2014/main" id="{A1C7882D-5B1B-7A42-869B-E8CEE57C5EBA}"/>
            </a:ext>
          </a:extLst>
        </xdr:cNvPr>
        <xdr:cNvSpPr/>
      </xdr:nvSpPr>
      <xdr:spPr>
        <a:xfrm>
          <a:off x="8407400" y="203200"/>
          <a:ext cx="6667500" cy="722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lt1"/>
              </a:solidFill>
              <a:effectLst/>
              <a:latin typeface="Arial" panose="020B0604020202020204" pitchFamily="34" charset="0"/>
              <a:ea typeface="+mn-ea"/>
              <a:cs typeface="Arial" panose="020B0604020202020204" pitchFamily="34" charset="0"/>
            </a:rPr>
            <a:t>Recommendations to Improve Operations</a:t>
          </a:r>
          <a:endParaRPr lang="en-US" sz="1600">
            <a:solidFill>
              <a:schemeClr val="lt1"/>
            </a:solidFill>
            <a:effectLst/>
            <a:latin typeface="Arial" panose="020B0604020202020204" pitchFamily="34" charset="0"/>
            <a:ea typeface="+mn-ea"/>
            <a:cs typeface="Arial" panose="020B0604020202020204" pitchFamily="34" charset="0"/>
          </a:endParaRPr>
        </a:p>
        <a:p>
          <a:r>
            <a:rPr lang="en-US" sz="1600" b="1">
              <a:solidFill>
                <a:schemeClr val="lt1"/>
              </a:solidFill>
              <a:effectLst/>
              <a:latin typeface="Arial" panose="020B0604020202020204" pitchFamily="34" charset="0"/>
              <a:ea typeface="+mn-ea"/>
              <a:cs typeface="Arial" panose="020B0604020202020204" pitchFamily="34" charset="0"/>
            </a:rPr>
            <a:t>Optimize Recruitment &amp; Onboarding</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Use predictive analytics to identify candidates likely to stay long-term.</a:t>
          </a:r>
        </a:p>
        <a:p>
          <a:pPr lvl="1"/>
          <a:r>
            <a:rPr lang="en-US" sz="1600">
              <a:solidFill>
                <a:schemeClr val="lt1"/>
              </a:solidFill>
              <a:effectLst/>
              <a:latin typeface="Arial" panose="020B0604020202020204" pitchFamily="34" charset="0"/>
              <a:ea typeface="+mn-ea"/>
              <a:cs typeface="Arial" panose="020B0604020202020204" pitchFamily="34" charset="0"/>
            </a:rPr>
            <a:t>Enhance onboarding programs to ensure cultural alignment and job readiness.</a:t>
          </a:r>
        </a:p>
        <a:p>
          <a:r>
            <a:rPr lang="en-US" sz="1600" b="1">
              <a:solidFill>
                <a:schemeClr val="lt1"/>
              </a:solidFill>
              <a:effectLst/>
              <a:latin typeface="Arial" panose="020B0604020202020204" pitchFamily="34" charset="0"/>
              <a:ea typeface="+mn-ea"/>
              <a:cs typeface="Arial" panose="020B0604020202020204" pitchFamily="34" charset="0"/>
            </a:rPr>
            <a:t>Monitor Key Metrics Continuously</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Track attrition by department, role, and tenure to spot early warning signs.</a:t>
          </a:r>
        </a:p>
        <a:p>
          <a:pPr lvl="1"/>
          <a:r>
            <a:rPr lang="en-US" sz="1600">
              <a:solidFill>
                <a:schemeClr val="lt1"/>
              </a:solidFill>
              <a:effectLst/>
              <a:latin typeface="Arial" panose="020B0604020202020204" pitchFamily="34" charset="0"/>
              <a:ea typeface="+mn-ea"/>
              <a:cs typeface="Arial" panose="020B0604020202020204" pitchFamily="34" charset="0"/>
            </a:rPr>
            <a:t>Build predictive attrition models to intervene before resignations occur.</a:t>
          </a:r>
        </a:p>
        <a:p>
          <a:r>
            <a:rPr lang="en-US" sz="1600" b="1">
              <a:solidFill>
                <a:schemeClr val="lt1"/>
              </a:solidFill>
              <a:effectLst/>
              <a:latin typeface="Arial" panose="020B0604020202020204" pitchFamily="34" charset="0"/>
              <a:ea typeface="+mn-ea"/>
              <a:cs typeface="Arial" panose="020B0604020202020204" pitchFamily="34" charset="0"/>
            </a:rPr>
            <a:t>Employee Rotation &amp; Job Design</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Rotate employees across roles to reduce monotony and build multi-skill capability.</a:t>
          </a:r>
        </a:p>
        <a:p>
          <a:pPr lvl="1"/>
          <a:r>
            <a:rPr lang="en-US" sz="1600">
              <a:solidFill>
                <a:schemeClr val="lt1"/>
              </a:solidFill>
              <a:effectLst/>
              <a:latin typeface="Arial" panose="020B0604020202020204" pitchFamily="34" charset="0"/>
              <a:ea typeface="+mn-ea"/>
              <a:cs typeface="Arial" panose="020B0604020202020204" pitchFamily="34" charset="0"/>
            </a:rPr>
            <a:t>Redesign high-attrition roles with clearer responsibilities and support systems.</a:t>
          </a:r>
        </a:p>
        <a:p>
          <a:r>
            <a:rPr lang="en-US" sz="1600" b="1">
              <a:solidFill>
                <a:schemeClr val="lt1"/>
              </a:solidFill>
              <a:effectLst/>
              <a:latin typeface="Arial" panose="020B0604020202020204" pitchFamily="34" charset="0"/>
              <a:ea typeface="+mn-ea"/>
              <a:cs typeface="Arial" panose="020B0604020202020204" pitchFamily="34" charset="0"/>
            </a:rPr>
            <a:t>Improve Internal Communication</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Establish regular townhalls, feedback channels, and transparent communication.</a:t>
          </a:r>
        </a:p>
        <a:p>
          <a:pPr lvl="1"/>
          <a:r>
            <a:rPr lang="en-US" sz="1600">
              <a:solidFill>
                <a:schemeClr val="lt1"/>
              </a:solidFill>
              <a:effectLst/>
              <a:latin typeface="Arial" panose="020B0604020202020204" pitchFamily="34" charset="0"/>
              <a:ea typeface="+mn-ea"/>
              <a:cs typeface="Arial" panose="020B0604020202020204" pitchFamily="34" charset="0"/>
            </a:rPr>
            <a:t>Recognize and reward employees publicly to boost morale.</a:t>
          </a:r>
        </a:p>
        <a:p>
          <a:r>
            <a:rPr lang="en-US" sz="1600" b="1">
              <a:solidFill>
                <a:schemeClr val="lt1"/>
              </a:solidFill>
              <a:effectLst/>
              <a:latin typeface="Arial" panose="020B0604020202020204" pitchFamily="34" charset="0"/>
              <a:ea typeface="+mn-ea"/>
              <a:cs typeface="Arial" panose="020B0604020202020204" pitchFamily="34" charset="0"/>
            </a:rPr>
            <a:t>Leverage Data-Driven HR Strategies</a:t>
          </a:r>
          <a:endParaRPr lang="en-US" sz="1600">
            <a:solidFill>
              <a:schemeClr val="lt1"/>
            </a:solidFill>
            <a:effectLst/>
            <a:latin typeface="Arial" panose="020B0604020202020204" pitchFamily="34" charset="0"/>
            <a:ea typeface="+mn-ea"/>
            <a:cs typeface="Arial" panose="020B0604020202020204" pitchFamily="34" charset="0"/>
          </a:endParaRPr>
        </a:p>
        <a:p>
          <a:pPr lvl="1"/>
          <a:r>
            <a:rPr lang="en-US" sz="1600">
              <a:solidFill>
                <a:schemeClr val="lt1"/>
              </a:solidFill>
              <a:effectLst/>
              <a:latin typeface="Arial" panose="020B0604020202020204" pitchFamily="34" charset="0"/>
              <a:ea typeface="+mn-ea"/>
              <a:cs typeface="Arial" panose="020B0604020202020204" pitchFamily="34" charset="0"/>
            </a:rPr>
            <a:t>Use the dashboard to identify high-risk employee segments (e.g., overtime workers, low satisfaction scores).</a:t>
          </a:r>
        </a:p>
        <a:p>
          <a:pPr lvl="1"/>
          <a:r>
            <a:rPr lang="en-US" sz="1600">
              <a:solidFill>
                <a:schemeClr val="lt1"/>
              </a:solidFill>
              <a:effectLst/>
              <a:latin typeface="Arial" panose="020B0604020202020204" pitchFamily="34" charset="0"/>
              <a:ea typeface="+mn-ea"/>
              <a:cs typeface="Arial" panose="020B0604020202020204" pitchFamily="34" charset="0"/>
            </a:rPr>
            <a:t>Implement targeted interventions (personalized career plans, wellbeing initiatives).</a:t>
          </a:r>
        </a:p>
        <a:p>
          <a:br>
            <a:rPr lang="en-US" sz="1600">
              <a:solidFill>
                <a:schemeClr val="lt1"/>
              </a:solidFill>
              <a:effectLst/>
              <a:latin typeface="Arial" panose="020B0604020202020204" pitchFamily="34" charset="0"/>
              <a:ea typeface="+mn-ea"/>
              <a:cs typeface="Arial" panose="020B0604020202020204" pitchFamily="34" charset="0"/>
            </a:rPr>
          </a:br>
          <a:endParaRPr lang="en-US" sz="1600">
            <a:solidFill>
              <a:schemeClr val="lt1"/>
            </a:solidFill>
            <a:effectLst/>
            <a:latin typeface="Arial" panose="020B0604020202020204" pitchFamily="34" charset="0"/>
            <a:ea typeface="+mn-ea"/>
            <a:cs typeface="Arial" panose="020B0604020202020204" pitchFamily="34" charset="0"/>
          </a:endParaRPr>
        </a:p>
        <a:p>
          <a:pPr algn="l"/>
          <a:endParaRPr lang="en-US" sz="1600" b="1" baseline="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25400</xdr:colOff>
      <xdr:row>12</xdr:row>
      <xdr:rowOff>120650</xdr:rowOff>
    </xdr:from>
    <xdr:to>
      <xdr:col>3</xdr:col>
      <xdr:colOff>381000</xdr:colOff>
      <xdr:row>22</xdr:row>
      <xdr:rowOff>165100</xdr:rowOff>
    </xdr:to>
    <xdr:graphicFrame macro="">
      <xdr:nvGraphicFramePr>
        <xdr:cNvPr id="2" name="Chart 1">
          <a:extLst>
            <a:ext uri="{FF2B5EF4-FFF2-40B4-BE49-F238E27FC236}">
              <a16:creationId xmlns:a16="http://schemas.microsoft.com/office/drawing/2014/main" id="{D9C11B17-0239-8CA5-7746-8F10A6DE2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527050</xdr:colOff>
      <xdr:row>11</xdr:row>
      <xdr:rowOff>44450</xdr:rowOff>
    </xdr:from>
    <xdr:to>
      <xdr:col>8</xdr:col>
      <xdr:colOff>393700</xdr:colOff>
      <xdr:row>21</xdr:row>
      <xdr:rowOff>88900</xdr:rowOff>
    </xdr:to>
    <xdr:graphicFrame macro="">
      <xdr:nvGraphicFramePr>
        <xdr:cNvPr id="3" name="Chart 2">
          <a:extLst>
            <a:ext uri="{FF2B5EF4-FFF2-40B4-BE49-F238E27FC236}">
              <a16:creationId xmlns:a16="http://schemas.microsoft.com/office/drawing/2014/main" id="{48DBB4F4-9E17-4950-72EB-96CF922F8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76200</xdr:colOff>
      <xdr:row>11</xdr:row>
      <xdr:rowOff>177800</xdr:rowOff>
    </xdr:from>
    <xdr:to>
      <xdr:col>12</xdr:col>
      <xdr:colOff>38100</xdr:colOff>
      <xdr:row>27</xdr:row>
      <xdr:rowOff>57150</xdr:rowOff>
    </xdr:to>
    <xdr:graphicFrame macro="">
      <xdr:nvGraphicFramePr>
        <xdr:cNvPr id="2" name="Chart 1">
          <a:extLst>
            <a:ext uri="{FF2B5EF4-FFF2-40B4-BE49-F238E27FC236}">
              <a16:creationId xmlns:a16="http://schemas.microsoft.com/office/drawing/2014/main" id="{EBA1A89F-1349-D7D7-6729-5990B5ABF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11</xdr:row>
      <xdr:rowOff>177800</xdr:rowOff>
    </xdr:from>
    <xdr:to>
      <xdr:col>12</xdr:col>
      <xdr:colOff>38100</xdr:colOff>
      <xdr:row>27</xdr:row>
      <xdr:rowOff>57150</xdr:rowOff>
    </xdr:to>
    <xdr:graphicFrame macro="">
      <xdr:nvGraphicFramePr>
        <xdr:cNvPr id="2" name="Chart 1">
          <a:extLst>
            <a:ext uri="{FF2B5EF4-FFF2-40B4-BE49-F238E27FC236}">
              <a16:creationId xmlns:a16="http://schemas.microsoft.com/office/drawing/2014/main" id="{9A40E951-0EA8-0648-875F-9EE58F9C4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393700</xdr:colOff>
      <xdr:row>11</xdr:row>
      <xdr:rowOff>177800</xdr:rowOff>
    </xdr:from>
    <xdr:to>
      <xdr:col>11</xdr:col>
      <xdr:colOff>533400</xdr:colOff>
      <xdr:row>27</xdr:row>
      <xdr:rowOff>57150</xdr:rowOff>
    </xdr:to>
    <xdr:graphicFrame macro="">
      <xdr:nvGraphicFramePr>
        <xdr:cNvPr id="2" name="Chart 1">
          <a:extLst>
            <a:ext uri="{FF2B5EF4-FFF2-40B4-BE49-F238E27FC236}">
              <a16:creationId xmlns:a16="http://schemas.microsoft.com/office/drawing/2014/main" id="{8AEE5913-CB96-C344-92CB-B80212D47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393700</xdr:colOff>
      <xdr:row>11</xdr:row>
      <xdr:rowOff>177800</xdr:rowOff>
    </xdr:from>
    <xdr:to>
      <xdr:col>12</xdr:col>
      <xdr:colOff>38100</xdr:colOff>
      <xdr:row>27</xdr:row>
      <xdr:rowOff>57150</xdr:rowOff>
    </xdr:to>
    <xdr:graphicFrame macro="">
      <xdr:nvGraphicFramePr>
        <xdr:cNvPr id="2" name="Chart 1">
          <a:extLst>
            <a:ext uri="{FF2B5EF4-FFF2-40B4-BE49-F238E27FC236}">
              <a16:creationId xmlns:a16="http://schemas.microsoft.com/office/drawing/2014/main" id="{CF037C19-41D4-3A48-86AB-5E6E7972C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596900</xdr:colOff>
      <xdr:row>13</xdr:row>
      <xdr:rowOff>158750</xdr:rowOff>
    </xdr:from>
    <xdr:to>
      <xdr:col>6</xdr:col>
      <xdr:colOff>660400</xdr:colOff>
      <xdr:row>27</xdr:row>
      <xdr:rowOff>57150</xdr:rowOff>
    </xdr:to>
    <xdr:graphicFrame macro="">
      <xdr:nvGraphicFramePr>
        <xdr:cNvPr id="3" name="Chart 2">
          <a:extLst>
            <a:ext uri="{FF2B5EF4-FFF2-40B4-BE49-F238E27FC236}">
              <a16:creationId xmlns:a16="http://schemas.microsoft.com/office/drawing/2014/main" id="{F68913F4-6D8D-D3F4-3483-B5AB9AA87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596900</xdr:colOff>
      <xdr:row>13</xdr:row>
      <xdr:rowOff>158750</xdr:rowOff>
    </xdr:from>
    <xdr:to>
      <xdr:col>6</xdr:col>
      <xdr:colOff>660400</xdr:colOff>
      <xdr:row>27</xdr:row>
      <xdr:rowOff>57150</xdr:rowOff>
    </xdr:to>
    <xdr:graphicFrame macro="">
      <xdr:nvGraphicFramePr>
        <xdr:cNvPr id="2" name="Chart 1">
          <a:extLst>
            <a:ext uri="{FF2B5EF4-FFF2-40B4-BE49-F238E27FC236}">
              <a16:creationId xmlns:a16="http://schemas.microsoft.com/office/drawing/2014/main" id="{AD757515-0C3C-F845-97DD-B2EBE13C5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596900</xdr:colOff>
      <xdr:row>13</xdr:row>
      <xdr:rowOff>158750</xdr:rowOff>
    </xdr:from>
    <xdr:to>
      <xdr:col>6</xdr:col>
      <xdr:colOff>660400</xdr:colOff>
      <xdr:row>27</xdr:row>
      <xdr:rowOff>57150</xdr:rowOff>
    </xdr:to>
    <xdr:graphicFrame macro="">
      <xdr:nvGraphicFramePr>
        <xdr:cNvPr id="2" name="Chart 1">
          <a:extLst>
            <a:ext uri="{FF2B5EF4-FFF2-40B4-BE49-F238E27FC236}">
              <a16:creationId xmlns:a16="http://schemas.microsoft.com/office/drawing/2014/main" id="{AB1592B0-ADCC-8549-943D-EE6B40D01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444500</xdr:colOff>
      <xdr:row>8</xdr:row>
      <xdr:rowOff>44450</xdr:rowOff>
    </xdr:from>
    <xdr:to>
      <xdr:col>6</xdr:col>
      <xdr:colOff>508000</xdr:colOff>
      <xdr:row>25</xdr:row>
      <xdr:rowOff>38100</xdr:rowOff>
    </xdr:to>
    <xdr:graphicFrame macro="">
      <xdr:nvGraphicFramePr>
        <xdr:cNvPr id="2" name="Chart 1">
          <a:extLst>
            <a:ext uri="{FF2B5EF4-FFF2-40B4-BE49-F238E27FC236}">
              <a16:creationId xmlns:a16="http://schemas.microsoft.com/office/drawing/2014/main" id="{F58382BF-0AC5-2540-B89C-0A67B2FCE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adudeen" refreshedDate="45921.801629513888" createdVersion="8" refreshedVersion="8" minRefreshableVersion="3" recordCount="1676" xr:uid="{E4B9DA68-C3D4-454F-9E56-DF322213892D}">
  <cacheSource type="worksheet">
    <worksheetSource name="Table1"/>
  </cacheSource>
  <cacheFields count="41">
    <cacheField name="EmployeeID" numFmtId="0">
      <sharedItems containsSemiMixedTypes="0" containsString="0" containsNumber="1" containsInteger="1" minValue="1025177" maxValue="1886378"/>
    </cacheField>
    <cacheField name="Age" numFmtId="0">
      <sharedItems containsSemiMixedTypes="0" containsString="0" containsNumber="1" containsInteger="1" minValue="18" maxValue="60"/>
    </cacheField>
    <cacheField name="Age Group" numFmtId="0">
      <sharedItems count="5">
        <s v="36-45"/>
        <s v="46-55"/>
        <s v="26-35"/>
        <s v="56-65"/>
        <s v="15-25"/>
      </sharedItems>
    </cacheField>
    <cacheField name="Attrition" numFmtId="0">
      <sharedItems/>
    </cacheField>
    <cacheField name="Attrition Group" numFmtId="0">
      <sharedItems count="2">
        <s v="Current Employee"/>
        <s v="Former Employee"/>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Cardiology"/>
        <s v="Maternity"/>
        <s v="Neurology"/>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Job Satisfaction rating" numFmtId="0">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Salary Group" numFmtId="0">
      <sharedItems count="3">
        <s v="Good Salary"/>
        <s v="Low Salary"/>
        <s v="High Salary"/>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Performance Group" numFmtId="0">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hift"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LB Group"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43342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6">
  <r>
    <n v="1313919"/>
    <n v="41"/>
    <x v="0"/>
    <s v="No"/>
    <x v="0"/>
    <x v="0"/>
    <n v="1102"/>
    <x v="0"/>
    <n v="1"/>
    <n v="2"/>
    <x v="0"/>
    <n v="1"/>
    <n v="2"/>
    <x v="0"/>
    <n v="94"/>
    <n v="3"/>
    <n v="2"/>
    <s v="Nurse"/>
    <n v="4"/>
    <s v="Good"/>
    <x v="0"/>
    <n v="5993"/>
    <x v="0"/>
    <n v="19479"/>
    <n v="8"/>
    <s v="Y"/>
    <s v="Yes"/>
    <n v="11"/>
    <x v="0"/>
    <s v="Low Performance"/>
    <n v="1"/>
    <n v="80"/>
    <n v="0"/>
    <n v="8"/>
    <n v="0"/>
    <n v="1"/>
    <s v="Poor"/>
    <n v="6"/>
    <n v="4"/>
    <n v="0"/>
    <n v="5"/>
  </r>
  <r>
    <n v="1200302"/>
    <n v="49"/>
    <x v="1"/>
    <s v="No"/>
    <x v="0"/>
    <x v="1"/>
    <n v="279"/>
    <x v="1"/>
    <n v="8"/>
    <n v="1"/>
    <x v="0"/>
    <n v="1"/>
    <n v="3"/>
    <x v="1"/>
    <n v="61"/>
    <n v="2"/>
    <n v="2"/>
    <s v="Other"/>
    <n v="2"/>
    <s v="Poor"/>
    <x v="1"/>
    <n v="5130"/>
    <x v="0"/>
    <n v="24907"/>
    <n v="1"/>
    <s v="Y"/>
    <s v="No"/>
    <n v="23"/>
    <x v="1"/>
    <s v="High Performance"/>
    <n v="4"/>
    <n v="80"/>
    <n v="1"/>
    <n v="10"/>
    <n v="3"/>
    <n v="3"/>
    <s v="Fair"/>
    <n v="10"/>
    <n v="7"/>
    <n v="1"/>
    <n v="7"/>
  </r>
  <r>
    <n v="1060315"/>
    <n v="37"/>
    <x v="0"/>
    <s v="Yes"/>
    <x v="1"/>
    <x v="0"/>
    <n v="1373"/>
    <x v="1"/>
    <n v="2"/>
    <n v="2"/>
    <x v="1"/>
    <n v="1"/>
    <n v="4"/>
    <x v="1"/>
    <n v="92"/>
    <n v="2"/>
    <n v="1"/>
    <s v="Nurse"/>
    <n v="3"/>
    <s v="Fair"/>
    <x v="0"/>
    <n v="2090"/>
    <x v="1"/>
    <n v="2396"/>
    <n v="6"/>
    <s v="Y"/>
    <s v="Yes"/>
    <n v="15"/>
    <x v="0"/>
    <s v="Low Performance"/>
    <n v="2"/>
    <n v="80"/>
    <n v="0"/>
    <n v="7"/>
    <n v="3"/>
    <n v="3"/>
    <s v="Fair"/>
    <n v="0"/>
    <n v="0"/>
    <n v="0"/>
    <n v="0"/>
  </r>
  <r>
    <n v="1272912"/>
    <n v="33"/>
    <x v="2"/>
    <s v="No"/>
    <x v="0"/>
    <x v="1"/>
    <n v="1392"/>
    <x v="1"/>
    <n v="3"/>
    <n v="4"/>
    <x v="0"/>
    <n v="1"/>
    <n v="4"/>
    <x v="0"/>
    <n v="56"/>
    <n v="3"/>
    <n v="1"/>
    <s v="Other"/>
    <n v="3"/>
    <s v="Fair"/>
    <x v="1"/>
    <n v="2909"/>
    <x v="1"/>
    <n v="23159"/>
    <n v="1"/>
    <s v="Y"/>
    <s v="Yes"/>
    <n v="11"/>
    <x v="0"/>
    <s v="Low Performance"/>
    <n v="3"/>
    <n v="80"/>
    <n v="0"/>
    <n v="8"/>
    <n v="3"/>
    <n v="3"/>
    <s v="Fair"/>
    <n v="8"/>
    <n v="7"/>
    <n v="3"/>
    <n v="0"/>
  </r>
  <r>
    <n v="1414939"/>
    <n v="27"/>
    <x v="2"/>
    <s v="No"/>
    <x v="0"/>
    <x v="0"/>
    <n v="591"/>
    <x v="1"/>
    <n v="2"/>
    <n v="1"/>
    <x v="2"/>
    <n v="1"/>
    <n v="1"/>
    <x v="1"/>
    <n v="40"/>
    <n v="3"/>
    <n v="1"/>
    <s v="Nurse"/>
    <n v="2"/>
    <s v="Poor"/>
    <x v="1"/>
    <n v="3468"/>
    <x v="1"/>
    <n v="16632"/>
    <n v="9"/>
    <s v="Y"/>
    <s v="No"/>
    <n v="12"/>
    <x v="0"/>
    <s v="Low Performance"/>
    <n v="4"/>
    <n v="80"/>
    <n v="1"/>
    <n v="6"/>
    <n v="3"/>
    <n v="3"/>
    <s v="Fair"/>
    <n v="2"/>
    <n v="2"/>
    <n v="2"/>
    <n v="2"/>
  </r>
  <r>
    <n v="1633361"/>
    <n v="32"/>
    <x v="2"/>
    <s v="No"/>
    <x v="0"/>
    <x v="1"/>
    <n v="1005"/>
    <x v="1"/>
    <n v="2"/>
    <n v="2"/>
    <x v="0"/>
    <n v="1"/>
    <n v="4"/>
    <x v="1"/>
    <n v="79"/>
    <n v="3"/>
    <n v="1"/>
    <s v="Nurse"/>
    <n v="4"/>
    <s v="Good"/>
    <x v="0"/>
    <n v="3068"/>
    <x v="1"/>
    <n v="11864"/>
    <n v="0"/>
    <s v="Y"/>
    <s v="No"/>
    <n v="13"/>
    <x v="0"/>
    <s v="Low Performance"/>
    <n v="3"/>
    <n v="80"/>
    <n v="0"/>
    <n v="8"/>
    <n v="2"/>
    <n v="2"/>
    <s v="Poor"/>
    <n v="7"/>
    <n v="7"/>
    <n v="3"/>
    <n v="6"/>
  </r>
  <r>
    <n v="1329390"/>
    <n v="59"/>
    <x v="3"/>
    <s v="No"/>
    <x v="0"/>
    <x v="0"/>
    <n v="1324"/>
    <x v="1"/>
    <n v="3"/>
    <n v="3"/>
    <x v="2"/>
    <n v="1"/>
    <n v="3"/>
    <x v="0"/>
    <n v="81"/>
    <n v="4"/>
    <n v="1"/>
    <s v="Nurse"/>
    <n v="1"/>
    <s v="Poor"/>
    <x v="1"/>
    <n v="2670"/>
    <x v="1"/>
    <n v="9964"/>
    <n v="4"/>
    <s v="Y"/>
    <s v="Yes"/>
    <n v="20"/>
    <x v="1"/>
    <s v="High Performance"/>
    <n v="1"/>
    <n v="80"/>
    <n v="3"/>
    <n v="12"/>
    <n v="3"/>
    <n v="2"/>
    <s v="Poor"/>
    <n v="1"/>
    <n v="0"/>
    <n v="0"/>
    <n v="0"/>
  </r>
  <r>
    <n v="1699288"/>
    <n v="30"/>
    <x v="2"/>
    <s v="No"/>
    <x v="0"/>
    <x v="0"/>
    <n v="1358"/>
    <x v="1"/>
    <n v="24"/>
    <n v="1"/>
    <x v="0"/>
    <n v="1"/>
    <n v="4"/>
    <x v="1"/>
    <n v="67"/>
    <n v="3"/>
    <n v="1"/>
    <s v="Nurse"/>
    <n v="3"/>
    <s v="Fair"/>
    <x v="2"/>
    <n v="2693"/>
    <x v="1"/>
    <n v="13335"/>
    <n v="1"/>
    <s v="Y"/>
    <s v="No"/>
    <n v="22"/>
    <x v="1"/>
    <s v="High Performance"/>
    <n v="2"/>
    <n v="80"/>
    <n v="1"/>
    <n v="1"/>
    <n v="2"/>
    <n v="3"/>
    <s v="Fair"/>
    <n v="1"/>
    <n v="0"/>
    <n v="0"/>
    <n v="0"/>
  </r>
  <r>
    <n v="1469740"/>
    <n v="38"/>
    <x v="0"/>
    <s v="No"/>
    <x v="0"/>
    <x v="1"/>
    <n v="216"/>
    <x v="1"/>
    <n v="23"/>
    <n v="3"/>
    <x v="0"/>
    <n v="1"/>
    <n v="4"/>
    <x v="1"/>
    <n v="44"/>
    <n v="2"/>
    <n v="3"/>
    <s v="Therapist"/>
    <n v="3"/>
    <s v="Fair"/>
    <x v="0"/>
    <n v="9526"/>
    <x v="0"/>
    <n v="8787"/>
    <n v="0"/>
    <s v="Y"/>
    <s v="No"/>
    <n v="21"/>
    <x v="1"/>
    <s v="High Performance"/>
    <n v="2"/>
    <n v="80"/>
    <n v="0"/>
    <n v="10"/>
    <n v="2"/>
    <n v="3"/>
    <s v="Fair"/>
    <n v="9"/>
    <n v="7"/>
    <n v="1"/>
    <n v="8"/>
  </r>
  <r>
    <n v="1101291"/>
    <n v="36"/>
    <x v="0"/>
    <s v="No"/>
    <x v="0"/>
    <x v="0"/>
    <n v="1299"/>
    <x v="1"/>
    <n v="27"/>
    <n v="3"/>
    <x v="2"/>
    <n v="1"/>
    <n v="3"/>
    <x v="1"/>
    <n v="94"/>
    <n v="3"/>
    <n v="2"/>
    <s v="Nurse"/>
    <n v="3"/>
    <s v="Fair"/>
    <x v="1"/>
    <n v="5237"/>
    <x v="0"/>
    <n v="16577"/>
    <n v="6"/>
    <s v="Y"/>
    <s v="No"/>
    <n v="13"/>
    <x v="0"/>
    <s v="Low Performance"/>
    <n v="2"/>
    <n v="80"/>
    <n v="2"/>
    <n v="17"/>
    <n v="3"/>
    <n v="2"/>
    <s v="Poor"/>
    <n v="7"/>
    <n v="7"/>
    <n v="7"/>
    <n v="7"/>
  </r>
  <r>
    <n v="1430504"/>
    <n v="35"/>
    <x v="2"/>
    <s v="No"/>
    <x v="0"/>
    <x v="0"/>
    <n v="809"/>
    <x v="1"/>
    <n v="16"/>
    <n v="3"/>
    <x v="2"/>
    <n v="1"/>
    <n v="1"/>
    <x v="1"/>
    <n v="84"/>
    <n v="4"/>
    <n v="1"/>
    <s v="Nurse"/>
    <n v="2"/>
    <s v="Poor"/>
    <x v="1"/>
    <n v="2426"/>
    <x v="1"/>
    <n v="16479"/>
    <n v="0"/>
    <s v="Y"/>
    <s v="No"/>
    <n v="13"/>
    <x v="0"/>
    <s v="Low Performance"/>
    <n v="3"/>
    <n v="80"/>
    <n v="1"/>
    <n v="6"/>
    <n v="5"/>
    <n v="3"/>
    <s v="Fair"/>
    <n v="5"/>
    <n v="4"/>
    <n v="0"/>
    <n v="3"/>
  </r>
  <r>
    <n v="1196281"/>
    <n v="29"/>
    <x v="2"/>
    <s v="No"/>
    <x v="0"/>
    <x v="0"/>
    <n v="153"/>
    <x v="1"/>
    <n v="15"/>
    <n v="2"/>
    <x v="0"/>
    <n v="1"/>
    <n v="4"/>
    <x v="0"/>
    <n v="49"/>
    <n v="2"/>
    <n v="2"/>
    <s v="Nurse"/>
    <n v="3"/>
    <s v="Fair"/>
    <x v="0"/>
    <n v="4193"/>
    <x v="1"/>
    <n v="12682"/>
    <n v="0"/>
    <s v="Y"/>
    <s v="Yes"/>
    <n v="12"/>
    <x v="0"/>
    <s v="Low Performance"/>
    <n v="4"/>
    <n v="80"/>
    <n v="0"/>
    <n v="10"/>
    <n v="3"/>
    <n v="3"/>
    <s v="Fair"/>
    <n v="9"/>
    <n v="5"/>
    <n v="0"/>
    <n v="8"/>
  </r>
  <r>
    <n v="1207951"/>
    <n v="31"/>
    <x v="2"/>
    <s v="No"/>
    <x v="0"/>
    <x v="0"/>
    <n v="670"/>
    <x v="1"/>
    <n v="26"/>
    <n v="1"/>
    <x v="0"/>
    <n v="1"/>
    <n v="1"/>
    <x v="1"/>
    <n v="31"/>
    <n v="3"/>
    <n v="1"/>
    <s v="Other"/>
    <n v="3"/>
    <s v="Fair"/>
    <x v="2"/>
    <n v="2911"/>
    <x v="1"/>
    <n v="15170"/>
    <n v="1"/>
    <s v="Y"/>
    <s v="No"/>
    <n v="17"/>
    <x v="0"/>
    <s v="Low Performance"/>
    <n v="4"/>
    <n v="80"/>
    <n v="1"/>
    <n v="5"/>
    <n v="1"/>
    <n v="2"/>
    <s v="Poor"/>
    <n v="5"/>
    <n v="2"/>
    <n v="4"/>
    <n v="3"/>
  </r>
  <r>
    <n v="1080660"/>
    <n v="34"/>
    <x v="2"/>
    <s v="No"/>
    <x v="0"/>
    <x v="0"/>
    <n v="1346"/>
    <x v="1"/>
    <n v="19"/>
    <n v="2"/>
    <x v="2"/>
    <n v="1"/>
    <n v="2"/>
    <x v="1"/>
    <n v="93"/>
    <n v="3"/>
    <n v="1"/>
    <s v="Nurse"/>
    <n v="4"/>
    <s v="Good"/>
    <x v="2"/>
    <n v="2661"/>
    <x v="1"/>
    <n v="8758"/>
    <n v="0"/>
    <s v="Y"/>
    <s v="No"/>
    <n v="11"/>
    <x v="0"/>
    <s v="Low Performance"/>
    <n v="3"/>
    <n v="80"/>
    <n v="1"/>
    <n v="3"/>
    <n v="2"/>
    <n v="3"/>
    <s v="Fair"/>
    <n v="2"/>
    <n v="2"/>
    <n v="1"/>
    <n v="2"/>
  </r>
  <r>
    <n v="1420391"/>
    <n v="28"/>
    <x v="2"/>
    <s v="Yes"/>
    <x v="1"/>
    <x v="0"/>
    <n v="103"/>
    <x v="1"/>
    <n v="24"/>
    <n v="3"/>
    <x v="0"/>
    <n v="1"/>
    <n v="3"/>
    <x v="1"/>
    <n v="50"/>
    <n v="2"/>
    <n v="1"/>
    <s v="Nurse"/>
    <n v="3"/>
    <s v="Fair"/>
    <x v="0"/>
    <n v="2028"/>
    <x v="1"/>
    <n v="12947"/>
    <n v="5"/>
    <s v="Y"/>
    <s v="Yes"/>
    <n v="14"/>
    <x v="0"/>
    <s v="Low Performance"/>
    <n v="2"/>
    <n v="80"/>
    <n v="0"/>
    <n v="6"/>
    <n v="4"/>
    <n v="3"/>
    <s v="Fair"/>
    <n v="4"/>
    <n v="2"/>
    <n v="0"/>
    <n v="3"/>
  </r>
  <r>
    <n v="1337254"/>
    <n v="29"/>
    <x v="2"/>
    <s v="No"/>
    <x v="0"/>
    <x v="0"/>
    <n v="1389"/>
    <x v="1"/>
    <n v="21"/>
    <n v="4"/>
    <x v="0"/>
    <n v="1"/>
    <n v="2"/>
    <x v="0"/>
    <n v="51"/>
    <n v="4"/>
    <n v="3"/>
    <s v="Therapist"/>
    <n v="1"/>
    <s v="Poor"/>
    <x v="2"/>
    <n v="9980"/>
    <x v="0"/>
    <n v="10195"/>
    <n v="1"/>
    <s v="Y"/>
    <s v="No"/>
    <n v="11"/>
    <x v="0"/>
    <s v="Low Performance"/>
    <n v="3"/>
    <n v="80"/>
    <n v="1"/>
    <n v="10"/>
    <n v="1"/>
    <n v="3"/>
    <s v="Fair"/>
    <n v="10"/>
    <n v="9"/>
    <n v="8"/>
    <n v="8"/>
  </r>
  <r>
    <n v="1421335"/>
    <n v="32"/>
    <x v="2"/>
    <s v="No"/>
    <x v="0"/>
    <x v="0"/>
    <n v="334"/>
    <x v="1"/>
    <n v="5"/>
    <n v="2"/>
    <x v="0"/>
    <n v="1"/>
    <n v="1"/>
    <x v="1"/>
    <n v="80"/>
    <n v="4"/>
    <n v="1"/>
    <s v="Other"/>
    <n v="2"/>
    <s v="Poor"/>
    <x v="2"/>
    <n v="3298"/>
    <x v="1"/>
    <n v="15053"/>
    <n v="0"/>
    <s v="Y"/>
    <s v="Yes"/>
    <n v="12"/>
    <x v="0"/>
    <s v="Low Performance"/>
    <n v="4"/>
    <n v="80"/>
    <n v="2"/>
    <n v="7"/>
    <n v="5"/>
    <n v="2"/>
    <s v="Poor"/>
    <n v="6"/>
    <n v="2"/>
    <n v="0"/>
    <n v="5"/>
  </r>
  <r>
    <n v="1262683"/>
    <n v="22"/>
    <x v="4"/>
    <s v="No"/>
    <x v="0"/>
    <x v="2"/>
    <n v="1123"/>
    <x v="1"/>
    <n v="16"/>
    <n v="2"/>
    <x v="2"/>
    <n v="1"/>
    <n v="4"/>
    <x v="1"/>
    <n v="96"/>
    <n v="4"/>
    <n v="1"/>
    <s v="Nurse"/>
    <n v="4"/>
    <s v="Good"/>
    <x v="2"/>
    <n v="2935"/>
    <x v="1"/>
    <n v="7324"/>
    <n v="1"/>
    <s v="Y"/>
    <s v="Yes"/>
    <n v="13"/>
    <x v="0"/>
    <s v="Low Performance"/>
    <n v="2"/>
    <n v="80"/>
    <n v="2"/>
    <n v="1"/>
    <n v="2"/>
    <n v="2"/>
    <s v="Poor"/>
    <n v="1"/>
    <n v="0"/>
    <n v="0"/>
    <n v="0"/>
  </r>
  <r>
    <n v="1599218"/>
    <n v="53"/>
    <x v="1"/>
    <s v="No"/>
    <x v="0"/>
    <x v="0"/>
    <n v="1219"/>
    <x v="0"/>
    <n v="2"/>
    <n v="4"/>
    <x v="0"/>
    <n v="1"/>
    <n v="1"/>
    <x v="0"/>
    <n v="78"/>
    <n v="2"/>
    <n v="4"/>
    <s v="Administrative"/>
    <n v="4"/>
    <s v="Good"/>
    <x v="1"/>
    <n v="15427"/>
    <x v="2"/>
    <n v="22021"/>
    <n v="2"/>
    <s v="Y"/>
    <s v="No"/>
    <n v="16"/>
    <x v="0"/>
    <s v="Low Performance"/>
    <n v="3"/>
    <n v="80"/>
    <n v="0"/>
    <n v="31"/>
    <n v="3"/>
    <n v="3"/>
    <s v="Fair"/>
    <n v="25"/>
    <n v="8"/>
    <n v="3"/>
    <n v="7"/>
  </r>
  <r>
    <n v="1634788"/>
    <n v="38"/>
    <x v="0"/>
    <s v="No"/>
    <x v="0"/>
    <x v="0"/>
    <n v="371"/>
    <x v="1"/>
    <n v="2"/>
    <n v="3"/>
    <x v="0"/>
    <n v="1"/>
    <n v="4"/>
    <x v="1"/>
    <n v="45"/>
    <n v="3"/>
    <n v="1"/>
    <s v="Other"/>
    <n v="4"/>
    <s v="Good"/>
    <x v="0"/>
    <n v="3944"/>
    <x v="1"/>
    <n v="4306"/>
    <n v="5"/>
    <s v="Y"/>
    <s v="Yes"/>
    <n v="11"/>
    <x v="0"/>
    <s v="Low Performance"/>
    <n v="3"/>
    <n v="80"/>
    <n v="0"/>
    <n v="6"/>
    <n v="3"/>
    <n v="3"/>
    <s v="Fair"/>
    <n v="3"/>
    <n v="2"/>
    <n v="1"/>
    <n v="2"/>
  </r>
  <r>
    <n v="1334559"/>
    <n v="24"/>
    <x v="4"/>
    <s v="No"/>
    <x v="0"/>
    <x v="2"/>
    <n v="673"/>
    <x v="1"/>
    <n v="11"/>
    <n v="2"/>
    <x v="1"/>
    <n v="1"/>
    <n v="1"/>
    <x v="0"/>
    <n v="96"/>
    <n v="4"/>
    <n v="2"/>
    <s v="Therapist"/>
    <n v="3"/>
    <s v="Fair"/>
    <x v="2"/>
    <n v="4011"/>
    <x v="1"/>
    <n v="8232"/>
    <n v="0"/>
    <s v="Y"/>
    <s v="No"/>
    <n v="18"/>
    <x v="0"/>
    <s v="Low Performance"/>
    <n v="4"/>
    <n v="80"/>
    <n v="1"/>
    <n v="5"/>
    <n v="5"/>
    <n v="2"/>
    <s v="Poor"/>
    <n v="4"/>
    <n v="2"/>
    <n v="1"/>
    <n v="3"/>
  </r>
  <r>
    <n v="1402945"/>
    <n v="36"/>
    <x v="0"/>
    <s v="No"/>
    <x v="0"/>
    <x v="0"/>
    <n v="1218"/>
    <x v="0"/>
    <n v="9"/>
    <n v="4"/>
    <x v="0"/>
    <n v="1"/>
    <n v="3"/>
    <x v="1"/>
    <n v="82"/>
    <n v="2"/>
    <n v="1"/>
    <s v="Other"/>
    <n v="1"/>
    <s v="Poor"/>
    <x v="0"/>
    <n v="3407"/>
    <x v="1"/>
    <n v="6986"/>
    <n v="7"/>
    <s v="Y"/>
    <s v="No"/>
    <n v="23"/>
    <x v="1"/>
    <s v="High Performance"/>
    <n v="2"/>
    <n v="80"/>
    <n v="0"/>
    <n v="10"/>
    <n v="4"/>
    <n v="3"/>
    <s v="Fair"/>
    <n v="5"/>
    <n v="3"/>
    <n v="0"/>
    <n v="3"/>
  </r>
  <r>
    <n v="1705718"/>
    <n v="34"/>
    <x v="2"/>
    <s v="No"/>
    <x v="0"/>
    <x v="0"/>
    <n v="419"/>
    <x v="2"/>
    <n v="7"/>
    <n v="4"/>
    <x v="0"/>
    <n v="1"/>
    <n v="1"/>
    <x v="0"/>
    <n v="53"/>
    <n v="3"/>
    <n v="3"/>
    <s v="Other"/>
    <n v="2"/>
    <s v="Poor"/>
    <x v="0"/>
    <n v="11994"/>
    <x v="0"/>
    <n v="21293"/>
    <n v="0"/>
    <s v="Y"/>
    <s v="No"/>
    <n v="11"/>
    <x v="0"/>
    <s v="Low Performance"/>
    <n v="3"/>
    <n v="80"/>
    <n v="0"/>
    <n v="13"/>
    <n v="4"/>
    <n v="3"/>
    <s v="Fair"/>
    <n v="12"/>
    <n v="6"/>
    <n v="2"/>
    <n v="11"/>
  </r>
  <r>
    <n v="1880078"/>
    <n v="21"/>
    <x v="4"/>
    <s v="No"/>
    <x v="0"/>
    <x v="0"/>
    <n v="391"/>
    <x v="1"/>
    <n v="15"/>
    <n v="2"/>
    <x v="0"/>
    <n v="1"/>
    <n v="3"/>
    <x v="1"/>
    <n v="96"/>
    <n v="3"/>
    <n v="1"/>
    <s v="Other"/>
    <n v="4"/>
    <s v="Good"/>
    <x v="0"/>
    <n v="1232"/>
    <x v="1"/>
    <n v="19281"/>
    <n v="1"/>
    <s v="Y"/>
    <s v="No"/>
    <n v="14"/>
    <x v="0"/>
    <s v="Low Performance"/>
    <n v="4"/>
    <n v="80"/>
    <n v="0"/>
    <n v="0"/>
    <n v="6"/>
    <n v="3"/>
    <s v="Fair"/>
    <n v="0"/>
    <n v="0"/>
    <n v="0"/>
    <n v="0"/>
  </r>
  <r>
    <n v="1801346"/>
    <n v="34"/>
    <x v="2"/>
    <s v="No"/>
    <x v="0"/>
    <x v="0"/>
    <n v="699"/>
    <x v="1"/>
    <n v="6"/>
    <n v="1"/>
    <x v="2"/>
    <n v="1"/>
    <n v="2"/>
    <x v="1"/>
    <n v="83"/>
    <n v="3"/>
    <n v="1"/>
    <s v="Other"/>
    <n v="1"/>
    <s v="Poor"/>
    <x v="0"/>
    <n v="2960"/>
    <x v="1"/>
    <n v="17102"/>
    <n v="2"/>
    <s v="Y"/>
    <s v="No"/>
    <n v="11"/>
    <x v="0"/>
    <s v="Low Performance"/>
    <n v="3"/>
    <n v="80"/>
    <n v="0"/>
    <n v="8"/>
    <n v="2"/>
    <n v="3"/>
    <s v="Fair"/>
    <n v="4"/>
    <n v="2"/>
    <n v="1"/>
    <n v="3"/>
  </r>
  <r>
    <n v="1142160"/>
    <n v="53"/>
    <x v="1"/>
    <s v="No"/>
    <x v="0"/>
    <x v="0"/>
    <n v="1282"/>
    <x v="2"/>
    <n v="5"/>
    <n v="3"/>
    <x v="1"/>
    <n v="1"/>
    <n v="3"/>
    <x v="0"/>
    <n v="58"/>
    <n v="3"/>
    <n v="5"/>
    <s v="Other"/>
    <n v="3"/>
    <s v="Fair"/>
    <x v="2"/>
    <n v="19094"/>
    <x v="2"/>
    <n v="10735"/>
    <n v="4"/>
    <s v="Y"/>
    <s v="No"/>
    <n v="11"/>
    <x v="0"/>
    <s v="Low Performance"/>
    <n v="4"/>
    <n v="80"/>
    <n v="1"/>
    <n v="26"/>
    <n v="3"/>
    <n v="2"/>
    <s v="Poor"/>
    <n v="14"/>
    <n v="13"/>
    <n v="4"/>
    <n v="8"/>
  </r>
  <r>
    <n v="1142062"/>
    <n v="32"/>
    <x v="2"/>
    <s v="Yes"/>
    <x v="1"/>
    <x v="1"/>
    <n v="1125"/>
    <x v="1"/>
    <n v="16"/>
    <n v="1"/>
    <x v="0"/>
    <n v="1"/>
    <n v="2"/>
    <x v="0"/>
    <n v="72"/>
    <n v="1"/>
    <n v="1"/>
    <s v="Other"/>
    <n v="1"/>
    <s v="Poor"/>
    <x v="0"/>
    <n v="3919"/>
    <x v="1"/>
    <n v="4681"/>
    <n v="1"/>
    <s v="Y"/>
    <s v="Yes"/>
    <n v="22"/>
    <x v="1"/>
    <s v="High Performance"/>
    <n v="2"/>
    <n v="80"/>
    <n v="0"/>
    <n v="10"/>
    <n v="5"/>
    <n v="3"/>
    <s v="Fair"/>
    <n v="10"/>
    <n v="2"/>
    <n v="6"/>
    <n v="7"/>
  </r>
  <r>
    <n v="1789756"/>
    <n v="42"/>
    <x v="0"/>
    <s v="No"/>
    <x v="0"/>
    <x v="0"/>
    <n v="691"/>
    <x v="0"/>
    <n v="8"/>
    <n v="4"/>
    <x v="3"/>
    <n v="1"/>
    <n v="3"/>
    <x v="1"/>
    <n v="48"/>
    <n v="3"/>
    <n v="2"/>
    <s v="Nurse"/>
    <n v="2"/>
    <s v="Poor"/>
    <x v="1"/>
    <n v="6825"/>
    <x v="0"/>
    <n v="21173"/>
    <n v="0"/>
    <s v="Y"/>
    <s v="No"/>
    <n v="11"/>
    <x v="0"/>
    <s v="Low Performance"/>
    <n v="4"/>
    <n v="80"/>
    <n v="1"/>
    <n v="10"/>
    <n v="2"/>
    <n v="3"/>
    <s v="Fair"/>
    <n v="9"/>
    <n v="7"/>
    <n v="4"/>
    <n v="2"/>
  </r>
  <r>
    <n v="1126009"/>
    <n v="44"/>
    <x v="0"/>
    <s v="No"/>
    <x v="0"/>
    <x v="0"/>
    <n v="477"/>
    <x v="1"/>
    <n v="7"/>
    <n v="4"/>
    <x v="2"/>
    <n v="1"/>
    <n v="1"/>
    <x v="0"/>
    <n v="42"/>
    <n v="2"/>
    <n v="3"/>
    <s v="Nurse"/>
    <n v="4"/>
    <s v="Good"/>
    <x v="1"/>
    <n v="10248"/>
    <x v="0"/>
    <n v="2094"/>
    <n v="3"/>
    <s v="Y"/>
    <s v="No"/>
    <n v="14"/>
    <x v="0"/>
    <s v="Low Performance"/>
    <n v="4"/>
    <n v="80"/>
    <n v="1"/>
    <n v="24"/>
    <n v="4"/>
    <n v="3"/>
    <s v="Fair"/>
    <n v="22"/>
    <n v="6"/>
    <n v="5"/>
    <n v="17"/>
  </r>
  <r>
    <n v="1552176"/>
    <n v="46"/>
    <x v="1"/>
    <s v="No"/>
    <x v="0"/>
    <x v="0"/>
    <n v="705"/>
    <x v="0"/>
    <n v="2"/>
    <n v="4"/>
    <x v="3"/>
    <n v="1"/>
    <n v="2"/>
    <x v="0"/>
    <n v="83"/>
    <n v="3"/>
    <n v="5"/>
    <s v="Administrative"/>
    <n v="1"/>
    <s v="Poor"/>
    <x v="0"/>
    <n v="18947"/>
    <x v="2"/>
    <n v="22822"/>
    <n v="3"/>
    <s v="Y"/>
    <s v="No"/>
    <n v="12"/>
    <x v="0"/>
    <s v="Low Performance"/>
    <n v="4"/>
    <n v="80"/>
    <n v="0"/>
    <n v="22"/>
    <n v="2"/>
    <n v="2"/>
    <s v="Poor"/>
    <n v="2"/>
    <n v="2"/>
    <n v="2"/>
    <n v="1"/>
  </r>
  <r>
    <n v="1118605"/>
    <n v="33"/>
    <x v="2"/>
    <s v="No"/>
    <x v="0"/>
    <x v="0"/>
    <n v="924"/>
    <x v="1"/>
    <n v="2"/>
    <n v="3"/>
    <x v="2"/>
    <n v="1"/>
    <n v="3"/>
    <x v="1"/>
    <n v="78"/>
    <n v="3"/>
    <n v="1"/>
    <s v="Nurse"/>
    <n v="4"/>
    <s v="Good"/>
    <x v="0"/>
    <n v="2496"/>
    <x v="1"/>
    <n v="6670"/>
    <n v="4"/>
    <s v="Y"/>
    <s v="No"/>
    <n v="11"/>
    <x v="0"/>
    <s v="Low Performance"/>
    <n v="4"/>
    <n v="80"/>
    <n v="0"/>
    <n v="7"/>
    <n v="3"/>
    <n v="3"/>
    <s v="Fair"/>
    <n v="1"/>
    <n v="1"/>
    <n v="0"/>
    <n v="0"/>
  </r>
  <r>
    <n v="1397325"/>
    <n v="44"/>
    <x v="0"/>
    <s v="No"/>
    <x v="0"/>
    <x v="0"/>
    <n v="1459"/>
    <x v="1"/>
    <n v="10"/>
    <n v="4"/>
    <x v="1"/>
    <n v="1"/>
    <n v="4"/>
    <x v="1"/>
    <n v="41"/>
    <n v="3"/>
    <n v="2"/>
    <s v="Nurse"/>
    <n v="4"/>
    <s v="Good"/>
    <x v="1"/>
    <n v="6465"/>
    <x v="0"/>
    <n v="19121"/>
    <n v="2"/>
    <s v="Y"/>
    <s v="Yes"/>
    <n v="13"/>
    <x v="0"/>
    <s v="Low Performance"/>
    <n v="4"/>
    <n v="80"/>
    <n v="0"/>
    <n v="9"/>
    <n v="5"/>
    <n v="4"/>
    <s v="Good"/>
    <n v="4"/>
    <n v="2"/>
    <n v="1"/>
    <n v="3"/>
  </r>
  <r>
    <n v="1874834"/>
    <n v="30"/>
    <x v="2"/>
    <s v="No"/>
    <x v="0"/>
    <x v="0"/>
    <n v="125"/>
    <x v="1"/>
    <n v="9"/>
    <n v="2"/>
    <x v="2"/>
    <n v="1"/>
    <n v="4"/>
    <x v="1"/>
    <n v="83"/>
    <n v="2"/>
    <n v="1"/>
    <s v="Nurse"/>
    <n v="3"/>
    <s v="Fair"/>
    <x v="0"/>
    <n v="2206"/>
    <x v="1"/>
    <n v="16117"/>
    <n v="1"/>
    <s v="Y"/>
    <s v="No"/>
    <n v="13"/>
    <x v="0"/>
    <s v="Low Performance"/>
    <n v="1"/>
    <n v="80"/>
    <n v="0"/>
    <n v="10"/>
    <n v="5"/>
    <n v="3"/>
    <s v="Fair"/>
    <n v="10"/>
    <n v="0"/>
    <n v="1"/>
    <n v="8"/>
  </r>
  <r>
    <n v="1275746"/>
    <n v="39"/>
    <x v="0"/>
    <s v="No"/>
    <x v="0"/>
    <x v="0"/>
    <n v="895"/>
    <x v="0"/>
    <n v="5"/>
    <n v="3"/>
    <x v="4"/>
    <n v="1"/>
    <n v="4"/>
    <x v="1"/>
    <n v="56"/>
    <n v="3"/>
    <n v="2"/>
    <s v="Other"/>
    <n v="4"/>
    <s v="Good"/>
    <x v="1"/>
    <n v="2086"/>
    <x v="1"/>
    <n v="3335"/>
    <n v="3"/>
    <s v="Y"/>
    <s v="No"/>
    <n v="14"/>
    <x v="0"/>
    <s v="Low Performance"/>
    <n v="3"/>
    <n v="80"/>
    <n v="1"/>
    <n v="19"/>
    <n v="6"/>
    <n v="4"/>
    <s v="Good"/>
    <n v="1"/>
    <n v="0"/>
    <n v="0"/>
    <n v="0"/>
  </r>
  <r>
    <n v="1884939"/>
    <n v="24"/>
    <x v="4"/>
    <s v="Yes"/>
    <x v="1"/>
    <x v="0"/>
    <n v="813"/>
    <x v="1"/>
    <n v="1"/>
    <n v="3"/>
    <x v="2"/>
    <n v="1"/>
    <n v="2"/>
    <x v="1"/>
    <n v="61"/>
    <n v="3"/>
    <n v="1"/>
    <s v="Other"/>
    <n v="4"/>
    <s v="Good"/>
    <x v="1"/>
    <n v="2293"/>
    <x v="1"/>
    <n v="3020"/>
    <n v="2"/>
    <s v="Y"/>
    <s v="Yes"/>
    <n v="16"/>
    <x v="0"/>
    <s v="Low Performance"/>
    <n v="1"/>
    <n v="80"/>
    <n v="1"/>
    <n v="6"/>
    <n v="2"/>
    <n v="2"/>
    <s v="Poor"/>
    <n v="2"/>
    <n v="0"/>
    <n v="2"/>
    <n v="0"/>
  </r>
  <r>
    <n v="1650304"/>
    <n v="43"/>
    <x v="0"/>
    <s v="No"/>
    <x v="0"/>
    <x v="0"/>
    <n v="1273"/>
    <x v="1"/>
    <n v="2"/>
    <n v="2"/>
    <x v="2"/>
    <n v="1"/>
    <n v="4"/>
    <x v="0"/>
    <n v="72"/>
    <n v="4"/>
    <n v="1"/>
    <s v="Other"/>
    <n v="3"/>
    <s v="Fair"/>
    <x v="2"/>
    <n v="2645"/>
    <x v="1"/>
    <n v="21923"/>
    <n v="1"/>
    <s v="Y"/>
    <s v="No"/>
    <n v="12"/>
    <x v="0"/>
    <s v="Low Performance"/>
    <n v="4"/>
    <n v="80"/>
    <n v="2"/>
    <n v="6"/>
    <n v="3"/>
    <n v="2"/>
    <s v="Poor"/>
    <n v="5"/>
    <n v="3"/>
    <n v="1"/>
    <n v="4"/>
  </r>
  <r>
    <n v="1058169"/>
    <n v="50"/>
    <x v="1"/>
    <s v="Yes"/>
    <x v="1"/>
    <x v="0"/>
    <n v="869"/>
    <x v="0"/>
    <n v="3"/>
    <n v="2"/>
    <x v="3"/>
    <n v="1"/>
    <n v="1"/>
    <x v="1"/>
    <n v="86"/>
    <n v="2"/>
    <n v="1"/>
    <s v="Other"/>
    <n v="3"/>
    <s v="Fair"/>
    <x v="1"/>
    <n v="2683"/>
    <x v="1"/>
    <n v="3810"/>
    <n v="1"/>
    <s v="Y"/>
    <s v="Yes"/>
    <n v="14"/>
    <x v="0"/>
    <s v="Low Performance"/>
    <n v="3"/>
    <n v="80"/>
    <n v="0"/>
    <n v="3"/>
    <n v="2"/>
    <n v="3"/>
    <s v="Fair"/>
    <n v="3"/>
    <n v="2"/>
    <n v="0"/>
    <n v="2"/>
  </r>
  <r>
    <n v="1319183"/>
    <n v="35"/>
    <x v="2"/>
    <s v="No"/>
    <x v="0"/>
    <x v="0"/>
    <n v="890"/>
    <x v="0"/>
    <n v="2"/>
    <n v="3"/>
    <x v="3"/>
    <n v="1"/>
    <n v="4"/>
    <x v="0"/>
    <n v="97"/>
    <n v="3"/>
    <n v="1"/>
    <s v="Other"/>
    <n v="4"/>
    <s v="Good"/>
    <x v="1"/>
    <n v="2014"/>
    <x v="1"/>
    <n v="9687"/>
    <n v="1"/>
    <s v="Y"/>
    <s v="No"/>
    <n v="13"/>
    <x v="0"/>
    <s v="Low Performance"/>
    <n v="1"/>
    <n v="80"/>
    <n v="0"/>
    <n v="2"/>
    <n v="3"/>
    <n v="3"/>
    <s v="Fair"/>
    <n v="2"/>
    <n v="2"/>
    <n v="2"/>
    <n v="2"/>
  </r>
  <r>
    <n v="1872551"/>
    <n v="36"/>
    <x v="0"/>
    <s v="No"/>
    <x v="0"/>
    <x v="0"/>
    <n v="852"/>
    <x v="1"/>
    <n v="5"/>
    <n v="4"/>
    <x v="0"/>
    <n v="1"/>
    <n v="2"/>
    <x v="0"/>
    <n v="82"/>
    <n v="2"/>
    <n v="1"/>
    <s v="Other"/>
    <n v="1"/>
    <s v="Poor"/>
    <x v="1"/>
    <n v="3419"/>
    <x v="1"/>
    <n v="13072"/>
    <n v="9"/>
    <s v="Y"/>
    <s v="Yes"/>
    <n v="14"/>
    <x v="0"/>
    <s v="Low Performance"/>
    <n v="4"/>
    <n v="80"/>
    <n v="1"/>
    <n v="6"/>
    <n v="3"/>
    <n v="4"/>
    <s v="Good"/>
    <n v="1"/>
    <n v="1"/>
    <n v="0"/>
    <n v="0"/>
  </r>
  <r>
    <n v="1060693"/>
    <n v="33"/>
    <x v="2"/>
    <s v="No"/>
    <x v="0"/>
    <x v="1"/>
    <n v="1141"/>
    <x v="0"/>
    <n v="1"/>
    <n v="3"/>
    <x v="0"/>
    <n v="1"/>
    <n v="3"/>
    <x v="0"/>
    <n v="42"/>
    <n v="4"/>
    <n v="2"/>
    <s v="Nurse"/>
    <n v="1"/>
    <s v="Poor"/>
    <x v="1"/>
    <n v="5376"/>
    <x v="0"/>
    <n v="3193"/>
    <n v="2"/>
    <s v="Y"/>
    <s v="No"/>
    <n v="19"/>
    <x v="0"/>
    <s v="Low Performance"/>
    <n v="1"/>
    <n v="80"/>
    <n v="2"/>
    <n v="10"/>
    <n v="3"/>
    <n v="3"/>
    <s v="Fair"/>
    <n v="5"/>
    <n v="3"/>
    <n v="1"/>
    <n v="3"/>
  </r>
  <r>
    <n v="1110390"/>
    <n v="35"/>
    <x v="2"/>
    <s v="No"/>
    <x v="0"/>
    <x v="0"/>
    <n v="464"/>
    <x v="1"/>
    <n v="4"/>
    <n v="2"/>
    <x v="1"/>
    <n v="1"/>
    <n v="3"/>
    <x v="1"/>
    <n v="75"/>
    <n v="3"/>
    <n v="1"/>
    <s v="Nurse"/>
    <n v="4"/>
    <s v="Good"/>
    <x v="2"/>
    <n v="1951"/>
    <x v="1"/>
    <n v="10910"/>
    <n v="1"/>
    <s v="Y"/>
    <s v="No"/>
    <n v="12"/>
    <x v="0"/>
    <s v="Low Performance"/>
    <n v="3"/>
    <n v="80"/>
    <n v="1"/>
    <n v="1"/>
    <n v="3"/>
    <n v="3"/>
    <s v="Fair"/>
    <n v="1"/>
    <n v="0"/>
    <n v="0"/>
    <n v="0"/>
  </r>
  <r>
    <n v="1448895"/>
    <n v="27"/>
    <x v="2"/>
    <s v="No"/>
    <x v="0"/>
    <x v="0"/>
    <n v="1240"/>
    <x v="1"/>
    <n v="2"/>
    <n v="4"/>
    <x v="0"/>
    <n v="1"/>
    <n v="4"/>
    <x v="0"/>
    <n v="33"/>
    <n v="3"/>
    <n v="1"/>
    <s v="Nurse"/>
    <n v="1"/>
    <s v="Poor"/>
    <x v="2"/>
    <n v="2341"/>
    <x v="1"/>
    <n v="19715"/>
    <n v="1"/>
    <s v="Y"/>
    <s v="No"/>
    <n v="13"/>
    <x v="0"/>
    <s v="Low Performance"/>
    <n v="4"/>
    <n v="80"/>
    <n v="1"/>
    <n v="1"/>
    <n v="6"/>
    <n v="3"/>
    <s v="Fair"/>
    <n v="1"/>
    <n v="0"/>
    <n v="0"/>
    <n v="0"/>
  </r>
  <r>
    <n v="1547220"/>
    <n v="26"/>
    <x v="2"/>
    <s v="Yes"/>
    <x v="1"/>
    <x v="0"/>
    <n v="1357"/>
    <x v="1"/>
    <n v="25"/>
    <n v="3"/>
    <x v="0"/>
    <n v="1"/>
    <n v="1"/>
    <x v="1"/>
    <n v="48"/>
    <n v="1"/>
    <n v="1"/>
    <s v="Nurse"/>
    <n v="3"/>
    <s v="Fair"/>
    <x v="0"/>
    <n v="2293"/>
    <x v="1"/>
    <n v="10558"/>
    <n v="1"/>
    <s v="Y"/>
    <s v="No"/>
    <n v="12"/>
    <x v="0"/>
    <s v="Low Performance"/>
    <n v="3"/>
    <n v="80"/>
    <n v="0"/>
    <n v="1"/>
    <n v="2"/>
    <n v="2"/>
    <s v="Poor"/>
    <n v="1"/>
    <n v="0"/>
    <n v="0"/>
    <n v="1"/>
  </r>
  <r>
    <n v="1680993"/>
    <n v="27"/>
    <x v="2"/>
    <s v="No"/>
    <x v="0"/>
    <x v="1"/>
    <n v="994"/>
    <x v="0"/>
    <n v="8"/>
    <n v="3"/>
    <x v="0"/>
    <n v="1"/>
    <n v="4"/>
    <x v="1"/>
    <n v="37"/>
    <n v="3"/>
    <n v="3"/>
    <s v="Nurse"/>
    <n v="3"/>
    <s v="Fair"/>
    <x v="0"/>
    <n v="8726"/>
    <x v="0"/>
    <n v="2975"/>
    <n v="1"/>
    <s v="Y"/>
    <s v="No"/>
    <n v="15"/>
    <x v="0"/>
    <s v="Low Performance"/>
    <n v="4"/>
    <n v="80"/>
    <n v="0"/>
    <n v="9"/>
    <n v="0"/>
    <n v="3"/>
    <s v="Fair"/>
    <n v="9"/>
    <n v="8"/>
    <n v="1"/>
    <n v="7"/>
  </r>
  <r>
    <n v="1100187"/>
    <n v="30"/>
    <x v="2"/>
    <s v="No"/>
    <x v="0"/>
    <x v="1"/>
    <n v="721"/>
    <x v="1"/>
    <n v="1"/>
    <n v="2"/>
    <x v="2"/>
    <n v="1"/>
    <n v="3"/>
    <x v="0"/>
    <n v="58"/>
    <n v="3"/>
    <n v="2"/>
    <s v="Nurse"/>
    <n v="4"/>
    <s v="Good"/>
    <x v="0"/>
    <n v="4011"/>
    <x v="1"/>
    <n v="10781"/>
    <n v="1"/>
    <s v="Y"/>
    <s v="No"/>
    <n v="23"/>
    <x v="1"/>
    <s v="High Performance"/>
    <n v="4"/>
    <n v="80"/>
    <n v="0"/>
    <n v="12"/>
    <n v="2"/>
    <n v="3"/>
    <s v="Fair"/>
    <n v="12"/>
    <n v="8"/>
    <n v="3"/>
    <n v="7"/>
  </r>
  <r>
    <n v="1881631"/>
    <n v="41"/>
    <x v="0"/>
    <s v="No"/>
    <x v="0"/>
    <x v="0"/>
    <n v="1360"/>
    <x v="2"/>
    <n v="12"/>
    <n v="3"/>
    <x v="4"/>
    <n v="1"/>
    <n v="2"/>
    <x v="0"/>
    <n v="49"/>
    <n v="3"/>
    <n v="5"/>
    <s v="Other"/>
    <n v="3"/>
    <s v="Fair"/>
    <x v="1"/>
    <n v="19545"/>
    <x v="2"/>
    <n v="16280"/>
    <n v="1"/>
    <s v="Y"/>
    <s v="No"/>
    <n v="12"/>
    <x v="0"/>
    <s v="Low Performance"/>
    <n v="4"/>
    <n v="80"/>
    <n v="0"/>
    <n v="23"/>
    <n v="0"/>
    <n v="3"/>
    <s v="Fair"/>
    <n v="22"/>
    <n v="15"/>
    <n v="15"/>
    <n v="8"/>
  </r>
  <r>
    <n v="1622068"/>
    <n v="34"/>
    <x v="2"/>
    <s v="No"/>
    <x v="0"/>
    <x v="2"/>
    <n v="1065"/>
    <x v="0"/>
    <n v="23"/>
    <n v="4"/>
    <x v="3"/>
    <n v="1"/>
    <n v="2"/>
    <x v="1"/>
    <n v="72"/>
    <n v="3"/>
    <n v="2"/>
    <s v="Nurse"/>
    <n v="3"/>
    <s v="Fair"/>
    <x v="0"/>
    <n v="4568"/>
    <x v="1"/>
    <n v="10034"/>
    <n v="0"/>
    <s v="Y"/>
    <s v="No"/>
    <n v="20"/>
    <x v="1"/>
    <s v="High Performance"/>
    <n v="3"/>
    <n v="80"/>
    <n v="0"/>
    <n v="10"/>
    <n v="2"/>
    <n v="3"/>
    <s v="Fair"/>
    <n v="9"/>
    <n v="5"/>
    <n v="8"/>
    <n v="7"/>
  </r>
  <r>
    <n v="1336903"/>
    <n v="37"/>
    <x v="0"/>
    <s v="No"/>
    <x v="0"/>
    <x v="0"/>
    <n v="408"/>
    <x v="1"/>
    <n v="19"/>
    <n v="2"/>
    <x v="0"/>
    <n v="1"/>
    <n v="2"/>
    <x v="1"/>
    <n v="73"/>
    <n v="3"/>
    <n v="1"/>
    <s v="Other"/>
    <n v="2"/>
    <s v="Poor"/>
    <x v="1"/>
    <n v="3022"/>
    <x v="1"/>
    <n v="10227"/>
    <n v="4"/>
    <s v="Y"/>
    <s v="No"/>
    <n v="21"/>
    <x v="1"/>
    <s v="High Performance"/>
    <n v="1"/>
    <n v="80"/>
    <n v="0"/>
    <n v="8"/>
    <n v="1"/>
    <n v="3"/>
    <s v="Fair"/>
    <n v="1"/>
    <n v="0"/>
    <n v="0"/>
    <n v="0"/>
  </r>
  <r>
    <n v="1126243"/>
    <n v="46"/>
    <x v="1"/>
    <s v="No"/>
    <x v="0"/>
    <x v="1"/>
    <n v="1211"/>
    <x v="0"/>
    <n v="5"/>
    <n v="4"/>
    <x v="3"/>
    <n v="1"/>
    <n v="1"/>
    <x v="1"/>
    <n v="98"/>
    <n v="3"/>
    <n v="2"/>
    <s v="Nurse"/>
    <n v="4"/>
    <s v="Good"/>
    <x v="0"/>
    <n v="5772"/>
    <x v="0"/>
    <n v="20445"/>
    <n v="4"/>
    <s v="Y"/>
    <s v="Yes"/>
    <n v="21"/>
    <x v="1"/>
    <s v="High Performance"/>
    <n v="3"/>
    <n v="80"/>
    <n v="0"/>
    <n v="14"/>
    <n v="4"/>
    <n v="3"/>
    <s v="Fair"/>
    <n v="9"/>
    <n v="6"/>
    <n v="0"/>
    <n v="8"/>
  </r>
  <r>
    <n v="1053707"/>
    <n v="35"/>
    <x v="2"/>
    <s v="No"/>
    <x v="0"/>
    <x v="0"/>
    <n v="1229"/>
    <x v="1"/>
    <n v="8"/>
    <n v="1"/>
    <x v="0"/>
    <n v="1"/>
    <n v="4"/>
    <x v="1"/>
    <n v="36"/>
    <n v="4"/>
    <n v="1"/>
    <s v="Nurse"/>
    <n v="4"/>
    <s v="Good"/>
    <x v="1"/>
    <n v="2269"/>
    <x v="1"/>
    <n v="4892"/>
    <n v="1"/>
    <s v="Y"/>
    <s v="No"/>
    <n v="19"/>
    <x v="0"/>
    <s v="Low Performance"/>
    <n v="4"/>
    <n v="80"/>
    <n v="0"/>
    <n v="1"/>
    <n v="2"/>
    <n v="3"/>
    <s v="Fair"/>
    <n v="1"/>
    <n v="0"/>
    <n v="0"/>
    <n v="1"/>
  </r>
  <r>
    <n v="1708688"/>
    <n v="48"/>
    <x v="1"/>
    <s v="Yes"/>
    <x v="1"/>
    <x v="0"/>
    <n v="626"/>
    <x v="1"/>
    <n v="1"/>
    <n v="2"/>
    <x v="0"/>
    <n v="1"/>
    <n v="1"/>
    <x v="1"/>
    <n v="98"/>
    <n v="2"/>
    <n v="3"/>
    <s v="Nurse"/>
    <n v="3"/>
    <s v="Fair"/>
    <x v="0"/>
    <n v="5381"/>
    <x v="0"/>
    <n v="19294"/>
    <n v="9"/>
    <s v="Y"/>
    <s v="Yes"/>
    <n v="13"/>
    <x v="0"/>
    <s v="Low Performance"/>
    <n v="4"/>
    <n v="80"/>
    <n v="0"/>
    <n v="23"/>
    <n v="2"/>
    <n v="3"/>
    <s v="Fair"/>
    <n v="1"/>
    <n v="0"/>
    <n v="0"/>
    <n v="0"/>
  </r>
  <r>
    <n v="1208582"/>
    <n v="28"/>
    <x v="2"/>
    <s v="Yes"/>
    <x v="1"/>
    <x v="0"/>
    <n v="1434"/>
    <x v="1"/>
    <n v="5"/>
    <n v="4"/>
    <x v="4"/>
    <n v="1"/>
    <n v="3"/>
    <x v="1"/>
    <n v="50"/>
    <n v="3"/>
    <n v="1"/>
    <s v="Nurse"/>
    <n v="3"/>
    <s v="Fair"/>
    <x v="0"/>
    <n v="3441"/>
    <x v="1"/>
    <n v="11179"/>
    <n v="1"/>
    <s v="Y"/>
    <s v="Yes"/>
    <n v="13"/>
    <x v="0"/>
    <s v="Low Performance"/>
    <n v="3"/>
    <n v="80"/>
    <n v="0"/>
    <n v="2"/>
    <n v="3"/>
    <n v="2"/>
    <s v="Poor"/>
    <n v="2"/>
    <n v="2"/>
    <n v="2"/>
    <n v="2"/>
  </r>
  <r>
    <n v="1127416"/>
    <n v="44"/>
    <x v="0"/>
    <s v="No"/>
    <x v="0"/>
    <x v="0"/>
    <n v="1488"/>
    <x v="0"/>
    <n v="1"/>
    <n v="5"/>
    <x v="3"/>
    <n v="1"/>
    <n v="2"/>
    <x v="0"/>
    <n v="75"/>
    <n v="3"/>
    <n v="2"/>
    <s v="Nurse"/>
    <n v="1"/>
    <s v="Poor"/>
    <x v="2"/>
    <n v="5454"/>
    <x v="0"/>
    <n v="4009"/>
    <n v="5"/>
    <s v="Y"/>
    <s v="Yes"/>
    <n v="21"/>
    <x v="1"/>
    <s v="High Performance"/>
    <n v="3"/>
    <n v="80"/>
    <n v="1"/>
    <n v="9"/>
    <n v="2"/>
    <n v="2"/>
    <s v="Poor"/>
    <n v="4"/>
    <n v="3"/>
    <n v="1"/>
    <n v="3"/>
  </r>
  <r>
    <n v="1710090"/>
    <n v="35"/>
    <x v="2"/>
    <s v="No"/>
    <x v="0"/>
    <x v="2"/>
    <n v="1097"/>
    <x v="1"/>
    <n v="11"/>
    <n v="2"/>
    <x v="2"/>
    <n v="1"/>
    <n v="3"/>
    <x v="1"/>
    <n v="79"/>
    <n v="2"/>
    <n v="3"/>
    <s v="Nurse"/>
    <n v="1"/>
    <s v="Poor"/>
    <x v="1"/>
    <n v="9884"/>
    <x v="0"/>
    <n v="8302"/>
    <n v="2"/>
    <s v="Y"/>
    <s v="Yes"/>
    <n v="13"/>
    <x v="0"/>
    <s v="Low Performance"/>
    <n v="3"/>
    <n v="80"/>
    <n v="1"/>
    <n v="10"/>
    <n v="3"/>
    <n v="3"/>
    <s v="Fair"/>
    <n v="4"/>
    <n v="0"/>
    <n v="2"/>
    <n v="3"/>
  </r>
  <r>
    <n v="1146606"/>
    <n v="26"/>
    <x v="2"/>
    <s v="Yes"/>
    <x v="1"/>
    <x v="0"/>
    <n v="1443"/>
    <x v="0"/>
    <n v="23"/>
    <n v="3"/>
    <x v="3"/>
    <n v="1"/>
    <n v="3"/>
    <x v="0"/>
    <n v="47"/>
    <n v="2"/>
    <n v="2"/>
    <s v="Nurse"/>
    <n v="4"/>
    <s v="Good"/>
    <x v="1"/>
    <n v="4157"/>
    <x v="1"/>
    <n v="21436"/>
    <n v="7"/>
    <s v="Y"/>
    <s v="Yes"/>
    <n v="19"/>
    <x v="0"/>
    <s v="Low Performance"/>
    <n v="3"/>
    <n v="80"/>
    <n v="1"/>
    <n v="5"/>
    <n v="2"/>
    <n v="2"/>
    <s v="Poor"/>
    <n v="2"/>
    <n v="2"/>
    <n v="0"/>
    <n v="0"/>
  </r>
  <r>
    <n v="1674685"/>
    <n v="33"/>
    <x v="2"/>
    <s v="No"/>
    <x v="0"/>
    <x v="1"/>
    <n v="515"/>
    <x v="2"/>
    <n v="1"/>
    <n v="2"/>
    <x v="0"/>
    <n v="1"/>
    <n v="1"/>
    <x v="0"/>
    <n v="98"/>
    <n v="3"/>
    <n v="3"/>
    <s v="Other"/>
    <n v="4"/>
    <s v="Good"/>
    <x v="0"/>
    <n v="13458"/>
    <x v="2"/>
    <n v="15146"/>
    <n v="1"/>
    <s v="Y"/>
    <s v="Yes"/>
    <n v="12"/>
    <x v="0"/>
    <s v="Low Performance"/>
    <n v="3"/>
    <n v="80"/>
    <n v="0"/>
    <n v="15"/>
    <n v="1"/>
    <n v="3"/>
    <s v="Fair"/>
    <n v="15"/>
    <n v="14"/>
    <n v="8"/>
    <n v="12"/>
  </r>
  <r>
    <n v="1477077"/>
    <n v="35"/>
    <x v="2"/>
    <s v="No"/>
    <x v="0"/>
    <x v="1"/>
    <n v="853"/>
    <x v="0"/>
    <n v="18"/>
    <n v="5"/>
    <x v="0"/>
    <n v="1"/>
    <n v="2"/>
    <x v="1"/>
    <n v="71"/>
    <n v="3"/>
    <n v="3"/>
    <s v="Nurse"/>
    <n v="1"/>
    <s v="Poor"/>
    <x v="1"/>
    <n v="9069"/>
    <x v="0"/>
    <n v="11031"/>
    <n v="1"/>
    <s v="Y"/>
    <s v="No"/>
    <n v="22"/>
    <x v="1"/>
    <s v="High Performance"/>
    <n v="4"/>
    <n v="80"/>
    <n v="1"/>
    <n v="9"/>
    <n v="3"/>
    <n v="2"/>
    <s v="Poor"/>
    <n v="9"/>
    <n v="8"/>
    <n v="1"/>
    <n v="8"/>
  </r>
  <r>
    <n v="1269275"/>
    <n v="35"/>
    <x v="2"/>
    <s v="No"/>
    <x v="0"/>
    <x v="0"/>
    <n v="1142"/>
    <x v="1"/>
    <n v="23"/>
    <n v="4"/>
    <x v="2"/>
    <n v="1"/>
    <n v="3"/>
    <x v="0"/>
    <n v="30"/>
    <n v="3"/>
    <n v="1"/>
    <s v="Nurse"/>
    <n v="1"/>
    <s v="Poor"/>
    <x v="1"/>
    <n v="4014"/>
    <x v="1"/>
    <n v="16002"/>
    <n v="3"/>
    <s v="Y"/>
    <s v="Yes"/>
    <n v="15"/>
    <x v="0"/>
    <s v="Low Performance"/>
    <n v="3"/>
    <n v="80"/>
    <n v="1"/>
    <n v="4"/>
    <n v="3"/>
    <n v="3"/>
    <s v="Fair"/>
    <n v="2"/>
    <n v="2"/>
    <n v="2"/>
    <n v="2"/>
  </r>
  <r>
    <n v="1620694"/>
    <n v="31"/>
    <x v="2"/>
    <s v="No"/>
    <x v="0"/>
    <x v="0"/>
    <n v="655"/>
    <x v="1"/>
    <n v="7"/>
    <n v="4"/>
    <x v="0"/>
    <n v="1"/>
    <n v="4"/>
    <x v="1"/>
    <n v="48"/>
    <n v="3"/>
    <n v="2"/>
    <s v="Nurse"/>
    <n v="4"/>
    <s v="Good"/>
    <x v="2"/>
    <n v="5915"/>
    <x v="0"/>
    <n v="9528"/>
    <n v="3"/>
    <s v="Y"/>
    <s v="No"/>
    <n v="22"/>
    <x v="1"/>
    <s v="High Performance"/>
    <n v="4"/>
    <n v="80"/>
    <n v="1"/>
    <n v="10"/>
    <n v="3"/>
    <n v="2"/>
    <s v="Poor"/>
    <n v="7"/>
    <n v="7"/>
    <n v="1"/>
    <n v="7"/>
  </r>
  <r>
    <n v="1618486"/>
    <n v="37"/>
    <x v="0"/>
    <s v="No"/>
    <x v="0"/>
    <x v="0"/>
    <n v="1115"/>
    <x v="2"/>
    <n v="1"/>
    <n v="4"/>
    <x v="0"/>
    <n v="1"/>
    <n v="1"/>
    <x v="1"/>
    <n v="51"/>
    <n v="2"/>
    <n v="2"/>
    <s v="Therapist"/>
    <n v="3"/>
    <s v="Fair"/>
    <x v="2"/>
    <n v="5993"/>
    <x v="0"/>
    <n v="2689"/>
    <n v="1"/>
    <s v="Y"/>
    <s v="No"/>
    <n v="18"/>
    <x v="0"/>
    <s v="Low Performance"/>
    <n v="3"/>
    <n v="80"/>
    <n v="1"/>
    <n v="7"/>
    <n v="2"/>
    <n v="4"/>
    <s v="Good"/>
    <n v="7"/>
    <n v="5"/>
    <n v="0"/>
    <n v="7"/>
  </r>
  <r>
    <n v="1208054"/>
    <n v="32"/>
    <x v="2"/>
    <s v="No"/>
    <x v="0"/>
    <x v="0"/>
    <n v="427"/>
    <x v="2"/>
    <n v="1"/>
    <n v="3"/>
    <x v="2"/>
    <n v="1"/>
    <n v="1"/>
    <x v="1"/>
    <n v="33"/>
    <n v="3"/>
    <n v="2"/>
    <s v="Therapist"/>
    <n v="4"/>
    <s v="Good"/>
    <x v="1"/>
    <n v="6162"/>
    <x v="0"/>
    <n v="10877"/>
    <n v="1"/>
    <s v="Y"/>
    <s v="Yes"/>
    <n v="22"/>
    <x v="1"/>
    <s v="High Performance"/>
    <n v="2"/>
    <n v="80"/>
    <n v="1"/>
    <n v="9"/>
    <n v="3"/>
    <n v="3"/>
    <s v="Fair"/>
    <n v="9"/>
    <n v="8"/>
    <n v="7"/>
    <n v="8"/>
  </r>
  <r>
    <n v="1545352"/>
    <n v="38"/>
    <x v="0"/>
    <s v="No"/>
    <x v="0"/>
    <x v="1"/>
    <n v="653"/>
    <x v="1"/>
    <n v="29"/>
    <n v="5"/>
    <x v="0"/>
    <n v="1"/>
    <n v="4"/>
    <x v="0"/>
    <n v="50"/>
    <n v="3"/>
    <n v="2"/>
    <s v="Nurse"/>
    <n v="4"/>
    <s v="Good"/>
    <x v="0"/>
    <n v="2406"/>
    <x v="1"/>
    <n v="5456"/>
    <n v="1"/>
    <s v="Y"/>
    <s v="No"/>
    <n v="11"/>
    <x v="0"/>
    <s v="Low Performance"/>
    <n v="4"/>
    <n v="80"/>
    <n v="0"/>
    <n v="10"/>
    <n v="2"/>
    <n v="3"/>
    <s v="Fair"/>
    <n v="10"/>
    <n v="3"/>
    <n v="9"/>
    <n v="9"/>
  </r>
  <r>
    <n v="1665908"/>
    <n v="50"/>
    <x v="1"/>
    <s v="No"/>
    <x v="0"/>
    <x v="0"/>
    <n v="989"/>
    <x v="2"/>
    <n v="7"/>
    <n v="2"/>
    <x v="2"/>
    <n v="1"/>
    <n v="2"/>
    <x v="0"/>
    <n v="43"/>
    <n v="2"/>
    <n v="5"/>
    <s v="Other"/>
    <n v="3"/>
    <s v="Fair"/>
    <x v="2"/>
    <n v="18740"/>
    <x v="2"/>
    <n v="16701"/>
    <n v="5"/>
    <s v="Y"/>
    <s v="Yes"/>
    <n v="12"/>
    <x v="0"/>
    <s v="Low Performance"/>
    <n v="4"/>
    <n v="80"/>
    <n v="1"/>
    <n v="29"/>
    <n v="2"/>
    <n v="2"/>
    <s v="Poor"/>
    <n v="27"/>
    <n v="3"/>
    <n v="13"/>
    <n v="8"/>
  </r>
  <r>
    <n v="1312106"/>
    <n v="59"/>
    <x v="3"/>
    <s v="No"/>
    <x v="0"/>
    <x v="0"/>
    <n v="1435"/>
    <x v="0"/>
    <n v="25"/>
    <n v="3"/>
    <x v="0"/>
    <n v="1"/>
    <n v="1"/>
    <x v="0"/>
    <n v="99"/>
    <n v="3"/>
    <n v="3"/>
    <s v="Nurse"/>
    <n v="1"/>
    <s v="Poor"/>
    <x v="0"/>
    <n v="7637"/>
    <x v="0"/>
    <n v="2354"/>
    <n v="7"/>
    <s v="Y"/>
    <s v="No"/>
    <n v="11"/>
    <x v="0"/>
    <s v="Low Performance"/>
    <n v="4"/>
    <n v="80"/>
    <n v="0"/>
    <n v="28"/>
    <n v="3"/>
    <n v="2"/>
    <s v="Poor"/>
    <n v="21"/>
    <n v="16"/>
    <n v="7"/>
    <n v="9"/>
  </r>
  <r>
    <n v="1391215"/>
    <n v="36"/>
    <x v="0"/>
    <s v="No"/>
    <x v="0"/>
    <x v="0"/>
    <n v="1223"/>
    <x v="1"/>
    <n v="8"/>
    <n v="3"/>
    <x v="4"/>
    <n v="1"/>
    <n v="3"/>
    <x v="0"/>
    <n v="59"/>
    <n v="3"/>
    <n v="3"/>
    <s v="Nurse"/>
    <n v="3"/>
    <s v="Fair"/>
    <x v="2"/>
    <n v="10096"/>
    <x v="0"/>
    <n v="8202"/>
    <n v="1"/>
    <s v="Y"/>
    <s v="No"/>
    <n v="13"/>
    <x v="0"/>
    <s v="Low Performance"/>
    <n v="2"/>
    <n v="80"/>
    <n v="3"/>
    <n v="17"/>
    <n v="2"/>
    <n v="3"/>
    <s v="Fair"/>
    <n v="17"/>
    <n v="14"/>
    <n v="12"/>
    <n v="8"/>
  </r>
  <r>
    <n v="1677994"/>
    <n v="55"/>
    <x v="1"/>
    <s v="No"/>
    <x v="0"/>
    <x v="0"/>
    <n v="836"/>
    <x v="2"/>
    <n v="8"/>
    <n v="3"/>
    <x v="2"/>
    <n v="1"/>
    <n v="4"/>
    <x v="0"/>
    <n v="33"/>
    <n v="3"/>
    <n v="4"/>
    <s v="Other"/>
    <n v="3"/>
    <s v="Fair"/>
    <x v="2"/>
    <n v="14756"/>
    <x v="2"/>
    <n v="19730"/>
    <n v="2"/>
    <s v="Y"/>
    <s v="Yes"/>
    <n v="14"/>
    <x v="0"/>
    <s v="Low Performance"/>
    <n v="3"/>
    <n v="80"/>
    <n v="3"/>
    <n v="21"/>
    <n v="2"/>
    <n v="3"/>
    <s v="Fair"/>
    <n v="5"/>
    <n v="0"/>
    <n v="0"/>
    <n v="2"/>
  </r>
  <r>
    <n v="1216003"/>
    <n v="36"/>
    <x v="0"/>
    <s v="No"/>
    <x v="0"/>
    <x v="1"/>
    <n v="1195"/>
    <x v="1"/>
    <n v="11"/>
    <n v="3"/>
    <x v="0"/>
    <n v="1"/>
    <n v="2"/>
    <x v="1"/>
    <n v="95"/>
    <n v="2"/>
    <n v="2"/>
    <s v="Therapist"/>
    <n v="2"/>
    <s v="Poor"/>
    <x v="0"/>
    <n v="6499"/>
    <x v="0"/>
    <n v="22656"/>
    <n v="1"/>
    <s v="Y"/>
    <s v="No"/>
    <n v="13"/>
    <x v="0"/>
    <s v="Low Performance"/>
    <n v="3"/>
    <n v="80"/>
    <n v="0"/>
    <n v="6"/>
    <n v="3"/>
    <n v="3"/>
    <s v="Fair"/>
    <n v="6"/>
    <n v="5"/>
    <n v="0"/>
    <n v="3"/>
  </r>
  <r>
    <n v="1503437"/>
    <n v="45"/>
    <x v="0"/>
    <s v="No"/>
    <x v="0"/>
    <x v="0"/>
    <n v="1339"/>
    <x v="1"/>
    <n v="7"/>
    <n v="3"/>
    <x v="0"/>
    <n v="1"/>
    <n v="2"/>
    <x v="1"/>
    <n v="59"/>
    <n v="3"/>
    <n v="3"/>
    <s v="Other"/>
    <n v="1"/>
    <s v="Poor"/>
    <x v="2"/>
    <n v="9724"/>
    <x v="0"/>
    <n v="18787"/>
    <n v="2"/>
    <s v="Y"/>
    <s v="No"/>
    <n v="17"/>
    <x v="0"/>
    <s v="Low Performance"/>
    <n v="3"/>
    <n v="80"/>
    <n v="1"/>
    <n v="25"/>
    <n v="2"/>
    <n v="3"/>
    <s v="Fair"/>
    <n v="1"/>
    <n v="0"/>
    <n v="0"/>
    <n v="0"/>
  </r>
  <r>
    <n v="1381585"/>
    <n v="35"/>
    <x v="2"/>
    <s v="No"/>
    <x v="0"/>
    <x v="1"/>
    <n v="664"/>
    <x v="1"/>
    <n v="1"/>
    <n v="3"/>
    <x v="2"/>
    <n v="1"/>
    <n v="2"/>
    <x v="1"/>
    <n v="79"/>
    <n v="3"/>
    <n v="1"/>
    <s v="Other"/>
    <n v="1"/>
    <s v="Poor"/>
    <x v="1"/>
    <n v="2194"/>
    <x v="1"/>
    <n v="5868"/>
    <n v="4"/>
    <s v="Y"/>
    <s v="No"/>
    <n v="13"/>
    <x v="0"/>
    <s v="Low Performance"/>
    <n v="4"/>
    <n v="80"/>
    <n v="1"/>
    <n v="5"/>
    <n v="2"/>
    <n v="2"/>
    <s v="Poor"/>
    <n v="3"/>
    <n v="2"/>
    <n v="1"/>
    <n v="2"/>
  </r>
  <r>
    <n v="1312369"/>
    <n v="36"/>
    <x v="0"/>
    <s v="Yes"/>
    <x v="1"/>
    <x v="0"/>
    <n v="318"/>
    <x v="1"/>
    <n v="9"/>
    <n v="3"/>
    <x v="2"/>
    <n v="1"/>
    <n v="4"/>
    <x v="1"/>
    <n v="79"/>
    <n v="2"/>
    <n v="1"/>
    <s v="Other"/>
    <n v="3"/>
    <s v="Fair"/>
    <x v="1"/>
    <n v="3388"/>
    <x v="1"/>
    <n v="21777"/>
    <n v="0"/>
    <s v="Y"/>
    <s v="Yes"/>
    <n v="17"/>
    <x v="0"/>
    <s v="Low Performance"/>
    <n v="1"/>
    <n v="80"/>
    <n v="1"/>
    <n v="2"/>
    <n v="0"/>
    <n v="2"/>
    <s v="Poor"/>
    <n v="1"/>
    <n v="0"/>
    <n v="0"/>
    <n v="0"/>
  </r>
  <r>
    <n v="1576355"/>
    <n v="59"/>
    <x v="3"/>
    <s v="No"/>
    <x v="0"/>
    <x v="1"/>
    <n v="1225"/>
    <x v="0"/>
    <n v="1"/>
    <n v="1"/>
    <x v="0"/>
    <n v="1"/>
    <n v="1"/>
    <x v="0"/>
    <n v="57"/>
    <n v="2"/>
    <n v="2"/>
    <s v="Nurse"/>
    <n v="3"/>
    <s v="Fair"/>
    <x v="0"/>
    <n v="5473"/>
    <x v="0"/>
    <n v="24668"/>
    <n v="7"/>
    <s v="Y"/>
    <s v="No"/>
    <n v="11"/>
    <x v="0"/>
    <s v="Low Performance"/>
    <n v="4"/>
    <n v="80"/>
    <n v="0"/>
    <n v="20"/>
    <n v="2"/>
    <n v="2"/>
    <s v="Poor"/>
    <n v="4"/>
    <n v="3"/>
    <n v="1"/>
    <n v="3"/>
  </r>
  <r>
    <n v="1659485"/>
    <n v="29"/>
    <x v="2"/>
    <s v="No"/>
    <x v="0"/>
    <x v="0"/>
    <n v="1328"/>
    <x v="1"/>
    <n v="2"/>
    <n v="3"/>
    <x v="0"/>
    <n v="1"/>
    <n v="3"/>
    <x v="1"/>
    <n v="76"/>
    <n v="3"/>
    <n v="1"/>
    <s v="Other"/>
    <n v="2"/>
    <s v="Poor"/>
    <x v="1"/>
    <n v="2703"/>
    <x v="1"/>
    <n v="4956"/>
    <n v="0"/>
    <s v="Y"/>
    <s v="No"/>
    <n v="23"/>
    <x v="1"/>
    <s v="High Performance"/>
    <n v="4"/>
    <n v="80"/>
    <n v="1"/>
    <n v="6"/>
    <n v="3"/>
    <n v="3"/>
    <s v="Fair"/>
    <n v="5"/>
    <n v="4"/>
    <n v="0"/>
    <n v="4"/>
  </r>
  <r>
    <n v="1530200"/>
    <n v="31"/>
    <x v="2"/>
    <s v="No"/>
    <x v="0"/>
    <x v="0"/>
    <n v="1082"/>
    <x v="1"/>
    <n v="1"/>
    <n v="4"/>
    <x v="2"/>
    <n v="1"/>
    <n v="3"/>
    <x v="1"/>
    <n v="87"/>
    <n v="3"/>
    <n v="1"/>
    <s v="Other"/>
    <n v="2"/>
    <s v="Poor"/>
    <x v="0"/>
    <n v="2501"/>
    <x v="1"/>
    <n v="18775"/>
    <n v="1"/>
    <s v="Y"/>
    <s v="No"/>
    <n v="17"/>
    <x v="0"/>
    <s v="Low Performance"/>
    <n v="2"/>
    <n v="80"/>
    <n v="0"/>
    <n v="1"/>
    <n v="4"/>
    <n v="3"/>
    <s v="Fair"/>
    <n v="1"/>
    <n v="1"/>
    <n v="1"/>
    <n v="0"/>
  </r>
  <r>
    <n v="1773482"/>
    <n v="32"/>
    <x v="2"/>
    <s v="No"/>
    <x v="0"/>
    <x v="0"/>
    <n v="548"/>
    <x v="1"/>
    <n v="1"/>
    <n v="3"/>
    <x v="0"/>
    <n v="1"/>
    <n v="2"/>
    <x v="1"/>
    <n v="66"/>
    <n v="3"/>
    <n v="2"/>
    <s v="Other"/>
    <n v="2"/>
    <s v="Poor"/>
    <x v="1"/>
    <n v="6220"/>
    <x v="0"/>
    <n v="7346"/>
    <n v="1"/>
    <s v="Y"/>
    <s v="No"/>
    <n v="17"/>
    <x v="0"/>
    <s v="Low Performance"/>
    <n v="2"/>
    <n v="80"/>
    <n v="2"/>
    <n v="10"/>
    <n v="3"/>
    <n v="3"/>
    <s v="Fair"/>
    <n v="10"/>
    <n v="4"/>
    <n v="0"/>
    <n v="9"/>
  </r>
  <r>
    <n v="1188108"/>
    <n v="36"/>
    <x v="0"/>
    <s v="No"/>
    <x v="0"/>
    <x v="0"/>
    <n v="132"/>
    <x v="1"/>
    <n v="6"/>
    <n v="3"/>
    <x v="0"/>
    <n v="1"/>
    <n v="2"/>
    <x v="0"/>
    <n v="55"/>
    <n v="4"/>
    <n v="1"/>
    <s v="Nurse"/>
    <n v="4"/>
    <s v="Good"/>
    <x v="1"/>
    <n v="3038"/>
    <x v="1"/>
    <n v="22002"/>
    <n v="3"/>
    <s v="Y"/>
    <s v="No"/>
    <n v="12"/>
    <x v="0"/>
    <s v="Low Performance"/>
    <n v="2"/>
    <n v="80"/>
    <n v="0"/>
    <n v="5"/>
    <n v="3"/>
    <n v="3"/>
    <s v="Fair"/>
    <n v="1"/>
    <n v="0"/>
    <n v="0"/>
    <n v="0"/>
  </r>
  <r>
    <n v="1471418"/>
    <n v="31"/>
    <x v="2"/>
    <s v="No"/>
    <x v="0"/>
    <x v="0"/>
    <n v="746"/>
    <x v="0"/>
    <n v="8"/>
    <n v="4"/>
    <x v="0"/>
    <n v="1"/>
    <n v="3"/>
    <x v="0"/>
    <n v="61"/>
    <n v="3"/>
    <n v="2"/>
    <s v="Therapist"/>
    <n v="4"/>
    <s v="Good"/>
    <x v="0"/>
    <n v="4424"/>
    <x v="1"/>
    <n v="20682"/>
    <n v="1"/>
    <s v="Y"/>
    <s v="No"/>
    <n v="23"/>
    <x v="1"/>
    <s v="High Performance"/>
    <n v="4"/>
    <n v="80"/>
    <n v="0"/>
    <n v="11"/>
    <n v="2"/>
    <n v="3"/>
    <s v="Fair"/>
    <n v="11"/>
    <n v="7"/>
    <n v="1"/>
    <n v="8"/>
  </r>
  <r>
    <n v="1081842"/>
    <n v="35"/>
    <x v="2"/>
    <s v="No"/>
    <x v="0"/>
    <x v="0"/>
    <n v="776"/>
    <x v="0"/>
    <n v="1"/>
    <n v="4"/>
    <x v="3"/>
    <n v="1"/>
    <n v="3"/>
    <x v="1"/>
    <n v="32"/>
    <n v="2"/>
    <n v="2"/>
    <s v="Nurse"/>
    <n v="1"/>
    <s v="Poor"/>
    <x v="0"/>
    <n v="4312"/>
    <x v="1"/>
    <n v="23016"/>
    <n v="0"/>
    <s v="Y"/>
    <s v="No"/>
    <n v="14"/>
    <x v="0"/>
    <s v="Low Performance"/>
    <n v="2"/>
    <n v="80"/>
    <n v="0"/>
    <n v="16"/>
    <n v="2"/>
    <n v="3"/>
    <s v="Fair"/>
    <n v="15"/>
    <n v="13"/>
    <n v="2"/>
    <n v="8"/>
  </r>
  <r>
    <n v="1146021"/>
    <n v="45"/>
    <x v="0"/>
    <s v="No"/>
    <x v="0"/>
    <x v="0"/>
    <n v="193"/>
    <x v="2"/>
    <n v="6"/>
    <n v="4"/>
    <x v="1"/>
    <n v="1"/>
    <n v="4"/>
    <x v="1"/>
    <n v="52"/>
    <n v="3"/>
    <n v="3"/>
    <s v="Other"/>
    <n v="1"/>
    <s v="Poor"/>
    <x v="1"/>
    <n v="13245"/>
    <x v="2"/>
    <n v="15067"/>
    <n v="4"/>
    <s v="Y"/>
    <s v="Yes"/>
    <n v="14"/>
    <x v="0"/>
    <s v="Low Performance"/>
    <n v="2"/>
    <n v="80"/>
    <n v="0"/>
    <n v="17"/>
    <n v="3"/>
    <n v="4"/>
    <s v="Good"/>
    <n v="0"/>
    <n v="0"/>
    <n v="0"/>
    <n v="0"/>
  </r>
  <r>
    <n v="1880248"/>
    <n v="37"/>
    <x v="0"/>
    <s v="No"/>
    <x v="0"/>
    <x v="0"/>
    <n v="397"/>
    <x v="2"/>
    <n v="7"/>
    <n v="4"/>
    <x v="2"/>
    <n v="1"/>
    <n v="1"/>
    <x v="1"/>
    <n v="30"/>
    <n v="3"/>
    <n v="3"/>
    <s v="Other"/>
    <n v="3"/>
    <s v="Fair"/>
    <x v="0"/>
    <n v="13664"/>
    <x v="2"/>
    <n v="25258"/>
    <n v="4"/>
    <s v="Y"/>
    <s v="No"/>
    <n v="13"/>
    <x v="0"/>
    <s v="Low Performance"/>
    <n v="1"/>
    <n v="80"/>
    <n v="0"/>
    <n v="16"/>
    <n v="3"/>
    <n v="4"/>
    <s v="Good"/>
    <n v="5"/>
    <n v="2"/>
    <n v="0"/>
    <n v="2"/>
  </r>
  <r>
    <n v="1267807"/>
    <n v="46"/>
    <x v="1"/>
    <s v="No"/>
    <x v="0"/>
    <x v="0"/>
    <n v="945"/>
    <x v="2"/>
    <n v="5"/>
    <n v="2"/>
    <x v="2"/>
    <n v="1"/>
    <n v="2"/>
    <x v="1"/>
    <n v="80"/>
    <n v="3"/>
    <n v="2"/>
    <s v="Other"/>
    <n v="2"/>
    <s v="Poor"/>
    <x v="2"/>
    <n v="5021"/>
    <x v="0"/>
    <n v="10425"/>
    <n v="8"/>
    <s v="Y"/>
    <s v="Yes"/>
    <n v="22"/>
    <x v="1"/>
    <s v="High Performance"/>
    <n v="4"/>
    <n v="80"/>
    <n v="1"/>
    <n v="16"/>
    <n v="2"/>
    <n v="3"/>
    <s v="Fair"/>
    <n v="4"/>
    <n v="2"/>
    <n v="0"/>
    <n v="2"/>
  </r>
  <r>
    <n v="1247348"/>
    <n v="30"/>
    <x v="2"/>
    <s v="No"/>
    <x v="0"/>
    <x v="0"/>
    <n v="852"/>
    <x v="1"/>
    <n v="1"/>
    <n v="1"/>
    <x v="0"/>
    <n v="1"/>
    <n v="4"/>
    <x v="1"/>
    <n v="55"/>
    <n v="2"/>
    <n v="2"/>
    <s v="Nurse"/>
    <n v="4"/>
    <s v="Good"/>
    <x v="1"/>
    <n v="5126"/>
    <x v="0"/>
    <n v="15998"/>
    <n v="1"/>
    <s v="Y"/>
    <s v="Yes"/>
    <n v="12"/>
    <x v="0"/>
    <s v="Low Performance"/>
    <n v="3"/>
    <n v="80"/>
    <n v="2"/>
    <n v="10"/>
    <n v="1"/>
    <n v="2"/>
    <s v="Poor"/>
    <n v="10"/>
    <n v="8"/>
    <n v="3"/>
    <n v="0"/>
  </r>
  <r>
    <n v="1886039"/>
    <n v="35"/>
    <x v="2"/>
    <s v="No"/>
    <x v="0"/>
    <x v="0"/>
    <n v="1214"/>
    <x v="1"/>
    <n v="1"/>
    <n v="3"/>
    <x v="2"/>
    <n v="1"/>
    <n v="2"/>
    <x v="1"/>
    <n v="30"/>
    <n v="2"/>
    <n v="1"/>
    <s v="Other"/>
    <n v="3"/>
    <s v="Fair"/>
    <x v="0"/>
    <n v="2859"/>
    <x v="1"/>
    <n v="26278"/>
    <n v="1"/>
    <s v="Y"/>
    <s v="No"/>
    <n v="18"/>
    <x v="0"/>
    <s v="Low Performance"/>
    <n v="1"/>
    <n v="80"/>
    <n v="0"/>
    <n v="6"/>
    <n v="3"/>
    <n v="3"/>
    <s v="Fair"/>
    <n v="6"/>
    <n v="4"/>
    <n v="0"/>
    <n v="4"/>
  </r>
  <r>
    <n v="1134060"/>
    <n v="55"/>
    <x v="1"/>
    <s v="No"/>
    <x v="0"/>
    <x v="0"/>
    <n v="111"/>
    <x v="0"/>
    <n v="1"/>
    <n v="2"/>
    <x v="0"/>
    <n v="1"/>
    <n v="1"/>
    <x v="1"/>
    <n v="70"/>
    <n v="3"/>
    <n v="3"/>
    <s v="Nurse"/>
    <n v="4"/>
    <s v="Good"/>
    <x v="1"/>
    <n v="10239"/>
    <x v="0"/>
    <n v="18092"/>
    <n v="3"/>
    <s v="Y"/>
    <s v="No"/>
    <n v="14"/>
    <x v="0"/>
    <s v="Low Performance"/>
    <n v="4"/>
    <n v="80"/>
    <n v="1"/>
    <n v="24"/>
    <n v="4"/>
    <n v="3"/>
    <s v="Fair"/>
    <n v="1"/>
    <n v="0"/>
    <n v="1"/>
    <n v="0"/>
  </r>
  <r>
    <n v="1403326"/>
    <n v="38"/>
    <x v="0"/>
    <s v="No"/>
    <x v="0"/>
    <x v="2"/>
    <n v="573"/>
    <x v="1"/>
    <n v="6"/>
    <n v="3"/>
    <x v="2"/>
    <n v="1"/>
    <n v="2"/>
    <x v="0"/>
    <n v="79"/>
    <n v="1"/>
    <n v="2"/>
    <s v="Other"/>
    <n v="4"/>
    <s v="Good"/>
    <x v="2"/>
    <n v="5329"/>
    <x v="0"/>
    <n v="15717"/>
    <n v="7"/>
    <s v="Y"/>
    <s v="Yes"/>
    <n v="12"/>
    <x v="0"/>
    <s v="Low Performance"/>
    <n v="4"/>
    <n v="80"/>
    <n v="3"/>
    <n v="17"/>
    <n v="3"/>
    <n v="3"/>
    <s v="Fair"/>
    <n v="13"/>
    <n v="11"/>
    <n v="1"/>
    <n v="9"/>
  </r>
  <r>
    <n v="1689558"/>
    <n v="34"/>
    <x v="2"/>
    <s v="No"/>
    <x v="0"/>
    <x v="0"/>
    <n v="1153"/>
    <x v="2"/>
    <n v="1"/>
    <n v="2"/>
    <x v="2"/>
    <n v="1"/>
    <n v="1"/>
    <x v="1"/>
    <n v="94"/>
    <n v="3"/>
    <n v="2"/>
    <s v="Therapist"/>
    <n v="2"/>
    <s v="Poor"/>
    <x v="1"/>
    <n v="4325"/>
    <x v="1"/>
    <n v="17736"/>
    <n v="1"/>
    <s v="Y"/>
    <s v="No"/>
    <n v="15"/>
    <x v="0"/>
    <s v="Low Performance"/>
    <n v="3"/>
    <n v="80"/>
    <n v="0"/>
    <n v="5"/>
    <n v="2"/>
    <n v="3"/>
    <s v="Fair"/>
    <n v="5"/>
    <n v="2"/>
    <n v="1"/>
    <n v="3"/>
  </r>
  <r>
    <n v="1122798"/>
    <n v="56"/>
    <x v="3"/>
    <s v="No"/>
    <x v="0"/>
    <x v="0"/>
    <n v="1400"/>
    <x v="2"/>
    <n v="7"/>
    <n v="3"/>
    <x v="0"/>
    <n v="1"/>
    <n v="4"/>
    <x v="1"/>
    <n v="49"/>
    <n v="1"/>
    <n v="3"/>
    <s v="Therapist"/>
    <n v="4"/>
    <s v="Good"/>
    <x v="0"/>
    <n v="7260"/>
    <x v="0"/>
    <n v="21698"/>
    <n v="4"/>
    <s v="Y"/>
    <s v="No"/>
    <n v="11"/>
    <x v="0"/>
    <s v="Low Performance"/>
    <n v="1"/>
    <n v="80"/>
    <n v="0"/>
    <n v="37"/>
    <n v="3"/>
    <n v="2"/>
    <s v="Poor"/>
    <n v="6"/>
    <n v="4"/>
    <n v="0"/>
    <n v="2"/>
  </r>
  <r>
    <n v="1477348"/>
    <n v="23"/>
    <x v="4"/>
    <s v="No"/>
    <x v="0"/>
    <x v="0"/>
    <n v="541"/>
    <x v="0"/>
    <n v="2"/>
    <n v="1"/>
    <x v="4"/>
    <n v="1"/>
    <n v="3"/>
    <x v="1"/>
    <n v="62"/>
    <n v="3"/>
    <n v="1"/>
    <s v="Other"/>
    <n v="1"/>
    <s v="Poor"/>
    <x v="2"/>
    <n v="2322"/>
    <x v="1"/>
    <n v="9518"/>
    <n v="3"/>
    <s v="Y"/>
    <s v="No"/>
    <n v="13"/>
    <x v="0"/>
    <s v="Low Performance"/>
    <n v="3"/>
    <n v="80"/>
    <n v="1"/>
    <n v="3"/>
    <n v="3"/>
    <n v="3"/>
    <s v="Fair"/>
    <n v="0"/>
    <n v="0"/>
    <n v="0"/>
    <n v="0"/>
  </r>
  <r>
    <n v="1061371"/>
    <n v="51"/>
    <x v="1"/>
    <s v="No"/>
    <x v="0"/>
    <x v="0"/>
    <n v="432"/>
    <x v="1"/>
    <n v="9"/>
    <n v="4"/>
    <x v="0"/>
    <n v="1"/>
    <n v="4"/>
    <x v="1"/>
    <n v="96"/>
    <n v="3"/>
    <n v="1"/>
    <s v="Nurse"/>
    <n v="4"/>
    <s v="Good"/>
    <x v="1"/>
    <n v="2075"/>
    <x v="1"/>
    <n v="18725"/>
    <n v="3"/>
    <s v="Y"/>
    <s v="No"/>
    <n v="23"/>
    <x v="1"/>
    <s v="High Performance"/>
    <n v="2"/>
    <n v="80"/>
    <n v="2"/>
    <n v="10"/>
    <n v="4"/>
    <n v="3"/>
    <s v="Fair"/>
    <n v="4"/>
    <n v="2"/>
    <n v="0"/>
    <n v="3"/>
  </r>
  <r>
    <n v="1535342"/>
    <n v="30"/>
    <x v="2"/>
    <s v="No"/>
    <x v="0"/>
    <x v="0"/>
    <n v="288"/>
    <x v="1"/>
    <n v="2"/>
    <n v="3"/>
    <x v="0"/>
    <n v="1"/>
    <n v="3"/>
    <x v="1"/>
    <n v="99"/>
    <n v="2"/>
    <n v="2"/>
    <s v="Nurse"/>
    <n v="4"/>
    <s v="Good"/>
    <x v="1"/>
    <n v="4152"/>
    <x v="1"/>
    <n v="15830"/>
    <n v="1"/>
    <s v="Y"/>
    <s v="No"/>
    <n v="19"/>
    <x v="0"/>
    <s v="Low Performance"/>
    <n v="1"/>
    <n v="80"/>
    <n v="3"/>
    <n v="11"/>
    <n v="3"/>
    <n v="3"/>
    <s v="Fair"/>
    <n v="11"/>
    <n v="10"/>
    <n v="10"/>
    <n v="8"/>
  </r>
  <r>
    <n v="1386780"/>
    <n v="46"/>
    <x v="1"/>
    <s v="No"/>
    <x v="0"/>
    <x v="0"/>
    <n v="669"/>
    <x v="0"/>
    <n v="9"/>
    <n v="2"/>
    <x v="2"/>
    <n v="1"/>
    <n v="3"/>
    <x v="1"/>
    <n v="64"/>
    <n v="2"/>
    <n v="3"/>
    <s v="Nurse"/>
    <n v="4"/>
    <s v="Good"/>
    <x v="0"/>
    <n v="9619"/>
    <x v="0"/>
    <n v="13596"/>
    <n v="1"/>
    <s v="Y"/>
    <s v="No"/>
    <n v="16"/>
    <x v="0"/>
    <s v="Low Performance"/>
    <n v="4"/>
    <n v="80"/>
    <n v="0"/>
    <n v="9"/>
    <n v="3"/>
    <n v="3"/>
    <s v="Fair"/>
    <n v="9"/>
    <n v="8"/>
    <n v="4"/>
    <n v="7"/>
  </r>
  <r>
    <n v="1254775"/>
    <n v="40"/>
    <x v="0"/>
    <s v="No"/>
    <x v="0"/>
    <x v="1"/>
    <n v="530"/>
    <x v="1"/>
    <n v="1"/>
    <n v="4"/>
    <x v="0"/>
    <n v="1"/>
    <n v="3"/>
    <x v="1"/>
    <n v="78"/>
    <n v="2"/>
    <n v="4"/>
    <s v="Nurse"/>
    <n v="2"/>
    <s v="Poor"/>
    <x v="1"/>
    <n v="13503"/>
    <x v="2"/>
    <n v="14115"/>
    <n v="1"/>
    <s v="Y"/>
    <s v="No"/>
    <n v="22"/>
    <x v="1"/>
    <s v="High Performance"/>
    <n v="4"/>
    <n v="80"/>
    <n v="1"/>
    <n v="22"/>
    <n v="3"/>
    <n v="2"/>
    <s v="Poor"/>
    <n v="22"/>
    <n v="3"/>
    <n v="11"/>
    <n v="11"/>
  </r>
  <r>
    <n v="1818921"/>
    <n v="51"/>
    <x v="1"/>
    <s v="No"/>
    <x v="0"/>
    <x v="0"/>
    <n v="632"/>
    <x v="0"/>
    <n v="21"/>
    <n v="4"/>
    <x v="3"/>
    <n v="1"/>
    <n v="3"/>
    <x v="1"/>
    <n v="71"/>
    <n v="3"/>
    <n v="2"/>
    <s v="Nurse"/>
    <n v="4"/>
    <s v="Good"/>
    <x v="0"/>
    <n v="5441"/>
    <x v="0"/>
    <n v="8423"/>
    <n v="0"/>
    <s v="Y"/>
    <s v="Yes"/>
    <n v="22"/>
    <x v="1"/>
    <s v="High Performance"/>
    <n v="4"/>
    <n v="80"/>
    <n v="0"/>
    <n v="11"/>
    <n v="2"/>
    <n v="1"/>
    <s v="Poor"/>
    <n v="10"/>
    <n v="7"/>
    <n v="1"/>
    <n v="0"/>
  </r>
  <r>
    <n v="1848882"/>
    <n v="30"/>
    <x v="2"/>
    <s v="No"/>
    <x v="0"/>
    <x v="0"/>
    <n v="1334"/>
    <x v="0"/>
    <n v="4"/>
    <n v="2"/>
    <x v="2"/>
    <n v="1"/>
    <n v="3"/>
    <x v="0"/>
    <n v="63"/>
    <n v="2"/>
    <n v="2"/>
    <s v="Nurse"/>
    <n v="2"/>
    <s v="Poor"/>
    <x v="2"/>
    <n v="5209"/>
    <x v="0"/>
    <n v="19760"/>
    <n v="1"/>
    <s v="Y"/>
    <s v="Yes"/>
    <n v="12"/>
    <x v="0"/>
    <s v="Low Performance"/>
    <n v="2"/>
    <n v="80"/>
    <n v="3"/>
    <n v="11"/>
    <n v="4"/>
    <n v="2"/>
    <s v="Poor"/>
    <n v="11"/>
    <n v="8"/>
    <n v="2"/>
    <n v="7"/>
  </r>
  <r>
    <n v="1537412"/>
    <n v="46"/>
    <x v="1"/>
    <s v="No"/>
    <x v="0"/>
    <x v="1"/>
    <n v="638"/>
    <x v="1"/>
    <n v="1"/>
    <n v="3"/>
    <x v="2"/>
    <n v="1"/>
    <n v="3"/>
    <x v="1"/>
    <n v="40"/>
    <n v="2"/>
    <n v="3"/>
    <s v="Nurse"/>
    <n v="1"/>
    <s v="Poor"/>
    <x v="1"/>
    <n v="10673"/>
    <x v="0"/>
    <n v="3142"/>
    <n v="2"/>
    <s v="Y"/>
    <s v="Yes"/>
    <n v="13"/>
    <x v="0"/>
    <s v="Low Performance"/>
    <n v="3"/>
    <n v="80"/>
    <n v="1"/>
    <n v="21"/>
    <n v="5"/>
    <n v="2"/>
    <s v="Poor"/>
    <n v="10"/>
    <n v="9"/>
    <n v="9"/>
    <n v="5"/>
  </r>
  <r>
    <n v="1231380"/>
    <n v="32"/>
    <x v="2"/>
    <s v="No"/>
    <x v="0"/>
    <x v="0"/>
    <n v="1093"/>
    <x v="0"/>
    <n v="6"/>
    <n v="4"/>
    <x v="2"/>
    <n v="1"/>
    <n v="2"/>
    <x v="1"/>
    <n v="87"/>
    <n v="3"/>
    <n v="2"/>
    <s v="Nurse"/>
    <n v="3"/>
    <s v="Fair"/>
    <x v="0"/>
    <n v="5010"/>
    <x v="0"/>
    <n v="24301"/>
    <n v="1"/>
    <s v="Y"/>
    <s v="No"/>
    <n v="16"/>
    <x v="0"/>
    <s v="Low Performance"/>
    <n v="1"/>
    <n v="80"/>
    <n v="0"/>
    <n v="12"/>
    <n v="0"/>
    <n v="3"/>
    <s v="Fair"/>
    <n v="11"/>
    <n v="8"/>
    <n v="5"/>
    <n v="7"/>
  </r>
  <r>
    <n v="1293078"/>
    <n v="54"/>
    <x v="1"/>
    <s v="No"/>
    <x v="0"/>
    <x v="0"/>
    <n v="1217"/>
    <x v="2"/>
    <n v="2"/>
    <n v="4"/>
    <x v="4"/>
    <n v="1"/>
    <n v="1"/>
    <x v="0"/>
    <n v="60"/>
    <n v="3"/>
    <n v="3"/>
    <s v="Other"/>
    <n v="3"/>
    <s v="Fair"/>
    <x v="1"/>
    <n v="13549"/>
    <x v="2"/>
    <n v="24001"/>
    <n v="9"/>
    <s v="Y"/>
    <s v="No"/>
    <n v="12"/>
    <x v="0"/>
    <s v="Low Performance"/>
    <n v="1"/>
    <n v="80"/>
    <n v="1"/>
    <n v="16"/>
    <n v="5"/>
    <n v="1"/>
    <s v="Poor"/>
    <n v="4"/>
    <n v="3"/>
    <n v="0"/>
    <n v="3"/>
  </r>
  <r>
    <n v="1026798"/>
    <n v="24"/>
    <x v="4"/>
    <s v="No"/>
    <x v="0"/>
    <x v="0"/>
    <n v="1353"/>
    <x v="0"/>
    <n v="3"/>
    <n v="2"/>
    <x v="1"/>
    <n v="1"/>
    <n v="1"/>
    <x v="0"/>
    <n v="33"/>
    <n v="3"/>
    <n v="2"/>
    <s v="Nurse"/>
    <n v="3"/>
    <s v="Fair"/>
    <x v="1"/>
    <n v="4999"/>
    <x v="1"/>
    <n v="17519"/>
    <n v="0"/>
    <s v="Y"/>
    <s v="No"/>
    <n v="21"/>
    <x v="1"/>
    <s v="High Performance"/>
    <n v="1"/>
    <n v="80"/>
    <n v="1"/>
    <n v="4"/>
    <n v="2"/>
    <n v="2"/>
    <s v="Poor"/>
    <n v="3"/>
    <n v="2"/>
    <n v="0"/>
    <n v="2"/>
  </r>
  <r>
    <n v="1500402"/>
    <n v="28"/>
    <x v="2"/>
    <s v="No"/>
    <x v="0"/>
    <x v="2"/>
    <n v="120"/>
    <x v="0"/>
    <n v="4"/>
    <n v="3"/>
    <x v="2"/>
    <n v="1"/>
    <n v="2"/>
    <x v="1"/>
    <n v="43"/>
    <n v="3"/>
    <n v="2"/>
    <s v="Nurse"/>
    <n v="3"/>
    <s v="Fair"/>
    <x v="1"/>
    <n v="4221"/>
    <x v="1"/>
    <n v="8863"/>
    <n v="1"/>
    <s v="Y"/>
    <s v="No"/>
    <n v="15"/>
    <x v="0"/>
    <s v="Low Performance"/>
    <n v="2"/>
    <n v="80"/>
    <n v="0"/>
    <n v="5"/>
    <n v="3"/>
    <n v="4"/>
    <s v="Good"/>
    <n v="5"/>
    <n v="4"/>
    <n v="0"/>
    <n v="4"/>
  </r>
  <r>
    <n v="1514098"/>
    <n v="58"/>
    <x v="3"/>
    <s v="No"/>
    <x v="0"/>
    <x v="0"/>
    <n v="682"/>
    <x v="0"/>
    <n v="10"/>
    <n v="4"/>
    <x v="2"/>
    <n v="1"/>
    <n v="4"/>
    <x v="1"/>
    <n v="37"/>
    <n v="3"/>
    <n v="4"/>
    <s v="Nurse"/>
    <n v="3"/>
    <s v="Fair"/>
    <x v="0"/>
    <n v="13872"/>
    <x v="2"/>
    <n v="24409"/>
    <n v="0"/>
    <s v="Y"/>
    <s v="No"/>
    <n v="13"/>
    <x v="0"/>
    <s v="Low Performance"/>
    <n v="3"/>
    <n v="80"/>
    <n v="0"/>
    <n v="38"/>
    <n v="1"/>
    <n v="2"/>
    <s v="Poor"/>
    <n v="37"/>
    <n v="10"/>
    <n v="1"/>
    <n v="8"/>
  </r>
  <r>
    <n v="1487216"/>
    <n v="44"/>
    <x v="0"/>
    <s v="No"/>
    <x v="0"/>
    <x v="2"/>
    <n v="489"/>
    <x v="1"/>
    <n v="23"/>
    <n v="3"/>
    <x v="2"/>
    <n v="1"/>
    <n v="2"/>
    <x v="1"/>
    <n v="67"/>
    <n v="3"/>
    <n v="2"/>
    <s v="Nurse"/>
    <n v="2"/>
    <s v="Poor"/>
    <x v="1"/>
    <n v="2042"/>
    <x v="1"/>
    <n v="25043"/>
    <n v="4"/>
    <s v="Y"/>
    <s v="No"/>
    <n v="12"/>
    <x v="0"/>
    <s v="Low Performance"/>
    <n v="3"/>
    <n v="80"/>
    <n v="1"/>
    <n v="17"/>
    <n v="3"/>
    <n v="4"/>
    <s v="Good"/>
    <n v="3"/>
    <n v="2"/>
    <n v="1"/>
    <n v="2"/>
  </r>
  <r>
    <n v="1843825"/>
    <n v="37"/>
    <x v="0"/>
    <s v="Yes"/>
    <x v="1"/>
    <x v="0"/>
    <n v="807"/>
    <x v="2"/>
    <n v="6"/>
    <n v="4"/>
    <x v="5"/>
    <n v="1"/>
    <n v="3"/>
    <x v="1"/>
    <n v="63"/>
    <n v="3"/>
    <n v="1"/>
    <s v="Other"/>
    <n v="1"/>
    <s v="Poor"/>
    <x v="2"/>
    <n v="2073"/>
    <x v="1"/>
    <n v="23648"/>
    <n v="4"/>
    <s v="Y"/>
    <s v="Yes"/>
    <n v="22"/>
    <x v="1"/>
    <s v="High Performance"/>
    <n v="4"/>
    <n v="80"/>
    <n v="0"/>
    <n v="7"/>
    <n v="3"/>
    <n v="3"/>
    <s v="Fair"/>
    <n v="3"/>
    <n v="2"/>
    <n v="0"/>
    <n v="2"/>
  </r>
  <r>
    <n v="1635251"/>
    <n v="32"/>
    <x v="2"/>
    <s v="No"/>
    <x v="0"/>
    <x v="0"/>
    <n v="827"/>
    <x v="1"/>
    <n v="1"/>
    <n v="1"/>
    <x v="0"/>
    <n v="1"/>
    <n v="4"/>
    <x v="1"/>
    <n v="71"/>
    <n v="3"/>
    <n v="1"/>
    <s v="Other"/>
    <n v="1"/>
    <s v="Poor"/>
    <x v="0"/>
    <n v="2956"/>
    <x v="1"/>
    <n v="15178"/>
    <n v="1"/>
    <s v="Y"/>
    <s v="No"/>
    <n v="13"/>
    <x v="0"/>
    <s v="Low Performance"/>
    <n v="4"/>
    <n v="80"/>
    <n v="0"/>
    <n v="1"/>
    <n v="2"/>
    <n v="3"/>
    <s v="Fair"/>
    <n v="1"/>
    <n v="0"/>
    <n v="0"/>
    <n v="0"/>
  </r>
  <r>
    <n v="1088304"/>
    <n v="20"/>
    <x v="4"/>
    <s v="Yes"/>
    <x v="1"/>
    <x v="1"/>
    <n v="871"/>
    <x v="1"/>
    <n v="6"/>
    <n v="3"/>
    <x v="0"/>
    <n v="1"/>
    <n v="4"/>
    <x v="0"/>
    <n v="66"/>
    <n v="2"/>
    <n v="1"/>
    <s v="Nurse"/>
    <n v="4"/>
    <s v="Good"/>
    <x v="0"/>
    <n v="2926"/>
    <x v="1"/>
    <n v="19783"/>
    <n v="1"/>
    <s v="Y"/>
    <s v="Yes"/>
    <n v="18"/>
    <x v="0"/>
    <s v="Low Performance"/>
    <n v="2"/>
    <n v="80"/>
    <n v="0"/>
    <n v="1"/>
    <n v="5"/>
    <n v="3"/>
    <s v="Fair"/>
    <n v="1"/>
    <n v="0"/>
    <n v="1"/>
    <n v="0"/>
  </r>
  <r>
    <n v="1792856"/>
    <n v="34"/>
    <x v="2"/>
    <s v="No"/>
    <x v="0"/>
    <x v="0"/>
    <n v="665"/>
    <x v="1"/>
    <n v="6"/>
    <n v="4"/>
    <x v="1"/>
    <n v="1"/>
    <n v="1"/>
    <x v="0"/>
    <n v="41"/>
    <n v="3"/>
    <n v="2"/>
    <s v="Other"/>
    <n v="3"/>
    <s v="Fair"/>
    <x v="0"/>
    <n v="4809"/>
    <x v="1"/>
    <n v="12482"/>
    <n v="1"/>
    <s v="Y"/>
    <s v="No"/>
    <n v="14"/>
    <x v="0"/>
    <s v="Low Performance"/>
    <n v="3"/>
    <n v="80"/>
    <n v="0"/>
    <n v="16"/>
    <n v="3"/>
    <n v="3"/>
    <s v="Fair"/>
    <n v="16"/>
    <n v="13"/>
    <n v="2"/>
    <n v="10"/>
  </r>
  <r>
    <n v="1787161"/>
    <n v="37"/>
    <x v="0"/>
    <s v="No"/>
    <x v="0"/>
    <x v="2"/>
    <n v="1040"/>
    <x v="1"/>
    <n v="2"/>
    <n v="2"/>
    <x v="0"/>
    <n v="1"/>
    <n v="3"/>
    <x v="1"/>
    <n v="100"/>
    <n v="2"/>
    <n v="2"/>
    <s v="Nurse"/>
    <n v="4"/>
    <s v="Good"/>
    <x v="2"/>
    <n v="5163"/>
    <x v="0"/>
    <n v="15850"/>
    <n v="5"/>
    <s v="Y"/>
    <s v="No"/>
    <n v="14"/>
    <x v="0"/>
    <s v="Low Performance"/>
    <n v="4"/>
    <n v="80"/>
    <n v="1"/>
    <n v="17"/>
    <n v="2"/>
    <n v="4"/>
    <s v="Good"/>
    <n v="1"/>
    <n v="0"/>
    <n v="0"/>
    <n v="0"/>
  </r>
  <r>
    <n v="1627796"/>
    <n v="59"/>
    <x v="3"/>
    <s v="No"/>
    <x v="0"/>
    <x v="2"/>
    <n v="1420"/>
    <x v="2"/>
    <n v="2"/>
    <n v="4"/>
    <x v="5"/>
    <n v="1"/>
    <n v="3"/>
    <x v="0"/>
    <n v="32"/>
    <n v="2"/>
    <n v="5"/>
    <s v="Administrative"/>
    <n v="4"/>
    <s v="Good"/>
    <x v="1"/>
    <n v="18844"/>
    <x v="2"/>
    <n v="21922"/>
    <n v="9"/>
    <s v="Y"/>
    <s v="No"/>
    <n v="21"/>
    <x v="1"/>
    <s v="High Performance"/>
    <n v="4"/>
    <n v="80"/>
    <n v="1"/>
    <n v="30"/>
    <n v="3"/>
    <n v="3"/>
    <s v="Fair"/>
    <n v="3"/>
    <n v="2"/>
    <n v="2"/>
    <n v="2"/>
  </r>
  <r>
    <n v="1077558"/>
    <n v="50"/>
    <x v="1"/>
    <s v="No"/>
    <x v="0"/>
    <x v="1"/>
    <n v="1115"/>
    <x v="2"/>
    <n v="1"/>
    <n v="3"/>
    <x v="0"/>
    <n v="1"/>
    <n v="1"/>
    <x v="0"/>
    <n v="73"/>
    <n v="3"/>
    <n v="5"/>
    <s v="Other"/>
    <n v="2"/>
    <s v="Poor"/>
    <x v="1"/>
    <n v="18172"/>
    <x v="2"/>
    <n v="9755"/>
    <n v="3"/>
    <s v="Y"/>
    <s v="Yes"/>
    <n v="19"/>
    <x v="0"/>
    <s v="Low Performance"/>
    <n v="1"/>
    <n v="80"/>
    <n v="0"/>
    <n v="28"/>
    <n v="1"/>
    <n v="2"/>
    <s v="Poor"/>
    <n v="8"/>
    <n v="3"/>
    <n v="0"/>
    <n v="7"/>
  </r>
  <r>
    <n v="1410589"/>
    <n v="25"/>
    <x v="4"/>
    <s v="Yes"/>
    <x v="1"/>
    <x v="0"/>
    <n v="240"/>
    <x v="0"/>
    <n v="5"/>
    <n v="3"/>
    <x v="3"/>
    <n v="1"/>
    <n v="3"/>
    <x v="1"/>
    <n v="46"/>
    <n v="2"/>
    <n v="2"/>
    <s v="Nurse"/>
    <n v="3"/>
    <s v="Fair"/>
    <x v="0"/>
    <n v="5744"/>
    <x v="0"/>
    <n v="26959"/>
    <n v="1"/>
    <s v="Y"/>
    <s v="Yes"/>
    <n v="11"/>
    <x v="0"/>
    <s v="Low Performance"/>
    <n v="4"/>
    <n v="80"/>
    <n v="0"/>
    <n v="6"/>
    <n v="1"/>
    <n v="3"/>
    <s v="Fair"/>
    <n v="6"/>
    <n v="4"/>
    <n v="0"/>
    <n v="3"/>
  </r>
  <r>
    <n v="1657986"/>
    <n v="25"/>
    <x v="4"/>
    <s v="No"/>
    <x v="0"/>
    <x v="0"/>
    <n v="1280"/>
    <x v="1"/>
    <n v="7"/>
    <n v="1"/>
    <x v="2"/>
    <n v="1"/>
    <n v="4"/>
    <x v="1"/>
    <n v="64"/>
    <n v="2"/>
    <n v="1"/>
    <s v="Other"/>
    <n v="4"/>
    <s v="Good"/>
    <x v="1"/>
    <n v="2889"/>
    <x v="1"/>
    <n v="26897"/>
    <n v="1"/>
    <s v="Y"/>
    <s v="No"/>
    <n v="11"/>
    <x v="0"/>
    <s v="Low Performance"/>
    <n v="3"/>
    <n v="80"/>
    <n v="2"/>
    <n v="2"/>
    <n v="2"/>
    <n v="3"/>
    <s v="Fair"/>
    <n v="2"/>
    <n v="2"/>
    <n v="2"/>
    <n v="1"/>
  </r>
  <r>
    <n v="1353326"/>
    <n v="22"/>
    <x v="4"/>
    <s v="No"/>
    <x v="0"/>
    <x v="0"/>
    <n v="534"/>
    <x v="1"/>
    <n v="15"/>
    <n v="3"/>
    <x v="2"/>
    <n v="1"/>
    <n v="2"/>
    <x v="0"/>
    <n v="59"/>
    <n v="3"/>
    <n v="1"/>
    <s v="Nurse"/>
    <n v="4"/>
    <s v="Good"/>
    <x v="0"/>
    <n v="2871"/>
    <x v="1"/>
    <n v="23785"/>
    <n v="1"/>
    <s v="Y"/>
    <s v="No"/>
    <n v="15"/>
    <x v="0"/>
    <s v="Low Performance"/>
    <n v="3"/>
    <n v="80"/>
    <n v="0"/>
    <n v="1"/>
    <n v="5"/>
    <n v="3"/>
    <s v="Fair"/>
    <n v="0"/>
    <n v="0"/>
    <n v="0"/>
    <n v="0"/>
  </r>
  <r>
    <n v="1523794"/>
    <n v="51"/>
    <x v="1"/>
    <s v="No"/>
    <x v="0"/>
    <x v="1"/>
    <n v="1456"/>
    <x v="1"/>
    <n v="1"/>
    <n v="4"/>
    <x v="2"/>
    <n v="1"/>
    <n v="1"/>
    <x v="0"/>
    <n v="30"/>
    <n v="2"/>
    <n v="3"/>
    <s v="Nurse"/>
    <n v="1"/>
    <s v="Poor"/>
    <x v="0"/>
    <n v="7484"/>
    <x v="0"/>
    <n v="25796"/>
    <n v="3"/>
    <s v="Y"/>
    <s v="No"/>
    <n v="20"/>
    <x v="1"/>
    <s v="High Performance"/>
    <n v="3"/>
    <n v="80"/>
    <n v="0"/>
    <n v="23"/>
    <n v="1"/>
    <n v="2"/>
    <s v="Poor"/>
    <n v="13"/>
    <n v="12"/>
    <n v="12"/>
    <n v="8"/>
  </r>
  <r>
    <n v="1851151"/>
    <n v="34"/>
    <x v="2"/>
    <s v="Yes"/>
    <x v="1"/>
    <x v="1"/>
    <n v="658"/>
    <x v="1"/>
    <n v="7"/>
    <n v="3"/>
    <x v="0"/>
    <n v="1"/>
    <n v="1"/>
    <x v="1"/>
    <n v="66"/>
    <n v="1"/>
    <n v="2"/>
    <s v="Nurse"/>
    <n v="3"/>
    <s v="Fair"/>
    <x v="0"/>
    <n v="6074"/>
    <x v="0"/>
    <n v="22887"/>
    <n v="1"/>
    <s v="Y"/>
    <s v="Yes"/>
    <n v="24"/>
    <x v="1"/>
    <s v="High Performance"/>
    <n v="4"/>
    <n v="80"/>
    <n v="0"/>
    <n v="9"/>
    <n v="3"/>
    <n v="3"/>
    <s v="Fair"/>
    <n v="9"/>
    <n v="7"/>
    <n v="0"/>
    <n v="6"/>
  </r>
  <r>
    <n v="1645988"/>
    <n v="54"/>
    <x v="1"/>
    <s v="No"/>
    <x v="0"/>
    <x v="2"/>
    <n v="142"/>
    <x v="2"/>
    <n v="26"/>
    <n v="3"/>
    <x v="5"/>
    <n v="1"/>
    <n v="4"/>
    <x v="0"/>
    <n v="30"/>
    <n v="4"/>
    <n v="4"/>
    <s v="Administrative"/>
    <n v="4"/>
    <s v="Good"/>
    <x v="0"/>
    <n v="17328"/>
    <x v="2"/>
    <n v="13871"/>
    <n v="2"/>
    <s v="Y"/>
    <s v="Yes"/>
    <n v="12"/>
    <x v="0"/>
    <s v="Low Performance"/>
    <n v="3"/>
    <n v="80"/>
    <n v="0"/>
    <n v="23"/>
    <n v="3"/>
    <n v="3"/>
    <s v="Fair"/>
    <n v="5"/>
    <n v="3"/>
    <n v="4"/>
    <n v="4"/>
  </r>
  <r>
    <n v="1849283"/>
    <n v="24"/>
    <x v="4"/>
    <s v="No"/>
    <x v="0"/>
    <x v="0"/>
    <n v="1127"/>
    <x v="1"/>
    <n v="18"/>
    <n v="1"/>
    <x v="0"/>
    <n v="1"/>
    <n v="2"/>
    <x v="1"/>
    <n v="52"/>
    <n v="3"/>
    <n v="1"/>
    <s v="Nurse"/>
    <n v="3"/>
    <s v="Fair"/>
    <x v="1"/>
    <n v="2774"/>
    <x v="1"/>
    <n v="13257"/>
    <n v="0"/>
    <s v="Y"/>
    <s v="No"/>
    <n v="12"/>
    <x v="0"/>
    <s v="Low Performance"/>
    <n v="3"/>
    <n v="80"/>
    <n v="1"/>
    <n v="6"/>
    <n v="2"/>
    <n v="3"/>
    <s v="Fair"/>
    <n v="5"/>
    <n v="3"/>
    <n v="1"/>
    <n v="2"/>
  </r>
  <r>
    <n v="1073480"/>
    <n v="34"/>
    <x v="2"/>
    <s v="No"/>
    <x v="0"/>
    <x v="0"/>
    <n v="1031"/>
    <x v="1"/>
    <n v="6"/>
    <n v="4"/>
    <x v="0"/>
    <n v="1"/>
    <n v="3"/>
    <x v="0"/>
    <n v="45"/>
    <n v="2"/>
    <n v="2"/>
    <s v="Other"/>
    <n v="2"/>
    <s v="Poor"/>
    <x v="2"/>
    <n v="4505"/>
    <x v="1"/>
    <n v="15000"/>
    <n v="6"/>
    <s v="Y"/>
    <s v="No"/>
    <n v="15"/>
    <x v="0"/>
    <s v="Low Performance"/>
    <n v="3"/>
    <n v="80"/>
    <n v="1"/>
    <n v="12"/>
    <n v="3"/>
    <n v="3"/>
    <s v="Fair"/>
    <n v="1"/>
    <n v="0"/>
    <n v="0"/>
    <n v="0"/>
  </r>
  <r>
    <n v="1157113"/>
    <n v="37"/>
    <x v="0"/>
    <s v="No"/>
    <x v="0"/>
    <x v="0"/>
    <n v="1189"/>
    <x v="0"/>
    <n v="3"/>
    <n v="3"/>
    <x v="0"/>
    <n v="1"/>
    <n v="3"/>
    <x v="1"/>
    <n v="87"/>
    <n v="3"/>
    <n v="3"/>
    <s v="Nurse"/>
    <n v="4"/>
    <s v="Good"/>
    <x v="0"/>
    <n v="7428"/>
    <x v="0"/>
    <n v="14506"/>
    <n v="2"/>
    <s v="Y"/>
    <s v="No"/>
    <n v="12"/>
    <x v="0"/>
    <s v="Low Performance"/>
    <n v="1"/>
    <n v="80"/>
    <n v="0"/>
    <n v="12"/>
    <n v="3"/>
    <n v="3"/>
    <s v="Fair"/>
    <n v="5"/>
    <n v="3"/>
    <n v="1"/>
    <n v="3"/>
  </r>
  <r>
    <n v="1130224"/>
    <n v="34"/>
    <x v="2"/>
    <s v="No"/>
    <x v="0"/>
    <x v="0"/>
    <n v="1354"/>
    <x v="2"/>
    <n v="5"/>
    <n v="3"/>
    <x v="2"/>
    <n v="1"/>
    <n v="3"/>
    <x v="0"/>
    <n v="45"/>
    <n v="2"/>
    <n v="3"/>
    <s v="Other"/>
    <n v="1"/>
    <s v="Poor"/>
    <x v="0"/>
    <n v="11631"/>
    <x v="0"/>
    <n v="5615"/>
    <n v="2"/>
    <s v="Y"/>
    <s v="No"/>
    <n v="12"/>
    <x v="0"/>
    <s v="Low Performance"/>
    <n v="4"/>
    <n v="80"/>
    <n v="0"/>
    <n v="14"/>
    <n v="6"/>
    <n v="3"/>
    <s v="Fair"/>
    <n v="11"/>
    <n v="10"/>
    <n v="5"/>
    <n v="8"/>
  </r>
  <r>
    <n v="1427732"/>
    <n v="36"/>
    <x v="0"/>
    <s v="No"/>
    <x v="0"/>
    <x v="1"/>
    <n v="1467"/>
    <x v="0"/>
    <n v="11"/>
    <n v="2"/>
    <x v="4"/>
    <n v="1"/>
    <n v="2"/>
    <x v="0"/>
    <n v="92"/>
    <n v="3"/>
    <n v="3"/>
    <s v="Nurse"/>
    <n v="4"/>
    <s v="Good"/>
    <x v="1"/>
    <n v="9738"/>
    <x v="0"/>
    <n v="22952"/>
    <n v="0"/>
    <s v="Y"/>
    <s v="No"/>
    <n v="14"/>
    <x v="0"/>
    <s v="Low Performance"/>
    <n v="3"/>
    <n v="80"/>
    <n v="1"/>
    <n v="10"/>
    <n v="6"/>
    <n v="3"/>
    <s v="Fair"/>
    <n v="9"/>
    <n v="7"/>
    <n v="2"/>
    <n v="8"/>
  </r>
  <r>
    <n v="1852975"/>
    <n v="36"/>
    <x v="0"/>
    <s v="No"/>
    <x v="0"/>
    <x v="0"/>
    <n v="922"/>
    <x v="1"/>
    <n v="3"/>
    <n v="2"/>
    <x v="0"/>
    <n v="1"/>
    <n v="1"/>
    <x v="0"/>
    <n v="39"/>
    <n v="3"/>
    <n v="1"/>
    <s v="Nurse"/>
    <n v="4"/>
    <s v="Good"/>
    <x v="2"/>
    <n v="2835"/>
    <x v="1"/>
    <n v="2561"/>
    <n v="5"/>
    <s v="Y"/>
    <s v="No"/>
    <n v="22"/>
    <x v="1"/>
    <s v="High Performance"/>
    <n v="1"/>
    <n v="80"/>
    <n v="1"/>
    <n v="7"/>
    <n v="2"/>
    <n v="3"/>
    <s v="Fair"/>
    <n v="1"/>
    <n v="0"/>
    <n v="0"/>
    <n v="0"/>
  </r>
  <r>
    <n v="1845017"/>
    <n v="43"/>
    <x v="0"/>
    <s v="No"/>
    <x v="0"/>
    <x v="1"/>
    <n v="394"/>
    <x v="0"/>
    <n v="26"/>
    <n v="2"/>
    <x v="0"/>
    <n v="1"/>
    <n v="3"/>
    <x v="1"/>
    <n v="92"/>
    <n v="3"/>
    <n v="4"/>
    <s v="Administrative"/>
    <n v="4"/>
    <s v="Good"/>
    <x v="1"/>
    <n v="16959"/>
    <x v="2"/>
    <n v="19494"/>
    <n v="1"/>
    <s v="Y"/>
    <s v="Yes"/>
    <n v="12"/>
    <x v="0"/>
    <s v="Low Performance"/>
    <n v="4"/>
    <n v="80"/>
    <n v="2"/>
    <n v="25"/>
    <n v="3"/>
    <n v="4"/>
    <s v="Good"/>
    <n v="25"/>
    <n v="12"/>
    <n v="4"/>
    <n v="12"/>
  </r>
  <r>
    <n v="1212660"/>
    <n v="30"/>
    <x v="2"/>
    <s v="No"/>
    <x v="0"/>
    <x v="1"/>
    <n v="1312"/>
    <x v="1"/>
    <n v="23"/>
    <n v="3"/>
    <x v="0"/>
    <n v="1"/>
    <n v="1"/>
    <x v="1"/>
    <n v="96"/>
    <n v="1"/>
    <n v="1"/>
    <s v="Other"/>
    <n v="3"/>
    <s v="Fair"/>
    <x v="2"/>
    <n v="2613"/>
    <x v="1"/>
    <n v="22310"/>
    <n v="1"/>
    <s v="Y"/>
    <s v="No"/>
    <n v="25"/>
    <x v="1"/>
    <s v="High Performance"/>
    <n v="3"/>
    <n v="80"/>
    <n v="3"/>
    <n v="10"/>
    <n v="2"/>
    <n v="2"/>
    <s v="Poor"/>
    <n v="10"/>
    <n v="7"/>
    <n v="0"/>
    <n v="9"/>
  </r>
  <r>
    <n v="1264790"/>
    <n v="33"/>
    <x v="2"/>
    <s v="No"/>
    <x v="0"/>
    <x v="2"/>
    <n v="750"/>
    <x v="0"/>
    <n v="22"/>
    <n v="2"/>
    <x v="3"/>
    <n v="1"/>
    <n v="3"/>
    <x v="1"/>
    <n v="95"/>
    <n v="3"/>
    <n v="2"/>
    <s v="Nurse"/>
    <n v="2"/>
    <s v="Poor"/>
    <x v="1"/>
    <n v="6146"/>
    <x v="0"/>
    <n v="15480"/>
    <n v="0"/>
    <s v="Y"/>
    <s v="No"/>
    <n v="13"/>
    <x v="0"/>
    <s v="Low Performance"/>
    <n v="1"/>
    <n v="80"/>
    <n v="1"/>
    <n v="8"/>
    <n v="2"/>
    <n v="4"/>
    <s v="Good"/>
    <n v="7"/>
    <n v="7"/>
    <n v="0"/>
    <n v="7"/>
  </r>
  <r>
    <n v="1515486"/>
    <n v="56"/>
    <x v="3"/>
    <s v="Yes"/>
    <x v="1"/>
    <x v="0"/>
    <n v="441"/>
    <x v="1"/>
    <n v="14"/>
    <n v="4"/>
    <x v="0"/>
    <n v="1"/>
    <n v="2"/>
    <x v="0"/>
    <n v="72"/>
    <n v="3"/>
    <n v="1"/>
    <s v="Other"/>
    <n v="2"/>
    <s v="Poor"/>
    <x v="1"/>
    <n v="4963"/>
    <x v="1"/>
    <n v="4510"/>
    <n v="9"/>
    <s v="Y"/>
    <s v="Yes"/>
    <n v="18"/>
    <x v="0"/>
    <s v="Low Performance"/>
    <n v="1"/>
    <n v="80"/>
    <n v="3"/>
    <n v="7"/>
    <n v="2"/>
    <n v="3"/>
    <s v="Fair"/>
    <n v="5"/>
    <n v="4"/>
    <n v="4"/>
    <n v="3"/>
  </r>
  <r>
    <n v="1832980"/>
    <n v="51"/>
    <x v="1"/>
    <s v="No"/>
    <x v="0"/>
    <x v="0"/>
    <n v="684"/>
    <x v="2"/>
    <n v="6"/>
    <n v="3"/>
    <x v="0"/>
    <n v="1"/>
    <n v="1"/>
    <x v="1"/>
    <n v="51"/>
    <n v="3"/>
    <n v="5"/>
    <s v="Other"/>
    <n v="3"/>
    <s v="Fair"/>
    <x v="0"/>
    <n v="19537"/>
    <x v="2"/>
    <n v="6462"/>
    <n v="7"/>
    <s v="Y"/>
    <s v="No"/>
    <n v="13"/>
    <x v="0"/>
    <s v="Low Performance"/>
    <n v="3"/>
    <n v="80"/>
    <n v="0"/>
    <n v="23"/>
    <n v="5"/>
    <n v="3"/>
    <s v="Fair"/>
    <n v="20"/>
    <n v="18"/>
    <n v="15"/>
    <n v="15"/>
  </r>
  <r>
    <n v="1031688"/>
    <n v="31"/>
    <x v="2"/>
    <s v="Yes"/>
    <x v="1"/>
    <x v="0"/>
    <n v="249"/>
    <x v="0"/>
    <n v="6"/>
    <n v="4"/>
    <x v="0"/>
    <n v="1"/>
    <n v="2"/>
    <x v="1"/>
    <n v="76"/>
    <n v="1"/>
    <n v="2"/>
    <s v="Nurse"/>
    <n v="3"/>
    <s v="Fair"/>
    <x v="1"/>
    <n v="6172"/>
    <x v="0"/>
    <n v="20739"/>
    <n v="4"/>
    <s v="Y"/>
    <s v="Yes"/>
    <n v="18"/>
    <x v="0"/>
    <s v="Low Performance"/>
    <n v="2"/>
    <n v="80"/>
    <n v="0"/>
    <n v="12"/>
    <n v="3"/>
    <n v="2"/>
    <s v="Poor"/>
    <n v="7"/>
    <n v="7"/>
    <n v="7"/>
    <n v="7"/>
  </r>
  <r>
    <n v="1433172"/>
    <n v="26"/>
    <x v="2"/>
    <s v="No"/>
    <x v="0"/>
    <x v="0"/>
    <n v="841"/>
    <x v="1"/>
    <n v="6"/>
    <n v="3"/>
    <x v="1"/>
    <n v="1"/>
    <n v="3"/>
    <x v="0"/>
    <n v="46"/>
    <n v="2"/>
    <n v="1"/>
    <s v="Other"/>
    <n v="2"/>
    <s v="Poor"/>
    <x v="1"/>
    <n v="2368"/>
    <x v="1"/>
    <n v="23300"/>
    <n v="1"/>
    <s v="Y"/>
    <s v="No"/>
    <n v="19"/>
    <x v="0"/>
    <s v="Low Performance"/>
    <n v="3"/>
    <n v="80"/>
    <n v="0"/>
    <n v="5"/>
    <n v="3"/>
    <n v="2"/>
    <s v="Poor"/>
    <n v="5"/>
    <n v="4"/>
    <n v="4"/>
    <n v="3"/>
  </r>
  <r>
    <n v="1607390"/>
    <n v="58"/>
    <x v="3"/>
    <s v="No"/>
    <x v="0"/>
    <x v="0"/>
    <n v="147"/>
    <x v="1"/>
    <n v="23"/>
    <n v="4"/>
    <x v="2"/>
    <n v="1"/>
    <n v="4"/>
    <x v="0"/>
    <n v="94"/>
    <n v="3"/>
    <n v="3"/>
    <s v="Nurse"/>
    <n v="4"/>
    <s v="Good"/>
    <x v="1"/>
    <n v="10312"/>
    <x v="0"/>
    <n v="3465"/>
    <n v="1"/>
    <s v="Y"/>
    <s v="No"/>
    <n v="12"/>
    <x v="0"/>
    <s v="Low Performance"/>
    <n v="4"/>
    <n v="80"/>
    <n v="1"/>
    <n v="40"/>
    <n v="3"/>
    <n v="2"/>
    <s v="Poor"/>
    <n v="40"/>
    <n v="10"/>
    <n v="15"/>
    <n v="6"/>
  </r>
  <r>
    <n v="1842764"/>
    <n v="19"/>
    <x v="4"/>
    <s v="Yes"/>
    <x v="1"/>
    <x v="0"/>
    <n v="528"/>
    <x v="0"/>
    <n v="22"/>
    <n v="1"/>
    <x v="3"/>
    <n v="1"/>
    <n v="4"/>
    <x v="1"/>
    <n v="50"/>
    <n v="3"/>
    <n v="1"/>
    <s v="Other"/>
    <n v="3"/>
    <s v="Fair"/>
    <x v="0"/>
    <n v="1675"/>
    <x v="1"/>
    <n v="26820"/>
    <n v="1"/>
    <s v="Y"/>
    <s v="Yes"/>
    <n v="19"/>
    <x v="0"/>
    <s v="Low Performance"/>
    <n v="4"/>
    <n v="80"/>
    <n v="0"/>
    <n v="0"/>
    <n v="2"/>
    <n v="2"/>
    <s v="Poor"/>
    <n v="0"/>
    <n v="0"/>
    <n v="0"/>
    <n v="0"/>
  </r>
  <r>
    <n v="1176986"/>
    <n v="22"/>
    <x v="4"/>
    <s v="No"/>
    <x v="0"/>
    <x v="0"/>
    <n v="594"/>
    <x v="1"/>
    <n v="2"/>
    <n v="1"/>
    <x v="4"/>
    <n v="1"/>
    <n v="3"/>
    <x v="1"/>
    <n v="100"/>
    <n v="3"/>
    <n v="1"/>
    <s v="Nurse"/>
    <n v="4"/>
    <s v="Good"/>
    <x v="1"/>
    <n v="2523"/>
    <x v="1"/>
    <n v="19299"/>
    <n v="0"/>
    <s v="Y"/>
    <s v="No"/>
    <n v="14"/>
    <x v="0"/>
    <s v="Low Performance"/>
    <n v="3"/>
    <n v="80"/>
    <n v="1"/>
    <n v="3"/>
    <n v="2"/>
    <n v="3"/>
    <s v="Fair"/>
    <n v="2"/>
    <n v="1"/>
    <n v="2"/>
    <n v="1"/>
  </r>
  <r>
    <n v="1835832"/>
    <n v="49"/>
    <x v="1"/>
    <s v="No"/>
    <x v="0"/>
    <x v="0"/>
    <n v="470"/>
    <x v="1"/>
    <n v="20"/>
    <n v="4"/>
    <x v="2"/>
    <n v="1"/>
    <n v="3"/>
    <x v="0"/>
    <n v="96"/>
    <n v="3"/>
    <n v="2"/>
    <s v="Therapist"/>
    <n v="1"/>
    <s v="Poor"/>
    <x v="1"/>
    <n v="6567"/>
    <x v="0"/>
    <n v="5549"/>
    <n v="1"/>
    <s v="Y"/>
    <s v="No"/>
    <n v="14"/>
    <x v="0"/>
    <s v="Low Performance"/>
    <n v="3"/>
    <n v="80"/>
    <n v="0"/>
    <n v="16"/>
    <n v="2"/>
    <n v="2"/>
    <s v="Poor"/>
    <n v="15"/>
    <n v="11"/>
    <n v="5"/>
    <n v="11"/>
  </r>
  <r>
    <n v="1450885"/>
    <n v="43"/>
    <x v="0"/>
    <s v="No"/>
    <x v="0"/>
    <x v="1"/>
    <n v="957"/>
    <x v="1"/>
    <n v="28"/>
    <n v="3"/>
    <x v="2"/>
    <n v="1"/>
    <n v="2"/>
    <x v="0"/>
    <n v="72"/>
    <n v="4"/>
    <n v="1"/>
    <s v="Other"/>
    <n v="3"/>
    <s v="Fair"/>
    <x v="0"/>
    <n v="4739"/>
    <x v="1"/>
    <n v="16090"/>
    <n v="4"/>
    <s v="Y"/>
    <s v="No"/>
    <n v="12"/>
    <x v="0"/>
    <s v="Low Performance"/>
    <n v="4"/>
    <n v="80"/>
    <n v="0"/>
    <n v="18"/>
    <n v="2"/>
    <n v="3"/>
    <s v="Fair"/>
    <n v="3"/>
    <n v="2"/>
    <n v="1"/>
    <n v="2"/>
  </r>
  <r>
    <n v="1810635"/>
    <n v="50"/>
    <x v="1"/>
    <s v="No"/>
    <x v="0"/>
    <x v="1"/>
    <n v="809"/>
    <x v="0"/>
    <n v="12"/>
    <n v="3"/>
    <x v="3"/>
    <n v="1"/>
    <n v="3"/>
    <x v="0"/>
    <n v="77"/>
    <n v="3"/>
    <n v="3"/>
    <s v="Nurse"/>
    <n v="4"/>
    <s v="Good"/>
    <x v="0"/>
    <n v="9208"/>
    <x v="0"/>
    <n v="6645"/>
    <n v="4"/>
    <s v="Y"/>
    <s v="No"/>
    <n v="11"/>
    <x v="0"/>
    <s v="Low Performance"/>
    <n v="4"/>
    <n v="80"/>
    <n v="0"/>
    <n v="16"/>
    <n v="3"/>
    <n v="3"/>
    <s v="Fair"/>
    <n v="2"/>
    <n v="2"/>
    <n v="2"/>
    <n v="1"/>
  </r>
  <r>
    <n v="1810242"/>
    <n v="31"/>
    <x v="2"/>
    <s v="Yes"/>
    <x v="1"/>
    <x v="0"/>
    <n v="542"/>
    <x v="0"/>
    <n v="20"/>
    <n v="3"/>
    <x v="0"/>
    <n v="1"/>
    <n v="2"/>
    <x v="0"/>
    <n v="71"/>
    <n v="1"/>
    <n v="2"/>
    <s v="Nurse"/>
    <n v="3"/>
    <s v="Fair"/>
    <x v="1"/>
    <n v="4559"/>
    <x v="1"/>
    <n v="24788"/>
    <n v="3"/>
    <s v="Y"/>
    <s v="Yes"/>
    <n v="11"/>
    <x v="0"/>
    <s v="Low Performance"/>
    <n v="3"/>
    <n v="80"/>
    <n v="1"/>
    <n v="4"/>
    <n v="2"/>
    <n v="3"/>
    <s v="Fair"/>
    <n v="2"/>
    <n v="2"/>
    <n v="2"/>
    <n v="2"/>
  </r>
  <r>
    <n v="1148129"/>
    <n v="41"/>
    <x v="0"/>
    <s v="No"/>
    <x v="0"/>
    <x v="0"/>
    <n v="802"/>
    <x v="0"/>
    <n v="9"/>
    <n v="1"/>
    <x v="0"/>
    <n v="1"/>
    <n v="3"/>
    <x v="1"/>
    <n v="96"/>
    <n v="3"/>
    <n v="3"/>
    <s v="Nurse"/>
    <n v="3"/>
    <s v="Fair"/>
    <x v="2"/>
    <n v="8189"/>
    <x v="0"/>
    <n v="21196"/>
    <n v="3"/>
    <s v="Y"/>
    <s v="Yes"/>
    <n v="13"/>
    <x v="0"/>
    <s v="Low Performance"/>
    <n v="3"/>
    <n v="80"/>
    <n v="1"/>
    <n v="12"/>
    <n v="2"/>
    <n v="3"/>
    <s v="Fair"/>
    <n v="9"/>
    <n v="7"/>
    <n v="0"/>
    <n v="7"/>
  </r>
  <r>
    <n v="1085450"/>
    <n v="26"/>
    <x v="2"/>
    <s v="No"/>
    <x v="0"/>
    <x v="0"/>
    <n v="1355"/>
    <x v="2"/>
    <n v="25"/>
    <n v="1"/>
    <x v="0"/>
    <n v="1"/>
    <n v="3"/>
    <x v="0"/>
    <n v="61"/>
    <n v="3"/>
    <n v="1"/>
    <s v="Other"/>
    <n v="3"/>
    <s v="Fair"/>
    <x v="1"/>
    <n v="2942"/>
    <x v="1"/>
    <n v="8916"/>
    <n v="1"/>
    <s v="Y"/>
    <s v="No"/>
    <n v="23"/>
    <x v="1"/>
    <s v="High Performance"/>
    <n v="4"/>
    <n v="80"/>
    <n v="1"/>
    <n v="8"/>
    <n v="3"/>
    <n v="3"/>
    <s v="Fair"/>
    <n v="8"/>
    <n v="7"/>
    <n v="5"/>
    <n v="7"/>
  </r>
  <r>
    <n v="1699939"/>
    <n v="36"/>
    <x v="0"/>
    <s v="No"/>
    <x v="0"/>
    <x v="0"/>
    <n v="216"/>
    <x v="2"/>
    <n v="6"/>
    <n v="2"/>
    <x v="2"/>
    <n v="1"/>
    <n v="2"/>
    <x v="1"/>
    <n v="84"/>
    <n v="3"/>
    <n v="2"/>
    <s v="Therapist"/>
    <n v="2"/>
    <s v="Poor"/>
    <x v="2"/>
    <n v="4941"/>
    <x v="1"/>
    <n v="2819"/>
    <n v="6"/>
    <s v="Y"/>
    <s v="No"/>
    <n v="20"/>
    <x v="1"/>
    <s v="High Performance"/>
    <n v="4"/>
    <n v="80"/>
    <n v="2"/>
    <n v="7"/>
    <n v="0"/>
    <n v="3"/>
    <s v="Fair"/>
    <n v="3"/>
    <n v="2"/>
    <n v="0"/>
    <n v="1"/>
  </r>
  <r>
    <n v="1612623"/>
    <n v="51"/>
    <x v="1"/>
    <s v="Yes"/>
    <x v="1"/>
    <x v="1"/>
    <n v="1150"/>
    <x v="0"/>
    <n v="8"/>
    <n v="4"/>
    <x v="0"/>
    <n v="1"/>
    <n v="1"/>
    <x v="1"/>
    <n v="53"/>
    <n v="1"/>
    <n v="3"/>
    <s v="Therapist"/>
    <n v="4"/>
    <s v="Good"/>
    <x v="0"/>
    <n v="10650"/>
    <x v="0"/>
    <n v="25150"/>
    <n v="2"/>
    <s v="Y"/>
    <s v="No"/>
    <n v="15"/>
    <x v="0"/>
    <s v="Low Performance"/>
    <n v="4"/>
    <n v="80"/>
    <n v="0"/>
    <n v="18"/>
    <n v="2"/>
    <n v="3"/>
    <s v="Fair"/>
    <n v="4"/>
    <n v="2"/>
    <n v="0"/>
    <n v="3"/>
  </r>
  <r>
    <n v="1069811"/>
    <n v="39"/>
    <x v="0"/>
    <s v="No"/>
    <x v="0"/>
    <x v="0"/>
    <n v="1329"/>
    <x v="0"/>
    <n v="4"/>
    <n v="4"/>
    <x v="0"/>
    <n v="1"/>
    <n v="4"/>
    <x v="0"/>
    <n v="47"/>
    <n v="2"/>
    <n v="2"/>
    <s v="Nurse"/>
    <n v="3"/>
    <s v="Fair"/>
    <x v="1"/>
    <n v="5902"/>
    <x v="0"/>
    <n v="14590"/>
    <n v="4"/>
    <s v="Y"/>
    <s v="No"/>
    <n v="14"/>
    <x v="0"/>
    <s v="Low Performance"/>
    <n v="3"/>
    <n v="80"/>
    <n v="1"/>
    <n v="17"/>
    <n v="1"/>
    <n v="4"/>
    <s v="Good"/>
    <n v="15"/>
    <n v="11"/>
    <n v="5"/>
    <n v="9"/>
  </r>
  <r>
    <n v="1717795"/>
    <n v="25"/>
    <x v="4"/>
    <s v="No"/>
    <x v="0"/>
    <x v="0"/>
    <n v="959"/>
    <x v="0"/>
    <n v="28"/>
    <n v="3"/>
    <x v="0"/>
    <n v="1"/>
    <n v="1"/>
    <x v="1"/>
    <n v="41"/>
    <n v="2"/>
    <n v="2"/>
    <s v="Nurse"/>
    <n v="3"/>
    <s v="Fair"/>
    <x v="1"/>
    <n v="8639"/>
    <x v="0"/>
    <n v="24835"/>
    <n v="2"/>
    <s v="Y"/>
    <s v="No"/>
    <n v="18"/>
    <x v="0"/>
    <s v="Low Performance"/>
    <n v="4"/>
    <n v="80"/>
    <n v="0"/>
    <n v="6"/>
    <n v="3"/>
    <n v="3"/>
    <s v="Fair"/>
    <n v="2"/>
    <n v="2"/>
    <n v="2"/>
    <n v="2"/>
  </r>
  <r>
    <n v="1341925"/>
    <n v="30"/>
    <x v="2"/>
    <s v="No"/>
    <x v="0"/>
    <x v="0"/>
    <n v="1240"/>
    <x v="2"/>
    <n v="9"/>
    <n v="3"/>
    <x v="5"/>
    <n v="1"/>
    <n v="3"/>
    <x v="1"/>
    <n v="48"/>
    <n v="3"/>
    <n v="2"/>
    <s v="Other"/>
    <n v="4"/>
    <s v="Good"/>
    <x v="1"/>
    <n v="6347"/>
    <x v="0"/>
    <n v="13982"/>
    <n v="0"/>
    <s v="Y"/>
    <s v="Yes"/>
    <n v="19"/>
    <x v="0"/>
    <s v="Low Performance"/>
    <n v="4"/>
    <n v="80"/>
    <n v="0"/>
    <n v="12"/>
    <n v="2"/>
    <n v="1"/>
    <s v="Poor"/>
    <n v="11"/>
    <n v="9"/>
    <n v="4"/>
    <n v="7"/>
  </r>
  <r>
    <n v="1113668"/>
    <n v="32"/>
    <x v="2"/>
    <s v="Yes"/>
    <x v="1"/>
    <x v="0"/>
    <n v="1033"/>
    <x v="1"/>
    <n v="9"/>
    <n v="3"/>
    <x v="2"/>
    <n v="1"/>
    <n v="1"/>
    <x v="0"/>
    <n v="41"/>
    <n v="3"/>
    <n v="1"/>
    <s v="Nurse"/>
    <n v="1"/>
    <s v="Poor"/>
    <x v="0"/>
    <n v="4200"/>
    <x v="1"/>
    <n v="10224"/>
    <n v="7"/>
    <s v="Y"/>
    <s v="No"/>
    <n v="22"/>
    <x v="1"/>
    <s v="High Performance"/>
    <n v="1"/>
    <n v="80"/>
    <n v="0"/>
    <n v="10"/>
    <n v="2"/>
    <n v="4"/>
    <s v="Good"/>
    <n v="5"/>
    <n v="4"/>
    <n v="0"/>
    <n v="4"/>
  </r>
  <r>
    <n v="1164932"/>
    <n v="45"/>
    <x v="0"/>
    <s v="No"/>
    <x v="0"/>
    <x v="0"/>
    <n v="1316"/>
    <x v="1"/>
    <n v="29"/>
    <n v="3"/>
    <x v="2"/>
    <n v="1"/>
    <n v="3"/>
    <x v="1"/>
    <n v="83"/>
    <n v="3"/>
    <n v="1"/>
    <s v="Other"/>
    <n v="4"/>
    <s v="Good"/>
    <x v="0"/>
    <n v="3452"/>
    <x v="1"/>
    <n v="9752"/>
    <n v="5"/>
    <s v="Y"/>
    <s v="No"/>
    <n v="13"/>
    <x v="0"/>
    <s v="Low Performance"/>
    <n v="2"/>
    <n v="80"/>
    <n v="0"/>
    <n v="9"/>
    <n v="2"/>
    <n v="2"/>
    <s v="Poor"/>
    <n v="6"/>
    <n v="5"/>
    <n v="0"/>
    <n v="3"/>
  </r>
  <r>
    <n v="1328110"/>
    <n v="38"/>
    <x v="0"/>
    <s v="No"/>
    <x v="0"/>
    <x v="0"/>
    <n v="364"/>
    <x v="1"/>
    <n v="3"/>
    <n v="5"/>
    <x v="4"/>
    <n v="1"/>
    <n v="4"/>
    <x v="0"/>
    <n v="32"/>
    <n v="3"/>
    <n v="2"/>
    <s v="Other"/>
    <n v="3"/>
    <s v="Fair"/>
    <x v="0"/>
    <n v="4317"/>
    <x v="1"/>
    <n v="2302"/>
    <n v="3"/>
    <s v="Y"/>
    <s v="Yes"/>
    <n v="20"/>
    <x v="1"/>
    <s v="High Performance"/>
    <n v="2"/>
    <n v="80"/>
    <n v="0"/>
    <n v="19"/>
    <n v="2"/>
    <n v="3"/>
    <s v="Fair"/>
    <n v="3"/>
    <n v="2"/>
    <n v="2"/>
    <n v="2"/>
  </r>
  <r>
    <n v="1744823"/>
    <n v="30"/>
    <x v="2"/>
    <s v="No"/>
    <x v="0"/>
    <x v="0"/>
    <n v="438"/>
    <x v="1"/>
    <n v="18"/>
    <n v="3"/>
    <x v="0"/>
    <n v="1"/>
    <n v="1"/>
    <x v="0"/>
    <n v="75"/>
    <n v="3"/>
    <n v="1"/>
    <s v="Other"/>
    <n v="3"/>
    <s v="Fair"/>
    <x v="0"/>
    <n v="2632"/>
    <x v="1"/>
    <n v="23910"/>
    <n v="1"/>
    <s v="Y"/>
    <s v="No"/>
    <n v="14"/>
    <x v="0"/>
    <s v="Low Performance"/>
    <n v="3"/>
    <n v="80"/>
    <n v="0"/>
    <n v="5"/>
    <n v="4"/>
    <n v="2"/>
    <s v="Poor"/>
    <n v="5"/>
    <n v="4"/>
    <n v="0"/>
    <n v="4"/>
  </r>
  <r>
    <n v="1431031"/>
    <n v="32"/>
    <x v="2"/>
    <s v="No"/>
    <x v="0"/>
    <x v="1"/>
    <n v="689"/>
    <x v="0"/>
    <n v="9"/>
    <n v="2"/>
    <x v="2"/>
    <n v="1"/>
    <n v="4"/>
    <x v="1"/>
    <n v="35"/>
    <n v="1"/>
    <n v="2"/>
    <s v="Nurse"/>
    <n v="4"/>
    <s v="Good"/>
    <x v="2"/>
    <n v="4668"/>
    <x v="1"/>
    <n v="22812"/>
    <n v="0"/>
    <s v="Y"/>
    <s v="No"/>
    <n v="17"/>
    <x v="0"/>
    <s v="Low Performance"/>
    <n v="4"/>
    <n v="80"/>
    <n v="3"/>
    <n v="9"/>
    <n v="2"/>
    <n v="4"/>
    <s v="Good"/>
    <n v="8"/>
    <n v="7"/>
    <n v="0"/>
    <n v="7"/>
  </r>
  <r>
    <n v="1587864"/>
    <n v="30"/>
    <x v="2"/>
    <s v="No"/>
    <x v="0"/>
    <x v="0"/>
    <n v="201"/>
    <x v="1"/>
    <n v="5"/>
    <n v="3"/>
    <x v="4"/>
    <n v="1"/>
    <n v="4"/>
    <x v="0"/>
    <n v="84"/>
    <n v="3"/>
    <n v="1"/>
    <s v="Other"/>
    <n v="1"/>
    <s v="Poor"/>
    <x v="2"/>
    <n v="3204"/>
    <x v="1"/>
    <n v="10415"/>
    <n v="5"/>
    <s v="Y"/>
    <s v="No"/>
    <n v="14"/>
    <x v="0"/>
    <s v="Low Performance"/>
    <n v="4"/>
    <n v="80"/>
    <n v="1"/>
    <n v="8"/>
    <n v="3"/>
    <n v="3"/>
    <s v="Fair"/>
    <n v="3"/>
    <n v="2"/>
    <n v="2"/>
    <n v="2"/>
  </r>
  <r>
    <n v="1577226"/>
    <n v="30"/>
    <x v="2"/>
    <s v="No"/>
    <x v="0"/>
    <x v="0"/>
    <n v="1427"/>
    <x v="1"/>
    <n v="2"/>
    <n v="1"/>
    <x v="2"/>
    <n v="1"/>
    <n v="2"/>
    <x v="1"/>
    <n v="35"/>
    <n v="2"/>
    <n v="1"/>
    <s v="Nurse"/>
    <n v="4"/>
    <s v="Good"/>
    <x v="0"/>
    <n v="2720"/>
    <x v="1"/>
    <n v="11162"/>
    <n v="0"/>
    <s v="Y"/>
    <s v="No"/>
    <n v="13"/>
    <x v="0"/>
    <s v="Low Performance"/>
    <n v="4"/>
    <n v="80"/>
    <n v="0"/>
    <n v="6"/>
    <n v="3"/>
    <n v="3"/>
    <s v="Fair"/>
    <n v="5"/>
    <n v="3"/>
    <n v="1"/>
    <n v="2"/>
  </r>
  <r>
    <n v="1162762"/>
    <n v="41"/>
    <x v="0"/>
    <s v="No"/>
    <x v="0"/>
    <x v="1"/>
    <n v="857"/>
    <x v="2"/>
    <n v="10"/>
    <n v="3"/>
    <x v="0"/>
    <n v="1"/>
    <n v="4"/>
    <x v="1"/>
    <n v="91"/>
    <n v="2"/>
    <n v="4"/>
    <s v="Other"/>
    <n v="1"/>
    <s v="Poor"/>
    <x v="2"/>
    <n v="17181"/>
    <x v="2"/>
    <n v="12888"/>
    <n v="4"/>
    <s v="Y"/>
    <s v="No"/>
    <n v="13"/>
    <x v="0"/>
    <s v="Low Performance"/>
    <n v="2"/>
    <n v="80"/>
    <n v="1"/>
    <n v="21"/>
    <n v="2"/>
    <n v="2"/>
    <s v="Poor"/>
    <n v="7"/>
    <n v="6"/>
    <n v="7"/>
    <n v="7"/>
  </r>
  <r>
    <n v="1035340"/>
    <n v="41"/>
    <x v="0"/>
    <s v="No"/>
    <x v="0"/>
    <x v="0"/>
    <n v="933"/>
    <x v="1"/>
    <n v="9"/>
    <n v="4"/>
    <x v="0"/>
    <n v="1"/>
    <n v="3"/>
    <x v="1"/>
    <n v="94"/>
    <n v="3"/>
    <n v="1"/>
    <s v="Nurse"/>
    <n v="1"/>
    <s v="Poor"/>
    <x v="1"/>
    <n v="2238"/>
    <x v="1"/>
    <n v="6961"/>
    <n v="2"/>
    <s v="Y"/>
    <s v="No"/>
    <n v="21"/>
    <x v="1"/>
    <s v="High Performance"/>
    <n v="4"/>
    <n v="80"/>
    <n v="1"/>
    <n v="7"/>
    <n v="2"/>
    <n v="3"/>
    <s v="Fair"/>
    <n v="5"/>
    <n v="0"/>
    <n v="1"/>
    <n v="4"/>
  </r>
  <r>
    <n v="1529493"/>
    <n v="19"/>
    <x v="4"/>
    <s v="No"/>
    <x v="0"/>
    <x v="0"/>
    <n v="1181"/>
    <x v="1"/>
    <n v="3"/>
    <n v="1"/>
    <x v="2"/>
    <n v="1"/>
    <n v="2"/>
    <x v="0"/>
    <n v="79"/>
    <n v="3"/>
    <n v="1"/>
    <s v="Nurse"/>
    <n v="2"/>
    <s v="Poor"/>
    <x v="0"/>
    <n v="1483"/>
    <x v="1"/>
    <n v="16102"/>
    <n v="1"/>
    <s v="Y"/>
    <s v="No"/>
    <n v="14"/>
    <x v="0"/>
    <s v="Low Performance"/>
    <n v="4"/>
    <n v="80"/>
    <n v="0"/>
    <n v="1"/>
    <n v="3"/>
    <n v="3"/>
    <s v="Fair"/>
    <n v="1"/>
    <n v="0"/>
    <n v="0"/>
    <n v="0"/>
  </r>
  <r>
    <n v="1789511"/>
    <n v="40"/>
    <x v="0"/>
    <s v="No"/>
    <x v="0"/>
    <x v="1"/>
    <n v="1395"/>
    <x v="1"/>
    <n v="26"/>
    <n v="3"/>
    <x v="2"/>
    <n v="1"/>
    <n v="2"/>
    <x v="0"/>
    <n v="54"/>
    <n v="3"/>
    <n v="2"/>
    <s v="Other"/>
    <n v="2"/>
    <s v="Poor"/>
    <x v="2"/>
    <n v="5605"/>
    <x v="0"/>
    <n v="8504"/>
    <n v="1"/>
    <s v="Y"/>
    <s v="No"/>
    <n v="11"/>
    <x v="0"/>
    <s v="Low Performance"/>
    <n v="1"/>
    <n v="80"/>
    <n v="1"/>
    <n v="20"/>
    <n v="2"/>
    <n v="3"/>
    <s v="Fair"/>
    <n v="20"/>
    <n v="7"/>
    <n v="2"/>
    <n v="13"/>
  </r>
  <r>
    <n v="1047751"/>
    <n v="35"/>
    <x v="2"/>
    <s v="No"/>
    <x v="0"/>
    <x v="0"/>
    <n v="662"/>
    <x v="0"/>
    <n v="1"/>
    <n v="5"/>
    <x v="3"/>
    <n v="1"/>
    <n v="3"/>
    <x v="1"/>
    <n v="94"/>
    <n v="3"/>
    <n v="3"/>
    <s v="Nurse"/>
    <n v="2"/>
    <s v="Poor"/>
    <x v="1"/>
    <n v="7295"/>
    <x v="0"/>
    <n v="11439"/>
    <n v="1"/>
    <s v="Y"/>
    <s v="No"/>
    <n v="13"/>
    <x v="0"/>
    <s v="Low Performance"/>
    <n v="1"/>
    <n v="80"/>
    <n v="2"/>
    <n v="10"/>
    <n v="3"/>
    <n v="3"/>
    <s v="Fair"/>
    <n v="10"/>
    <n v="8"/>
    <n v="0"/>
    <n v="6"/>
  </r>
  <r>
    <n v="1057195"/>
    <n v="53"/>
    <x v="1"/>
    <s v="No"/>
    <x v="0"/>
    <x v="0"/>
    <n v="1436"/>
    <x v="0"/>
    <n v="6"/>
    <n v="2"/>
    <x v="3"/>
    <n v="1"/>
    <n v="2"/>
    <x v="1"/>
    <n v="34"/>
    <n v="3"/>
    <n v="2"/>
    <s v="Other"/>
    <n v="3"/>
    <s v="Fair"/>
    <x v="1"/>
    <n v="2306"/>
    <x v="1"/>
    <n v="16047"/>
    <n v="2"/>
    <s v="Y"/>
    <s v="Yes"/>
    <n v="20"/>
    <x v="1"/>
    <s v="High Performance"/>
    <n v="4"/>
    <n v="80"/>
    <n v="1"/>
    <n v="13"/>
    <n v="3"/>
    <n v="1"/>
    <s v="Poor"/>
    <n v="7"/>
    <n v="7"/>
    <n v="4"/>
    <n v="5"/>
  </r>
  <r>
    <n v="1682385"/>
    <n v="45"/>
    <x v="0"/>
    <s v="No"/>
    <x v="0"/>
    <x v="0"/>
    <n v="194"/>
    <x v="1"/>
    <n v="9"/>
    <n v="3"/>
    <x v="0"/>
    <n v="1"/>
    <n v="2"/>
    <x v="1"/>
    <n v="60"/>
    <n v="3"/>
    <n v="2"/>
    <s v="Nurse"/>
    <n v="2"/>
    <s v="Poor"/>
    <x v="2"/>
    <n v="2348"/>
    <x v="1"/>
    <n v="10901"/>
    <n v="8"/>
    <s v="Y"/>
    <s v="No"/>
    <n v="18"/>
    <x v="0"/>
    <s v="Low Performance"/>
    <n v="3"/>
    <n v="80"/>
    <n v="1"/>
    <n v="20"/>
    <n v="2"/>
    <n v="1"/>
    <s v="Poor"/>
    <n v="17"/>
    <n v="9"/>
    <n v="0"/>
    <n v="15"/>
  </r>
  <r>
    <n v="1314990"/>
    <n v="32"/>
    <x v="2"/>
    <s v="No"/>
    <x v="0"/>
    <x v="1"/>
    <n v="967"/>
    <x v="0"/>
    <n v="8"/>
    <n v="3"/>
    <x v="3"/>
    <n v="1"/>
    <n v="2"/>
    <x v="0"/>
    <n v="43"/>
    <n v="3"/>
    <n v="3"/>
    <s v="Nurse"/>
    <n v="4"/>
    <s v="Good"/>
    <x v="0"/>
    <n v="8998"/>
    <x v="0"/>
    <n v="15589"/>
    <n v="1"/>
    <s v="Y"/>
    <s v="No"/>
    <n v="14"/>
    <x v="0"/>
    <s v="Low Performance"/>
    <n v="4"/>
    <n v="80"/>
    <n v="0"/>
    <n v="9"/>
    <n v="2"/>
    <n v="3"/>
    <s v="Fair"/>
    <n v="9"/>
    <n v="8"/>
    <n v="3"/>
    <n v="7"/>
  </r>
  <r>
    <n v="1157784"/>
    <n v="29"/>
    <x v="2"/>
    <s v="No"/>
    <x v="0"/>
    <x v="2"/>
    <n v="1496"/>
    <x v="2"/>
    <n v="1"/>
    <n v="1"/>
    <x v="4"/>
    <n v="1"/>
    <n v="4"/>
    <x v="1"/>
    <n v="41"/>
    <n v="3"/>
    <n v="2"/>
    <s v="Therapist"/>
    <n v="3"/>
    <s v="Fair"/>
    <x v="1"/>
    <n v="4319"/>
    <x v="1"/>
    <n v="26283"/>
    <n v="1"/>
    <s v="Y"/>
    <s v="No"/>
    <n v="13"/>
    <x v="0"/>
    <s v="Low Performance"/>
    <n v="1"/>
    <n v="80"/>
    <n v="1"/>
    <n v="10"/>
    <n v="1"/>
    <n v="3"/>
    <s v="Fair"/>
    <n v="10"/>
    <n v="7"/>
    <n v="0"/>
    <n v="9"/>
  </r>
  <r>
    <n v="1819484"/>
    <n v="51"/>
    <x v="1"/>
    <s v="No"/>
    <x v="0"/>
    <x v="0"/>
    <n v="1169"/>
    <x v="2"/>
    <n v="7"/>
    <n v="4"/>
    <x v="2"/>
    <n v="1"/>
    <n v="2"/>
    <x v="1"/>
    <n v="34"/>
    <n v="2"/>
    <n v="2"/>
    <s v="Therapist"/>
    <n v="3"/>
    <s v="Fair"/>
    <x v="1"/>
    <n v="6132"/>
    <x v="0"/>
    <n v="13983"/>
    <n v="2"/>
    <s v="Y"/>
    <s v="No"/>
    <n v="17"/>
    <x v="0"/>
    <s v="Low Performance"/>
    <n v="3"/>
    <n v="80"/>
    <n v="0"/>
    <n v="10"/>
    <n v="2"/>
    <n v="3"/>
    <s v="Fair"/>
    <n v="1"/>
    <n v="0"/>
    <n v="0"/>
    <n v="0"/>
  </r>
  <r>
    <n v="1172011"/>
    <n v="58"/>
    <x v="3"/>
    <s v="No"/>
    <x v="0"/>
    <x v="0"/>
    <n v="1145"/>
    <x v="1"/>
    <n v="9"/>
    <n v="3"/>
    <x v="2"/>
    <n v="1"/>
    <n v="2"/>
    <x v="0"/>
    <n v="75"/>
    <n v="2"/>
    <n v="1"/>
    <s v="Other"/>
    <n v="2"/>
    <s v="Poor"/>
    <x v="1"/>
    <n v="3346"/>
    <x v="1"/>
    <n v="11873"/>
    <n v="4"/>
    <s v="Y"/>
    <s v="Yes"/>
    <n v="20"/>
    <x v="1"/>
    <s v="High Performance"/>
    <n v="2"/>
    <n v="80"/>
    <n v="1"/>
    <n v="9"/>
    <n v="3"/>
    <n v="2"/>
    <s v="Poor"/>
    <n v="1"/>
    <n v="0"/>
    <n v="0"/>
    <n v="0"/>
  </r>
  <r>
    <n v="1562685"/>
    <n v="40"/>
    <x v="0"/>
    <s v="No"/>
    <x v="0"/>
    <x v="0"/>
    <n v="630"/>
    <x v="0"/>
    <n v="4"/>
    <n v="4"/>
    <x v="3"/>
    <n v="1"/>
    <n v="3"/>
    <x v="1"/>
    <n v="67"/>
    <n v="2"/>
    <n v="3"/>
    <s v="Nurse"/>
    <n v="4"/>
    <s v="Good"/>
    <x v="1"/>
    <n v="10855"/>
    <x v="0"/>
    <n v="8552"/>
    <n v="7"/>
    <s v="Y"/>
    <s v="No"/>
    <n v="11"/>
    <x v="0"/>
    <s v="Low Performance"/>
    <n v="1"/>
    <n v="80"/>
    <n v="1"/>
    <n v="15"/>
    <n v="2"/>
    <n v="2"/>
    <s v="Poor"/>
    <n v="12"/>
    <n v="11"/>
    <n v="2"/>
    <n v="11"/>
  </r>
  <r>
    <n v="1404919"/>
    <n v="34"/>
    <x v="2"/>
    <s v="No"/>
    <x v="0"/>
    <x v="1"/>
    <n v="303"/>
    <x v="0"/>
    <n v="2"/>
    <n v="4"/>
    <x v="3"/>
    <n v="1"/>
    <n v="3"/>
    <x v="0"/>
    <n v="75"/>
    <n v="3"/>
    <n v="1"/>
    <s v="Other"/>
    <n v="3"/>
    <s v="Fair"/>
    <x v="1"/>
    <n v="2231"/>
    <x v="1"/>
    <n v="11314"/>
    <n v="6"/>
    <s v="Y"/>
    <s v="No"/>
    <n v="18"/>
    <x v="0"/>
    <s v="Low Performance"/>
    <n v="4"/>
    <n v="80"/>
    <n v="1"/>
    <n v="6"/>
    <n v="3"/>
    <n v="3"/>
    <s v="Fair"/>
    <n v="4"/>
    <n v="3"/>
    <n v="1"/>
    <n v="2"/>
  </r>
  <r>
    <n v="1751538"/>
    <n v="22"/>
    <x v="4"/>
    <s v="No"/>
    <x v="0"/>
    <x v="0"/>
    <n v="1256"/>
    <x v="1"/>
    <n v="19"/>
    <n v="1"/>
    <x v="2"/>
    <n v="1"/>
    <n v="3"/>
    <x v="1"/>
    <n v="80"/>
    <n v="3"/>
    <n v="1"/>
    <s v="Other"/>
    <n v="4"/>
    <s v="Good"/>
    <x v="1"/>
    <n v="2323"/>
    <x v="1"/>
    <n v="11992"/>
    <n v="1"/>
    <s v="Y"/>
    <s v="No"/>
    <n v="24"/>
    <x v="1"/>
    <s v="High Performance"/>
    <n v="1"/>
    <n v="80"/>
    <n v="2"/>
    <n v="2"/>
    <n v="6"/>
    <n v="3"/>
    <s v="Fair"/>
    <n v="2"/>
    <n v="2"/>
    <n v="2"/>
    <n v="2"/>
  </r>
  <r>
    <n v="1883822"/>
    <n v="27"/>
    <x v="2"/>
    <s v="No"/>
    <x v="0"/>
    <x v="2"/>
    <n v="691"/>
    <x v="1"/>
    <n v="9"/>
    <n v="3"/>
    <x v="2"/>
    <n v="1"/>
    <n v="4"/>
    <x v="1"/>
    <n v="57"/>
    <n v="3"/>
    <n v="1"/>
    <s v="Other"/>
    <n v="2"/>
    <s v="Poor"/>
    <x v="2"/>
    <n v="2024"/>
    <x v="1"/>
    <n v="5970"/>
    <n v="6"/>
    <s v="Y"/>
    <s v="No"/>
    <n v="18"/>
    <x v="0"/>
    <s v="Low Performance"/>
    <n v="4"/>
    <n v="80"/>
    <n v="1"/>
    <n v="6"/>
    <n v="1"/>
    <n v="1"/>
    <s v="Poor"/>
    <n v="2"/>
    <n v="2"/>
    <n v="2"/>
    <n v="2"/>
  </r>
  <r>
    <n v="1460812"/>
    <n v="28"/>
    <x v="2"/>
    <s v="No"/>
    <x v="0"/>
    <x v="0"/>
    <n v="440"/>
    <x v="1"/>
    <n v="21"/>
    <n v="3"/>
    <x v="2"/>
    <n v="1"/>
    <n v="3"/>
    <x v="1"/>
    <n v="42"/>
    <n v="3"/>
    <n v="1"/>
    <s v="Other"/>
    <n v="4"/>
    <s v="Good"/>
    <x v="1"/>
    <n v="2713"/>
    <x v="1"/>
    <n v="6672"/>
    <n v="1"/>
    <s v="Y"/>
    <s v="No"/>
    <n v="11"/>
    <x v="0"/>
    <s v="Low Performance"/>
    <n v="3"/>
    <n v="80"/>
    <n v="1"/>
    <n v="5"/>
    <n v="2"/>
    <n v="1"/>
    <s v="Poor"/>
    <n v="5"/>
    <n v="2"/>
    <n v="0"/>
    <n v="2"/>
  </r>
  <r>
    <n v="1303708"/>
    <n v="57"/>
    <x v="3"/>
    <s v="No"/>
    <x v="0"/>
    <x v="0"/>
    <n v="334"/>
    <x v="1"/>
    <n v="24"/>
    <n v="2"/>
    <x v="0"/>
    <n v="1"/>
    <n v="3"/>
    <x v="1"/>
    <n v="83"/>
    <n v="4"/>
    <n v="3"/>
    <s v="Nurse"/>
    <n v="4"/>
    <s v="Good"/>
    <x v="2"/>
    <n v="9439"/>
    <x v="0"/>
    <n v="23402"/>
    <n v="3"/>
    <s v="Y"/>
    <s v="Yes"/>
    <n v="16"/>
    <x v="0"/>
    <s v="Low Performance"/>
    <n v="2"/>
    <n v="80"/>
    <n v="1"/>
    <n v="12"/>
    <n v="2"/>
    <n v="1"/>
    <s v="Poor"/>
    <n v="5"/>
    <n v="3"/>
    <n v="1"/>
    <n v="4"/>
  </r>
  <r>
    <n v="1224013"/>
    <n v="27"/>
    <x v="2"/>
    <s v="Yes"/>
    <x v="1"/>
    <x v="2"/>
    <n v="1450"/>
    <x v="1"/>
    <n v="3"/>
    <n v="3"/>
    <x v="2"/>
    <n v="1"/>
    <n v="3"/>
    <x v="1"/>
    <n v="79"/>
    <n v="2"/>
    <n v="1"/>
    <s v="Other"/>
    <n v="3"/>
    <s v="Fair"/>
    <x v="2"/>
    <n v="2566"/>
    <x v="1"/>
    <n v="25326"/>
    <n v="1"/>
    <s v="Y"/>
    <s v="Yes"/>
    <n v="15"/>
    <x v="0"/>
    <s v="Low Performance"/>
    <n v="4"/>
    <n v="80"/>
    <n v="1"/>
    <n v="1"/>
    <n v="2"/>
    <n v="2"/>
    <s v="Poor"/>
    <n v="1"/>
    <n v="1"/>
    <n v="0"/>
    <n v="1"/>
  </r>
  <r>
    <n v="1495862"/>
    <n v="50"/>
    <x v="1"/>
    <s v="No"/>
    <x v="0"/>
    <x v="0"/>
    <n v="1452"/>
    <x v="2"/>
    <n v="11"/>
    <n v="3"/>
    <x v="0"/>
    <n v="1"/>
    <n v="3"/>
    <x v="0"/>
    <n v="53"/>
    <n v="3"/>
    <n v="5"/>
    <s v="Other"/>
    <n v="2"/>
    <s v="Poor"/>
    <x v="0"/>
    <n v="19926"/>
    <x v="2"/>
    <n v="17053"/>
    <n v="3"/>
    <s v="Y"/>
    <s v="No"/>
    <n v="15"/>
    <x v="0"/>
    <s v="Low Performance"/>
    <n v="2"/>
    <n v="80"/>
    <n v="0"/>
    <n v="21"/>
    <n v="5"/>
    <n v="3"/>
    <s v="Fair"/>
    <n v="5"/>
    <n v="4"/>
    <n v="4"/>
    <n v="4"/>
  </r>
  <r>
    <n v="1379450"/>
    <n v="41"/>
    <x v="0"/>
    <s v="No"/>
    <x v="0"/>
    <x v="0"/>
    <n v="465"/>
    <x v="1"/>
    <n v="14"/>
    <n v="3"/>
    <x v="0"/>
    <n v="1"/>
    <n v="1"/>
    <x v="1"/>
    <n v="56"/>
    <n v="3"/>
    <n v="1"/>
    <s v="Other"/>
    <n v="3"/>
    <s v="Fair"/>
    <x v="2"/>
    <n v="2451"/>
    <x v="1"/>
    <n v="4609"/>
    <n v="4"/>
    <s v="Y"/>
    <s v="No"/>
    <n v="12"/>
    <x v="0"/>
    <s v="Low Performance"/>
    <n v="1"/>
    <n v="80"/>
    <n v="1"/>
    <n v="13"/>
    <n v="2"/>
    <n v="3"/>
    <s v="Fair"/>
    <n v="9"/>
    <n v="8"/>
    <n v="1"/>
    <n v="8"/>
  </r>
  <r>
    <n v="1138977"/>
    <n v="30"/>
    <x v="2"/>
    <s v="No"/>
    <x v="0"/>
    <x v="0"/>
    <n v="1339"/>
    <x v="0"/>
    <n v="5"/>
    <n v="3"/>
    <x v="0"/>
    <n v="1"/>
    <n v="2"/>
    <x v="0"/>
    <n v="41"/>
    <n v="3"/>
    <n v="3"/>
    <s v="Nurse"/>
    <n v="4"/>
    <s v="Good"/>
    <x v="1"/>
    <n v="9419"/>
    <x v="0"/>
    <n v="8053"/>
    <n v="2"/>
    <s v="Y"/>
    <s v="No"/>
    <n v="12"/>
    <x v="0"/>
    <s v="Low Performance"/>
    <n v="3"/>
    <n v="80"/>
    <n v="1"/>
    <n v="12"/>
    <n v="2"/>
    <n v="3"/>
    <s v="Fair"/>
    <n v="10"/>
    <n v="9"/>
    <n v="7"/>
    <n v="4"/>
  </r>
  <r>
    <n v="1726077"/>
    <n v="38"/>
    <x v="0"/>
    <s v="No"/>
    <x v="0"/>
    <x v="0"/>
    <n v="702"/>
    <x v="0"/>
    <n v="1"/>
    <n v="4"/>
    <x v="0"/>
    <n v="1"/>
    <n v="1"/>
    <x v="0"/>
    <n v="59"/>
    <n v="2"/>
    <n v="2"/>
    <s v="Nurse"/>
    <n v="4"/>
    <s v="Good"/>
    <x v="0"/>
    <n v="8686"/>
    <x v="0"/>
    <n v="12930"/>
    <n v="4"/>
    <s v="Y"/>
    <s v="No"/>
    <n v="22"/>
    <x v="1"/>
    <s v="High Performance"/>
    <n v="3"/>
    <n v="80"/>
    <n v="0"/>
    <n v="12"/>
    <n v="2"/>
    <n v="4"/>
    <s v="Good"/>
    <n v="8"/>
    <n v="3"/>
    <n v="0"/>
    <n v="7"/>
  </r>
  <r>
    <n v="1101855"/>
    <n v="32"/>
    <x v="2"/>
    <s v="No"/>
    <x v="0"/>
    <x v="0"/>
    <n v="120"/>
    <x v="1"/>
    <n v="6"/>
    <n v="5"/>
    <x v="0"/>
    <n v="1"/>
    <n v="3"/>
    <x v="1"/>
    <n v="43"/>
    <n v="3"/>
    <n v="1"/>
    <s v="Other"/>
    <n v="3"/>
    <s v="Fair"/>
    <x v="0"/>
    <n v="3038"/>
    <x v="1"/>
    <n v="12430"/>
    <n v="3"/>
    <s v="Y"/>
    <s v="No"/>
    <n v="20"/>
    <x v="1"/>
    <s v="High Performance"/>
    <n v="1"/>
    <n v="80"/>
    <n v="0"/>
    <n v="8"/>
    <n v="2"/>
    <n v="3"/>
    <s v="Fair"/>
    <n v="5"/>
    <n v="4"/>
    <n v="1"/>
    <n v="4"/>
  </r>
  <r>
    <n v="1715001"/>
    <n v="27"/>
    <x v="2"/>
    <s v="No"/>
    <x v="0"/>
    <x v="0"/>
    <n v="1157"/>
    <x v="1"/>
    <n v="17"/>
    <n v="3"/>
    <x v="4"/>
    <n v="1"/>
    <n v="3"/>
    <x v="1"/>
    <n v="51"/>
    <n v="3"/>
    <n v="1"/>
    <s v="Other"/>
    <n v="2"/>
    <s v="Poor"/>
    <x v="1"/>
    <n v="3058"/>
    <x v="1"/>
    <n v="13364"/>
    <n v="0"/>
    <s v="Y"/>
    <s v="Yes"/>
    <n v="16"/>
    <x v="0"/>
    <s v="Low Performance"/>
    <n v="4"/>
    <n v="80"/>
    <n v="1"/>
    <n v="6"/>
    <n v="3"/>
    <n v="2"/>
    <s v="Poor"/>
    <n v="5"/>
    <n v="2"/>
    <n v="1"/>
    <n v="1"/>
  </r>
  <r>
    <n v="1820041"/>
    <n v="19"/>
    <x v="4"/>
    <s v="Yes"/>
    <x v="1"/>
    <x v="1"/>
    <n v="602"/>
    <x v="0"/>
    <n v="1"/>
    <n v="1"/>
    <x v="4"/>
    <n v="1"/>
    <n v="3"/>
    <x v="0"/>
    <n v="100"/>
    <n v="1"/>
    <n v="1"/>
    <s v="Other"/>
    <n v="1"/>
    <s v="Poor"/>
    <x v="0"/>
    <n v="2325"/>
    <x v="1"/>
    <n v="20989"/>
    <n v="0"/>
    <s v="Y"/>
    <s v="No"/>
    <n v="21"/>
    <x v="1"/>
    <s v="High Performance"/>
    <n v="1"/>
    <n v="80"/>
    <n v="0"/>
    <n v="1"/>
    <n v="5"/>
    <n v="4"/>
    <s v="Good"/>
    <n v="0"/>
    <n v="0"/>
    <n v="0"/>
    <n v="0"/>
  </r>
  <r>
    <n v="1540435"/>
    <n v="36"/>
    <x v="0"/>
    <s v="No"/>
    <x v="0"/>
    <x v="1"/>
    <n v="1480"/>
    <x v="1"/>
    <n v="3"/>
    <n v="2"/>
    <x v="2"/>
    <n v="1"/>
    <n v="4"/>
    <x v="1"/>
    <n v="30"/>
    <n v="3"/>
    <n v="1"/>
    <s v="Nurse"/>
    <n v="2"/>
    <s v="Poor"/>
    <x v="0"/>
    <n v="2088"/>
    <x v="1"/>
    <n v="15062"/>
    <n v="4"/>
    <s v="Y"/>
    <s v="No"/>
    <n v="12"/>
    <x v="0"/>
    <s v="Low Performance"/>
    <n v="3"/>
    <n v="80"/>
    <n v="0"/>
    <n v="13"/>
    <n v="3"/>
    <n v="2"/>
    <s v="Poor"/>
    <n v="8"/>
    <n v="7"/>
    <n v="7"/>
    <n v="2"/>
  </r>
  <r>
    <n v="1340085"/>
    <n v="30"/>
    <x v="2"/>
    <s v="No"/>
    <x v="0"/>
    <x v="2"/>
    <n v="111"/>
    <x v="1"/>
    <n v="9"/>
    <n v="3"/>
    <x v="2"/>
    <n v="1"/>
    <n v="3"/>
    <x v="1"/>
    <n v="66"/>
    <n v="3"/>
    <n v="2"/>
    <s v="Nurse"/>
    <n v="1"/>
    <s v="Poor"/>
    <x v="2"/>
    <n v="3072"/>
    <x v="1"/>
    <n v="11012"/>
    <n v="1"/>
    <s v="Y"/>
    <s v="No"/>
    <n v="11"/>
    <x v="0"/>
    <s v="Low Performance"/>
    <n v="3"/>
    <n v="80"/>
    <n v="2"/>
    <n v="12"/>
    <n v="4"/>
    <n v="3"/>
    <s v="Fair"/>
    <n v="12"/>
    <n v="9"/>
    <n v="6"/>
    <n v="10"/>
  </r>
  <r>
    <n v="1319352"/>
    <n v="45"/>
    <x v="0"/>
    <s v="No"/>
    <x v="0"/>
    <x v="0"/>
    <n v="1268"/>
    <x v="0"/>
    <n v="4"/>
    <n v="2"/>
    <x v="0"/>
    <n v="1"/>
    <n v="3"/>
    <x v="0"/>
    <n v="30"/>
    <n v="3"/>
    <n v="2"/>
    <s v="Nurse"/>
    <n v="1"/>
    <s v="Poor"/>
    <x v="2"/>
    <n v="5006"/>
    <x v="0"/>
    <n v="6319"/>
    <n v="4"/>
    <s v="Y"/>
    <s v="Yes"/>
    <n v="11"/>
    <x v="0"/>
    <s v="Low Performance"/>
    <n v="1"/>
    <n v="80"/>
    <n v="1"/>
    <n v="9"/>
    <n v="3"/>
    <n v="4"/>
    <s v="Good"/>
    <n v="5"/>
    <n v="4"/>
    <n v="0"/>
    <n v="3"/>
  </r>
  <r>
    <n v="1722423"/>
    <n v="56"/>
    <x v="3"/>
    <s v="No"/>
    <x v="0"/>
    <x v="0"/>
    <n v="713"/>
    <x v="1"/>
    <n v="8"/>
    <n v="3"/>
    <x v="0"/>
    <n v="1"/>
    <n v="3"/>
    <x v="0"/>
    <n v="67"/>
    <n v="3"/>
    <n v="1"/>
    <s v="Other"/>
    <n v="1"/>
    <s v="Poor"/>
    <x v="2"/>
    <n v="4257"/>
    <x v="1"/>
    <n v="13939"/>
    <n v="4"/>
    <s v="Y"/>
    <s v="Yes"/>
    <n v="18"/>
    <x v="0"/>
    <s v="Low Performance"/>
    <n v="3"/>
    <n v="80"/>
    <n v="1"/>
    <n v="19"/>
    <n v="3"/>
    <n v="3"/>
    <s v="Fair"/>
    <n v="2"/>
    <n v="2"/>
    <n v="2"/>
    <n v="2"/>
  </r>
  <r>
    <n v="1853558"/>
    <n v="33"/>
    <x v="2"/>
    <s v="No"/>
    <x v="0"/>
    <x v="0"/>
    <n v="134"/>
    <x v="1"/>
    <n v="2"/>
    <n v="3"/>
    <x v="0"/>
    <n v="1"/>
    <n v="3"/>
    <x v="1"/>
    <n v="90"/>
    <n v="3"/>
    <n v="1"/>
    <s v="Other"/>
    <n v="4"/>
    <s v="Good"/>
    <x v="0"/>
    <n v="2500"/>
    <x v="1"/>
    <n v="10515"/>
    <n v="0"/>
    <s v="Y"/>
    <s v="No"/>
    <n v="14"/>
    <x v="0"/>
    <s v="Low Performance"/>
    <n v="1"/>
    <n v="80"/>
    <n v="0"/>
    <n v="4"/>
    <n v="2"/>
    <n v="4"/>
    <s v="Good"/>
    <n v="3"/>
    <n v="1"/>
    <n v="0"/>
    <n v="2"/>
  </r>
  <r>
    <n v="1517594"/>
    <n v="19"/>
    <x v="4"/>
    <s v="Yes"/>
    <x v="1"/>
    <x v="0"/>
    <n v="303"/>
    <x v="1"/>
    <n v="2"/>
    <n v="3"/>
    <x v="0"/>
    <n v="1"/>
    <n v="2"/>
    <x v="1"/>
    <n v="47"/>
    <n v="2"/>
    <n v="1"/>
    <s v="Nurse"/>
    <n v="4"/>
    <s v="Good"/>
    <x v="0"/>
    <n v="1102"/>
    <x v="1"/>
    <n v="9241"/>
    <n v="1"/>
    <s v="Y"/>
    <s v="No"/>
    <n v="22"/>
    <x v="1"/>
    <s v="High Performance"/>
    <n v="3"/>
    <n v="80"/>
    <n v="0"/>
    <n v="1"/>
    <n v="3"/>
    <n v="2"/>
    <s v="Poor"/>
    <n v="1"/>
    <n v="0"/>
    <n v="1"/>
    <n v="0"/>
  </r>
  <r>
    <n v="1700841"/>
    <n v="46"/>
    <x v="1"/>
    <s v="No"/>
    <x v="0"/>
    <x v="0"/>
    <n v="526"/>
    <x v="0"/>
    <n v="1"/>
    <n v="2"/>
    <x v="3"/>
    <n v="1"/>
    <n v="2"/>
    <x v="0"/>
    <n v="92"/>
    <n v="3"/>
    <n v="3"/>
    <s v="Nurse"/>
    <n v="1"/>
    <s v="Poor"/>
    <x v="2"/>
    <n v="10453"/>
    <x v="0"/>
    <n v="2137"/>
    <n v="1"/>
    <s v="Y"/>
    <s v="No"/>
    <n v="25"/>
    <x v="1"/>
    <s v="High Performance"/>
    <n v="3"/>
    <n v="80"/>
    <n v="3"/>
    <n v="24"/>
    <n v="2"/>
    <n v="3"/>
    <s v="Fair"/>
    <n v="24"/>
    <n v="13"/>
    <n v="15"/>
    <n v="7"/>
  </r>
  <r>
    <n v="1665761"/>
    <n v="38"/>
    <x v="0"/>
    <s v="No"/>
    <x v="0"/>
    <x v="0"/>
    <n v="1380"/>
    <x v="1"/>
    <n v="9"/>
    <n v="2"/>
    <x v="0"/>
    <n v="1"/>
    <n v="3"/>
    <x v="0"/>
    <n v="75"/>
    <n v="3"/>
    <n v="1"/>
    <s v="Nurse"/>
    <n v="4"/>
    <s v="Good"/>
    <x v="0"/>
    <n v="2288"/>
    <x v="1"/>
    <n v="6319"/>
    <n v="1"/>
    <s v="Y"/>
    <s v="No"/>
    <n v="12"/>
    <x v="0"/>
    <s v="Low Performance"/>
    <n v="3"/>
    <n v="80"/>
    <n v="0"/>
    <n v="2"/>
    <n v="3"/>
    <n v="3"/>
    <s v="Fair"/>
    <n v="2"/>
    <n v="2"/>
    <n v="2"/>
    <n v="1"/>
  </r>
  <r>
    <n v="1224843"/>
    <n v="31"/>
    <x v="2"/>
    <s v="No"/>
    <x v="0"/>
    <x v="0"/>
    <n v="140"/>
    <x v="1"/>
    <n v="12"/>
    <n v="1"/>
    <x v="2"/>
    <n v="1"/>
    <n v="3"/>
    <x v="0"/>
    <n v="95"/>
    <n v="3"/>
    <n v="1"/>
    <s v="Other"/>
    <n v="4"/>
    <s v="Good"/>
    <x v="1"/>
    <n v="3929"/>
    <x v="1"/>
    <n v="6984"/>
    <n v="8"/>
    <s v="Y"/>
    <s v="Yes"/>
    <n v="23"/>
    <x v="1"/>
    <s v="High Performance"/>
    <n v="3"/>
    <n v="80"/>
    <n v="1"/>
    <n v="7"/>
    <n v="0"/>
    <n v="3"/>
    <s v="Fair"/>
    <n v="4"/>
    <n v="2"/>
    <n v="0"/>
    <n v="2"/>
  </r>
  <r>
    <n v="1739412"/>
    <n v="34"/>
    <x v="2"/>
    <s v="No"/>
    <x v="0"/>
    <x v="0"/>
    <n v="629"/>
    <x v="1"/>
    <n v="27"/>
    <n v="2"/>
    <x v="2"/>
    <n v="1"/>
    <n v="4"/>
    <x v="0"/>
    <n v="95"/>
    <n v="3"/>
    <n v="1"/>
    <s v="Other"/>
    <n v="2"/>
    <s v="Poor"/>
    <x v="0"/>
    <n v="2311"/>
    <x v="1"/>
    <n v="5711"/>
    <n v="2"/>
    <s v="Y"/>
    <s v="No"/>
    <n v="15"/>
    <x v="0"/>
    <s v="Low Performance"/>
    <n v="4"/>
    <n v="80"/>
    <n v="0"/>
    <n v="9"/>
    <n v="3"/>
    <n v="3"/>
    <s v="Fair"/>
    <n v="3"/>
    <n v="2"/>
    <n v="1"/>
    <n v="2"/>
  </r>
  <r>
    <n v="1190255"/>
    <n v="41"/>
    <x v="0"/>
    <s v="Yes"/>
    <x v="1"/>
    <x v="0"/>
    <n v="1356"/>
    <x v="0"/>
    <n v="20"/>
    <n v="2"/>
    <x v="3"/>
    <n v="1"/>
    <n v="2"/>
    <x v="0"/>
    <n v="70"/>
    <n v="3"/>
    <n v="1"/>
    <s v="Other"/>
    <n v="2"/>
    <s v="Poor"/>
    <x v="0"/>
    <n v="3140"/>
    <x v="1"/>
    <n v="21728"/>
    <n v="1"/>
    <s v="Y"/>
    <s v="Yes"/>
    <n v="22"/>
    <x v="1"/>
    <s v="High Performance"/>
    <n v="4"/>
    <n v="80"/>
    <n v="0"/>
    <n v="4"/>
    <n v="5"/>
    <n v="2"/>
    <s v="Poor"/>
    <n v="4"/>
    <n v="3"/>
    <n v="0"/>
    <n v="2"/>
  </r>
  <r>
    <n v="1820323"/>
    <n v="50"/>
    <x v="1"/>
    <s v="No"/>
    <x v="0"/>
    <x v="0"/>
    <n v="328"/>
    <x v="1"/>
    <n v="1"/>
    <n v="3"/>
    <x v="2"/>
    <n v="1"/>
    <n v="3"/>
    <x v="1"/>
    <n v="86"/>
    <n v="2"/>
    <n v="1"/>
    <s v="Nurse"/>
    <n v="3"/>
    <s v="Fair"/>
    <x v="1"/>
    <n v="3690"/>
    <x v="1"/>
    <n v="3425"/>
    <n v="2"/>
    <s v="Y"/>
    <s v="No"/>
    <n v="15"/>
    <x v="0"/>
    <s v="Low Performance"/>
    <n v="4"/>
    <n v="80"/>
    <n v="1"/>
    <n v="5"/>
    <n v="2"/>
    <n v="2"/>
    <s v="Poor"/>
    <n v="3"/>
    <n v="2"/>
    <n v="0"/>
    <n v="2"/>
  </r>
  <r>
    <n v="1477195"/>
    <n v="53"/>
    <x v="1"/>
    <s v="No"/>
    <x v="0"/>
    <x v="0"/>
    <n v="1084"/>
    <x v="1"/>
    <n v="13"/>
    <n v="2"/>
    <x v="2"/>
    <n v="1"/>
    <n v="4"/>
    <x v="0"/>
    <n v="57"/>
    <n v="4"/>
    <n v="2"/>
    <s v="Therapist"/>
    <n v="1"/>
    <s v="Poor"/>
    <x v="2"/>
    <n v="4450"/>
    <x v="1"/>
    <n v="26250"/>
    <n v="1"/>
    <s v="Y"/>
    <s v="No"/>
    <n v="11"/>
    <x v="0"/>
    <s v="Low Performance"/>
    <n v="3"/>
    <n v="80"/>
    <n v="2"/>
    <n v="5"/>
    <n v="3"/>
    <n v="3"/>
    <s v="Fair"/>
    <n v="4"/>
    <n v="2"/>
    <n v="1"/>
    <n v="3"/>
  </r>
  <r>
    <n v="1383313"/>
    <n v="33"/>
    <x v="2"/>
    <s v="No"/>
    <x v="0"/>
    <x v="0"/>
    <n v="931"/>
    <x v="1"/>
    <n v="14"/>
    <n v="3"/>
    <x v="2"/>
    <n v="1"/>
    <n v="4"/>
    <x v="0"/>
    <n v="72"/>
    <n v="3"/>
    <n v="1"/>
    <s v="Other"/>
    <n v="2"/>
    <s v="Poor"/>
    <x v="1"/>
    <n v="2756"/>
    <x v="1"/>
    <n v="4673"/>
    <n v="1"/>
    <s v="Y"/>
    <s v="No"/>
    <n v="13"/>
    <x v="0"/>
    <s v="Low Performance"/>
    <n v="4"/>
    <n v="80"/>
    <n v="1"/>
    <n v="8"/>
    <n v="5"/>
    <n v="3"/>
    <s v="Fair"/>
    <n v="8"/>
    <n v="7"/>
    <n v="1"/>
    <n v="6"/>
  </r>
  <r>
    <n v="1385477"/>
    <n v="40"/>
    <x v="0"/>
    <s v="No"/>
    <x v="0"/>
    <x v="0"/>
    <n v="989"/>
    <x v="2"/>
    <n v="4"/>
    <n v="1"/>
    <x v="2"/>
    <n v="1"/>
    <n v="4"/>
    <x v="0"/>
    <n v="46"/>
    <n v="3"/>
    <n v="5"/>
    <s v="Other"/>
    <n v="3"/>
    <s v="Fair"/>
    <x v="1"/>
    <n v="19033"/>
    <x v="2"/>
    <n v="6499"/>
    <n v="1"/>
    <s v="Y"/>
    <s v="No"/>
    <n v="14"/>
    <x v="0"/>
    <s v="Low Performance"/>
    <n v="2"/>
    <n v="80"/>
    <n v="1"/>
    <n v="21"/>
    <n v="2"/>
    <n v="3"/>
    <s v="Fair"/>
    <n v="20"/>
    <n v="8"/>
    <n v="9"/>
    <n v="9"/>
  </r>
  <r>
    <n v="1060337"/>
    <n v="55"/>
    <x v="1"/>
    <s v="No"/>
    <x v="0"/>
    <x v="0"/>
    <n v="692"/>
    <x v="2"/>
    <n v="14"/>
    <n v="4"/>
    <x v="2"/>
    <n v="1"/>
    <n v="3"/>
    <x v="1"/>
    <n v="61"/>
    <n v="4"/>
    <n v="5"/>
    <s v="Other"/>
    <n v="2"/>
    <s v="Poor"/>
    <x v="0"/>
    <n v="18722"/>
    <x v="2"/>
    <n v="13339"/>
    <n v="8"/>
    <s v="Y"/>
    <s v="No"/>
    <n v="11"/>
    <x v="0"/>
    <s v="Low Performance"/>
    <n v="4"/>
    <n v="80"/>
    <n v="0"/>
    <n v="36"/>
    <n v="3"/>
    <n v="3"/>
    <s v="Fair"/>
    <n v="24"/>
    <n v="15"/>
    <n v="2"/>
    <n v="15"/>
  </r>
  <r>
    <n v="1180048"/>
    <n v="34"/>
    <x v="2"/>
    <s v="No"/>
    <x v="0"/>
    <x v="1"/>
    <n v="1069"/>
    <x v="2"/>
    <n v="2"/>
    <n v="1"/>
    <x v="0"/>
    <n v="1"/>
    <n v="4"/>
    <x v="1"/>
    <n v="45"/>
    <n v="2"/>
    <n v="2"/>
    <s v="Therapist"/>
    <n v="3"/>
    <s v="Fair"/>
    <x v="1"/>
    <n v="9547"/>
    <x v="0"/>
    <n v="14074"/>
    <n v="1"/>
    <s v="Y"/>
    <s v="No"/>
    <n v="17"/>
    <x v="0"/>
    <s v="Low Performance"/>
    <n v="3"/>
    <n v="80"/>
    <n v="0"/>
    <n v="10"/>
    <n v="2"/>
    <n v="2"/>
    <s v="Poor"/>
    <n v="10"/>
    <n v="9"/>
    <n v="1"/>
    <n v="9"/>
  </r>
  <r>
    <n v="1730525"/>
    <n v="51"/>
    <x v="1"/>
    <s v="No"/>
    <x v="0"/>
    <x v="0"/>
    <n v="313"/>
    <x v="1"/>
    <n v="3"/>
    <n v="3"/>
    <x v="2"/>
    <n v="1"/>
    <n v="4"/>
    <x v="0"/>
    <n v="98"/>
    <n v="3"/>
    <n v="4"/>
    <s v="Nurse"/>
    <n v="2"/>
    <s v="Poor"/>
    <x v="0"/>
    <n v="13734"/>
    <x v="2"/>
    <n v="7192"/>
    <n v="3"/>
    <s v="Y"/>
    <s v="No"/>
    <n v="18"/>
    <x v="0"/>
    <s v="Low Performance"/>
    <n v="3"/>
    <n v="80"/>
    <n v="0"/>
    <n v="21"/>
    <n v="6"/>
    <n v="3"/>
    <s v="Fair"/>
    <n v="7"/>
    <n v="7"/>
    <n v="1"/>
    <n v="0"/>
  </r>
  <r>
    <n v="1173311"/>
    <n v="52"/>
    <x v="1"/>
    <s v="No"/>
    <x v="0"/>
    <x v="0"/>
    <n v="699"/>
    <x v="2"/>
    <n v="1"/>
    <n v="4"/>
    <x v="0"/>
    <n v="1"/>
    <n v="3"/>
    <x v="1"/>
    <n v="65"/>
    <n v="2"/>
    <n v="5"/>
    <s v="Other"/>
    <n v="3"/>
    <s v="Fair"/>
    <x v="1"/>
    <n v="19999"/>
    <x v="2"/>
    <n v="5678"/>
    <n v="0"/>
    <s v="Y"/>
    <s v="No"/>
    <n v="14"/>
    <x v="0"/>
    <s v="Low Performance"/>
    <n v="1"/>
    <n v="80"/>
    <n v="1"/>
    <n v="34"/>
    <n v="5"/>
    <n v="3"/>
    <s v="Fair"/>
    <n v="33"/>
    <n v="18"/>
    <n v="11"/>
    <n v="9"/>
  </r>
  <r>
    <n v="1155351"/>
    <n v="27"/>
    <x v="2"/>
    <s v="No"/>
    <x v="0"/>
    <x v="0"/>
    <n v="894"/>
    <x v="1"/>
    <n v="9"/>
    <n v="3"/>
    <x v="2"/>
    <n v="1"/>
    <n v="4"/>
    <x v="0"/>
    <n v="99"/>
    <n v="3"/>
    <n v="1"/>
    <s v="Other"/>
    <n v="2"/>
    <s v="Poor"/>
    <x v="0"/>
    <n v="2279"/>
    <x v="1"/>
    <n v="11781"/>
    <n v="1"/>
    <s v="Y"/>
    <s v="No"/>
    <n v="16"/>
    <x v="0"/>
    <s v="Low Performance"/>
    <n v="4"/>
    <n v="80"/>
    <n v="0"/>
    <n v="7"/>
    <n v="2"/>
    <n v="2"/>
    <s v="Poor"/>
    <n v="7"/>
    <n v="7"/>
    <n v="0"/>
    <n v="3"/>
  </r>
  <r>
    <n v="1409777"/>
    <n v="35"/>
    <x v="2"/>
    <s v="Yes"/>
    <x v="1"/>
    <x v="0"/>
    <n v="556"/>
    <x v="1"/>
    <n v="23"/>
    <n v="2"/>
    <x v="0"/>
    <n v="1"/>
    <n v="2"/>
    <x v="1"/>
    <n v="50"/>
    <n v="2"/>
    <n v="2"/>
    <s v="Therapist"/>
    <n v="3"/>
    <s v="Fair"/>
    <x v="1"/>
    <n v="5916"/>
    <x v="0"/>
    <n v="15497"/>
    <n v="3"/>
    <s v="Y"/>
    <s v="Yes"/>
    <n v="13"/>
    <x v="0"/>
    <s v="Low Performance"/>
    <n v="1"/>
    <n v="80"/>
    <n v="0"/>
    <n v="8"/>
    <n v="1"/>
    <n v="3"/>
    <s v="Fair"/>
    <n v="1"/>
    <n v="0"/>
    <n v="0"/>
    <n v="1"/>
  </r>
  <r>
    <n v="1175384"/>
    <n v="43"/>
    <x v="0"/>
    <s v="No"/>
    <x v="0"/>
    <x v="2"/>
    <n v="1344"/>
    <x v="1"/>
    <n v="7"/>
    <n v="3"/>
    <x v="2"/>
    <n v="1"/>
    <n v="4"/>
    <x v="1"/>
    <n v="37"/>
    <n v="4"/>
    <n v="1"/>
    <s v="Other"/>
    <n v="4"/>
    <s v="Good"/>
    <x v="2"/>
    <n v="2089"/>
    <x v="1"/>
    <n v="5228"/>
    <n v="4"/>
    <s v="Y"/>
    <s v="No"/>
    <n v="14"/>
    <x v="0"/>
    <s v="Low Performance"/>
    <n v="4"/>
    <n v="80"/>
    <n v="3"/>
    <n v="7"/>
    <n v="3"/>
    <n v="4"/>
    <s v="Good"/>
    <n v="5"/>
    <n v="4"/>
    <n v="2"/>
    <n v="2"/>
  </r>
  <r>
    <n v="1447981"/>
    <n v="45"/>
    <x v="0"/>
    <s v="No"/>
    <x v="0"/>
    <x v="2"/>
    <n v="1195"/>
    <x v="2"/>
    <n v="2"/>
    <n v="2"/>
    <x v="2"/>
    <n v="1"/>
    <n v="1"/>
    <x v="1"/>
    <n v="65"/>
    <n v="2"/>
    <n v="4"/>
    <s v="Other"/>
    <n v="4"/>
    <s v="Good"/>
    <x v="1"/>
    <n v="16792"/>
    <x v="2"/>
    <n v="20462"/>
    <n v="9"/>
    <s v="Y"/>
    <s v="No"/>
    <n v="23"/>
    <x v="1"/>
    <s v="High Performance"/>
    <n v="4"/>
    <n v="80"/>
    <n v="1"/>
    <n v="22"/>
    <n v="1"/>
    <n v="3"/>
    <s v="Fair"/>
    <n v="20"/>
    <n v="8"/>
    <n v="11"/>
    <n v="8"/>
  </r>
  <r>
    <n v="1643490"/>
    <n v="37"/>
    <x v="0"/>
    <s v="No"/>
    <x v="0"/>
    <x v="0"/>
    <n v="290"/>
    <x v="1"/>
    <n v="21"/>
    <n v="3"/>
    <x v="0"/>
    <n v="1"/>
    <n v="2"/>
    <x v="1"/>
    <n v="65"/>
    <n v="4"/>
    <n v="1"/>
    <s v="Other"/>
    <n v="1"/>
    <s v="Poor"/>
    <x v="1"/>
    <n v="3564"/>
    <x v="1"/>
    <n v="22977"/>
    <n v="1"/>
    <s v="Y"/>
    <s v="Yes"/>
    <n v="12"/>
    <x v="0"/>
    <s v="Low Performance"/>
    <n v="1"/>
    <n v="80"/>
    <n v="1"/>
    <n v="8"/>
    <n v="3"/>
    <n v="2"/>
    <s v="Poor"/>
    <n v="8"/>
    <n v="7"/>
    <n v="1"/>
    <n v="7"/>
  </r>
  <r>
    <n v="1132287"/>
    <n v="35"/>
    <x v="2"/>
    <s v="No"/>
    <x v="0"/>
    <x v="1"/>
    <n v="138"/>
    <x v="1"/>
    <n v="2"/>
    <n v="3"/>
    <x v="2"/>
    <n v="1"/>
    <n v="2"/>
    <x v="0"/>
    <n v="37"/>
    <n v="3"/>
    <n v="2"/>
    <s v="Nurse"/>
    <n v="2"/>
    <s v="Poor"/>
    <x v="0"/>
    <n v="4425"/>
    <x v="1"/>
    <n v="15986"/>
    <n v="5"/>
    <s v="Y"/>
    <s v="No"/>
    <n v="11"/>
    <x v="0"/>
    <s v="Low Performance"/>
    <n v="4"/>
    <n v="80"/>
    <n v="0"/>
    <n v="10"/>
    <n v="5"/>
    <n v="3"/>
    <s v="Fair"/>
    <n v="6"/>
    <n v="2"/>
    <n v="1"/>
    <n v="2"/>
  </r>
  <r>
    <n v="1238447"/>
    <n v="42"/>
    <x v="0"/>
    <s v="No"/>
    <x v="0"/>
    <x v="2"/>
    <n v="926"/>
    <x v="1"/>
    <n v="21"/>
    <n v="2"/>
    <x v="2"/>
    <n v="1"/>
    <n v="3"/>
    <x v="0"/>
    <n v="36"/>
    <n v="3"/>
    <n v="2"/>
    <s v="Therapist"/>
    <n v="3"/>
    <s v="Fair"/>
    <x v="2"/>
    <n v="5265"/>
    <x v="0"/>
    <n v="16439"/>
    <n v="2"/>
    <s v="Y"/>
    <s v="No"/>
    <n v="16"/>
    <x v="0"/>
    <s v="Low Performance"/>
    <n v="2"/>
    <n v="80"/>
    <n v="1"/>
    <n v="11"/>
    <n v="5"/>
    <n v="3"/>
    <s v="Fair"/>
    <n v="5"/>
    <n v="3"/>
    <n v="0"/>
    <n v="2"/>
  </r>
  <r>
    <n v="1314186"/>
    <n v="38"/>
    <x v="0"/>
    <s v="No"/>
    <x v="0"/>
    <x v="0"/>
    <n v="1261"/>
    <x v="2"/>
    <n v="2"/>
    <n v="4"/>
    <x v="0"/>
    <n v="1"/>
    <n v="4"/>
    <x v="1"/>
    <n v="88"/>
    <n v="3"/>
    <n v="2"/>
    <s v="Therapist"/>
    <n v="3"/>
    <s v="Fair"/>
    <x v="1"/>
    <n v="6553"/>
    <x v="0"/>
    <n v="7259"/>
    <n v="9"/>
    <s v="Y"/>
    <s v="No"/>
    <n v="14"/>
    <x v="0"/>
    <s v="Low Performance"/>
    <n v="2"/>
    <n v="80"/>
    <n v="0"/>
    <n v="14"/>
    <n v="3"/>
    <n v="3"/>
    <s v="Fair"/>
    <n v="1"/>
    <n v="0"/>
    <n v="0"/>
    <n v="0"/>
  </r>
  <r>
    <n v="1416095"/>
    <n v="38"/>
    <x v="0"/>
    <s v="No"/>
    <x v="0"/>
    <x v="0"/>
    <n v="1084"/>
    <x v="1"/>
    <n v="29"/>
    <n v="3"/>
    <x v="4"/>
    <n v="1"/>
    <n v="4"/>
    <x v="1"/>
    <n v="54"/>
    <n v="3"/>
    <n v="2"/>
    <s v="Therapist"/>
    <n v="4"/>
    <s v="Good"/>
    <x v="1"/>
    <n v="6261"/>
    <x v="0"/>
    <n v="4185"/>
    <n v="3"/>
    <s v="Y"/>
    <s v="No"/>
    <n v="18"/>
    <x v="0"/>
    <s v="Low Performance"/>
    <n v="1"/>
    <n v="80"/>
    <n v="1"/>
    <n v="9"/>
    <n v="3"/>
    <n v="1"/>
    <s v="Poor"/>
    <n v="7"/>
    <n v="7"/>
    <n v="1"/>
    <n v="7"/>
  </r>
  <r>
    <n v="1572943"/>
    <n v="27"/>
    <x v="2"/>
    <s v="No"/>
    <x v="0"/>
    <x v="1"/>
    <n v="472"/>
    <x v="2"/>
    <n v="1"/>
    <n v="1"/>
    <x v="4"/>
    <n v="1"/>
    <n v="3"/>
    <x v="1"/>
    <n v="60"/>
    <n v="2"/>
    <n v="2"/>
    <s v="Therapist"/>
    <n v="1"/>
    <s v="Poor"/>
    <x v="1"/>
    <n v="4298"/>
    <x v="1"/>
    <n v="9679"/>
    <n v="5"/>
    <s v="Y"/>
    <s v="No"/>
    <n v="19"/>
    <x v="0"/>
    <s v="Low Performance"/>
    <n v="3"/>
    <n v="80"/>
    <n v="1"/>
    <n v="6"/>
    <n v="1"/>
    <n v="3"/>
    <s v="Fair"/>
    <n v="2"/>
    <n v="2"/>
    <n v="2"/>
    <n v="0"/>
  </r>
  <r>
    <n v="1285655"/>
    <n v="49"/>
    <x v="1"/>
    <s v="No"/>
    <x v="0"/>
    <x v="2"/>
    <n v="1002"/>
    <x v="1"/>
    <n v="18"/>
    <n v="4"/>
    <x v="0"/>
    <n v="1"/>
    <n v="4"/>
    <x v="1"/>
    <n v="92"/>
    <n v="3"/>
    <n v="2"/>
    <s v="Therapist"/>
    <n v="4"/>
    <s v="Good"/>
    <x v="2"/>
    <n v="6804"/>
    <x v="0"/>
    <n v="23793"/>
    <n v="1"/>
    <s v="Y"/>
    <s v="Yes"/>
    <n v="15"/>
    <x v="0"/>
    <s v="Low Performance"/>
    <n v="1"/>
    <n v="80"/>
    <n v="2"/>
    <n v="7"/>
    <n v="0"/>
    <n v="3"/>
    <s v="Fair"/>
    <n v="7"/>
    <n v="7"/>
    <n v="1"/>
    <n v="7"/>
  </r>
  <r>
    <n v="1620253"/>
    <n v="34"/>
    <x v="2"/>
    <s v="No"/>
    <x v="0"/>
    <x v="1"/>
    <n v="878"/>
    <x v="1"/>
    <n v="10"/>
    <n v="4"/>
    <x v="2"/>
    <n v="1"/>
    <n v="4"/>
    <x v="1"/>
    <n v="43"/>
    <n v="3"/>
    <n v="1"/>
    <s v="Other"/>
    <n v="3"/>
    <s v="Fair"/>
    <x v="2"/>
    <n v="3815"/>
    <x v="1"/>
    <n v="5972"/>
    <n v="1"/>
    <s v="Y"/>
    <s v="Yes"/>
    <n v="17"/>
    <x v="0"/>
    <s v="Low Performance"/>
    <n v="4"/>
    <n v="80"/>
    <n v="1"/>
    <n v="5"/>
    <n v="4"/>
    <n v="4"/>
    <s v="Good"/>
    <n v="5"/>
    <n v="3"/>
    <n v="2"/>
    <n v="0"/>
  </r>
  <r>
    <n v="1224749"/>
    <n v="40"/>
    <x v="0"/>
    <s v="No"/>
    <x v="0"/>
    <x v="0"/>
    <n v="905"/>
    <x v="1"/>
    <n v="19"/>
    <n v="2"/>
    <x v="2"/>
    <n v="1"/>
    <n v="3"/>
    <x v="1"/>
    <n v="99"/>
    <n v="3"/>
    <n v="2"/>
    <s v="Nurse"/>
    <n v="4"/>
    <s v="Good"/>
    <x v="1"/>
    <n v="2741"/>
    <x v="1"/>
    <n v="16523"/>
    <n v="8"/>
    <s v="Y"/>
    <s v="Yes"/>
    <n v="15"/>
    <x v="0"/>
    <s v="Low Performance"/>
    <n v="3"/>
    <n v="80"/>
    <n v="1"/>
    <n v="15"/>
    <n v="2"/>
    <n v="4"/>
    <s v="Good"/>
    <n v="7"/>
    <n v="2"/>
    <n v="3"/>
    <n v="7"/>
  </r>
  <r>
    <n v="1056367"/>
    <n v="38"/>
    <x v="0"/>
    <s v="Yes"/>
    <x v="1"/>
    <x v="0"/>
    <n v="1180"/>
    <x v="1"/>
    <n v="29"/>
    <n v="1"/>
    <x v="2"/>
    <n v="1"/>
    <n v="2"/>
    <x v="1"/>
    <n v="70"/>
    <n v="3"/>
    <n v="2"/>
    <s v="Nurse"/>
    <n v="1"/>
    <s v="Poor"/>
    <x v="1"/>
    <n v="6673"/>
    <x v="0"/>
    <n v="11354"/>
    <n v="7"/>
    <s v="Y"/>
    <s v="Yes"/>
    <n v="19"/>
    <x v="0"/>
    <s v="Low Performance"/>
    <n v="2"/>
    <n v="80"/>
    <n v="0"/>
    <n v="17"/>
    <n v="2"/>
    <n v="3"/>
    <s v="Fair"/>
    <n v="1"/>
    <n v="0"/>
    <n v="0"/>
    <n v="0"/>
  </r>
  <r>
    <n v="1446715"/>
    <n v="29"/>
    <x v="2"/>
    <s v="No"/>
    <x v="0"/>
    <x v="0"/>
    <n v="121"/>
    <x v="0"/>
    <n v="27"/>
    <n v="3"/>
    <x v="3"/>
    <n v="1"/>
    <n v="2"/>
    <x v="0"/>
    <n v="35"/>
    <n v="3"/>
    <n v="3"/>
    <s v="Nurse"/>
    <n v="4"/>
    <s v="Good"/>
    <x v="1"/>
    <n v="7639"/>
    <x v="0"/>
    <n v="24525"/>
    <n v="1"/>
    <s v="Y"/>
    <s v="No"/>
    <n v="22"/>
    <x v="1"/>
    <s v="High Performance"/>
    <n v="4"/>
    <n v="80"/>
    <n v="3"/>
    <n v="10"/>
    <n v="3"/>
    <n v="2"/>
    <s v="Poor"/>
    <n v="10"/>
    <n v="4"/>
    <n v="1"/>
    <n v="9"/>
  </r>
  <r>
    <n v="1872375"/>
    <n v="22"/>
    <x v="4"/>
    <s v="No"/>
    <x v="0"/>
    <x v="0"/>
    <n v="1136"/>
    <x v="1"/>
    <n v="5"/>
    <n v="3"/>
    <x v="0"/>
    <n v="1"/>
    <n v="4"/>
    <x v="1"/>
    <n v="60"/>
    <n v="4"/>
    <n v="1"/>
    <s v="Other"/>
    <n v="2"/>
    <s v="Poor"/>
    <x v="2"/>
    <n v="2328"/>
    <x v="1"/>
    <n v="12392"/>
    <n v="1"/>
    <s v="Y"/>
    <s v="Yes"/>
    <n v="16"/>
    <x v="0"/>
    <s v="Low Performance"/>
    <n v="1"/>
    <n v="80"/>
    <n v="1"/>
    <n v="4"/>
    <n v="2"/>
    <n v="2"/>
    <s v="Poor"/>
    <n v="4"/>
    <n v="2"/>
    <n v="2"/>
    <n v="2"/>
  </r>
  <r>
    <n v="1251693"/>
    <n v="36"/>
    <x v="0"/>
    <s v="No"/>
    <x v="0"/>
    <x v="1"/>
    <n v="635"/>
    <x v="1"/>
    <n v="18"/>
    <n v="1"/>
    <x v="2"/>
    <n v="1"/>
    <n v="2"/>
    <x v="0"/>
    <n v="73"/>
    <n v="3"/>
    <n v="1"/>
    <s v="Nurse"/>
    <n v="4"/>
    <s v="Good"/>
    <x v="0"/>
    <n v="2153"/>
    <x v="1"/>
    <n v="7703"/>
    <n v="1"/>
    <s v="Y"/>
    <s v="No"/>
    <n v="13"/>
    <x v="0"/>
    <s v="Low Performance"/>
    <n v="1"/>
    <n v="80"/>
    <n v="0"/>
    <n v="8"/>
    <n v="2"/>
    <n v="3"/>
    <s v="Fair"/>
    <n v="8"/>
    <n v="1"/>
    <n v="1"/>
    <n v="7"/>
  </r>
  <r>
    <n v="1474327"/>
    <n v="40"/>
    <x v="0"/>
    <s v="No"/>
    <x v="0"/>
    <x v="2"/>
    <n v="1151"/>
    <x v="1"/>
    <n v="9"/>
    <n v="5"/>
    <x v="0"/>
    <n v="1"/>
    <n v="4"/>
    <x v="1"/>
    <n v="63"/>
    <n v="2"/>
    <n v="2"/>
    <s v="Nurse"/>
    <n v="4"/>
    <s v="Good"/>
    <x v="1"/>
    <n v="4876"/>
    <x v="1"/>
    <n v="14242"/>
    <n v="9"/>
    <s v="Y"/>
    <s v="No"/>
    <n v="14"/>
    <x v="0"/>
    <s v="Low Performance"/>
    <n v="4"/>
    <n v="80"/>
    <n v="1"/>
    <n v="5"/>
    <n v="5"/>
    <n v="1"/>
    <s v="Poor"/>
    <n v="3"/>
    <n v="2"/>
    <n v="0"/>
    <n v="2"/>
  </r>
  <r>
    <n v="1721417"/>
    <n v="46"/>
    <x v="1"/>
    <s v="No"/>
    <x v="0"/>
    <x v="0"/>
    <n v="644"/>
    <x v="1"/>
    <n v="1"/>
    <n v="4"/>
    <x v="2"/>
    <n v="1"/>
    <n v="4"/>
    <x v="1"/>
    <n v="97"/>
    <n v="3"/>
    <n v="3"/>
    <s v="Nurse"/>
    <n v="1"/>
    <s v="Poor"/>
    <x v="2"/>
    <n v="9396"/>
    <x v="0"/>
    <n v="12368"/>
    <n v="7"/>
    <s v="Y"/>
    <s v="No"/>
    <n v="16"/>
    <x v="0"/>
    <s v="Low Performance"/>
    <n v="3"/>
    <n v="80"/>
    <n v="1"/>
    <n v="17"/>
    <n v="3"/>
    <n v="3"/>
    <s v="Fair"/>
    <n v="4"/>
    <n v="2"/>
    <n v="0"/>
    <n v="3"/>
  </r>
  <r>
    <n v="1723897"/>
    <n v="32"/>
    <x v="2"/>
    <s v="No"/>
    <x v="0"/>
    <x v="0"/>
    <n v="1045"/>
    <x v="0"/>
    <n v="4"/>
    <n v="4"/>
    <x v="2"/>
    <n v="1"/>
    <n v="4"/>
    <x v="1"/>
    <n v="32"/>
    <n v="1"/>
    <n v="3"/>
    <s v="Nurse"/>
    <n v="4"/>
    <s v="Good"/>
    <x v="1"/>
    <n v="10400"/>
    <x v="0"/>
    <n v="25812"/>
    <n v="1"/>
    <s v="Y"/>
    <s v="No"/>
    <n v="11"/>
    <x v="0"/>
    <s v="Low Performance"/>
    <n v="3"/>
    <n v="80"/>
    <n v="0"/>
    <n v="14"/>
    <n v="2"/>
    <n v="2"/>
    <s v="Poor"/>
    <n v="14"/>
    <n v="8"/>
    <n v="9"/>
    <n v="8"/>
  </r>
  <r>
    <n v="1847119"/>
    <n v="30"/>
    <x v="2"/>
    <s v="No"/>
    <x v="0"/>
    <x v="2"/>
    <n v="829"/>
    <x v="2"/>
    <n v="1"/>
    <n v="1"/>
    <x v="0"/>
    <n v="1"/>
    <n v="3"/>
    <x v="1"/>
    <n v="88"/>
    <n v="2"/>
    <n v="3"/>
    <s v="Therapist"/>
    <n v="3"/>
    <s v="Fair"/>
    <x v="0"/>
    <n v="8474"/>
    <x v="0"/>
    <n v="20925"/>
    <n v="1"/>
    <s v="Y"/>
    <s v="No"/>
    <n v="22"/>
    <x v="1"/>
    <s v="High Performance"/>
    <n v="3"/>
    <n v="80"/>
    <n v="0"/>
    <n v="12"/>
    <n v="2"/>
    <n v="3"/>
    <s v="Fair"/>
    <n v="11"/>
    <n v="8"/>
    <n v="5"/>
    <n v="8"/>
  </r>
  <r>
    <n v="1213142"/>
    <n v="27"/>
    <x v="2"/>
    <s v="No"/>
    <x v="0"/>
    <x v="1"/>
    <n v="1242"/>
    <x v="0"/>
    <n v="20"/>
    <n v="3"/>
    <x v="0"/>
    <n v="1"/>
    <n v="4"/>
    <x v="0"/>
    <n v="90"/>
    <n v="3"/>
    <n v="2"/>
    <s v="Nurse"/>
    <n v="3"/>
    <s v="Fair"/>
    <x v="0"/>
    <n v="9981"/>
    <x v="0"/>
    <n v="12916"/>
    <n v="1"/>
    <s v="Y"/>
    <s v="No"/>
    <n v="14"/>
    <x v="0"/>
    <s v="Low Performance"/>
    <n v="4"/>
    <n v="80"/>
    <n v="0"/>
    <n v="7"/>
    <n v="2"/>
    <n v="3"/>
    <s v="Fair"/>
    <n v="7"/>
    <n v="7"/>
    <n v="0"/>
    <n v="7"/>
  </r>
  <r>
    <n v="1155192"/>
    <n v="51"/>
    <x v="1"/>
    <s v="No"/>
    <x v="0"/>
    <x v="0"/>
    <n v="1469"/>
    <x v="2"/>
    <n v="8"/>
    <n v="4"/>
    <x v="0"/>
    <n v="1"/>
    <n v="2"/>
    <x v="1"/>
    <n v="81"/>
    <n v="2"/>
    <n v="3"/>
    <s v="Other"/>
    <n v="2"/>
    <s v="Poor"/>
    <x v="1"/>
    <n v="12490"/>
    <x v="2"/>
    <n v="15736"/>
    <n v="5"/>
    <s v="Y"/>
    <s v="No"/>
    <n v="16"/>
    <x v="0"/>
    <s v="Low Performance"/>
    <n v="4"/>
    <n v="80"/>
    <n v="2"/>
    <n v="16"/>
    <n v="5"/>
    <n v="1"/>
    <s v="Poor"/>
    <n v="10"/>
    <n v="9"/>
    <n v="4"/>
    <n v="7"/>
  </r>
  <r>
    <n v="1806025"/>
    <n v="30"/>
    <x v="2"/>
    <s v="Yes"/>
    <x v="1"/>
    <x v="0"/>
    <n v="1005"/>
    <x v="1"/>
    <n v="3"/>
    <n v="3"/>
    <x v="4"/>
    <n v="1"/>
    <n v="4"/>
    <x v="0"/>
    <n v="88"/>
    <n v="3"/>
    <n v="1"/>
    <s v="Other"/>
    <n v="1"/>
    <s v="Poor"/>
    <x v="0"/>
    <n v="2657"/>
    <x v="1"/>
    <n v="8556"/>
    <n v="5"/>
    <s v="Y"/>
    <s v="Yes"/>
    <n v="11"/>
    <x v="0"/>
    <s v="Low Performance"/>
    <n v="3"/>
    <n v="80"/>
    <n v="0"/>
    <n v="8"/>
    <n v="5"/>
    <n v="3"/>
    <s v="Fair"/>
    <n v="5"/>
    <n v="2"/>
    <n v="0"/>
    <n v="4"/>
  </r>
  <r>
    <n v="1296063"/>
    <n v="41"/>
    <x v="0"/>
    <s v="No"/>
    <x v="0"/>
    <x v="0"/>
    <n v="896"/>
    <x v="0"/>
    <n v="6"/>
    <n v="3"/>
    <x v="0"/>
    <n v="1"/>
    <n v="4"/>
    <x v="0"/>
    <n v="75"/>
    <n v="3"/>
    <n v="3"/>
    <s v="Administrative"/>
    <n v="4"/>
    <s v="Good"/>
    <x v="0"/>
    <n v="13591"/>
    <x v="2"/>
    <n v="14674"/>
    <n v="3"/>
    <s v="Y"/>
    <s v="Yes"/>
    <n v="18"/>
    <x v="0"/>
    <s v="Low Performance"/>
    <n v="3"/>
    <n v="80"/>
    <n v="0"/>
    <n v="16"/>
    <n v="3"/>
    <n v="3"/>
    <s v="Fair"/>
    <n v="1"/>
    <n v="0"/>
    <n v="0"/>
    <n v="0"/>
  </r>
  <r>
    <n v="1502689"/>
    <n v="30"/>
    <x v="2"/>
    <s v="Yes"/>
    <x v="1"/>
    <x v="1"/>
    <n v="334"/>
    <x v="0"/>
    <n v="26"/>
    <n v="4"/>
    <x v="3"/>
    <n v="1"/>
    <n v="3"/>
    <x v="0"/>
    <n v="52"/>
    <n v="2"/>
    <n v="2"/>
    <s v="Nurse"/>
    <n v="1"/>
    <s v="Poor"/>
    <x v="0"/>
    <n v="6696"/>
    <x v="0"/>
    <n v="22967"/>
    <n v="5"/>
    <s v="Y"/>
    <s v="No"/>
    <n v="15"/>
    <x v="0"/>
    <s v="Low Performance"/>
    <n v="3"/>
    <n v="80"/>
    <n v="0"/>
    <n v="9"/>
    <n v="5"/>
    <n v="2"/>
    <s v="Poor"/>
    <n v="6"/>
    <n v="3"/>
    <n v="0"/>
    <n v="1"/>
  </r>
  <r>
    <n v="1849547"/>
    <n v="29"/>
    <x v="2"/>
    <s v="No"/>
    <x v="0"/>
    <x v="0"/>
    <n v="992"/>
    <x v="1"/>
    <n v="1"/>
    <n v="3"/>
    <x v="4"/>
    <n v="1"/>
    <n v="3"/>
    <x v="1"/>
    <n v="85"/>
    <n v="3"/>
    <n v="1"/>
    <s v="Other"/>
    <n v="3"/>
    <s v="Fair"/>
    <x v="0"/>
    <n v="2058"/>
    <x v="1"/>
    <n v="19757"/>
    <n v="0"/>
    <s v="Y"/>
    <s v="No"/>
    <n v="14"/>
    <x v="0"/>
    <s v="Low Performance"/>
    <n v="4"/>
    <n v="80"/>
    <n v="0"/>
    <n v="7"/>
    <n v="1"/>
    <n v="2"/>
    <s v="Poor"/>
    <n v="6"/>
    <n v="2"/>
    <n v="1"/>
    <n v="5"/>
  </r>
  <r>
    <n v="1715116"/>
    <n v="45"/>
    <x v="0"/>
    <s v="No"/>
    <x v="0"/>
    <x v="2"/>
    <n v="1052"/>
    <x v="0"/>
    <n v="6"/>
    <n v="3"/>
    <x v="2"/>
    <n v="1"/>
    <n v="4"/>
    <x v="0"/>
    <n v="57"/>
    <n v="2"/>
    <n v="3"/>
    <s v="Nurse"/>
    <n v="4"/>
    <s v="Good"/>
    <x v="0"/>
    <n v="8865"/>
    <x v="0"/>
    <n v="16840"/>
    <n v="6"/>
    <s v="Y"/>
    <s v="No"/>
    <n v="12"/>
    <x v="0"/>
    <s v="Low Performance"/>
    <n v="4"/>
    <n v="80"/>
    <n v="0"/>
    <n v="23"/>
    <n v="2"/>
    <n v="3"/>
    <s v="Fair"/>
    <n v="19"/>
    <n v="7"/>
    <n v="12"/>
    <n v="8"/>
  </r>
  <r>
    <n v="1088447"/>
    <n v="54"/>
    <x v="1"/>
    <s v="No"/>
    <x v="0"/>
    <x v="0"/>
    <n v="1147"/>
    <x v="0"/>
    <n v="3"/>
    <n v="3"/>
    <x v="3"/>
    <n v="1"/>
    <n v="4"/>
    <x v="0"/>
    <n v="52"/>
    <n v="3"/>
    <n v="2"/>
    <s v="Nurse"/>
    <n v="1"/>
    <s v="Poor"/>
    <x v="1"/>
    <n v="5940"/>
    <x v="0"/>
    <n v="17011"/>
    <n v="2"/>
    <s v="Y"/>
    <s v="No"/>
    <n v="14"/>
    <x v="0"/>
    <s v="Low Performance"/>
    <n v="4"/>
    <n v="80"/>
    <n v="1"/>
    <n v="16"/>
    <n v="4"/>
    <n v="3"/>
    <s v="Fair"/>
    <n v="6"/>
    <n v="2"/>
    <n v="0"/>
    <n v="5"/>
  </r>
  <r>
    <n v="1408349"/>
    <n v="36"/>
    <x v="0"/>
    <s v="No"/>
    <x v="0"/>
    <x v="0"/>
    <n v="1396"/>
    <x v="1"/>
    <n v="5"/>
    <n v="2"/>
    <x v="0"/>
    <n v="1"/>
    <n v="4"/>
    <x v="1"/>
    <n v="62"/>
    <n v="3"/>
    <n v="2"/>
    <s v="Nurse"/>
    <n v="2"/>
    <s v="Poor"/>
    <x v="0"/>
    <n v="5914"/>
    <x v="0"/>
    <n v="9945"/>
    <n v="8"/>
    <s v="Y"/>
    <s v="No"/>
    <n v="16"/>
    <x v="0"/>
    <s v="Low Performance"/>
    <n v="4"/>
    <n v="80"/>
    <n v="0"/>
    <n v="16"/>
    <n v="3"/>
    <n v="4"/>
    <s v="Good"/>
    <n v="13"/>
    <n v="11"/>
    <n v="3"/>
    <n v="7"/>
  </r>
  <r>
    <n v="1291194"/>
    <n v="33"/>
    <x v="2"/>
    <s v="No"/>
    <x v="0"/>
    <x v="0"/>
    <n v="147"/>
    <x v="1"/>
    <n v="4"/>
    <n v="4"/>
    <x v="2"/>
    <n v="1"/>
    <n v="3"/>
    <x v="0"/>
    <n v="47"/>
    <n v="2"/>
    <n v="1"/>
    <s v="Other"/>
    <n v="2"/>
    <s v="Poor"/>
    <x v="1"/>
    <n v="2622"/>
    <x v="1"/>
    <n v="13248"/>
    <n v="6"/>
    <s v="Y"/>
    <s v="No"/>
    <n v="21"/>
    <x v="1"/>
    <s v="High Performance"/>
    <n v="4"/>
    <n v="80"/>
    <n v="0"/>
    <n v="7"/>
    <n v="3"/>
    <n v="3"/>
    <s v="Fair"/>
    <n v="3"/>
    <n v="2"/>
    <n v="1"/>
    <n v="1"/>
  </r>
  <r>
    <n v="1699240"/>
    <n v="37"/>
    <x v="0"/>
    <s v="No"/>
    <x v="0"/>
    <x v="1"/>
    <n v="663"/>
    <x v="2"/>
    <n v="11"/>
    <n v="3"/>
    <x v="1"/>
    <n v="1"/>
    <n v="2"/>
    <x v="1"/>
    <n v="47"/>
    <n v="3"/>
    <n v="3"/>
    <s v="Other"/>
    <n v="4"/>
    <s v="Good"/>
    <x v="2"/>
    <n v="12185"/>
    <x v="2"/>
    <n v="10056"/>
    <n v="1"/>
    <s v="Y"/>
    <s v="Yes"/>
    <n v="14"/>
    <x v="0"/>
    <s v="Low Performance"/>
    <n v="3"/>
    <n v="80"/>
    <n v="3"/>
    <n v="10"/>
    <n v="1"/>
    <n v="3"/>
    <s v="Fair"/>
    <n v="10"/>
    <n v="8"/>
    <n v="0"/>
    <n v="7"/>
  </r>
  <r>
    <n v="1059303"/>
    <n v="38"/>
    <x v="0"/>
    <s v="No"/>
    <x v="0"/>
    <x v="0"/>
    <n v="119"/>
    <x v="0"/>
    <n v="3"/>
    <n v="3"/>
    <x v="0"/>
    <n v="1"/>
    <n v="1"/>
    <x v="1"/>
    <n v="76"/>
    <n v="3"/>
    <n v="3"/>
    <s v="Nurse"/>
    <n v="3"/>
    <s v="Fair"/>
    <x v="2"/>
    <n v="10609"/>
    <x v="0"/>
    <n v="9647"/>
    <n v="0"/>
    <s v="Y"/>
    <s v="No"/>
    <n v="12"/>
    <x v="0"/>
    <s v="Low Performance"/>
    <n v="3"/>
    <n v="80"/>
    <n v="2"/>
    <n v="17"/>
    <n v="6"/>
    <n v="2"/>
    <s v="Poor"/>
    <n v="16"/>
    <n v="10"/>
    <n v="5"/>
    <n v="13"/>
  </r>
  <r>
    <n v="1530760"/>
    <n v="31"/>
    <x v="2"/>
    <s v="No"/>
    <x v="0"/>
    <x v="2"/>
    <n v="979"/>
    <x v="2"/>
    <n v="1"/>
    <n v="4"/>
    <x v="2"/>
    <n v="1"/>
    <n v="3"/>
    <x v="1"/>
    <n v="90"/>
    <n v="1"/>
    <n v="2"/>
    <s v="Therapist"/>
    <n v="3"/>
    <s v="Fair"/>
    <x v="1"/>
    <n v="4345"/>
    <x v="1"/>
    <n v="4381"/>
    <n v="0"/>
    <s v="Y"/>
    <s v="No"/>
    <n v="12"/>
    <x v="0"/>
    <s v="Low Performance"/>
    <n v="4"/>
    <n v="80"/>
    <n v="1"/>
    <n v="6"/>
    <n v="2"/>
    <n v="3"/>
    <s v="Fair"/>
    <n v="5"/>
    <n v="4"/>
    <n v="1"/>
    <n v="4"/>
  </r>
  <r>
    <n v="1187985"/>
    <n v="59"/>
    <x v="3"/>
    <s v="No"/>
    <x v="0"/>
    <x v="0"/>
    <n v="142"/>
    <x v="1"/>
    <n v="3"/>
    <n v="3"/>
    <x v="0"/>
    <n v="1"/>
    <n v="3"/>
    <x v="1"/>
    <n v="70"/>
    <n v="2"/>
    <n v="1"/>
    <s v="Other"/>
    <n v="4"/>
    <s v="Good"/>
    <x v="1"/>
    <n v="2177"/>
    <x v="1"/>
    <n v="8456"/>
    <n v="3"/>
    <s v="Y"/>
    <s v="No"/>
    <n v="17"/>
    <x v="0"/>
    <s v="Low Performance"/>
    <n v="1"/>
    <n v="80"/>
    <n v="1"/>
    <n v="7"/>
    <n v="6"/>
    <n v="3"/>
    <s v="Fair"/>
    <n v="1"/>
    <n v="0"/>
    <n v="0"/>
    <n v="0"/>
  </r>
  <r>
    <n v="1721312"/>
    <n v="37"/>
    <x v="0"/>
    <s v="No"/>
    <x v="0"/>
    <x v="1"/>
    <n v="319"/>
    <x v="0"/>
    <n v="4"/>
    <n v="4"/>
    <x v="3"/>
    <n v="1"/>
    <n v="1"/>
    <x v="1"/>
    <n v="41"/>
    <n v="3"/>
    <n v="1"/>
    <s v="Other"/>
    <n v="4"/>
    <s v="Good"/>
    <x v="2"/>
    <n v="2793"/>
    <x v="1"/>
    <n v="2539"/>
    <n v="4"/>
    <s v="Y"/>
    <s v="No"/>
    <n v="17"/>
    <x v="0"/>
    <s v="Low Performance"/>
    <n v="3"/>
    <n v="80"/>
    <n v="1"/>
    <n v="13"/>
    <n v="2"/>
    <n v="3"/>
    <s v="Fair"/>
    <n v="9"/>
    <n v="8"/>
    <n v="5"/>
    <n v="8"/>
  </r>
  <r>
    <n v="1129392"/>
    <n v="29"/>
    <x v="2"/>
    <s v="No"/>
    <x v="0"/>
    <x v="1"/>
    <n v="1413"/>
    <x v="0"/>
    <n v="1"/>
    <n v="1"/>
    <x v="2"/>
    <n v="1"/>
    <n v="2"/>
    <x v="0"/>
    <n v="42"/>
    <n v="3"/>
    <n v="3"/>
    <s v="Nurse"/>
    <n v="4"/>
    <s v="Good"/>
    <x v="1"/>
    <n v="7918"/>
    <x v="0"/>
    <n v="6599"/>
    <n v="1"/>
    <s v="Y"/>
    <s v="No"/>
    <n v="14"/>
    <x v="0"/>
    <s v="Low Performance"/>
    <n v="4"/>
    <n v="80"/>
    <n v="1"/>
    <n v="11"/>
    <n v="5"/>
    <n v="3"/>
    <s v="Fair"/>
    <n v="11"/>
    <n v="10"/>
    <n v="4"/>
    <n v="1"/>
  </r>
  <r>
    <n v="1278690"/>
    <n v="35"/>
    <x v="2"/>
    <s v="No"/>
    <x v="0"/>
    <x v="1"/>
    <n v="944"/>
    <x v="0"/>
    <n v="1"/>
    <n v="3"/>
    <x v="3"/>
    <n v="1"/>
    <n v="3"/>
    <x v="0"/>
    <n v="92"/>
    <n v="3"/>
    <n v="3"/>
    <s v="Nurse"/>
    <n v="3"/>
    <s v="Fair"/>
    <x v="0"/>
    <n v="8789"/>
    <x v="0"/>
    <n v="9096"/>
    <n v="1"/>
    <s v="Y"/>
    <s v="No"/>
    <n v="14"/>
    <x v="0"/>
    <s v="Low Performance"/>
    <n v="1"/>
    <n v="80"/>
    <n v="0"/>
    <n v="10"/>
    <n v="3"/>
    <n v="4"/>
    <s v="Good"/>
    <n v="10"/>
    <n v="7"/>
    <n v="0"/>
    <n v="8"/>
  </r>
  <r>
    <n v="1118323"/>
    <n v="29"/>
    <x v="2"/>
    <s v="Yes"/>
    <x v="1"/>
    <x v="0"/>
    <n v="896"/>
    <x v="1"/>
    <n v="18"/>
    <n v="1"/>
    <x v="2"/>
    <n v="1"/>
    <n v="3"/>
    <x v="1"/>
    <n v="86"/>
    <n v="2"/>
    <n v="1"/>
    <s v="Other"/>
    <n v="4"/>
    <s v="Good"/>
    <x v="0"/>
    <n v="2389"/>
    <x v="1"/>
    <n v="14961"/>
    <n v="1"/>
    <s v="Y"/>
    <s v="Yes"/>
    <n v="13"/>
    <x v="0"/>
    <s v="Low Performance"/>
    <n v="3"/>
    <n v="80"/>
    <n v="0"/>
    <n v="4"/>
    <n v="3"/>
    <n v="2"/>
    <s v="Poor"/>
    <n v="4"/>
    <n v="3"/>
    <n v="0"/>
    <n v="1"/>
  </r>
  <r>
    <n v="1709918"/>
    <n v="52"/>
    <x v="1"/>
    <s v="No"/>
    <x v="0"/>
    <x v="0"/>
    <n v="1323"/>
    <x v="1"/>
    <n v="2"/>
    <n v="3"/>
    <x v="0"/>
    <n v="1"/>
    <n v="3"/>
    <x v="0"/>
    <n v="89"/>
    <n v="2"/>
    <n v="1"/>
    <s v="Nurse"/>
    <n v="4"/>
    <s v="Good"/>
    <x v="0"/>
    <n v="3212"/>
    <x v="1"/>
    <n v="3300"/>
    <n v="7"/>
    <s v="Y"/>
    <s v="No"/>
    <n v="15"/>
    <x v="0"/>
    <s v="Low Performance"/>
    <n v="2"/>
    <n v="80"/>
    <n v="0"/>
    <n v="6"/>
    <n v="3"/>
    <n v="2"/>
    <s v="Poor"/>
    <n v="2"/>
    <n v="2"/>
    <n v="2"/>
    <n v="2"/>
  </r>
  <r>
    <n v="1470356"/>
    <n v="42"/>
    <x v="0"/>
    <s v="No"/>
    <x v="0"/>
    <x v="0"/>
    <n v="532"/>
    <x v="2"/>
    <n v="4"/>
    <n v="2"/>
    <x v="4"/>
    <n v="1"/>
    <n v="3"/>
    <x v="1"/>
    <n v="58"/>
    <n v="3"/>
    <n v="5"/>
    <s v="Other"/>
    <n v="4"/>
    <s v="Good"/>
    <x v="1"/>
    <n v="19232"/>
    <x v="2"/>
    <n v="4933"/>
    <n v="1"/>
    <s v="Y"/>
    <s v="No"/>
    <n v="11"/>
    <x v="0"/>
    <s v="Low Performance"/>
    <n v="4"/>
    <n v="80"/>
    <n v="0"/>
    <n v="22"/>
    <n v="3"/>
    <n v="3"/>
    <s v="Fair"/>
    <n v="22"/>
    <n v="17"/>
    <n v="11"/>
    <n v="15"/>
  </r>
  <r>
    <n v="1128374"/>
    <n v="59"/>
    <x v="3"/>
    <s v="No"/>
    <x v="0"/>
    <x v="0"/>
    <n v="818"/>
    <x v="2"/>
    <n v="6"/>
    <n v="2"/>
    <x v="2"/>
    <n v="1"/>
    <n v="2"/>
    <x v="1"/>
    <n v="52"/>
    <n v="3"/>
    <n v="1"/>
    <s v="Other"/>
    <n v="3"/>
    <s v="Fair"/>
    <x v="1"/>
    <n v="2267"/>
    <x v="1"/>
    <n v="25657"/>
    <n v="8"/>
    <s v="Y"/>
    <s v="No"/>
    <n v="17"/>
    <x v="0"/>
    <s v="Low Performance"/>
    <n v="4"/>
    <n v="80"/>
    <n v="0"/>
    <n v="7"/>
    <n v="2"/>
    <n v="2"/>
    <s v="Poor"/>
    <n v="2"/>
    <n v="2"/>
    <n v="2"/>
    <n v="2"/>
  </r>
  <r>
    <n v="1508741"/>
    <n v="50"/>
    <x v="1"/>
    <s v="No"/>
    <x v="0"/>
    <x v="0"/>
    <n v="854"/>
    <x v="0"/>
    <n v="1"/>
    <n v="4"/>
    <x v="2"/>
    <n v="1"/>
    <n v="4"/>
    <x v="0"/>
    <n v="68"/>
    <n v="3"/>
    <n v="5"/>
    <s v="Administrative"/>
    <n v="4"/>
    <s v="Good"/>
    <x v="2"/>
    <n v="19517"/>
    <x v="2"/>
    <n v="24118"/>
    <n v="3"/>
    <s v="Y"/>
    <s v="No"/>
    <n v="11"/>
    <x v="0"/>
    <s v="Low Performance"/>
    <n v="3"/>
    <n v="80"/>
    <n v="1"/>
    <n v="32"/>
    <n v="3"/>
    <n v="2"/>
    <s v="Poor"/>
    <n v="7"/>
    <n v="0"/>
    <n v="0"/>
    <n v="6"/>
  </r>
  <r>
    <n v="1598911"/>
    <n v="33"/>
    <x v="2"/>
    <s v="Yes"/>
    <x v="1"/>
    <x v="0"/>
    <n v="813"/>
    <x v="1"/>
    <n v="14"/>
    <n v="3"/>
    <x v="2"/>
    <n v="1"/>
    <n v="3"/>
    <x v="1"/>
    <n v="58"/>
    <n v="3"/>
    <n v="1"/>
    <s v="Nurse"/>
    <n v="4"/>
    <s v="Good"/>
    <x v="1"/>
    <n v="2436"/>
    <x v="1"/>
    <n v="22149"/>
    <n v="5"/>
    <s v="Y"/>
    <s v="Yes"/>
    <n v="13"/>
    <x v="0"/>
    <s v="Low Performance"/>
    <n v="3"/>
    <n v="80"/>
    <n v="1"/>
    <n v="8"/>
    <n v="2"/>
    <n v="1"/>
    <s v="Poor"/>
    <n v="5"/>
    <n v="4"/>
    <n v="0"/>
    <n v="4"/>
  </r>
  <r>
    <n v="1177110"/>
    <n v="43"/>
    <x v="0"/>
    <s v="No"/>
    <x v="0"/>
    <x v="0"/>
    <n v="1034"/>
    <x v="0"/>
    <n v="16"/>
    <n v="3"/>
    <x v="3"/>
    <n v="1"/>
    <n v="4"/>
    <x v="0"/>
    <n v="80"/>
    <n v="3"/>
    <n v="4"/>
    <s v="Administrative"/>
    <n v="4"/>
    <s v="Good"/>
    <x v="1"/>
    <n v="16064"/>
    <x v="2"/>
    <n v="7744"/>
    <n v="5"/>
    <s v="Y"/>
    <s v="Yes"/>
    <n v="22"/>
    <x v="1"/>
    <s v="High Performance"/>
    <n v="3"/>
    <n v="80"/>
    <n v="1"/>
    <n v="22"/>
    <n v="3"/>
    <n v="3"/>
    <s v="Fair"/>
    <n v="17"/>
    <n v="13"/>
    <n v="1"/>
    <n v="9"/>
  </r>
  <r>
    <n v="1484656"/>
    <n v="33"/>
    <x v="2"/>
    <s v="Yes"/>
    <x v="1"/>
    <x v="0"/>
    <n v="465"/>
    <x v="1"/>
    <n v="2"/>
    <n v="2"/>
    <x v="0"/>
    <n v="1"/>
    <n v="1"/>
    <x v="0"/>
    <n v="39"/>
    <n v="3"/>
    <n v="1"/>
    <s v="Nurse"/>
    <n v="1"/>
    <s v="Poor"/>
    <x v="1"/>
    <n v="2707"/>
    <x v="1"/>
    <n v="21509"/>
    <n v="7"/>
    <s v="Y"/>
    <s v="No"/>
    <n v="20"/>
    <x v="1"/>
    <s v="High Performance"/>
    <n v="1"/>
    <n v="80"/>
    <n v="0"/>
    <n v="13"/>
    <n v="3"/>
    <n v="4"/>
    <s v="Good"/>
    <n v="9"/>
    <n v="7"/>
    <n v="1"/>
    <n v="7"/>
  </r>
  <r>
    <n v="1693414"/>
    <n v="52"/>
    <x v="1"/>
    <s v="No"/>
    <x v="0"/>
    <x v="2"/>
    <n v="771"/>
    <x v="0"/>
    <n v="2"/>
    <n v="4"/>
    <x v="0"/>
    <n v="1"/>
    <n v="1"/>
    <x v="1"/>
    <n v="79"/>
    <n v="2"/>
    <n v="5"/>
    <s v="Administrative"/>
    <n v="3"/>
    <s v="Fair"/>
    <x v="0"/>
    <n v="19068"/>
    <x v="2"/>
    <n v="21030"/>
    <n v="1"/>
    <s v="Y"/>
    <s v="Yes"/>
    <n v="18"/>
    <x v="0"/>
    <s v="Low Performance"/>
    <n v="4"/>
    <n v="80"/>
    <n v="0"/>
    <n v="33"/>
    <n v="2"/>
    <n v="4"/>
    <s v="Good"/>
    <n v="33"/>
    <n v="7"/>
    <n v="15"/>
    <n v="12"/>
  </r>
  <r>
    <n v="1806233"/>
    <n v="32"/>
    <x v="2"/>
    <s v="No"/>
    <x v="0"/>
    <x v="0"/>
    <n v="1401"/>
    <x v="0"/>
    <n v="4"/>
    <n v="2"/>
    <x v="0"/>
    <n v="1"/>
    <n v="3"/>
    <x v="0"/>
    <n v="56"/>
    <n v="3"/>
    <n v="1"/>
    <s v="Other"/>
    <n v="2"/>
    <s v="Poor"/>
    <x v="1"/>
    <n v="3931"/>
    <x v="1"/>
    <n v="20990"/>
    <n v="2"/>
    <s v="Y"/>
    <s v="No"/>
    <n v="11"/>
    <x v="0"/>
    <s v="Low Performance"/>
    <n v="1"/>
    <n v="80"/>
    <n v="1"/>
    <n v="6"/>
    <n v="5"/>
    <n v="3"/>
    <s v="Fair"/>
    <n v="4"/>
    <n v="3"/>
    <n v="1"/>
    <n v="2"/>
  </r>
  <r>
    <n v="1127107"/>
    <n v="32"/>
    <x v="2"/>
    <s v="Yes"/>
    <x v="1"/>
    <x v="0"/>
    <n v="515"/>
    <x v="1"/>
    <n v="1"/>
    <n v="3"/>
    <x v="0"/>
    <n v="1"/>
    <n v="4"/>
    <x v="1"/>
    <n v="62"/>
    <n v="2"/>
    <n v="1"/>
    <s v="Nurse"/>
    <n v="3"/>
    <s v="Fair"/>
    <x v="0"/>
    <n v="3730"/>
    <x v="1"/>
    <n v="9571"/>
    <n v="0"/>
    <s v="Y"/>
    <s v="Yes"/>
    <n v="14"/>
    <x v="0"/>
    <s v="Low Performance"/>
    <n v="4"/>
    <n v="80"/>
    <n v="0"/>
    <n v="4"/>
    <n v="2"/>
    <n v="1"/>
    <s v="Poor"/>
    <n v="3"/>
    <n v="2"/>
    <n v="1"/>
    <n v="2"/>
  </r>
  <r>
    <n v="1548210"/>
    <n v="39"/>
    <x v="0"/>
    <s v="No"/>
    <x v="0"/>
    <x v="0"/>
    <n v="1431"/>
    <x v="1"/>
    <n v="1"/>
    <n v="4"/>
    <x v="2"/>
    <n v="1"/>
    <n v="3"/>
    <x v="0"/>
    <n v="96"/>
    <n v="3"/>
    <n v="1"/>
    <s v="Nurse"/>
    <n v="3"/>
    <s v="Fair"/>
    <x v="2"/>
    <n v="2232"/>
    <x v="1"/>
    <n v="15417"/>
    <n v="7"/>
    <s v="Y"/>
    <s v="No"/>
    <n v="14"/>
    <x v="0"/>
    <s v="Low Performance"/>
    <n v="3"/>
    <n v="80"/>
    <n v="3"/>
    <n v="7"/>
    <n v="1"/>
    <n v="3"/>
    <s v="Fair"/>
    <n v="3"/>
    <n v="2"/>
    <n v="1"/>
    <n v="2"/>
  </r>
  <r>
    <n v="1857248"/>
    <n v="32"/>
    <x v="2"/>
    <s v="No"/>
    <x v="0"/>
    <x v="2"/>
    <n v="976"/>
    <x v="0"/>
    <n v="26"/>
    <n v="4"/>
    <x v="3"/>
    <n v="1"/>
    <n v="3"/>
    <x v="1"/>
    <n v="100"/>
    <n v="3"/>
    <n v="2"/>
    <s v="Nurse"/>
    <n v="4"/>
    <s v="Good"/>
    <x v="1"/>
    <n v="4465"/>
    <x v="1"/>
    <n v="12069"/>
    <n v="0"/>
    <s v="Y"/>
    <s v="No"/>
    <n v="18"/>
    <x v="0"/>
    <s v="Low Performance"/>
    <n v="1"/>
    <n v="80"/>
    <n v="0"/>
    <n v="4"/>
    <n v="2"/>
    <n v="3"/>
    <s v="Fair"/>
    <n v="3"/>
    <n v="2"/>
    <n v="2"/>
    <n v="2"/>
  </r>
  <r>
    <n v="1491722"/>
    <n v="41"/>
    <x v="0"/>
    <s v="No"/>
    <x v="0"/>
    <x v="0"/>
    <n v="1411"/>
    <x v="1"/>
    <n v="19"/>
    <n v="2"/>
    <x v="0"/>
    <n v="1"/>
    <n v="3"/>
    <x v="1"/>
    <n v="36"/>
    <n v="3"/>
    <n v="2"/>
    <s v="Other"/>
    <n v="1"/>
    <s v="Poor"/>
    <x v="2"/>
    <n v="3072"/>
    <x v="1"/>
    <n v="19877"/>
    <n v="2"/>
    <s v="Y"/>
    <s v="No"/>
    <n v="16"/>
    <x v="0"/>
    <s v="Low Performance"/>
    <n v="1"/>
    <n v="80"/>
    <n v="2"/>
    <n v="17"/>
    <n v="2"/>
    <n v="2"/>
    <s v="Poor"/>
    <n v="1"/>
    <n v="0"/>
    <n v="0"/>
    <n v="0"/>
  </r>
  <r>
    <n v="1548175"/>
    <n v="40"/>
    <x v="0"/>
    <s v="No"/>
    <x v="0"/>
    <x v="0"/>
    <n v="1300"/>
    <x v="1"/>
    <n v="24"/>
    <n v="2"/>
    <x v="4"/>
    <n v="1"/>
    <n v="1"/>
    <x v="1"/>
    <n v="62"/>
    <n v="3"/>
    <n v="2"/>
    <s v="Other"/>
    <n v="4"/>
    <s v="Good"/>
    <x v="2"/>
    <n v="3319"/>
    <x v="1"/>
    <n v="24447"/>
    <n v="1"/>
    <s v="Y"/>
    <s v="No"/>
    <n v="17"/>
    <x v="0"/>
    <s v="Low Performance"/>
    <n v="1"/>
    <n v="80"/>
    <n v="2"/>
    <n v="9"/>
    <n v="3"/>
    <n v="3"/>
    <s v="Fair"/>
    <n v="9"/>
    <n v="8"/>
    <n v="4"/>
    <n v="7"/>
  </r>
  <r>
    <n v="1197716"/>
    <n v="45"/>
    <x v="0"/>
    <s v="No"/>
    <x v="0"/>
    <x v="0"/>
    <n v="252"/>
    <x v="2"/>
    <n v="1"/>
    <n v="3"/>
    <x v="1"/>
    <n v="1"/>
    <n v="3"/>
    <x v="1"/>
    <n v="70"/>
    <n v="4"/>
    <n v="5"/>
    <s v="Other"/>
    <n v="4"/>
    <s v="Good"/>
    <x v="1"/>
    <n v="19202"/>
    <x v="2"/>
    <n v="15970"/>
    <n v="0"/>
    <s v="Y"/>
    <s v="No"/>
    <n v="11"/>
    <x v="0"/>
    <s v="Low Performance"/>
    <n v="3"/>
    <n v="80"/>
    <n v="1"/>
    <n v="25"/>
    <n v="2"/>
    <n v="3"/>
    <s v="Fair"/>
    <n v="24"/>
    <n v="0"/>
    <n v="1"/>
    <n v="7"/>
  </r>
  <r>
    <n v="1275604"/>
    <n v="31"/>
    <x v="2"/>
    <s v="No"/>
    <x v="0"/>
    <x v="1"/>
    <n v="1327"/>
    <x v="2"/>
    <n v="3"/>
    <n v="4"/>
    <x v="2"/>
    <n v="1"/>
    <n v="2"/>
    <x v="1"/>
    <n v="73"/>
    <n v="3"/>
    <n v="3"/>
    <s v="Other"/>
    <n v="3"/>
    <s v="Fair"/>
    <x v="2"/>
    <n v="13675"/>
    <x v="2"/>
    <n v="13523"/>
    <n v="9"/>
    <s v="Y"/>
    <s v="No"/>
    <n v="12"/>
    <x v="0"/>
    <s v="Low Performance"/>
    <n v="1"/>
    <n v="80"/>
    <n v="1"/>
    <n v="9"/>
    <n v="3"/>
    <n v="3"/>
    <s v="Fair"/>
    <n v="2"/>
    <n v="2"/>
    <n v="2"/>
    <n v="2"/>
  </r>
  <r>
    <n v="1632856"/>
    <n v="33"/>
    <x v="2"/>
    <s v="No"/>
    <x v="0"/>
    <x v="0"/>
    <n v="832"/>
    <x v="1"/>
    <n v="5"/>
    <n v="4"/>
    <x v="0"/>
    <n v="1"/>
    <n v="3"/>
    <x v="0"/>
    <n v="63"/>
    <n v="2"/>
    <n v="1"/>
    <s v="Other"/>
    <n v="4"/>
    <s v="Good"/>
    <x v="1"/>
    <n v="2911"/>
    <x v="1"/>
    <n v="14776"/>
    <n v="1"/>
    <s v="Y"/>
    <s v="No"/>
    <n v="13"/>
    <x v="0"/>
    <s v="Low Performance"/>
    <n v="3"/>
    <n v="80"/>
    <n v="1"/>
    <n v="2"/>
    <n v="2"/>
    <n v="2"/>
    <s v="Poor"/>
    <n v="2"/>
    <n v="2"/>
    <n v="0"/>
    <n v="2"/>
  </r>
  <r>
    <n v="1874724"/>
    <n v="34"/>
    <x v="2"/>
    <s v="No"/>
    <x v="0"/>
    <x v="0"/>
    <n v="470"/>
    <x v="2"/>
    <n v="2"/>
    <n v="4"/>
    <x v="0"/>
    <n v="1"/>
    <n v="4"/>
    <x v="1"/>
    <n v="84"/>
    <n v="2"/>
    <n v="2"/>
    <s v="Therapist"/>
    <n v="1"/>
    <s v="Poor"/>
    <x v="1"/>
    <n v="5957"/>
    <x v="0"/>
    <n v="23687"/>
    <n v="6"/>
    <s v="Y"/>
    <s v="No"/>
    <n v="13"/>
    <x v="0"/>
    <s v="Low Performance"/>
    <n v="2"/>
    <n v="80"/>
    <n v="1"/>
    <n v="13"/>
    <n v="3"/>
    <n v="3"/>
    <s v="Fair"/>
    <n v="11"/>
    <n v="9"/>
    <n v="5"/>
    <n v="9"/>
  </r>
  <r>
    <n v="1133458"/>
    <n v="37"/>
    <x v="0"/>
    <s v="No"/>
    <x v="0"/>
    <x v="0"/>
    <n v="1017"/>
    <x v="1"/>
    <n v="1"/>
    <n v="2"/>
    <x v="2"/>
    <n v="1"/>
    <n v="3"/>
    <x v="0"/>
    <n v="83"/>
    <n v="2"/>
    <n v="1"/>
    <s v="Other"/>
    <n v="1"/>
    <s v="Poor"/>
    <x v="1"/>
    <n v="3920"/>
    <x v="1"/>
    <n v="18697"/>
    <n v="2"/>
    <s v="Y"/>
    <s v="No"/>
    <n v="14"/>
    <x v="0"/>
    <s v="Low Performance"/>
    <n v="1"/>
    <n v="80"/>
    <n v="1"/>
    <n v="17"/>
    <n v="2"/>
    <n v="2"/>
    <s v="Poor"/>
    <n v="3"/>
    <n v="1"/>
    <n v="0"/>
    <n v="2"/>
  </r>
  <r>
    <n v="1213490"/>
    <n v="45"/>
    <x v="0"/>
    <s v="No"/>
    <x v="0"/>
    <x v="1"/>
    <n v="1199"/>
    <x v="2"/>
    <n v="7"/>
    <n v="4"/>
    <x v="0"/>
    <n v="1"/>
    <n v="1"/>
    <x v="1"/>
    <n v="77"/>
    <n v="4"/>
    <n v="2"/>
    <s v="Therapist"/>
    <n v="3"/>
    <s v="Fair"/>
    <x v="1"/>
    <n v="6434"/>
    <x v="0"/>
    <n v="5118"/>
    <n v="4"/>
    <s v="Y"/>
    <s v="No"/>
    <n v="17"/>
    <x v="0"/>
    <s v="Low Performance"/>
    <n v="4"/>
    <n v="80"/>
    <n v="1"/>
    <n v="9"/>
    <n v="1"/>
    <n v="3"/>
    <s v="Fair"/>
    <n v="3"/>
    <n v="2"/>
    <n v="0"/>
    <n v="2"/>
  </r>
  <r>
    <n v="1440072"/>
    <n v="37"/>
    <x v="0"/>
    <s v="No"/>
    <x v="0"/>
    <x v="1"/>
    <n v="504"/>
    <x v="1"/>
    <n v="10"/>
    <n v="3"/>
    <x v="2"/>
    <n v="1"/>
    <n v="1"/>
    <x v="1"/>
    <n v="61"/>
    <n v="3"/>
    <n v="3"/>
    <s v="Therapist"/>
    <n v="3"/>
    <s v="Fair"/>
    <x v="2"/>
    <n v="10048"/>
    <x v="0"/>
    <n v="22573"/>
    <n v="6"/>
    <s v="Y"/>
    <s v="No"/>
    <n v="11"/>
    <x v="0"/>
    <s v="Low Performance"/>
    <n v="2"/>
    <n v="80"/>
    <n v="2"/>
    <n v="17"/>
    <n v="5"/>
    <n v="3"/>
    <s v="Fair"/>
    <n v="1"/>
    <n v="0"/>
    <n v="0"/>
    <n v="0"/>
  </r>
  <r>
    <n v="1492815"/>
    <n v="39"/>
    <x v="0"/>
    <s v="No"/>
    <x v="0"/>
    <x v="1"/>
    <n v="505"/>
    <x v="1"/>
    <n v="2"/>
    <n v="4"/>
    <x v="4"/>
    <n v="1"/>
    <n v="3"/>
    <x v="0"/>
    <n v="64"/>
    <n v="3"/>
    <n v="3"/>
    <s v="Nurse"/>
    <n v="3"/>
    <s v="Fair"/>
    <x v="0"/>
    <n v="10938"/>
    <x v="0"/>
    <n v="6420"/>
    <n v="0"/>
    <s v="Y"/>
    <s v="No"/>
    <n v="25"/>
    <x v="1"/>
    <s v="High Performance"/>
    <n v="4"/>
    <n v="80"/>
    <n v="0"/>
    <n v="20"/>
    <n v="1"/>
    <n v="3"/>
    <s v="Fair"/>
    <n v="19"/>
    <n v="6"/>
    <n v="11"/>
    <n v="8"/>
  </r>
  <r>
    <n v="1322829"/>
    <n v="29"/>
    <x v="2"/>
    <s v="No"/>
    <x v="0"/>
    <x v="0"/>
    <n v="665"/>
    <x v="1"/>
    <n v="15"/>
    <n v="3"/>
    <x v="0"/>
    <n v="1"/>
    <n v="3"/>
    <x v="1"/>
    <n v="60"/>
    <n v="3"/>
    <n v="1"/>
    <s v="Other"/>
    <n v="4"/>
    <s v="Good"/>
    <x v="0"/>
    <n v="2340"/>
    <x v="1"/>
    <n v="22673"/>
    <n v="1"/>
    <s v="Y"/>
    <s v="No"/>
    <n v="19"/>
    <x v="0"/>
    <s v="Low Performance"/>
    <n v="1"/>
    <n v="80"/>
    <n v="0"/>
    <n v="6"/>
    <n v="1"/>
    <n v="3"/>
    <s v="Fair"/>
    <n v="6"/>
    <n v="5"/>
    <n v="1"/>
    <n v="5"/>
  </r>
  <r>
    <n v="1453272"/>
    <n v="42"/>
    <x v="0"/>
    <s v="No"/>
    <x v="0"/>
    <x v="0"/>
    <n v="916"/>
    <x v="1"/>
    <n v="17"/>
    <n v="2"/>
    <x v="0"/>
    <n v="1"/>
    <n v="4"/>
    <x v="0"/>
    <n v="82"/>
    <n v="4"/>
    <n v="2"/>
    <s v="Other"/>
    <n v="1"/>
    <s v="Poor"/>
    <x v="0"/>
    <n v="6545"/>
    <x v="0"/>
    <n v="23016"/>
    <n v="3"/>
    <s v="Y"/>
    <s v="Yes"/>
    <n v="13"/>
    <x v="0"/>
    <s v="Low Performance"/>
    <n v="3"/>
    <n v="80"/>
    <n v="0"/>
    <n v="10"/>
    <n v="1"/>
    <n v="3"/>
    <s v="Fair"/>
    <n v="3"/>
    <n v="2"/>
    <n v="0"/>
    <n v="2"/>
  </r>
  <r>
    <n v="1234458"/>
    <n v="29"/>
    <x v="2"/>
    <s v="No"/>
    <x v="0"/>
    <x v="0"/>
    <n v="1247"/>
    <x v="0"/>
    <n v="20"/>
    <n v="2"/>
    <x v="3"/>
    <n v="1"/>
    <n v="4"/>
    <x v="1"/>
    <n v="45"/>
    <n v="3"/>
    <n v="2"/>
    <s v="Nurse"/>
    <n v="4"/>
    <s v="Good"/>
    <x v="2"/>
    <n v="6931"/>
    <x v="0"/>
    <n v="10732"/>
    <n v="2"/>
    <s v="Y"/>
    <s v="No"/>
    <n v="14"/>
    <x v="0"/>
    <s v="Low Performance"/>
    <n v="4"/>
    <n v="80"/>
    <n v="1"/>
    <n v="10"/>
    <n v="2"/>
    <n v="3"/>
    <s v="Fair"/>
    <n v="3"/>
    <n v="2"/>
    <n v="0"/>
    <n v="2"/>
  </r>
  <r>
    <n v="1336242"/>
    <n v="25"/>
    <x v="4"/>
    <s v="No"/>
    <x v="0"/>
    <x v="0"/>
    <n v="685"/>
    <x v="2"/>
    <n v="1"/>
    <n v="3"/>
    <x v="0"/>
    <n v="1"/>
    <n v="1"/>
    <x v="0"/>
    <n v="62"/>
    <n v="3"/>
    <n v="2"/>
    <s v="Therapist"/>
    <n v="3"/>
    <s v="Fair"/>
    <x v="1"/>
    <n v="4898"/>
    <x v="1"/>
    <n v="7505"/>
    <n v="0"/>
    <s v="Y"/>
    <s v="No"/>
    <n v="12"/>
    <x v="0"/>
    <s v="Low Performance"/>
    <n v="4"/>
    <n v="80"/>
    <n v="2"/>
    <n v="5"/>
    <n v="3"/>
    <n v="3"/>
    <s v="Fair"/>
    <n v="4"/>
    <n v="2"/>
    <n v="1"/>
    <n v="2"/>
  </r>
  <r>
    <n v="1068917"/>
    <n v="42"/>
    <x v="0"/>
    <s v="No"/>
    <x v="0"/>
    <x v="0"/>
    <n v="269"/>
    <x v="1"/>
    <n v="2"/>
    <n v="3"/>
    <x v="2"/>
    <n v="1"/>
    <n v="4"/>
    <x v="0"/>
    <n v="56"/>
    <n v="2"/>
    <n v="1"/>
    <s v="Nurse"/>
    <n v="1"/>
    <s v="Poor"/>
    <x v="2"/>
    <n v="2593"/>
    <x v="1"/>
    <n v="8007"/>
    <n v="0"/>
    <s v="Y"/>
    <s v="Yes"/>
    <n v="11"/>
    <x v="0"/>
    <s v="Low Performance"/>
    <n v="3"/>
    <n v="80"/>
    <n v="1"/>
    <n v="10"/>
    <n v="4"/>
    <n v="3"/>
    <s v="Fair"/>
    <n v="9"/>
    <n v="6"/>
    <n v="7"/>
    <n v="8"/>
  </r>
  <r>
    <n v="1804073"/>
    <n v="40"/>
    <x v="0"/>
    <s v="No"/>
    <x v="0"/>
    <x v="0"/>
    <n v="1416"/>
    <x v="2"/>
    <n v="2"/>
    <n v="2"/>
    <x v="2"/>
    <n v="1"/>
    <n v="1"/>
    <x v="1"/>
    <n v="49"/>
    <n v="3"/>
    <n v="5"/>
    <s v="Other"/>
    <n v="3"/>
    <s v="Fair"/>
    <x v="2"/>
    <n v="19436"/>
    <x v="2"/>
    <n v="5949"/>
    <n v="0"/>
    <s v="Y"/>
    <s v="No"/>
    <n v="19"/>
    <x v="0"/>
    <s v="Low Performance"/>
    <n v="4"/>
    <n v="80"/>
    <n v="1"/>
    <n v="22"/>
    <n v="5"/>
    <n v="3"/>
    <s v="Fair"/>
    <n v="21"/>
    <n v="7"/>
    <n v="3"/>
    <n v="9"/>
  </r>
  <r>
    <n v="1435995"/>
    <n v="51"/>
    <x v="1"/>
    <s v="No"/>
    <x v="0"/>
    <x v="0"/>
    <n v="833"/>
    <x v="1"/>
    <n v="1"/>
    <n v="3"/>
    <x v="0"/>
    <n v="1"/>
    <n v="3"/>
    <x v="1"/>
    <n v="96"/>
    <n v="3"/>
    <n v="1"/>
    <s v="Other"/>
    <n v="4"/>
    <s v="Good"/>
    <x v="1"/>
    <n v="2723"/>
    <x v="1"/>
    <n v="23231"/>
    <n v="1"/>
    <s v="Y"/>
    <s v="No"/>
    <n v="11"/>
    <x v="0"/>
    <s v="Low Performance"/>
    <n v="2"/>
    <n v="80"/>
    <n v="0"/>
    <n v="1"/>
    <n v="0"/>
    <n v="2"/>
    <s v="Poor"/>
    <n v="1"/>
    <n v="0"/>
    <n v="0"/>
    <n v="0"/>
  </r>
  <r>
    <n v="1577501"/>
    <n v="31"/>
    <x v="2"/>
    <s v="No"/>
    <x v="0"/>
    <x v="1"/>
    <n v="307"/>
    <x v="1"/>
    <n v="29"/>
    <n v="2"/>
    <x v="2"/>
    <n v="1"/>
    <n v="3"/>
    <x v="1"/>
    <n v="71"/>
    <n v="2"/>
    <n v="1"/>
    <s v="Nurse"/>
    <n v="2"/>
    <s v="Poor"/>
    <x v="0"/>
    <n v="3479"/>
    <x v="1"/>
    <n v="11652"/>
    <n v="0"/>
    <s v="Y"/>
    <s v="No"/>
    <n v="11"/>
    <x v="0"/>
    <s v="Low Performance"/>
    <n v="2"/>
    <n v="80"/>
    <n v="0"/>
    <n v="6"/>
    <n v="2"/>
    <n v="4"/>
    <s v="Good"/>
    <n v="5"/>
    <n v="4"/>
    <n v="1"/>
    <n v="4"/>
  </r>
  <r>
    <n v="1075035"/>
    <n v="32"/>
    <x v="2"/>
    <s v="No"/>
    <x v="0"/>
    <x v="1"/>
    <n v="1311"/>
    <x v="1"/>
    <n v="7"/>
    <n v="3"/>
    <x v="0"/>
    <n v="1"/>
    <n v="2"/>
    <x v="1"/>
    <n v="100"/>
    <n v="4"/>
    <n v="1"/>
    <s v="Nurse"/>
    <n v="2"/>
    <s v="Poor"/>
    <x v="1"/>
    <n v="2794"/>
    <x v="1"/>
    <n v="26062"/>
    <n v="1"/>
    <s v="Y"/>
    <s v="No"/>
    <n v="20"/>
    <x v="1"/>
    <s v="High Performance"/>
    <n v="3"/>
    <n v="80"/>
    <n v="0"/>
    <n v="5"/>
    <n v="3"/>
    <n v="1"/>
    <s v="Poor"/>
    <n v="5"/>
    <n v="1"/>
    <n v="0"/>
    <n v="3"/>
  </r>
  <r>
    <n v="1520532"/>
    <n v="38"/>
    <x v="0"/>
    <s v="No"/>
    <x v="0"/>
    <x v="2"/>
    <n v="1327"/>
    <x v="0"/>
    <n v="2"/>
    <n v="2"/>
    <x v="0"/>
    <n v="1"/>
    <n v="4"/>
    <x v="1"/>
    <n v="39"/>
    <n v="2"/>
    <n v="2"/>
    <s v="Nurse"/>
    <n v="4"/>
    <s v="Good"/>
    <x v="1"/>
    <n v="5249"/>
    <x v="0"/>
    <n v="19682"/>
    <n v="3"/>
    <s v="Y"/>
    <s v="No"/>
    <n v="18"/>
    <x v="0"/>
    <s v="Low Performance"/>
    <n v="4"/>
    <n v="80"/>
    <n v="1"/>
    <n v="13"/>
    <n v="0"/>
    <n v="3"/>
    <s v="Fair"/>
    <n v="8"/>
    <n v="7"/>
    <n v="7"/>
    <n v="5"/>
  </r>
  <r>
    <n v="1593179"/>
    <n v="32"/>
    <x v="2"/>
    <s v="No"/>
    <x v="0"/>
    <x v="0"/>
    <n v="128"/>
    <x v="1"/>
    <n v="2"/>
    <n v="1"/>
    <x v="4"/>
    <n v="1"/>
    <n v="4"/>
    <x v="1"/>
    <n v="84"/>
    <n v="2"/>
    <n v="2"/>
    <s v="Nurse"/>
    <n v="1"/>
    <s v="Poor"/>
    <x v="0"/>
    <n v="2176"/>
    <x v="1"/>
    <n v="19737"/>
    <n v="4"/>
    <s v="Y"/>
    <s v="No"/>
    <n v="13"/>
    <x v="0"/>
    <s v="Low Performance"/>
    <n v="4"/>
    <n v="80"/>
    <n v="0"/>
    <n v="9"/>
    <n v="5"/>
    <n v="3"/>
    <s v="Fair"/>
    <n v="6"/>
    <n v="2"/>
    <n v="0"/>
    <n v="4"/>
  </r>
  <r>
    <n v="1244300"/>
    <n v="46"/>
    <x v="1"/>
    <s v="No"/>
    <x v="0"/>
    <x v="0"/>
    <n v="488"/>
    <x v="0"/>
    <n v="2"/>
    <n v="3"/>
    <x v="4"/>
    <n v="1"/>
    <n v="3"/>
    <x v="0"/>
    <n v="75"/>
    <n v="1"/>
    <n v="4"/>
    <s v="Administrative"/>
    <n v="2"/>
    <s v="Poor"/>
    <x v="1"/>
    <n v="16872"/>
    <x v="2"/>
    <n v="14977"/>
    <n v="3"/>
    <s v="Y"/>
    <s v="Yes"/>
    <n v="12"/>
    <x v="0"/>
    <s v="Low Performance"/>
    <n v="2"/>
    <n v="80"/>
    <n v="1"/>
    <n v="28"/>
    <n v="2"/>
    <n v="2"/>
    <s v="Poor"/>
    <n v="7"/>
    <n v="7"/>
    <n v="7"/>
    <n v="7"/>
  </r>
  <r>
    <n v="1622255"/>
    <n v="28"/>
    <x v="2"/>
    <s v="Yes"/>
    <x v="1"/>
    <x v="0"/>
    <n v="529"/>
    <x v="1"/>
    <n v="2"/>
    <n v="4"/>
    <x v="0"/>
    <n v="1"/>
    <n v="1"/>
    <x v="1"/>
    <n v="79"/>
    <n v="3"/>
    <n v="1"/>
    <s v="Nurse"/>
    <n v="3"/>
    <s v="Fair"/>
    <x v="0"/>
    <n v="3485"/>
    <x v="1"/>
    <n v="14935"/>
    <n v="2"/>
    <s v="Y"/>
    <s v="No"/>
    <n v="11"/>
    <x v="0"/>
    <s v="Low Performance"/>
    <n v="3"/>
    <n v="80"/>
    <n v="0"/>
    <n v="5"/>
    <n v="5"/>
    <n v="1"/>
    <s v="Poor"/>
    <n v="0"/>
    <n v="0"/>
    <n v="0"/>
    <n v="0"/>
  </r>
  <r>
    <n v="1662066"/>
    <n v="29"/>
    <x v="2"/>
    <s v="No"/>
    <x v="0"/>
    <x v="0"/>
    <n v="1210"/>
    <x v="0"/>
    <n v="2"/>
    <n v="3"/>
    <x v="2"/>
    <n v="1"/>
    <n v="1"/>
    <x v="1"/>
    <n v="78"/>
    <n v="2"/>
    <n v="2"/>
    <s v="Nurse"/>
    <n v="2"/>
    <s v="Poor"/>
    <x v="1"/>
    <n v="6644"/>
    <x v="0"/>
    <n v="3687"/>
    <n v="2"/>
    <s v="Y"/>
    <s v="No"/>
    <n v="19"/>
    <x v="0"/>
    <s v="Low Performance"/>
    <n v="2"/>
    <n v="80"/>
    <n v="2"/>
    <n v="10"/>
    <n v="2"/>
    <n v="3"/>
    <s v="Fair"/>
    <n v="0"/>
    <n v="0"/>
    <n v="0"/>
    <n v="0"/>
  </r>
  <r>
    <n v="1247928"/>
    <n v="31"/>
    <x v="2"/>
    <s v="No"/>
    <x v="0"/>
    <x v="0"/>
    <n v="1463"/>
    <x v="1"/>
    <n v="23"/>
    <n v="3"/>
    <x v="2"/>
    <n v="1"/>
    <n v="2"/>
    <x v="1"/>
    <n v="64"/>
    <n v="2"/>
    <n v="2"/>
    <s v="Nurse"/>
    <n v="4"/>
    <s v="Good"/>
    <x v="1"/>
    <n v="5582"/>
    <x v="0"/>
    <n v="14408"/>
    <n v="0"/>
    <s v="Y"/>
    <s v="No"/>
    <n v="21"/>
    <x v="1"/>
    <s v="High Performance"/>
    <n v="2"/>
    <n v="80"/>
    <n v="1"/>
    <n v="10"/>
    <n v="2"/>
    <n v="3"/>
    <s v="Fair"/>
    <n v="9"/>
    <n v="0"/>
    <n v="7"/>
    <n v="8"/>
  </r>
  <r>
    <n v="1087213"/>
    <n v="25"/>
    <x v="4"/>
    <s v="No"/>
    <x v="0"/>
    <x v="2"/>
    <n v="675"/>
    <x v="1"/>
    <n v="5"/>
    <n v="2"/>
    <x v="0"/>
    <n v="1"/>
    <n v="2"/>
    <x v="1"/>
    <n v="85"/>
    <n v="4"/>
    <n v="2"/>
    <s v="Nurse"/>
    <n v="1"/>
    <s v="Poor"/>
    <x v="2"/>
    <n v="4000"/>
    <x v="1"/>
    <n v="18384"/>
    <n v="1"/>
    <s v="Y"/>
    <s v="No"/>
    <n v="12"/>
    <x v="0"/>
    <s v="Low Performance"/>
    <n v="4"/>
    <n v="80"/>
    <n v="2"/>
    <n v="6"/>
    <n v="2"/>
    <n v="3"/>
    <s v="Fair"/>
    <n v="6"/>
    <n v="3"/>
    <n v="1"/>
    <n v="5"/>
  </r>
  <r>
    <n v="1269016"/>
    <n v="45"/>
    <x v="0"/>
    <s v="No"/>
    <x v="0"/>
    <x v="0"/>
    <n v="1385"/>
    <x v="1"/>
    <n v="20"/>
    <n v="2"/>
    <x v="2"/>
    <n v="1"/>
    <n v="3"/>
    <x v="1"/>
    <n v="79"/>
    <n v="3"/>
    <n v="4"/>
    <s v="Nurse"/>
    <n v="4"/>
    <s v="Good"/>
    <x v="1"/>
    <n v="13496"/>
    <x v="2"/>
    <n v="7501"/>
    <n v="0"/>
    <s v="Y"/>
    <s v="Yes"/>
    <n v="14"/>
    <x v="0"/>
    <s v="Low Performance"/>
    <n v="2"/>
    <n v="80"/>
    <n v="0"/>
    <n v="21"/>
    <n v="2"/>
    <n v="3"/>
    <s v="Fair"/>
    <n v="20"/>
    <n v="7"/>
    <n v="4"/>
    <n v="10"/>
  </r>
  <r>
    <n v="1416436"/>
    <n v="36"/>
    <x v="0"/>
    <s v="No"/>
    <x v="0"/>
    <x v="0"/>
    <n v="1403"/>
    <x v="1"/>
    <n v="6"/>
    <n v="3"/>
    <x v="0"/>
    <n v="1"/>
    <n v="4"/>
    <x v="1"/>
    <n v="47"/>
    <n v="3"/>
    <n v="1"/>
    <s v="Nurse"/>
    <n v="4"/>
    <s v="Good"/>
    <x v="1"/>
    <n v="3210"/>
    <x v="1"/>
    <n v="20251"/>
    <n v="0"/>
    <s v="Y"/>
    <s v="No"/>
    <n v="11"/>
    <x v="0"/>
    <s v="Low Performance"/>
    <n v="3"/>
    <n v="80"/>
    <n v="1"/>
    <n v="16"/>
    <n v="4"/>
    <n v="3"/>
    <s v="Fair"/>
    <n v="15"/>
    <n v="13"/>
    <n v="10"/>
    <n v="11"/>
  </r>
  <r>
    <n v="1124764"/>
    <n v="55"/>
    <x v="1"/>
    <s v="No"/>
    <x v="0"/>
    <x v="0"/>
    <n v="452"/>
    <x v="2"/>
    <n v="1"/>
    <n v="3"/>
    <x v="2"/>
    <n v="1"/>
    <n v="4"/>
    <x v="1"/>
    <n v="81"/>
    <n v="3"/>
    <n v="5"/>
    <s v="Other"/>
    <n v="1"/>
    <s v="Poor"/>
    <x v="0"/>
    <n v="19045"/>
    <x v="2"/>
    <n v="18938"/>
    <n v="0"/>
    <s v="Y"/>
    <s v="Yes"/>
    <n v="14"/>
    <x v="0"/>
    <s v="Low Performance"/>
    <n v="3"/>
    <n v="80"/>
    <n v="0"/>
    <n v="37"/>
    <n v="2"/>
    <n v="3"/>
    <s v="Fair"/>
    <n v="36"/>
    <n v="10"/>
    <n v="4"/>
    <n v="13"/>
  </r>
  <r>
    <n v="1524494"/>
    <n v="47"/>
    <x v="1"/>
    <s v="Yes"/>
    <x v="1"/>
    <x v="2"/>
    <n v="666"/>
    <x v="2"/>
    <n v="29"/>
    <n v="4"/>
    <x v="0"/>
    <n v="1"/>
    <n v="1"/>
    <x v="1"/>
    <n v="88"/>
    <n v="3"/>
    <n v="3"/>
    <s v="Other"/>
    <n v="2"/>
    <s v="Poor"/>
    <x v="1"/>
    <n v="11849"/>
    <x v="0"/>
    <n v="10268"/>
    <n v="1"/>
    <s v="Y"/>
    <s v="Yes"/>
    <n v="12"/>
    <x v="0"/>
    <s v="Low Performance"/>
    <n v="4"/>
    <n v="80"/>
    <n v="1"/>
    <n v="10"/>
    <n v="2"/>
    <n v="2"/>
    <s v="Poor"/>
    <n v="10"/>
    <n v="7"/>
    <n v="9"/>
    <n v="9"/>
  </r>
  <r>
    <n v="1376531"/>
    <n v="28"/>
    <x v="2"/>
    <s v="No"/>
    <x v="0"/>
    <x v="0"/>
    <n v="1158"/>
    <x v="1"/>
    <n v="9"/>
    <n v="3"/>
    <x v="2"/>
    <n v="1"/>
    <n v="4"/>
    <x v="1"/>
    <n v="94"/>
    <n v="3"/>
    <n v="1"/>
    <s v="Other"/>
    <n v="4"/>
    <s v="Good"/>
    <x v="1"/>
    <n v="2070"/>
    <x v="1"/>
    <n v="2613"/>
    <n v="1"/>
    <s v="Y"/>
    <s v="No"/>
    <n v="23"/>
    <x v="1"/>
    <s v="High Performance"/>
    <n v="4"/>
    <n v="80"/>
    <n v="1"/>
    <n v="5"/>
    <n v="3"/>
    <n v="2"/>
    <s v="Poor"/>
    <n v="5"/>
    <n v="2"/>
    <n v="0"/>
    <n v="4"/>
  </r>
  <r>
    <n v="1487080"/>
    <n v="37"/>
    <x v="0"/>
    <s v="No"/>
    <x v="0"/>
    <x v="0"/>
    <n v="228"/>
    <x v="0"/>
    <n v="6"/>
    <n v="4"/>
    <x v="2"/>
    <n v="1"/>
    <n v="3"/>
    <x v="1"/>
    <n v="98"/>
    <n v="3"/>
    <n v="2"/>
    <s v="Nurse"/>
    <n v="4"/>
    <s v="Good"/>
    <x v="1"/>
    <n v="6502"/>
    <x v="0"/>
    <n v="22825"/>
    <n v="4"/>
    <s v="Y"/>
    <s v="No"/>
    <n v="14"/>
    <x v="0"/>
    <s v="Low Performance"/>
    <n v="2"/>
    <n v="80"/>
    <n v="1"/>
    <n v="7"/>
    <n v="5"/>
    <n v="4"/>
    <s v="Good"/>
    <n v="5"/>
    <n v="4"/>
    <n v="0"/>
    <n v="1"/>
  </r>
  <r>
    <n v="1836214"/>
    <n v="21"/>
    <x v="4"/>
    <s v="No"/>
    <x v="0"/>
    <x v="0"/>
    <n v="996"/>
    <x v="1"/>
    <n v="3"/>
    <n v="2"/>
    <x v="2"/>
    <n v="1"/>
    <n v="4"/>
    <x v="1"/>
    <n v="100"/>
    <n v="2"/>
    <n v="1"/>
    <s v="Other"/>
    <n v="3"/>
    <s v="Fair"/>
    <x v="0"/>
    <n v="3230"/>
    <x v="1"/>
    <n v="10531"/>
    <n v="1"/>
    <s v="Y"/>
    <s v="No"/>
    <n v="17"/>
    <x v="0"/>
    <s v="Low Performance"/>
    <n v="1"/>
    <n v="80"/>
    <n v="0"/>
    <n v="3"/>
    <n v="4"/>
    <n v="4"/>
    <s v="Good"/>
    <n v="3"/>
    <n v="2"/>
    <n v="1"/>
    <n v="0"/>
  </r>
  <r>
    <n v="1397780"/>
    <n v="37"/>
    <x v="0"/>
    <s v="No"/>
    <x v="0"/>
    <x v="2"/>
    <n v="728"/>
    <x v="2"/>
    <n v="1"/>
    <n v="4"/>
    <x v="2"/>
    <n v="1"/>
    <n v="1"/>
    <x v="0"/>
    <n v="80"/>
    <n v="3"/>
    <n v="3"/>
    <s v="Other"/>
    <n v="4"/>
    <s v="Good"/>
    <x v="2"/>
    <n v="13603"/>
    <x v="2"/>
    <n v="11677"/>
    <n v="2"/>
    <s v="Y"/>
    <s v="Yes"/>
    <n v="18"/>
    <x v="0"/>
    <s v="Low Performance"/>
    <n v="1"/>
    <n v="80"/>
    <n v="2"/>
    <n v="15"/>
    <n v="2"/>
    <n v="3"/>
    <s v="Fair"/>
    <n v="5"/>
    <n v="2"/>
    <n v="0"/>
    <n v="2"/>
  </r>
  <r>
    <n v="1281199"/>
    <n v="35"/>
    <x v="2"/>
    <s v="No"/>
    <x v="0"/>
    <x v="0"/>
    <n v="1315"/>
    <x v="2"/>
    <n v="22"/>
    <n v="3"/>
    <x v="0"/>
    <n v="1"/>
    <n v="2"/>
    <x v="0"/>
    <n v="71"/>
    <n v="4"/>
    <n v="3"/>
    <s v="Other"/>
    <n v="2"/>
    <s v="Poor"/>
    <x v="2"/>
    <n v="11996"/>
    <x v="0"/>
    <n v="19100"/>
    <n v="7"/>
    <s v="Y"/>
    <s v="No"/>
    <n v="18"/>
    <x v="0"/>
    <s v="Low Performance"/>
    <n v="2"/>
    <n v="80"/>
    <n v="1"/>
    <n v="10"/>
    <n v="6"/>
    <n v="2"/>
    <s v="Poor"/>
    <n v="7"/>
    <n v="7"/>
    <n v="6"/>
    <n v="2"/>
  </r>
  <r>
    <n v="1566712"/>
    <n v="38"/>
    <x v="0"/>
    <s v="No"/>
    <x v="0"/>
    <x v="0"/>
    <n v="322"/>
    <x v="0"/>
    <n v="7"/>
    <n v="2"/>
    <x v="2"/>
    <n v="1"/>
    <n v="1"/>
    <x v="0"/>
    <n v="44"/>
    <n v="4"/>
    <n v="2"/>
    <s v="Nurse"/>
    <n v="1"/>
    <s v="Poor"/>
    <x v="2"/>
    <n v="5605"/>
    <x v="0"/>
    <n v="19191"/>
    <n v="1"/>
    <s v="Y"/>
    <s v="Yes"/>
    <n v="24"/>
    <x v="1"/>
    <s v="High Performance"/>
    <n v="3"/>
    <n v="80"/>
    <n v="1"/>
    <n v="8"/>
    <n v="3"/>
    <n v="3"/>
    <s v="Fair"/>
    <n v="8"/>
    <n v="0"/>
    <n v="7"/>
    <n v="7"/>
  </r>
  <r>
    <n v="1256655"/>
    <n v="26"/>
    <x v="2"/>
    <s v="No"/>
    <x v="0"/>
    <x v="1"/>
    <n v="1479"/>
    <x v="2"/>
    <n v="1"/>
    <n v="3"/>
    <x v="0"/>
    <n v="1"/>
    <n v="3"/>
    <x v="0"/>
    <n v="84"/>
    <n v="3"/>
    <n v="2"/>
    <s v="Therapist"/>
    <n v="2"/>
    <s v="Poor"/>
    <x v="2"/>
    <n v="6397"/>
    <x v="0"/>
    <n v="26767"/>
    <n v="1"/>
    <s v="Y"/>
    <s v="No"/>
    <n v="20"/>
    <x v="1"/>
    <s v="High Performance"/>
    <n v="1"/>
    <n v="80"/>
    <n v="1"/>
    <n v="6"/>
    <n v="6"/>
    <n v="1"/>
    <s v="Poor"/>
    <n v="6"/>
    <n v="5"/>
    <n v="1"/>
    <n v="4"/>
  </r>
  <r>
    <n v="1187620"/>
    <n v="50"/>
    <x v="1"/>
    <s v="No"/>
    <x v="0"/>
    <x v="0"/>
    <n v="797"/>
    <x v="2"/>
    <n v="4"/>
    <n v="1"/>
    <x v="0"/>
    <n v="1"/>
    <n v="1"/>
    <x v="1"/>
    <n v="96"/>
    <n v="3"/>
    <n v="5"/>
    <s v="Other"/>
    <n v="2"/>
    <s v="Poor"/>
    <x v="2"/>
    <n v="19144"/>
    <x v="2"/>
    <n v="15815"/>
    <n v="3"/>
    <s v="Y"/>
    <s v="No"/>
    <n v="14"/>
    <x v="0"/>
    <s v="Low Performance"/>
    <n v="1"/>
    <n v="80"/>
    <n v="2"/>
    <n v="28"/>
    <n v="4"/>
    <n v="2"/>
    <s v="Poor"/>
    <n v="10"/>
    <n v="4"/>
    <n v="1"/>
    <n v="6"/>
  </r>
  <r>
    <n v="1032001"/>
    <n v="53"/>
    <x v="1"/>
    <s v="No"/>
    <x v="0"/>
    <x v="0"/>
    <n v="1070"/>
    <x v="2"/>
    <n v="3"/>
    <n v="4"/>
    <x v="2"/>
    <n v="1"/>
    <n v="3"/>
    <x v="1"/>
    <n v="45"/>
    <n v="3"/>
    <n v="4"/>
    <s v="Other"/>
    <n v="3"/>
    <s v="Fair"/>
    <x v="1"/>
    <n v="17584"/>
    <x v="2"/>
    <n v="21016"/>
    <n v="3"/>
    <s v="Y"/>
    <s v="Yes"/>
    <n v="16"/>
    <x v="0"/>
    <s v="Low Performance"/>
    <n v="4"/>
    <n v="80"/>
    <n v="3"/>
    <n v="21"/>
    <n v="5"/>
    <n v="2"/>
    <s v="Poor"/>
    <n v="5"/>
    <n v="3"/>
    <n v="1"/>
    <n v="3"/>
  </r>
  <r>
    <n v="1220520"/>
    <n v="42"/>
    <x v="0"/>
    <s v="No"/>
    <x v="0"/>
    <x v="0"/>
    <n v="635"/>
    <x v="0"/>
    <n v="1"/>
    <n v="1"/>
    <x v="0"/>
    <n v="1"/>
    <n v="2"/>
    <x v="1"/>
    <n v="99"/>
    <n v="3"/>
    <n v="2"/>
    <s v="Nurse"/>
    <n v="3"/>
    <s v="Fair"/>
    <x v="1"/>
    <n v="4907"/>
    <x v="1"/>
    <n v="24532"/>
    <n v="1"/>
    <s v="Y"/>
    <s v="No"/>
    <n v="25"/>
    <x v="1"/>
    <s v="High Performance"/>
    <n v="3"/>
    <n v="80"/>
    <n v="0"/>
    <n v="20"/>
    <n v="3"/>
    <n v="3"/>
    <s v="Fair"/>
    <n v="20"/>
    <n v="16"/>
    <n v="11"/>
    <n v="6"/>
  </r>
  <r>
    <n v="1524207"/>
    <n v="29"/>
    <x v="2"/>
    <s v="No"/>
    <x v="0"/>
    <x v="1"/>
    <n v="442"/>
    <x v="0"/>
    <n v="2"/>
    <n v="2"/>
    <x v="0"/>
    <n v="1"/>
    <n v="2"/>
    <x v="1"/>
    <n v="44"/>
    <n v="3"/>
    <n v="2"/>
    <s v="Nurse"/>
    <n v="4"/>
    <s v="Good"/>
    <x v="0"/>
    <n v="4554"/>
    <x v="1"/>
    <n v="20260"/>
    <n v="1"/>
    <s v="Y"/>
    <s v="No"/>
    <n v="18"/>
    <x v="0"/>
    <s v="Low Performance"/>
    <n v="1"/>
    <n v="80"/>
    <n v="0"/>
    <n v="10"/>
    <n v="3"/>
    <n v="2"/>
    <s v="Poor"/>
    <n v="10"/>
    <n v="7"/>
    <n v="0"/>
    <n v="9"/>
  </r>
  <r>
    <n v="1552398"/>
    <n v="55"/>
    <x v="1"/>
    <s v="No"/>
    <x v="0"/>
    <x v="0"/>
    <n v="147"/>
    <x v="1"/>
    <n v="20"/>
    <n v="2"/>
    <x v="4"/>
    <n v="1"/>
    <n v="2"/>
    <x v="1"/>
    <n v="37"/>
    <n v="3"/>
    <n v="2"/>
    <s v="Nurse"/>
    <n v="4"/>
    <s v="Good"/>
    <x v="1"/>
    <n v="5415"/>
    <x v="0"/>
    <n v="15972"/>
    <n v="3"/>
    <s v="Y"/>
    <s v="Yes"/>
    <n v="19"/>
    <x v="0"/>
    <s v="Low Performance"/>
    <n v="4"/>
    <n v="80"/>
    <n v="1"/>
    <n v="12"/>
    <n v="4"/>
    <n v="3"/>
    <s v="Fair"/>
    <n v="10"/>
    <n v="7"/>
    <n v="0"/>
    <n v="8"/>
  </r>
  <r>
    <n v="1753629"/>
    <n v="26"/>
    <x v="2"/>
    <s v="No"/>
    <x v="0"/>
    <x v="1"/>
    <n v="496"/>
    <x v="1"/>
    <n v="11"/>
    <n v="2"/>
    <x v="2"/>
    <n v="1"/>
    <n v="1"/>
    <x v="1"/>
    <n v="60"/>
    <n v="3"/>
    <n v="2"/>
    <s v="Nurse"/>
    <n v="1"/>
    <s v="Poor"/>
    <x v="1"/>
    <n v="4741"/>
    <x v="1"/>
    <n v="22722"/>
    <n v="1"/>
    <s v="Y"/>
    <s v="Yes"/>
    <n v="13"/>
    <x v="0"/>
    <s v="Low Performance"/>
    <n v="3"/>
    <n v="80"/>
    <n v="1"/>
    <n v="5"/>
    <n v="3"/>
    <n v="3"/>
    <s v="Fair"/>
    <n v="5"/>
    <n v="3"/>
    <n v="3"/>
    <n v="3"/>
  </r>
  <r>
    <n v="1649314"/>
    <n v="37"/>
    <x v="0"/>
    <s v="No"/>
    <x v="0"/>
    <x v="0"/>
    <n v="1372"/>
    <x v="1"/>
    <n v="1"/>
    <n v="3"/>
    <x v="0"/>
    <n v="1"/>
    <n v="4"/>
    <x v="0"/>
    <n v="42"/>
    <n v="3"/>
    <n v="1"/>
    <s v="Other"/>
    <n v="4"/>
    <s v="Good"/>
    <x v="0"/>
    <n v="2115"/>
    <x v="1"/>
    <n v="15881"/>
    <n v="1"/>
    <s v="Y"/>
    <s v="No"/>
    <n v="12"/>
    <x v="0"/>
    <s v="Low Performance"/>
    <n v="2"/>
    <n v="80"/>
    <n v="0"/>
    <n v="17"/>
    <n v="3"/>
    <n v="3"/>
    <s v="Fair"/>
    <n v="17"/>
    <n v="12"/>
    <n v="5"/>
    <n v="7"/>
  </r>
  <r>
    <n v="1353021"/>
    <n v="44"/>
    <x v="0"/>
    <s v="Yes"/>
    <x v="1"/>
    <x v="1"/>
    <n v="920"/>
    <x v="1"/>
    <n v="24"/>
    <n v="3"/>
    <x v="0"/>
    <n v="1"/>
    <n v="4"/>
    <x v="1"/>
    <n v="43"/>
    <n v="3"/>
    <n v="1"/>
    <s v="Nurse"/>
    <n v="3"/>
    <s v="Fair"/>
    <x v="2"/>
    <n v="3161"/>
    <x v="1"/>
    <n v="19920"/>
    <n v="3"/>
    <s v="Y"/>
    <s v="Yes"/>
    <n v="22"/>
    <x v="1"/>
    <s v="High Performance"/>
    <n v="4"/>
    <n v="80"/>
    <n v="1"/>
    <n v="19"/>
    <n v="0"/>
    <n v="1"/>
    <s v="Poor"/>
    <n v="1"/>
    <n v="0"/>
    <n v="0"/>
    <n v="0"/>
  </r>
  <r>
    <n v="1704408"/>
    <n v="38"/>
    <x v="0"/>
    <s v="No"/>
    <x v="0"/>
    <x v="0"/>
    <n v="688"/>
    <x v="1"/>
    <n v="23"/>
    <n v="4"/>
    <x v="0"/>
    <n v="1"/>
    <n v="4"/>
    <x v="1"/>
    <n v="82"/>
    <n v="3"/>
    <n v="2"/>
    <s v="Nurse"/>
    <n v="4"/>
    <s v="Good"/>
    <x v="2"/>
    <n v="5745"/>
    <x v="0"/>
    <n v="18899"/>
    <n v="9"/>
    <s v="Y"/>
    <s v="No"/>
    <n v="14"/>
    <x v="0"/>
    <s v="Low Performance"/>
    <n v="2"/>
    <n v="80"/>
    <n v="1"/>
    <n v="10"/>
    <n v="2"/>
    <n v="3"/>
    <s v="Fair"/>
    <n v="2"/>
    <n v="2"/>
    <n v="1"/>
    <n v="2"/>
  </r>
  <r>
    <n v="1031524"/>
    <n v="26"/>
    <x v="2"/>
    <s v="Yes"/>
    <x v="1"/>
    <x v="0"/>
    <n v="1449"/>
    <x v="1"/>
    <n v="16"/>
    <n v="4"/>
    <x v="2"/>
    <n v="1"/>
    <n v="1"/>
    <x v="1"/>
    <n v="45"/>
    <n v="3"/>
    <n v="1"/>
    <s v="Nurse"/>
    <n v="2"/>
    <s v="Poor"/>
    <x v="2"/>
    <n v="2373"/>
    <x v="1"/>
    <n v="14180"/>
    <n v="2"/>
    <s v="Y"/>
    <s v="Yes"/>
    <n v="13"/>
    <x v="0"/>
    <s v="Low Performance"/>
    <n v="4"/>
    <n v="80"/>
    <n v="1"/>
    <n v="5"/>
    <n v="2"/>
    <n v="3"/>
    <s v="Fair"/>
    <n v="3"/>
    <n v="2"/>
    <n v="0"/>
    <n v="2"/>
  </r>
  <r>
    <n v="1124932"/>
    <n v="28"/>
    <x v="2"/>
    <s v="No"/>
    <x v="0"/>
    <x v="0"/>
    <n v="1117"/>
    <x v="1"/>
    <n v="8"/>
    <n v="2"/>
    <x v="0"/>
    <n v="1"/>
    <n v="4"/>
    <x v="0"/>
    <n v="66"/>
    <n v="3"/>
    <n v="1"/>
    <s v="Other"/>
    <n v="4"/>
    <s v="Good"/>
    <x v="0"/>
    <n v="3310"/>
    <x v="1"/>
    <n v="4488"/>
    <n v="1"/>
    <s v="Y"/>
    <s v="No"/>
    <n v="21"/>
    <x v="1"/>
    <s v="High Performance"/>
    <n v="4"/>
    <n v="80"/>
    <n v="0"/>
    <n v="5"/>
    <n v="3"/>
    <n v="3"/>
    <s v="Fair"/>
    <n v="5"/>
    <n v="3"/>
    <n v="0"/>
    <n v="2"/>
  </r>
  <r>
    <n v="1865139"/>
    <n v="49"/>
    <x v="1"/>
    <s v="No"/>
    <x v="0"/>
    <x v="1"/>
    <n v="636"/>
    <x v="2"/>
    <n v="10"/>
    <n v="4"/>
    <x v="0"/>
    <n v="1"/>
    <n v="3"/>
    <x v="0"/>
    <n v="35"/>
    <n v="3"/>
    <n v="5"/>
    <s v="Other"/>
    <n v="1"/>
    <s v="Poor"/>
    <x v="0"/>
    <n v="18665"/>
    <x v="2"/>
    <n v="25594"/>
    <n v="9"/>
    <s v="Y"/>
    <s v="Yes"/>
    <n v="11"/>
    <x v="0"/>
    <s v="Low Performance"/>
    <n v="4"/>
    <n v="80"/>
    <n v="0"/>
    <n v="22"/>
    <n v="4"/>
    <n v="3"/>
    <s v="Fair"/>
    <n v="3"/>
    <n v="2"/>
    <n v="1"/>
    <n v="2"/>
  </r>
  <r>
    <n v="1158764"/>
    <n v="36"/>
    <x v="0"/>
    <s v="No"/>
    <x v="0"/>
    <x v="0"/>
    <n v="506"/>
    <x v="1"/>
    <n v="3"/>
    <n v="3"/>
    <x v="4"/>
    <n v="1"/>
    <n v="3"/>
    <x v="1"/>
    <n v="30"/>
    <n v="3"/>
    <n v="2"/>
    <s v="Other"/>
    <n v="2"/>
    <s v="Poor"/>
    <x v="0"/>
    <n v="4485"/>
    <x v="1"/>
    <n v="26285"/>
    <n v="4"/>
    <s v="Y"/>
    <s v="No"/>
    <n v="12"/>
    <x v="0"/>
    <s v="Low Performance"/>
    <n v="4"/>
    <n v="80"/>
    <n v="0"/>
    <n v="10"/>
    <n v="2"/>
    <n v="3"/>
    <s v="Fair"/>
    <n v="8"/>
    <n v="0"/>
    <n v="7"/>
    <n v="7"/>
  </r>
  <r>
    <n v="1794901"/>
    <n v="31"/>
    <x v="2"/>
    <s v="No"/>
    <x v="0"/>
    <x v="1"/>
    <n v="444"/>
    <x v="0"/>
    <n v="5"/>
    <n v="3"/>
    <x v="3"/>
    <n v="1"/>
    <n v="4"/>
    <x v="0"/>
    <n v="84"/>
    <n v="3"/>
    <n v="1"/>
    <s v="Other"/>
    <n v="2"/>
    <s v="Poor"/>
    <x v="2"/>
    <n v="2789"/>
    <x v="1"/>
    <n v="3909"/>
    <n v="1"/>
    <s v="Y"/>
    <s v="No"/>
    <n v="11"/>
    <x v="0"/>
    <s v="Low Performance"/>
    <n v="3"/>
    <n v="80"/>
    <n v="1"/>
    <n v="2"/>
    <n v="5"/>
    <n v="2"/>
    <s v="Poor"/>
    <n v="2"/>
    <n v="2"/>
    <n v="2"/>
    <n v="2"/>
  </r>
  <r>
    <n v="1707521"/>
    <n v="26"/>
    <x v="2"/>
    <s v="Yes"/>
    <x v="1"/>
    <x v="0"/>
    <n v="950"/>
    <x v="0"/>
    <n v="4"/>
    <n v="4"/>
    <x v="3"/>
    <n v="1"/>
    <n v="4"/>
    <x v="1"/>
    <n v="48"/>
    <n v="2"/>
    <n v="2"/>
    <s v="Nurse"/>
    <n v="4"/>
    <s v="Good"/>
    <x v="0"/>
    <n v="5828"/>
    <x v="0"/>
    <n v="8450"/>
    <n v="1"/>
    <s v="Y"/>
    <s v="Yes"/>
    <n v="12"/>
    <x v="0"/>
    <s v="Low Performance"/>
    <n v="2"/>
    <n v="80"/>
    <n v="0"/>
    <n v="8"/>
    <n v="0"/>
    <n v="3"/>
    <s v="Fair"/>
    <n v="8"/>
    <n v="7"/>
    <n v="7"/>
    <n v="4"/>
  </r>
  <r>
    <n v="1628660"/>
    <n v="37"/>
    <x v="0"/>
    <s v="No"/>
    <x v="0"/>
    <x v="1"/>
    <n v="889"/>
    <x v="1"/>
    <n v="9"/>
    <n v="3"/>
    <x v="2"/>
    <n v="1"/>
    <n v="2"/>
    <x v="1"/>
    <n v="53"/>
    <n v="3"/>
    <n v="1"/>
    <s v="Other"/>
    <n v="4"/>
    <s v="Good"/>
    <x v="1"/>
    <n v="2326"/>
    <x v="1"/>
    <n v="11411"/>
    <n v="1"/>
    <s v="Y"/>
    <s v="Yes"/>
    <n v="12"/>
    <x v="0"/>
    <s v="Low Performance"/>
    <n v="3"/>
    <n v="80"/>
    <n v="3"/>
    <n v="4"/>
    <n v="3"/>
    <n v="2"/>
    <s v="Poor"/>
    <n v="4"/>
    <n v="2"/>
    <n v="1"/>
    <n v="2"/>
  </r>
  <r>
    <n v="1099592"/>
    <n v="42"/>
    <x v="0"/>
    <s v="No"/>
    <x v="0"/>
    <x v="1"/>
    <n v="555"/>
    <x v="0"/>
    <n v="26"/>
    <n v="3"/>
    <x v="3"/>
    <n v="1"/>
    <n v="3"/>
    <x v="0"/>
    <n v="77"/>
    <n v="3"/>
    <n v="4"/>
    <s v="Nurse"/>
    <n v="2"/>
    <s v="Poor"/>
    <x v="1"/>
    <n v="13525"/>
    <x v="2"/>
    <n v="14864"/>
    <n v="5"/>
    <s v="Y"/>
    <s v="No"/>
    <n v="14"/>
    <x v="0"/>
    <s v="Low Performance"/>
    <n v="4"/>
    <n v="80"/>
    <n v="1"/>
    <n v="23"/>
    <n v="2"/>
    <n v="4"/>
    <s v="Good"/>
    <n v="20"/>
    <n v="4"/>
    <n v="4"/>
    <n v="8"/>
  </r>
  <r>
    <n v="1837825"/>
    <n v="18"/>
    <x v="4"/>
    <s v="No"/>
    <x v="0"/>
    <x v="0"/>
    <n v="230"/>
    <x v="1"/>
    <n v="3"/>
    <n v="3"/>
    <x v="0"/>
    <n v="1"/>
    <n v="3"/>
    <x v="1"/>
    <n v="54"/>
    <n v="3"/>
    <n v="1"/>
    <s v="Nurse"/>
    <n v="3"/>
    <s v="Fair"/>
    <x v="0"/>
    <n v="1420"/>
    <x v="1"/>
    <n v="25233"/>
    <n v="1"/>
    <s v="Y"/>
    <s v="No"/>
    <n v="13"/>
    <x v="0"/>
    <s v="Low Performance"/>
    <n v="3"/>
    <n v="80"/>
    <n v="0"/>
    <n v="0"/>
    <n v="2"/>
    <n v="3"/>
    <s v="Fair"/>
    <n v="0"/>
    <n v="0"/>
    <n v="0"/>
    <n v="0"/>
  </r>
  <r>
    <n v="1284393"/>
    <n v="35"/>
    <x v="2"/>
    <s v="No"/>
    <x v="0"/>
    <x v="0"/>
    <n v="1232"/>
    <x v="0"/>
    <n v="16"/>
    <n v="3"/>
    <x v="3"/>
    <n v="1"/>
    <n v="3"/>
    <x v="1"/>
    <n v="96"/>
    <n v="3"/>
    <n v="3"/>
    <s v="Nurse"/>
    <n v="2"/>
    <s v="Poor"/>
    <x v="1"/>
    <n v="8020"/>
    <x v="0"/>
    <n v="5100"/>
    <n v="0"/>
    <s v="Y"/>
    <s v="No"/>
    <n v="15"/>
    <x v="0"/>
    <s v="Low Performance"/>
    <n v="3"/>
    <n v="80"/>
    <n v="2"/>
    <n v="12"/>
    <n v="3"/>
    <n v="2"/>
    <s v="Poor"/>
    <n v="11"/>
    <n v="9"/>
    <n v="6"/>
    <n v="9"/>
  </r>
  <r>
    <n v="1720804"/>
    <n v="36"/>
    <x v="0"/>
    <s v="No"/>
    <x v="0"/>
    <x v="1"/>
    <n v="566"/>
    <x v="1"/>
    <n v="18"/>
    <n v="4"/>
    <x v="0"/>
    <n v="1"/>
    <n v="3"/>
    <x v="1"/>
    <n v="81"/>
    <n v="4"/>
    <n v="1"/>
    <s v="Nurse"/>
    <n v="4"/>
    <s v="Good"/>
    <x v="1"/>
    <n v="3688"/>
    <x v="1"/>
    <n v="7122"/>
    <n v="4"/>
    <s v="Y"/>
    <s v="No"/>
    <n v="18"/>
    <x v="0"/>
    <s v="Low Performance"/>
    <n v="4"/>
    <n v="80"/>
    <n v="2"/>
    <n v="4"/>
    <n v="2"/>
    <n v="3"/>
    <s v="Fair"/>
    <n v="1"/>
    <n v="0"/>
    <n v="0"/>
    <n v="0"/>
  </r>
  <r>
    <n v="1749725"/>
    <n v="51"/>
    <x v="1"/>
    <s v="No"/>
    <x v="0"/>
    <x v="0"/>
    <n v="1302"/>
    <x v="2"/>
    <n v="2"/>
    <n v="3"/>
    <x v="2"/>
    <n v="1"/>
    <n v="4"/>
    <x v="1"/>
    <n v="84"/>
    <n v="1"/>
    <n v="2"/>
    <s v="Therapist"/>
    <n v="2"/>
    <s v="Poor"/>
    <x v="2"/>
    <n v="5482"/>
    <x v="0"/>
    <n v="16321"/>
    <n v="5"/>
    <s v="Y"/>
    <s v="No"/>
    <n v="18"/>
    <x v="0"/>
    <s v="Low Performance"/>
    <n v="4"/>
    <n v="80"/>
    <n v="1"/>
    <n v="13"/>
    <n v="3"/>
    <n v="3"/>
    <s v="Fair"/>
    <n v="4"/>
    <n v="1"/>
    <n v="1"/>
    <n v="2"/>
  </r>
  <r>
    <n v="1460737"/>
    <n v="41"/>
    <x v="0"/>
    <s v="No"/>
    <x v="0"/>
    <x v="0"/>
    <n v="334"/>
    <x v="0"/>
    <n v="2"/>
    <n v="4"/>
    <x v="0"/>
    <n v="1"/>
    <n v="4"/>
    <x v="1"/>
    <n v="88"/>
    <n v="3"/>
    <n v="4"/>
    <s v="Administrative"/>
    <n v="2"/>
    <s v="Poor"/>
    <x v="0"/>
    <n v="16015"/>
    <x v="2"/>
    <n v="15896"/>
    <n v="1"/>
    <s v="Y"/>
    <s v="No"/>
    <n v="19"/>
    <x v="0"/>
    <s v="Low Performance"/>
    <n v="2"/>
    <n v="80"/>
    <n v="0"/>
    <n v="22"/>
    <n v="2"/>
    <n v="3"/>
    <s v="Fair"/>
    <n v="22"/>
    <n v="10"/>
    <n v="0"/>
    <n v="4"/>
  </r>
  <r>
    <n v="1464566"/>
    <n v="18"/>
    <x v="4"/>
    <s v="Yes"/>
    <x v="1"/>
    <x v="0"/>
    <n v="812"/>
    <x v="0"/>
    <n v="10"/>
    <n v="3"/>
    <x v="2"/>
    <n v="1"/>
    <n v="4"/>
    <x v="0"/>
    <n v="69"/>
    <n v="2"/>
    <n v="1"/>
    <s v="Other"/>
    <n v="3"/>
    <s v="Fair"/>
    <x v="0"/>
    <n v="1200"/>
    <x v="1"/>
    <n v="9724"/>
    <n v="1"/>
    <s v="Y"/>
    <s v="No"/>
    <n v="12"/>
    <x v="0"/>
    <s v="Low Performance"/>
    <n v="1"/>
    <n v="80"/>
    <n v="0"/>
    <n v="0"/>
    <n v="2"/>
    <n v="3"/>
    <s v="Fair"/>
    <n v="0"/>
    <n v="0"/>
    <n v="0"/>
    <n v="0"/>
  </r>
  <r>
    <n v="1608953"/>
    <n v="28"/>
    <x v="2"/>
    <s v="No"/>
    <x v="0"/>
    <x v="0"/>
    <n v="1476"/>
    <x v="1"/>
    <n v="16"/>
    <n v="2"/>
    <x v="2"/>
    <n v="1"/>
    <n v="2"/>
    <x v="1"/>
    <n v="68"/>
    <n v="4"/>
    <n v="2"/>
    <s v="Nurse"/>
    <n v="1"/>
    <s v="Poor"/>
    <x v="0"/>
    <n v="5661"/>
    <x v="0"/>
    <n v="4824"/>
    <n v="0"/>
    <s v="Y"/>
    <s v="No"/>
    <n v="19"/>
    <x v="0"/>
    <s v="Low Performance"/>
    <n v="3"/>
    <n v="80"/>
    <n v="0"/>
    <n v="9"/>
    <n v="2"/>
    <n v="3"/>
    <s v="Fair"/>
    <n v="8"/>
    <n v="3"/>
    <n v="0"/>
    <n v="7"/>
  </r>
  <r>
    <n v="1162080"/>
    <n v="31"/>
    <x v="2"/>
    <s v="No"/>
    <x v="0"/>
    <x v="0"/>
    <n v="218"/>
    <x v="0"/>
    <n v="7"/>
    <n v="3"/>
    <x v="4"/>
    <n v="1"/>
    <n v="2"/>
    <x v="1"/>
    <n v="100"/>
    <n v="4"/>
    <n v="2"/>
    <s v="Nurse"/>
    <n v="4"/>
    <s v="Good"/>
    <x v="1"/>
    <n v="6929"/>
    <x v="0"/>
    <n v="12241"/>
    <n v="4"/>
    <s v="Y"/>
    <s v="No"/>
    <n v="11"/>
    <x v="0"/>
    <s v="Low Performance"/>
    <n v="2"/>
    <n v="80"/>
    <n v="1"/>
    <n v="10"/>
    <n v="3"/>
    <n v="2"/>
    <s v="Poor"/>
    <n v="8"/>
    <n v="7"/>
    <n v="7"/>
    <n v="7"/>
  </r>
  <r>
    <n v="1317347"/>
    <n v="39"/>
    <x v="0"/>
    <s v="No"/>
    <x v="0"/>
    <x v="0"/>
    <n v="1132"/>
    <x v="1"/>
    <n v="1"/>
    <n v="3"/>
    <x v="2"/>
    <n v="1"/>
    <n v="3"/>
    <x v="1"/>
    <n v="48"/>
    <n v="4"/>
    <n v="3"/>
    <s v="Nurse"/>
    <n v="4"/>
    <s v="Good"/>
    <x v="2"/>
    <n v="9613"/>
    <x v="0"/>
    <n v="10942"/>
    <n v="0"/>
    <s v="Y"/>
    <s v="No"/>
    <n v="17"/>
    <x v="0"/>
    <s v="Low Performance"/>
    <n v="1"/>
    <n v="80"/>
    <n v="3"/>
    <n v="19"/>
    <n v="5"/>
    <n v="2"/>
    <s v="Poor"/>
    <n v="18"/>
    <n v="10"/>
    <n v="3"/>
    <n v="7"/>
  </r>
  <r>
    <n v="1712914"/>
    <n v="36"/>
    <x v="0"/>
    <s v="No"/>
    <x v="0"/>
    <x v="2"/>
    <n v="1105"/>
    <x v="1"/>
    <n v="24"/>
    <n v="4"/>
    <x v="0"/>
    <n v="1"/>
    <n v="2"/>
    <x v="0"/>
    <n v="47"/>
    <n v="3"/>
    <n v="2"/>
    <s v="Nurse"/>
    <n v="2"/>
    <s v="Poor"/>
    <x v="1"/>
    <n v="5674"/>
    <x v="0"/>
    <n v="6927"/>
    <n v="7"/>
    <s v="Y"/>
    <s v="No"/>
    <n v="15"/>
    <x v="0"/>
    <s v="Low Performance"/>
    <n v="3"/>
    <n v="80"/>
    <n v="1"/>
    <n v="11"/>
    <n v="3"/>
    <n v="3"/>
    <s v="Fair"/>
    <n v="9"/>
    <n v="8"/>
    <n v="0"/>
    <n v="8"/>
  </r>
  <r>
    <n v="1672940"/>
    <n v="32"/>
    <x v="2"/>
    <s v="No"/>
    <x v="0"/>
    <x v="0"/>
    <n v="906"/>
    <x v="0"/>
    <n v="7"/>
    <n v="3"/>
    <x v="0"/>
    <n v="1"/>
    <n v="4"/>
    <x v="1"/>
    <n v="91"/>
    <n v="2"/>
    <n v="2"/>
    <s v="Nurse"/>
    <n v="3"/>
    <s v="Fair"/>
    <x v="1"/>
    <n v="5484"/>
    <x v="0"/>
    <n v="16985"/>
    <n v="1"/>
    <s v="Y"/>
    <s v="No"/>
    <n v="14"/>
    <x v="0"/>
    <s v="Low Performance"/>
    <n v="3"/>
    <n v="80"/>
    <n v="1"/>
    <n v="13"/>
    <n v="3"/>
    <n v="2"/>
    <s v="Poor"/>
    <n v="13"/>
    <n v="8"/>
    <n v="4"/>
    <n v="8"/>
  </r>
  <r>
    <n v="1535275"/>
    <n v="38"/>
    <x v="0"/>
    <s v="No"/>
    <x v="0"/>
    <x v="0"/>
    <n v="849"/>
    <x v="1"/>
    <n v="25"/>
    <n v="2"/>
    <x v="0"/>
    <n v="1"/>
    <n v="1"/>
    <x v="0"/>
    <n v="81"/>
    <n v="2"/>
    <n v="3"/>
    <s v="Administrative"/>
    <n v="2"/>
    <s v="Poor"/>
    <x v="1"/>
    <n v="12061"/>
    <x v="2"/>
    <n v="26707"/>
    <n v="3"/>
    <s v="Y"/>
    <s v="No"/>
    <n v="17"/>
    <x v="0"/>
    <s v="Low Performance"/>
    <n v="3"/>
    <n v="80"/>
    <n v="1"/>
    <n v="19"/>
    <n v="2"/>
    <n v="3"/>
    <s v="Fair"/>
    <n v="10"/>
    <n v="8"/>
    <n v="0"/>
    <n v="1"/>
  </r>
  <r>
    <n v="1505031"/>
    <n v="58"/>
    <x v="3"/>
    <s v="No"/>
    <x v="0"/>
    <x v="2"/>
    <n v="390"/>
    <x v="1"/>
    <n v="1"/>
    <n v="4"/>
    <x v="0"/>
    <n v="1"/>
    <n v="4"/>
    <x v="1"/>
    <n v="32"/>
    <n v="1"/>
    <n v="2"/>
    <s v="Nurse"/>
    <n v="3"/>
    <s v="Fair"/>
    <x v="2"/>
    <n v="5660"/>
    <x v="0"/>
    <n v="17056"/>
    <n v="2"/>
    <s v="Y"/>
    <s v="Yes"/>
    <n v="13"/>
    <x v="0"/>
    <s v="Low Performance"/>
    <n v="4"/>
    <n v="80"/>
    <n v="1"/>
    <n v="12"/>
    <n v="2"/>
    <n v="3"/>
    <s v="Fair"/>
    <n v="5"/>
    <n v="3"/>
    <n v="1"/>
    <n v="2"/>
  </r>
  <r>
    <n v="1546688"/>
    <n v="31"/>
    <x v="2"/>
    <s v="No"/>
    <x v="0"/>
    <x v="0"/>
    <n v="691"/>
    <x v="1"/>
    <n v="5"/>
    <n v="4"/>
    <x v="4"/>
    <n v="1"/>
    <n v="3"/>
    <x v="1"/>
    <n v="86"/>
    <n v="3"/>
    <n v="1"/>
    <s v="Other"/>
    <n v="4"/>
    <s v="Good"/>
    <x v="1"/>
    <n v="4821"/>
    <x v="1"/>
    <n v="10077"/>
    <n v="0"/>
    <s v="Y"/>
    <s v="Yes"/>
    <n v="12"/>
    <x v="0"/>
    <s v="Low Performance"/>
    <n v="3"/>
    <n v="80"/>
    <n v="1"/>
    <n v="6"/>
    <n v="4"/>
    <n v="3"/>
    <s v="Fair"/>
    <n v="5"/>
    <n v="2"/>
    <n v="0"/>
    <n v="3"/>
  </r>
  <r>
    <n v="1578970"/>
    <n v="31"/>
    <x v="2"/>
    <s v="No"/>
    <x v="0"/>
    <x v="0"/>
    <n v="106"/>
    <x v="2"/>
    <n v="2"/>
    <n v="3"/>
    <x v="5"/>
    <n v="1"/>
    <n v="1"/>
    <x v="1"/>
    <n v="62"/>
    <n v="2"/>
    <n v="2"/>
    <s v="Other"/>
    <n v="1"/>
    <s v="Poor"/>
    <x v="1"/>
    <n v="6410"/>
    <x v="0"/>
    <n v="17822"/>
    <n v="3"/>
    <s v="Y"/>
    <s v="No"/>
    <n v="12"/>
    <x v="0"/>
    <s v="Low Performance"/>
    <n v="4"/>
    <n v="80"/>
    <n v="0"/>
    <n v="9"/>
    <n v="1"/>
    <n v="3"/>
    <s v="Fair"/>
    <n v="2"/>
    <n v="2"/>
    <n v="1"/>
    <n v="0"/>
  </r>
  <r>
    <n v="1304896"/>
    <n v="45"/>
    <x v="0"/>
    <s v="No"/>
    <x v="0"/>
    <x v="1"/>
    <n v="1249"/>
    <x v="1"/>
    <n v="7"/>
    <n v="3"/>
    <x v="0"/>
    <n v="1"/>
    <n v="1"/>
    <x v="1"/>
    <n v="97"/>
    <n v="3"/>
    <n v="3"/>
    <s v="Nurse"/>
    <n v="1"/>
    <s v="Poor"/>
    <x v="2"/>
    <n v="5210"/>
    <x v="0"/>
    <n v="20308"/>
    <n v="1"/>
    <s v="Y"/>
    <s v="No"/>
    <n v="18"/>
    <x v="0"/>
    <s v="Low Performance"/>
    <n v="1"/>
    <n v="80"/>
    <n v="1"/>
    <n v="24"/>
    <n v="2"/>
    <n v="3"/>
    <s v="Fair"/>
    <n v="24"/>
    <n v="9"/>
    <n v="9"/>
    <n v="11"/>
  </r>
  <r>
    <n v="1685562"/>
    <n v="31"/>
    <x v="2"/>
    <s v="No"/>
    <x v="0"/>
    <x v="0"/>
    <n v="192"/>
    <x v="1"/>
    <n v="2"/>
    <n v="4"/>
    <x v="0"/>
    <n v="1"/>
    <n v="3"/>
    <x v="1"/>
    <n v="32"/>
    <n v="3"/>
    <n v="1"/>
    <s v="Other"/>
    <n v="4"/>
    <s v="Good"/>
    <x v="2"/>
    <n v="2695"/>
    <x v="1"/>
    <n v="7747"/>
    <n v="0"/>
    <s v="Y"/>
    <s v="Yes"/>
    <n v="18"/>
    <x v="0"/>
    <s v="Low Performance"/>
    <n v="2"/>
    <n v="80"/>
    <n v="1"/>
    <n v="3"/>
    <n v="2"/>
    <n v="1"/>
    <s v="Poor"/>
    <n v="2"/>
    <n v="2"/>
    <n v="2"/>
    <n v="2"/>
  </r>
  <r>
    <n v="1172739"/>
    <n v="33"/>
    <x v="2"/>
    <s v="No"/>
    <x v="0"/>
    <x v="1"/>
    <n v="553"/>
    <x v="2"/>
    <n v="5"/>
    <n v="4"/>
    <x v="0"/>
    <n v="1"/>
    <n v="4"/>
    <x v="0"/>
    <n v="74"/>
    <n v="3"/>
    <n v="3"/>
    <s v="Other"/>
    <n v="2"/>
    <s v="Poor"/>
    <x v="1"/>
    <n v="11878"/>
    <x v="0"/>
    <n v="23364"/>
    <n v="6"/>
    <s v="Y"/>
    <s v="No"/>
    <n v="11"/>
    <x v="0"/>
    <s v="Low Performance"/>
    <n v="2"/>
    <n v="80"/>
    <n v="2"/>
    <n v="12"/>
    <n v="2"/>
    <n v="3"/>
    <s v="Fair"/>
    <n v="10"/>
    <n v="6"/>
    <n v="8"/>
    <n v="8"/>
  </r>
  <r>
    <n v="1536502"/>
    <n v="39"/>
    <x v="0"/>
    <s v="No"/>
    <x v="0"/>
    <x v="0"/>
    <n v="117"/>
    <x v="2"/>
    <n v="10"/>
    <n v="1"/>
    <x v="2"/>
    <n v="1"/>
    <n v="3"/>
    <x v="1"/>
    <n v="99"/>
    <n v="3"/>
    <n v="4"/>
    <s v="Other"/>
    <n v="1"/>
    <s v="Poor"/>
    <x v="1"/>
    <n v="17068"/>
    <x v="2"/>
    <n v="5355"/>
    <n v="1"/>
    <s v="Y"/>
    <s v="Yes"/>
    <n v="14"/>
    <x v="0"/>
    <s v="Low Performance"/>
    <n v="4"/>
    <n v="80"/>
    <n v="0"/>
    <n v="21"/>
    <n v="3"/>
    <n v="3"/>
    <s v="Fair"/>
    <n v="21"/>
    <n v="9"/>
    <n v="11"/>
    <n v="10"/>
  </r>
  <r>
    <n v="1837585"/>
    <n v="43"/>
    <x v="0"/>
    <s v="No"/>
    <x v="0"/>
    <x v="1"/>
    <n v="185"/>
    <x v="1"/>
    <n v="10"/>
    <n v="4"/>
    <x v="0"/>
    <n v="1"/>
    <n v="3"/>
    <x v="0"/>
    <n v="33"/>
    <n v="3"/>
    <n v="1"/>
    <s v="Nurse"/>
    <n v="4"/>
    <s v="Good"/>
    <x v="0"/>
    <n v="2455"/>
    <x v="1"/>
    <n v="10675"/>
    <n v="0"/>
    <s v="Y"/>
    <s v="No"/>
    <n v="19"/>
    <x v="0"/>
    <s v="Low Performance"/>
    <n v="1"/>
    <n v="80"/>
    <n v="0"/>
    <n v="9"/>
    <n v="5"/>
    <n v="3"/>
    <s v="Fair"/>
    <n v="8"/>
    <n v="7"/>
    <n v="1"/>
    <n v="7"/>
  </r>
  <r>
    <n v="1230043"/>
    <n v="49"/>
    <x v="1"/>
    <s v="No"/>
    <x v="0"/>
    <x v="0"/>
    <n v="1091"/>
    <x v="1"/>
    <n v="1"/>
    <n v="2"/>
    <x v="4"/>
    <n v="1"/>
    <n v="3"/>
    <x v="0"/>
    <n v="90"/>
    <n v="2"/>
    <n v="4"/>
    <s v="Nurse"/>
    <n v="3"/>
    <s v="Fair"/>
    <x v="0"/>
    <n v="13964"/>
    <x v="2"/>
    <n v="17810"/>
    <n v="7"/>
    <s v="Y"/>
    <s v="Yes"/>
    <n v="12"/>
    <x v="0"/>
    <s v="Low Performance"/>
    <n v="4"/>
    <n v="80"/>
    <n v="0"/>
    <n v="25"/>
    <n v="2"/>
    <n v="3"/>
    <s v="Fair"/>
    <n v="7"/>
    <n v="1"/>
    <n v="0"/>
    <n v="7"/>
  </r>
  <r>
    <n v="1202360"/>
    <n v="52"/>
    <x v="1"/>
    <s v="No"/>
    <x v="0"/>
    <x v="0"/>
    <n v="723"/>
    <x v="1"/>
    <n v="8"/>
    <n v="4"/>
    <x v="2"/>
    <n v="1"/>
    <n v="3"/>
    <x v="1"/>
    <n v="85"/>
    <n v="2"/>
    <n v="2"/>
    <s v="Other"/>
    <n v="2"/>
    <s v="Poor"/>
    <x v="1"/>
    <n v="4941"/>
    <x v="1"/>
    <n v="17747"/>
    <n v="2"/>
    <s v="Y"/>
    <s v="No"/>
    <n v="15"/>
    <x v="0"/>
    <s v="Low Performance"/>
    <n v="1"/>
    <n v="80"/>
    <n v="0"/>
    <n v="11"/>
    <n v="3"/>
    <n v="2"/>
    <s v="Poor"/>
    <n v="8"/>
    <n v="2"/>
    <n v="7"/>
    <n v="7"/>
  </r>
  <r>
    <n v="1680149"/>
    <n v="27"/>
    <x v="2"/>
    <s v="No"/>
    <x v="0"/>
    <x v="0"/>
    <n v="1220"/>
    <x v="1"/>
    <n v="5"/>
    <n v="3"/>
    <x v="0"/>
    <n v="1"/>
    <n v="3"/>
    <x v="0"/>
    <n v="85"/>
    <n v="3"/>
    <n v="1"/>
    <s v="Other"/>
    <n v="2"/>
    <s v="Poor"/>
    <x v="0"/>
    <n v="2478"/>
    <x v="1"/>
    <n v="20938"/>
    <n v="1"/>
    <s v="Y"/>
    <s v="Yes"/>
    <n v="12"/>
    <x v="0"/>
    <s v="Low Performance"/>
    <n v="2"/>
    <n v="80"/>
    <n v="0"/>
    <n v="4"/>
    <n v="2"/>
    <n v="2"/>
    <s v="Poor"/>
    <n v="4"/>
    <n v="3"/>
    <n v="1"/>
    <n v="2"/>
  </r>
  <r>
    <n v="1696143"/>
    <n v="32"/>
    <x v="2"/>
    <s v="No"/>
    <x v="0"/>
    <x v="0"/>
    <n v="588"/>
    <x v="0"/>
    <n v="8"/>
    <n v="2"/>
    <x v="4"/>
    <n v="1"/>
    <n v="3"/>
    <x v="0"/>
    <n v="65"/>
    <n v="2"/>
    <n v="2"/>
    <s v="Nurse"/>
    <n v="2"/>
    <s v="Poor"/>
    <x v="1"/>
    <n v="5228"/>
    <x v="0"/>
    <n v="24624"/>
    <n v="1"/>
    <s v="Y"/>
    <s v="Yes"/>
    <n v="11"/>
    <x v="0"/>
    <s v="Low Performance"/>
    <n v="4"/>
    <n v="80"/>
    <n v="0"/>
    <n v="13"/>
    <n v="2"/>
    <n v="3"/>
    <s v="Fair"/>
    <n v="13"/>
    <n v="12"/>
    <n v="11"/>
    <n v="9"/>
  </r>
  <r>
    <n v="1773686"/>
    <n v="27"/>
    <x v="2"/>
    <s v="No"/>
    <x v="0"/>
    <x v="0"/>
    <n v="1377"/>
    <x v="0"/>
    <n v="2"/>
    <n v="3"/>
    <x v="0"/>
    <n v="1"/>
    <n v="4"/>
    <x v="1"/>
    <n v="74"/>
    <n v="3"/>
    <n v="2"/>
    <s v="Nurse"/>
    <n v="3"/>
    <s v="Fair"/>
    <x v="0"/>
    <n v="4478"/>
    <x v="1"/>
    <n v="5242"/>
    <n v="1"/>
    <s v="Y"/>
    <s v="Yes"/>
    <n v="11"/>
    <x v="0"/>
    <s v="Low Performance"/>
    <n v="1"/>
    <n v="80"/>
    <n v="0"/>
    <n v="5"/>
    <n v="3"/>
    <n v="3"/>
    <s v="Fair"/>
    <n v="5"/>
    <n v="4"/>
    <n v="0"/>
    <n v="4"/>
  </r>
  <r>
    <n v="1625490"/>
    <n v="31"/>
    <x v="2"/>
    <s v="No"/>
    <x v="0"/>
    <x v="0"/>
    <n v="691"/>
    <x v="0"/>
    <n v="7"/>
    <n v="3"/>
    <x v="3"/>
    <n v="1"/>
    <n v="4"/>
    <x v="1"/>
    <n v="73"/>
    <n v="3"/>
    <n v="2"/>
    <s v="Nurse"/>
    <n v="4"/>
    <s v="Good"/>
    <x v="2"/>
    <n v="7547"/>
    <x v="0"/>
    <n v="7143"/>
    <n v="4"/>
    <s v="Y"/>
    <s v="No"/>
    <n v="12"/>
    <x v="0"/>
    <s v="Low Performance"/>
    <n v="4"/>
    <n v="80"/>
    <n v="3"/>
    <n v="13"/>
    <n v="3"/>
    <n v="3"/>
    <s v="Fair"/>
    <n v="7"/>
    <n v="7"/>
    <n v="1"/>
    <n v="7"/>
  </r>
  <r>
    <n v="1038656"/>
    <n v="32"/>
    <x v="2"/>
    <s v="No"/>
    <x v="0"/>
    <x v="0"/>
    <n v="1018"/>
    <x v="1"/>
    <n v="2"/>
    <n v="4"/>
    <x v="2"/>
    <n v="1"/>
    <n v="1"/>
    <x v="0"/>
    <n v="74"/>
    <n v="4"/>
    <n v="2"/>
    <s v="Other"/>
    <n v="4"/>
    <s v="Good"/>
    <x v="0"/>
    <n v="5055"/>
    <x v="0"/>
    <n v="10557"/>
    <n v="7"/>
    <s v="Y"/>
    <s v="No"/>
    <n v="16"/>
    <x v="0"/>
    <s v="Low Performance"/>
    <n v="3"/>
    <n v="80"/>
    <n v="0"/>
    <n v="10"/>
    <n v="0"/>
    <n v="2"/>
    <s v="Poor"/>
    <n v="7"/>
    <n v="7"/>
    <n v="0"/>
    <n v="7"/>
  </r>
  <r>
    <n v="1323864"/>
    <n v="28"/>
    <x v="2"/>
    <s v="Yes"/>
    <x v="1"/>
    <x v="0"/>
    <n v="1157"/>
    <x v="1"/>
    <n v="2"/>
    <n v="4"/>
    <x v="2"/>
    <n v="1"/>
    <n v="1"/>
    <x v="1"/>
    <n v="84"/>
    <n v="1"/>
    <n v="1"/>
    <s v="Other"/>
    <n v="4"/>
    <s v="Good"/>
    <x v="1"/>
    <n v="3464"/>
    <x v="1"/>
    <n v="24737"/>
    <n v="5"/>
    <s v="Y"/>
    <s v="Yes"/>
    <n v="13"/>
    <x v="0"/>
    <s v="Low Performance"/>
    <n v="4"/>
    <n v="80"/>
    <n v="0"/>
    <n v="5"/>
    <n v="4"/>
    <n v="2"/>
    <s v="Poor"/>
    <n v="3"/>
    <n v="2"/>
    <n v="2"/>
    <n v="2"/>
  </r>
  <r>
    <n v="1222187"/>
    <n v="30"/>
    <x v="2"/>
    <s v="No"/>
    <x v="0"/>
    <x v="0"/>
    <n v="1275"/>
    <x v="1"/>
    <n v="28"/>
    <n v="2"/>
    <x v="2"/>
    <n v="1"/>
    <n v="4"/>
    <x v="0"/>
    <n v="64"/>
    <n v="3"/>
    <n v="2"/>
    <s v="Other"/>
    <n v="4"/>
    <s v="Good"/>
    <x v="1"/>
    <n v="5775"/>
    <x v="0"/>
    <n v="11934"/>
    <n v="1"/>
    <s v="Y"/>
    <s v="No"/>
    <n v="13"/>
    <x v="0"/>
    <s v="Low Performance"/>
    <n v="4"/>
    <n v="80"/>
    <n v="2"/>
    <n v="11"/>
    <n v="2"/>
    <n v="3"/>
    <s v="Fair"/>
    <n v="10"/>
    <n v="8"/>
    <n v="1"/>
    <n v="9"/>
  </r>
  <r>
    <n v="1452875"/>
    <n v="31"/>
    <x v="2"/>
    <s v="No"/>
    <x v="0"/>
    <x v="1"/>
    <n v="798"/>
    <x v="2"/>
    <n v="7"/>
    <n v="2"/>
    <x v="0"/>
    <n v="1"/>
    <n v="3"/>
    <x v="0"/>
    <n v="48"/>
    <n v="2"/>
    <n v="3"/>
    <s v="Therapist"/>
    <n v="3"/>
    <s v="Fair"/>
    <x v="1"/>
    <n v="8943"/>
    <x v="0"/>
    <n v="14034"/>
    <n v="1"/>
    <s v="Y"/>
    <s v="No"/>
    <n v="24"/>
    <x v="1"/>
    <s v="High Performance"/>
    <n v="1"/>
    <n v="80"/>
    <n v="1"/>
    <n v="10"/>
    <n v="2"/>
    <n v="3"/>
    <s v="Fair"/>
    <n v="10"/>
    <n v="9"/>
    <n v="8"/>
    <n v="9"/>
  </r>
  <r>
    <n v="1375684"/>
    <n v="39"/>
    <x v="0"/>
    <s v="No"/>
    <x v="0"/>
    <x v="1"/>
    <n v="672"/>
    <x v="2"/>
    <n v="7"/>
    <n v="2"/>
    <x v="2"/>
    <n v="1"/>
    <n v="3"/>
    <x v="1"/>
    <n v="54"/>
    <n v="2"/>
    <n v="5"/>
    <s v="Other"/>
    <n v="4"/>
    <s v="Good"/>
    <x v="1"/>
    <n v="19272"/>
    <x v="2"/>
    <n v="21141"/>
    <n v="1"/>
    <s v="Y"/>
    <s v="No"/>
    <n v="15"/>
    <x v="0"/>
    <s v="Low Performance"/>
    <n v="1"/>
    <n v="80"/>
    <n v="1"/>
    <n v="21"/>
    <n v="2"/>
    <n v="3"/>
    <s v="Fair"/>
    <n v="21"/>
    <n v="9"/>
    <n v="13"/>
    <n v="3"/>
  </r>
  <r>
    <n v="1864653"/>
    <n v="39"/>
    <x v="0"/>
    <s v="Yes"/>
    <x v="1"/>
    <x v="0"/>
    <n v="1162"/>
    <x v="0"/>
    <n v="3"/>
    <n v="2"/>
    <x v="2"/>
    <n v="1"/>
    <n v="4"/>
    <x v="0"/>
    <n v="41"/>
    <n v="3"/>
    <n v="2"/>
    <s v="Nurse"/>
    <n v="3"/>
    <s v="Fair"/>
    <x v="1"/>
    <n v="5238"/>
    <x v="0"/>
    <n v="17778"/>
    <n v="4"/>
    <s v="Y"/>
    <s v="Yes"/>
    <n v="18"/>
    <x v="0"/>
    <s v="Low Performance"/>
    <n v="1"/>
    <n v="80"/>
    <n v="0"/>
    <n v="12"/>
    <n v="3"/>
    <n v="2"/>
    <s v="Poor"/>
    <n v="1"/>
    <n v="0"/>
    <n v="0"/>
    <n v="0"/>
  </r>
  <r>
    <n v="1810061"/>
    <n v="33"/>
    <x v="2"/>
    <s v="No"/>
    <x v="0"/>
    <x v="1"/>
    <n v="508"/>
    <x v="0"/>
    <n v="10"/>
    <n v="3"/>
    <x v="3"/>
    <n v="1"/>
    <n v="2"/>
    <x v="1"/>
    <n v="46"/>
    <n v="2"/>
    <n v="2"/>
    <s v="Nurse"/>
    <n v="4"/>
    <s v="Good"/>
    <x v="0"/>
    <n v="4682"/>
    <x v="1"/>
    <n v="4317"/>
    <n v="3"/>
    <s v="Y"/>
    <s v="No"/>
    <n v="14"/>
    <x v="0"/>
    <s v="Low Performance"/>
    <n v="3"/>
    <n v="80"/>
    <n v="0"/>
    <n v="9"/>
    <n v="6"/>
    <n v="2"/>
    <s v="Poor"/>
    <n v="7"/>
    <n v="7"/>
    <n v="0"/>
    <n v="1"/>
  </r>
  <r>
    <n v="1857574"/>
    <n v="47"/>
    <x v="1"/>
    <s v="No"/>
    <x v="0"/>
    <x v="0"/>
    <n v="1482"/>
    <x v="1"/>
    <n v="5"/>
    <n v="5"/>
    <x v="0"/>
    <n v="1"/>
    <n v="4"/>
    <x v="1"/>
    <n v="42"/>
    <n v="3"/>
    <n v="5"/>
    <s v="Administrative"/>
    <n v="3"/>
    <s v="Fair"/>
    <x v="1"/>
    <n v="18300"/>
    <x v="2"/>
    <n v="16375"/>
    <n v="4"/>
    <s v="Y"/>
    <s v="No"/>
    <n v="11"/>
    <x v="0"/>
    <s v="Low Performance"/>
    <n v="2"/>
    <n v="80"/>
    <n v="1"/>
    <n v="21"/>
    <n v="2"/>
    <n v="3"/>
    <s v="Fair"/>
    <n v="3"/>
    <n v="2"/>
    <n v="1"/>
    <n v="1"/>
  </r>
  <r>
    <n v="1342581"/>
    <n v="43"/>
    <x v="0"/>
    <s v="No"/>
    <x v="0"/>
    <x v="1"/>
    <n v="559"/>
    <x v="1"/>
    <n v="10"/>
    <n v="4"/>
    <x v="0"/>
    <n v="1"/>
    <n v="3"/>
    <x v="0"/>
    <n v="82"/>
    <n v="2"/>
    <n v="2"/>
    <s v="Nurse"/>
    <n v="3"/>
    <s v="Fair"/>
    <x v="2"/>
    <n v="5257"/>
    <x v="0"/>
    <n v="6227"/>
    <n v="1"/>
    <s v="Y"/>
    <s v="No"/>
    <n v="11"/>
    <x v="0"/>
    <s v="Low Performance"/>
    <n v="2"/>
    <n v="80"/>
    <n v="1"/>
    <n v="9"/>
    <n v="3"/>
    <n v="4"/>
    <s v="Good"/>
    <n v="9"/>
    <n v="7"/>
    <n v="0"/>
    <n v="0"/>
  </r>
  <r>
    <n v="1863408"/>
    <n v="27"/>
    <x v="2"/>
    <s v="No"/>
    <x v="0"/>
    <x v="2"/>
    <n v="210"/>
    <x v="0"/>
    <n v="1"/>
    <n v="1"/>
    <x v="3"/>
    <n v="1"/>
    <n v="3"/>
    <x v="1"/>
    <n v="73"/>
    <n v="3"/>
    <n v="2"/>
    <s v="Nurse"/>
    <n v="2"/>
    <s v="Poor"/>
    <x v="1"/>
    <n v="6349"/>
    <x v="0"/>
    <n v="22107"/>
    <n v="0"/>
    <s v="Y"/>
    <s v="Yes"/>
    <n v="13"/>
    <x v="0"/>
    <s v="Low Performance"/>
    <n v="4"/>
    <n v="80"/>
    <n v="1"/>
    <n v="6"/>
    <n v="0"/>
    <n v="3"/>
    <s v="Fair"/>
    <n v="5"/>
    <n v="4"/>
    <n v="1"/>
    <n v="4"/>
  </r>
  <r>
    <n v="1028630"/>
    <n v="54"/>
    <x v="1"/>
    <s v="No"/>
    <x v="0"/>
    <x v="1"/>
    <n v="928"/>
    <x v="1"/>
    <n v="20"/>
    <n v="4"/>
    <x v="0"/>
    <n v="1"/>
    <n v="4"/>
    <x v="0"/>
    <n v="31"/>
    <n v="3"/>
    <n v="2"/>
    <s v="Other"/>
    <n v="3"/>
    <s v="Fair"/>
    <x v="0"/>
    <n v="4869"/>
    <x v="1"/>
    <n v="16885"/>
    <n v="3"/>
    <s v="Y"/>
    <s v="No"/>
    <n v="12"/>
    <x v="0"/>
    <s v="Low Performance"/>
    <n v="4"/>
    <n v="80"/>
    <n v="0"/>
    <n v="20"/>
    <n v="4"/>
    <n v="2"/>
    <s v="Poor"/>
    <n v="4"/>
    <n v="3"/>
    <n v="0"/>
    <n v="3"/>
  </r>
  <r>
    <n v="1416430"/>
    <n v="43"/>
    <x v="0"/>
    <s v="No"/>
    <x v="0"/>
    <x v="0"/>
    <n v="1001"/>
    <x v="1"/>
    <n v="7"/>
    <n v="3"/>
    <x v="0"/>
    <n v="1"/>
    <n v="3"/>
    <x v="0"/>
    <n v="43"/>
    <n v="3"/>
    <n v="3"/>
    <s v="Nurse"/>
    <n v="1"/>
    <s v="Poor"/>
    <x v="1"/>
    <n v="9985"/>
    <x v="0"/>
    <n v="9262"/>
    <n v="8"/>
    <s v="Y"/>
    <s v="No"/>
    <n v="16"/>
    <x v="0"/>
    <s v="Low Performance"/>
    <n v="1"/>
    <n v="80"/>
    <n v="1"/>
    <n v="10"/>
    <n v="1"/>
    <n v="2"/>
    <s v="Poor"/>
    <n v="1"/>
    <n v="0"/>
    <n v="0"/>
    <n v="0"/>
  </r>
  <r>
    <n v="1139398"/>
    <n v="45"/>
    <x v="0"/>
    <s v="No"/>
    <x v="0"/>
    <x v="0"/>
    <n v="549"/>
    <x v="1"/>
    <n v="8"/>
    <n v="4"/>
    <x v="1"/>
    <n v="1"/>
    <n v="4"/>
    <x v="1"/>
    <n v="75"/>
    <n v="3"/>
    <n v="2"/>
    <s v="Other"/>
    <n v="4"/>
    <s v="Good"/>
    <x v="1"/>
    <n v="3697"/>
    <x v="1"/>
    <n v="9278"/>
    <n v="9"/>
    <s v="Y"/>
    <s v="No"/>
    <n v="14"/>
    <x v="0"/>
    <s v="Low Performance"/>
    <n v="1"/>
    <n v="80"/>
    <n v="2"/>
    <n v="12"/>
    <n v="3"/>
    <n v="3"/>
    <s v="Fair"/>
    <n v="10"/>
    <n v="9"/>
    <n v="9"/>
    <n v="8"/>
  </r>
  <r>
    <n v="1267133"/>
    <n v="40"/>
    <x v="0"/>
    <s v="No"/>
    <x v="0"/>
    <x v="0"/>
    <n v="1124"/>
    <x v="0"/>
    <n v="1"/>
    <n v="2"/>
    <x v="2"/>
    <n v="1"/>
    <n v="2"/>
    <x v="1"/>
    <n v="57"/>
    <n v="1"/>
    <n v="2"/>
    <s v="Nurse"/>
    <n v="4"/>
    <s v="Good"/>
    <x v="1"/>
    <n v="7457"/>
    <x v="0"/>
    <n v="13273"/>
    <n v="2"/>
    <s v="Y"/>
    <s v="Yes"/>
    <n v="22"/>
    <x v="1"/>
    <s v="High Performance"/>
    <n v="3"/>
    <n v="80"/>
    <n v="3"/>
    <n v="6"/>
    <n v="2"/>
    <n v="2"/>
    <s v="Poor"/>
    <n v="4"/>
    <n v="3"/>
    <n v="0"/>
    <n v="2"/>
  </r>
  <r>
    <n v="1701544"/>
    <n v="29"/>
    <x v="2"/>
    <s v="Yes"/>
    <x v="1"/>
    <x v="0"/>
    <n v="318"/>
    <x v="1"/>
    <n v="8"/>
    <n v="4"/>
    <x v="1"/>
    <n v="1"/>
    <n v="2"/>
    <x v="1"/>
    <n v="77"/>
    <n v="1"/>
    <n v="1"/>
    <s v="Nurse"/>
    <n v="1"/>
    <s v="Poor"/>
    <x v="1"/>
    <n v="2119"/>
    <x v="1"/>
    <n v="4759"/>
    <n v="1"/>
    <s v="Y"/>
    <s v="Yes"/>
    <n v="11"/>
    <x v="0"/>
    <s v="Low Performance"/>
    <n v="4"/>
    <n v="80"/>
    <n v="0"/>
    <n v="7"/>
    <n v="4"/>
    <n v="2"/>
    <s v="Poor"/>
    <n v="7"/>
    <n v="7"/>
    <n v="0"/>
    <n v="7"/>
  </r>
  <r>
    <n v="1574346"/>
    <n v="29"/>
    <x v="2"/>
    <s v="No"/>
    <x v="0"/>
    <x v="0"/>
    <n v="738"/>
    <x v="1"/>
    <n v="9"/>
    <n v="5"/>
    <x v="1"/>
    <n v="1"/>
    <n v="2"/>
    <x v="1"/>
    <n v="30"/>
    <n v="2"/>
    <n v="1"/>
    <s v="Nurse"/>
    <n v="4"/>
    <s v="Good"/>
    <x v="0"/>
    <n v="3983"/>
    <x v="1"/>
    <n v="7621"/>
    <n v="0"/>
    <s v="Y"/>
    <s v="No"/>
    <n v="17"/>
    <x v="0"/>
    <s v="Low Performance"/>
    <n v="3"/>
    <n v="80"/>
    <n v="0"/>
    <n v="4"/>
    <n v="2"/>
    <n v="3"/>
    <s v="Fair"/>
    <n v="3"/>
    <n v="2"/>
    <n v="2"/>
    <n v="2"/>
  </r>
  <r>
    <n v="1446564"/>
    <n v="30"/>
    <x v="2"/>
    <s v="No"/>
    <x v="0"/>
    <x v="0"/>
    <n v="570"/>
    <x v="0"/>
    <n v="5"/>
    <n v="3"/>
    <x v="3"/>
    <n v="1"/>
    <n v="4"/>
    <x v="0"/>
    <n v="30"/>
    <n v="2"/>
    <n v="2"/>
    <s v="Nurse"/>
    <n v="3"/>
    <s v="Fair"/>
    <x v="2"/>
    <n v="6118"/>
    <x v="0"/>
    <n v="5431"/>
    <n v="1"/>
    <s v="Y"/>
    <s v="No"/>
    <n v="13"/>
    <x v="0"/>
    <s v="Low Performance"/>
    <n v="3"/>
    <n v="80"/>
    <n v="3"/>
    <n v="10"/>
    <n v="2"/>
    <n v="3"/>
    <s v="Fair"/>
    <n v="10"/>
    <n v="9"/>
    <n v="1"/>
    <n v="2"/>
  </r>
  <r>
    <n v="1646930"/>
    <n v="27"/>
    <x v="2"/>
    <s v="No"/>
    <x v="0"/>
    <x v="0"/>
    <n v="1130"/>
    <x v="0"/>
    <n v="8"/>
    <n v="4"/>
    <x v="3"/>
    <n v="1"/>
    <n v="2"/>
    <x v="0"/>
    <n v="56"/>
    <n v="3"/>
    <n v="2"/>
    <s v="Nurse"/>
    <n v="2"/>
    <s v="Poor"/>
    <x v="1"/>
    <n v="6214"/>
    <x v="0"/>
    <n v="3415"/>
    <n v="1"/>
    <s v="Y"/>
    <s v="No"/>
    <n v="18"/>
    <x v="0"/>
    <s v="Low Performance"/>
    <n v="1"/>
    <n v="80"/>
    <n v="1"/>
    <n v="8"/>
    <n v="3"/>
    <n v="3"/>
    <s v="Fair"/>
    <n v="8"/>
    <n v="7"/>
    <n v="0"/>
    <n v="7"/>
  </r>
  <r>
    <n v="1514947"/>
    <n v="37"/>
    <x v="0"/>
    <s v="No"/>
    <x v="0"/>
    <x v="0"/>
    <n v="1192"/>
    <x v="2"/>
    <n v="5"/>
    <n v="2"/>
    <x v="2"/>
    <n v="1"/>
    <n v="4"/>
    <x v="1"/>
    <n v="61"/>
    <n v="3"/>
    <n v="2"/>
    <s v="Therapist"/>
    <n v="4"/>
    <s v="Good"/>
    <x v="2"/>
    <n v="6347"/>
    <x v="0"/>
    <n v="23177"/>
    <n v="7"/>
    <s v="Y"/>
    <s v="No"/>
    <n v="16"/>
    <x v="0"/>
    <s v="Low Performance"/>
    <n v="3"/>
    <n v="80"/>
    <n v="2"/>
    <n v="8"/>
    <n v="2"/>
    <n v="2"/>
    <s v="Poor"/>
    <n v="6"/>
    <n v="2"/>
    <n v="0"/>
    <n v="4"/>
  </r>
  <r>
    <n v="1650545"/>
    <n v="38"/>
    <x v="0"/>
    <s v="No"/>
    <x v="0"/>
    <x v="0"/>
    <n v="343"/>
    <x v="1"/>
    <n v="15"/>
    <n v="2"/>
    <x v="0"/>
    <n v="1"/>
    <n v="3"/>
    <x v="1"/>
    <n v="92"/>
    <n v="2"/>
    <n v="3"/>
    <s v="Administrative"/>
    <n v="4"/>
    <s v="Good"/>
    <x v="2"/>
    <n v="11510"/>
    <x v="0"/>
    <n v="15682"/>
    <n v="0"/>
    <s v="Y"/>
    <s v="Yes"/>
    <n v="14"/>
    <x v="0"/>
    <s v="Low Performance"/>
    <n v="2"/>
    <n v="80"/>
    <n v="1"/>
    <n v="12"/>
    <n v="3"/>
    <n v="3"/>
    <s v="Fair"/>
    <n v="11"/>
    <n v="10"/>
    <n v="2"/>
    <n v="9"/>
  </r>
  <r>
    <n v="1549614"/>
    <n v="31"/>
    <x v="2"/>
    <s v="No"/>
    <x v="0"/>
    <x v="0"/>
    <n v="1232"/>
    <x v="2"/>
    <n v="7"/>
    <n v="4"/>
    <x v="2"/>
    <n v="1"/>
    <n v="3"/>
    <x v="0"/>
    <n v="39"/>
    <n v="3"/>
    <n v="3"/>
    <s v="Therapist"/>
    <n v="4"/>
    <s v="Good"/>
    <x v="0"/>
    <n v="7143"/>
    <x v="0"/>
    <n v="25713"/>
    <n v="1"/>
    <s v="Y"/>
    <s v="Yes"/>
    <n v="14"/>
    <x v="0"/>
    <s v="Low Performance"/>
    <n v="3"/>
    <n v="80"/>
    <n v="0"/>
    <n v="11"/>
    <n v="2"/>
    <n v="2"/>
    <s v="Poor"/>
    <n v="11"/>
    <n v="9"/>
    <n v="4"/>
    <n v="10"/>
  </r>
  <r>
    <n v="1259109"/>
    <n v="29"/>
    <x v="2"/>
    <s v="No"/>
    <x v="0"/>
    <x v="0"/>
    <n v="144"/>
    <x v="0"/>
    <n v="10"/>
    <n v="1"/>
    <x v="3"/>
    <n v="1"/>
    <n v="4"/>
    <x v="0"/>
    <n v="39"/>
    <n v="2"/>
    <n v="2"/>
    <s v="Nurse"/>
    <n v="2"/>
    <s v="Poor"/>
    <x v="2"/>
    <n v="8268"/>
    <x v="0"/>
    <n v="11866"/>
    <n v="1"/>
    <s v="Y"/>
    <s v="Yes"/>
    <n v="14"/>
    <x v="0"/>
    <s v="Low Performance"/>
    <n v="1"/>
    <n v="80"/>
    <n v="2"/>
    <n v="7"/>
    <n v="2"/>
    <n v="3"/>
    <s v="Fair"/>
    <n v="7"/>
    <n v="7"/>
    <n v="1"/>
    <n v="7"/>
  </r>
  <r>
    <n v="1138615"/>
    <n v="35"/>
    <x v="2"/>
    <s v="No"/>
    <x v="0"/>
    <x v="0"/>
    <n v="1296"/>
    <x v="2"/>
    <n v="5"/>
    <n v="4"/>
    <x v="4"/>
    <n v="1"/>
    <n v="3"/>
    <x v="1"/>
    <n v="62"/>
    <n v="3"/>
    <n v="3"/>
    <s v="Therapist"/>
    <n v="2"/>
    <s v="Poor"/>
    <x v="0"/>
    <n v="8095"/>
    <x v="0"/>
    <n v="18264"/>
    <n v="0"/>
    <s v="Y"/>
    <s v="No"/>
    <n v="13"/>
    <x v="0"/>
    <s v="Low Performance"/>
    <n v="4"/>
    <n v="80"/>
    <n v="0"/>
    <n v="17"/>
    <n v="5"/>
    <n v="3"/>
    <s v="Fair"/>
    <n v="16"/>
    <n v="6"/>
    <n v="0"/>
    <n v="13"/>
  </r>
  <r>
    <n v="1366078"/>
    <n v="23"/>
    <x v="4"/>
    <s v="No"/>
    <x v="0"/>
    <x v="0"/>
    <n v="1309"/>
    <x v="1"/>
    <n v="26"/>
    <n v="1"/>
    <x v="0"/>
    <n v="1"/>
    <n v="3"/>
    <x v="1"/>
    <n v="83"/>
    <n v="3"/>
    <n v="1"/>
    <s v="Other"/>
    <n v="4"/>
    <s v="Good"/>
    <x v="2"/>
    <n v="2904"/>
    <x v="1"/>
    <n v="16092"/>
    <n v="1"/>
    <s v="Y"/>
    <s v="No"/>
    <n v="12"/>
    <x v="0"/>
    <s v="Low Performance"/>
    <n v="3"/>
    <n v="80"/>
    <n v="2"/>
    <n v="4"/>
    <n v="2"/>
    <n v="2"/>
    <s v="Poor"/>
    <n v="4"/>
    <n v="2"/>
    <n v="0"/>
    <n v="2"/>
  </r>
  <r>
    <n v="1477474"/>
    <n v="41"/>
    <x v="0"/>
    <s v="No"/>
    <x v="0"/>
    <x v="0"/>
    <n v="483"/>
    <x v="2"/>
    <n v="6"/>
    <n v="3"/>
    <x v="2"/>
    <n v="1"/>
    <n v="4"/>
    <x v="1"/>
    <n v="95"/>
    <n v="2"/>
    <n v="2"/>
    <s v="Therapist"/>
    <n v="2"/>
    <s v="Poor"/>
    <x v="0"/>
    <n v="6032"/>
    <x v="0"/>
    <n v="10110"/>
    <n v="6"/>
    <s v="Y"/>
    <s v="Yes"/>
    <n v="15"/>
    <x v="0"/>
    <s v="Low Performance"/>
    <n v="4"/>
    <n v="80"/>
    <n v="0"/>
    <n v="8"/>
    <n v="3"/>
    <n v="3"/>
    <s v="Fair"/>
    <n v="5"/>
    <n v="4"/>
    <n v="1"/>
    <n v="2"/>
  </r>
  <r>
    <n v="1406287"/>
    <n v="47"/>
    <x v="1"/>
    <s v="No"/>
    <x v="0"/>
    <x v="1"/>
    <n v="1309"/>
    <x v="0"/>
    <n v="4"/>
    <n v="1"/>
    <x v="2"/>
    <n v="1"/>
    <n v="2"/>
    <x v="1"/>
    <n v="99"/>
    <n v="3"/>
    <n v="2"/>
    <s v="Other"/>
    <n v="3"/>
    <s v="Fair"/>
    <x v="0"/>
    <n v="2976"/>
    <x v="1"/>
    <n v="25751"/>
    <n v="3"/>
    <s v="Y"/>
    <s v="No"/>
    <n v="19"/>
    <x v="0"/>
    <s v="Low Performance"/>
    <n v="1"/>
    <n v="80"/>
    <n v="0"/>
    <n v="5"/>
    <n v="3"/>
    <n v="3"/>
    <s v="Fair"/>
    <n v="0"/>
    <n v="0"/>
    <n v="0"/>
    <n v="0"/>
  </r>
  <r>
    <n v="1544429"/>
    <n v="42"/>
    <x v="0"/>
    <s v="No"/>
    <x v="0"/>
    <x v="0"/>
    <n v="810"/>
    <x v="1"/>
    <n v="23"/>
    <n v="5"/>
    <x v="0"/>
    <n v="1"/>
    <n v="1"/>
    <x v="0"/>
    <n v="44"/>
    <n v="3"/>
    <n v="4"/>
    <s v="Administrative"/>
    <n v="4"/>
    <s v="Good"/>
    <x v="0"/>
    <n v="15992"/>
    <x v="2"/>
    <n v="15901"/>
    <n v="2"/>
    <s v="Y"/>
    <s v="No"/>
    <n v="14"/>
    <x v="0"/>
    <s v="Low Performance"/>
    <n v="2"/>
    <n v="80"/>
    <n v="0"/>
    <n v="16"/>
    <n v="2"/>
    <n v="3"/>
    <s v="Fair"/>
    <n v="1"/>
    <n v="0"/>
    <n v="0"/>
    <n v="0"/>
  </r>
  <r>
    <n v="1171206"/>
    <n v="29"/>
    <x v="2"/>
    <s v="No"/>
    <x v="0"/>
    <x v="2"/>
    <n v="746"/>
    <x v="0"/>
    <n v="2"/>
    <n v="3"/>
    <x v="0"/>
    <n v="1"/>
    <n v="4"/>
    <x v="1"/>
    <n v="61"/>
    <n v="3"/>
    <n v="2"/>
    <s v="Nurse"/>
    <n v="3"/>
    <s v="Fair"/>
    <x v="1"/>
    <n v="4649"/>
    <x v="1"/>
    <n v="16928"/>
    <n v="1"/>
    <s v="Y"/>
    <s v="No"/>
    <n v="14"/>
    <x v="0"/>
    <s v="Low Performance"/>
    <n v="1"/>
    <n v="80"/>
    <n v="1"/>
    <n v="4"/>
    <n v="3"/>
    <n v="2"/>
    <s v="Poor"/>
    <n v="4"/>
    <n v="3"/>
    <n v="0"/>
    <n v="2"/>
  </r>
  <r>
    <n v="1634652"/>
    <n v="42"/>
    <x v="0"/>
    <s v="No"/>
    <x v="0"/>
    <x v="0"/>
    <n v="544"/>
    <x v="2"/>
    <n v="2"/>
    <n v="1"/>
    <x v="4"/>
    <n v="1"/>
    <n v="3"/>
    <x v="1"/>
    <n v="52"/>
    <n v="3"/>
    <n v="1"/>
    <s v="Other"/>
    <n v="3"/>
    <s v="Fair"/>
    <x v="2"/>
    <n v="2696"/>
    <x v="1"/>
    <n v="24017"/>
    <n v="0"/>
    <s v="Y"/>
    <s v="Yes"/>
    <n v="11"/>
    <x v="0"/>
    <s v="Low Performance"/>
    <n v="3"/>
    <n v="80"/>
    <n v="1"/>
    <n v="4"/>
    <n v="5"/>
    <n v="3"/>
    <s v="Fair"/>
    <n v="3"/>
    <n v="2"/>
    <n v="1"/>
    <n v="0"/>
  </r>
  <r>
    <n v="1280175"/>
    <n v="32"/>
    <x v="2"/>
    <s v="No"/>
    <x v="0"/>
    <x v="0"/>
    <n v="1062"/>
    <x v="1"/>
    <n v="2"/>
    <n v="3"/>
    <x v="2"/>
    <n v="1"/>
    <n v="3"/>
    <x v="0"/>
    <n v="75"/>
    <n v="3"/>
    <n v="1"/>
    <s v="Nurse"/>
    <n v="2"/>
    <s v="Poor"/>
    <x v="1"/>
    <n v="2370"/>
    <x v="1"/>
    <n v="3956"/>
    <n v="1"/>
    <s v="Y"/>
    <s v="No"/>
    <n v="13"/>
    <x v="0"/>
    <s v="Low Performance"/>
    <n v="3"/>
    <n v="80"/>
    <n v="1"/>
    <n v="8"/>
    <n v="4"/>
    <n v="3"/>
    <s v="Fair"/>
    <n v="8"/>
    <n v="0"/>
    <n v="0"/>
    <n v="7"/>
  </r>
  <r>
    <n v="1464473"/>
    <n v="48"/>
    <x v="1"/>
    <s v="No"/>
    <x v="0"/>
    <x v="0"/>
    <n v="530"/>
    <x v="0"/>
    <n v="29"/>
    <n v="1"/>
    <x v="2"/>
    <n v="1"/>
    <n v="1"/>
    <x v="0"/>
    <n v="91"/>
    <n v="3"/>
    <n v="3"/>
    <s v="Administrative"/>
    <n v="3"/>
    <s v="Fair"/>
    <x v="1"/>
    <n v="12504"/>
    <x v="2"/>
    <n v="23978"/>
    <n v="3"/>
    <s v="Y"/>
    <s v="No"/>
    <n v="21"/>
    <x v="1"/>
    <s v="High Performance"/>
    <n v="2"/>
    <n v="80"/>
    <n v="1"/>
    <n v="15"/>
    <n v="3"/>
    <n v="1"/>
    <s v="Poor"/>
    <n v="0"/>
    <n v="0"/>
    <n v="0"/>
    <n v="0"/>
  </r>
  <r>
    <n v="1400436"/>
    <n v="37"/>
    <x v="0"/>
    <s v="No"/>
    <x v="0"/>
    <x v="0"/>
    <n v="1319"/>
    <x v="1"/>
    <n v="6"/>
    <n v="3"/>
    <x v="2"/>
    <n v="1"/>
    <n v="3"/>
    <x v="1"/>
    <n v="51"/>
    <n v="4"/>
    <n v="2"/>
    <s v="Other"/>
    <n v="1"/>
    <s v="Poor"/>
    <x v="2"/>
    <n v="5974"/>
    <x v="0"/>
    <n v="17001"/>
    <n v="4"/>
    <s v="Y"/>
    <s v="Yes"/>
    <n v="13"/>
    <x v="0"/>
    <s v="Low Performance"/>
    <n v="1"/>
    <n v="80"/>
    <n v="2"/>
    <n v="13"/>
    <n v="2"/>
    <n v="3"/>
    <s v="Fair"/>
    <n v="7"/>
    <n v="7"/>
    <n v="6"/>
    <n v="7"/>
  </r>
  <r>
    <n v="1465814"/>
    <n v="30"/>
    <x v="2"/>
    <s v="Yes"/>
    <x v="1"/>
    <x v="2"/>
    <n v="641"/>
    <x v="0"/>
    <n v="25"/>
    <n v="2"/>
    <x v="4"/>
    <n v="1"/>
    <n v="4"/>
    <x v="0"/>
    <n v="85"/>
    <n v="3"/>
    <n v="2"/>
    <s v="Nurse"/>
    <n v="3"/>
    <s v="Fair"/>
    <x v="1"/>
    <n v="4736"/>
    <x v="1"/>
    <n v="6069"/>
    <n v="7"/>
    <s v="Y"/>
    <s v="Yes"/>
    <n v="12"/>
    <x v="0"/>
    <s v="Low Performance"/>
    <n v="2"/>
    <n v="80"/>
    <n v="1"/>
    <n v="4"/>
    <n v="2"/>
    <n v="4"/>
    <s v="Good"/>
    <n v="2"/>
    <n v="2"/>
    <n v="2"/>
    <n v="2"/>
  </r>
  <r>
    <n v="1622008"/>
    <n v="26"/>
    <x v="2"/>
    <s v="No"/>
    <x v="0"/>
    <x v="0"/>
    <n v="933"/>
    <x v="0"/>
    <n v="1"/>
    <n v="3"/>
    <x v="0"/>
    <n v="1"/>
    <n v="3"/>
    <x v="1"/>
    <n v="57"/>
    <n v="3"/>
    <n v="2"/>
    <s v="Nurse"/>
    <n v="3"/>
    <s v="Fair"/>
    <x v="1"/>
    <n v="5296"/>
    <x v="0"/>
    <n v="20156"/>
    <n v="1"/>
    <s v="Y"/>
    <s v="No"/>
    <n v="17"/>
    <x v="0"/>
    <s v="Low Performance"/>
    <n v="2"/>
    <n v="80"/>
    <n v="1"/>
    <n v="8"/>
    <n v="3"/>
    <n v="3"/>
    <s v="Fair"/>
    <n v="8"/>
    <n v="7"/>
    <n v="7"/>
    <n v="7"/>
  </r>
  <r>
    <n v="1679401"/>
    <n v="42"/>
    <x v="0"/>
    <s v="No"/>
    <x v="0"/>
    <x v="0"/>
    <n v="1332"/>
    <x v="1"/>
    <n v="2"/>
    <n v="4"/>
    <x v="1"/>
    <n v="1"/>
    <n v="1"/>
    <x v="1"/>
    <n v="98"/>
    <n v="2"/>
    <n v="2"/>
    <s v="Nurse"/>
    <n v="4"/>
    <s v="Good"/>
    <x v="0"/>
    <n v="6781"/>
    <x v="0"/>
    <n v="17078"/>
    <n v="3"/>
    <s v="Y"/>
    <s v="No"/>
    <n v="23"/>
    <x v="1"/>
    <s v="High Performance"/>
    <n v="2"/>
    <n v="80"/>
    <n v="0"/>
    <n v="14"/>
    <n v="6"/>
    <n v="3"/>
    <s v="Fair"/>
    <n v="1"/>
    <n v="0"/>
    <n v="0"/>
    <n v="0"/>
  </r>
  <r>
    <n v="1612768"/>
    <n v="21"/>
    <x v="4"/>
    <s v="Yes"/>
    <x v="1"/>
    <x v="1"/>
    <n v="756"/>
    <x v="0"/>
    <n v="1"/>
    <n v="1"/>
    <x v="4"/>
    <n v="1"/>
    <n v="1"/>
    <x v="0"/>
    <n v="99"/>
    <n v="2"/>
    <n v="1"/>
    <s v="Other"/>
    <n v="2"/>
    <s v="Poor"/>
    <x v="0"/>
    <n v="2174"/>
    <x v="1"/>
    <n v="9150"/>
    <n v="1"/>
    <s v="Y"/>
    <s v="Yes"/>
    <n v="11"/>
    <x v="0"/>
    <s v="Low Performance"/>
    <n v="3"/>
    <n v="80"/>
    <n v="0"/>
    <n v="3"/>
    <n v="3"/>
    <n v="3"/>
    <s v="Fair"/>
    <n v="3"/>
    <n v="2"/>
    <n v="1"/>
    <n v="2"/>
  </r>
  <r>
    <n v="1680323"/>
    <n v="36"/>
    <x v="0"/>
    <s v="No"/>
    <x v="0"/>
    <x v="2"/>
    <n v="845"/>
    <x v="0"/>
    <n v="1"/>
    <n v="5"/>
    <x v="2"/>
    <n v="1"/>
    <n v="4"/>
    <x v="0"/>
    <n v="45"/>
    <n v="3"/>
    <n v="2"/>
    <s v="Nurse"/>
    <n v="4"/>
    <s v="Good"/>
    <x v="0"/>
    <n v="6653"/>
    <x v="0"/>
    <n v="15276"/>
    <n v="4"/>
    <s v="Y"/>
    <s v="No"/>
    <n v="15"/>
    <x v="0"/>
    <s v="Low Performance"/>
    <n v="2"/>
    <n v="80"/>
    <n v="0"/>
    <n v="7"/>
    <n v="6"/>
    <n v="3"/>
    <s v="Fair"/>
    <n v="1"/>
    <n v="0"/>
    <n v="0"/>
    <n v="0"/>
  </r>
  <r>
    <n v="1340908"/>
    <n v="36"/>
    <x v="0"/>
    <s v="No"/>
    <x v="0"/>
    <x v="1"/>
    <n v="541"/>
    <x v="0"/>
    <n v="3"/>
    <n v="4"/>
    <x v="2"/>
    <n v="1"/>
    <n v="1"/>
    <x v="1"/>
    <n v="48"/>
    <n v="2"/>
    <n v="3"/>
    <s v="Nurse"/>
    <n v="4"/>
    <s v="Good"/>
    <x v="1"/>
    <n v="9699"/>
    <x v="0"/>
    <n v="7246"/>
    <n v="4"/>
    <s v="Y"/>
    <s v="No"/>
    <n v="11"/>
    <x v="0"/>
    <s v="Low Performance"/>
    <n v="1"/>
    <n v="80"/>
    <n v="1"/>
    <n v="16"/>
    <n v="2"/>
    <n v="3"/>
    <s v="Fair"/>
    <n v="13"/>
    <n v="9"/>
    <n v="1"/>
    <n v="12"/>
  </r>
  <r>
    <n v="1407209"/>
    <n v="57"/>
    <x v="3"/>
    <s v="No"/>
    <x v="0"/>
    <x v="0"/>
    <n v="593"/>
    <x v="1"/>
    <n v="1"/>
    <n v="4"/>
    <x v="2"/>
    <n v="1"/>
    <n v="4"/>
    <x v="1"/>
    <n v="88"/>
    <n v="3"/>
    <n v="2"/>
    <s v="Nurse"/>
    <n v="3"/>
    <s v="Fair"/>
    <x v="1"/>
    <n v="6755"/>
    <x v="0"/>
    <n v="2967"/>
    <n v="2"/>
    <s v="Y"/>
    <s v="No"/>
    <n v="11"/>
    <x v="0"/>
    <s v="Low Performance"/>
    <n v="3"/>
    <n v="80"/>
    <n v="0"/>
    <n v="15"/>
    <n v="2"/>
    <n v="3"/>
    <s v="Fair"/>
    <n v="3"/>
    <n v="2"/>
    <n v="1"/>
    <n v="2"/>
  </r>
  <r>
    <n v="1196631"/>
    <n v="40"/>
    <x v="0"/>
    <s v="No"/>
    <x v="0"/>
    <x v="0"/>
    <n v="1171"/>
    <x v="1"/>
    <n v="10"/>
    <n v="4"/>
    <x v="0"/>
    <n v="1"/>
    <n v="4"/>
    <x v="0"/>
    <n v="46"/>
    <n v="4"/>
    <n v="1"/>
    <s v="Nurse"/>
    <n v="3"/>
    <s v="Fair"/>
    <x v="1"/>
    <n v="2213"/>
    <x v="1"/>
    <n v="22495"/>
    <n v="3"/>
    <s v="Y"/>
    <s v="Yes"/>
    <n v="13"/>
    <x v="0"/>
    <s v="Low Performance"/>
    <n v="3"/>
    <n v="80"/>
    <n v="1"/>
    <n v="10"/>
    <n v="3"/>
    <n v="3"/>
    <s v="Fair"/>
    <n v="7"/>
    <n v="7"/>
    <n v="1"/>
    <n v="7"/>
  </r>
  <r>
    <n v="1558158"/>
    <n v="21"/>
    <x v="4"/>
    <s v="No"/>
    <x v="0"/>
    <x v="2"/>
    <n v="895"/>
    <x v="0"/>
    <n v="9"/>
    <n v="2"/>
    <x v="2"/>
    <n v="1"/>
    <n v="1"/>
    <x v="1"/>
    <n v="39"/>
    <n v="3"/>
    <n v="1"/>
    <s v="Other"/>
    <n v="4"/>
    <s v="Good"/>
    <x v="0"/>
    <n v="2610"/>
    <x v="1"/>
    <n v="2851"/>
    <n v="1"/>
    <s v="Y"/>
    <s v="No"/>
    <n v="24"/>
    <x v="1"/>
    <s v="High Performance"/>
    <n v="3"/>
    <n v="80"/>
    <n v="0"/>
    <n v="3"/>
    <n v="3"/>
    <n v="2"/>
    <s v="Poor"/>
    <n v="3"/>
    <n v="2"/>
    <n v="2"/>
    <n v="2"/>
  </r>
  <r>
    <n v="1542984"/>
    <n v="33"/>
    <x v="2"/>
    <s v="Yes"/>
    <x v="1"/>
    <x v="0"/>
    <n v="350"/>
    <x v="0"/>
    <n v="5"/>
    <n v="3"/>
    <x v="3"/>
    <n v="1"/>
    <n v="4"/>
    <x v="0"/>
    <n v="34"/>
    <n v="3"/>
    <n v="1"/>
    <s v="Other"/>
    <n v="3"/>
    <s v="Fair"/>
    <x v="0"/>
    <n v="2851"/>
    <x v="1"/>
    <n v="9150"/>
    <n v="1"/>
    <s v="Y"/>
    <s v="Yes"/>
    <n v="13"/>
    <x v="0"/>
    <s v="Low Performance"/>
    <n v="2"/>
    <n v="80"/>
    <n v="0"/>
    <n v="1"/>
    <n v="2"/>
    <n v="3"/>
    <s v="Fair"/>
    <n v="1"/>
    <n v="0"/>
    <n v="0"/>
    <n v="0"/>
  </r>
  <r>
    <n v="1665531"/>
    <n v="37"/>
    <x v="0"/>
    <s v="No"/>
    <x v="0"/>
    <x v="0"/>
    <n v="921"/>
    <x v="1"/>
    <n v="10"/>
    <n v="3"/>
    <x v="2"/>
    <n v="1"/>
    <n v="3"/>
    <x v="0"/>
    <n v="98"/>
    <n v="3"/>
    <n v="1"/>
    <s v="Nurse"/>
    <n v="1"/>
    <s v="Poor"/>
    <x v="1"/>
    <n v="3452"/>
    <x v="1"/>
    <n v="17663"/>
    <n v="6"/>
    <s v="Y"/>
    <s v="No"/>
    <n v="20"/>
    <x v="1"/>
    <s v="High Performance"/>
    <n v="2"/>
    <n v="80"/>
    <n v="1"/>
    <n v="17"/>
    <n v="3"/>
    <n v="3"/>
    <s v="Fair"/>
    <n v="5"/>
    <n v="4"/>
    <n v="0"/>
    <n v="3"/>
  </r>
  <r>
    <n v="1815564"/>
    <n v="46"/>
    <x v="1"/>
    <s v="No"/>
    <x v="0"/>
    <x v="2"/>
    <n v="1144"/>
    <x v="2"/>
    <n v="7"/>
    <n v="4"/>
    <x v="2"/>
    <n v="1"/>
    <n v="3"/>
    <x v="0"/>
    <n v="30"/>
    <n v="3"/>
    <n v="2"/>
    <s v="Therapist"/>
    <n v="3"/>
    <s v="Fair"/>
    <x v="1"/>
    <n v="5258"/>
    <x v="0"/>
    <n v="16044"/>
    <n v="2"/>
    <s v="Y"/>
    <s v="No"/>
    <n v="14"/>
    <x v="0"/>
    <s v="Low Performance"/>
    <n v="3"/>
    <n v="80"/>
    <n v="0"/>
    <n v="7"/>
    <n v="2"/>
    <n v="4"/>
    <s v="Good"/>
    <n v="1"/>
    <n v="0"/>
    <n v="0"/>
    <n v="0"/>
  </r>
  <r>
    <n v="1866571"/>
    <n v="41"/>
    <x v="0"/>
    <s v="No"/>
    <x v="0"/>
    <x v="1"/>
    <n v="143"/>
    <x v="0"/>
    <n v="4"/>
    <n v="3"/>
    <x v="3"/>
    <n v="1"/>
    <n v="1"/>
    <x v="1"/>
    <n v="56"/>
    <n v="3"/>
    <n v="2"/>
    <s v="Nurse"/>
    <n v="2"/>
    <s v="Poor"/>
    <x v="0"/>
    <n v="9355"/>
    <x v="0"/>
    <n v="9558"/>
    <n v="1"/>
    <s v="Y"/>
    <s v="No"/>
    <n v="18"/>
    <x v="0"/>
    <s v="Low Performance"/>
    <n v="3"/>
    <n v="80"/>
    <n v="0"/>
    <n v="8"/>
    <n v="5"/>
    <n v="3"/>
    <s v="Fair"/>
    <n v="8"/>
    <n v="7"/>
    <n v="7"/>
    <n v="7"/>
  </r>
  <r>
    <n v="1589819"/>
    <n v="50"/>
    <x v="1"/>
    <s v="No"/>
    <x v="0"/>
    <x v="0"/>
    <n v="1046"/>
    <x v="1"/>
    <n v="10"/>
    <n v="3"/>
    <x v="4"/>
    <n v="1"/>
    <n v="4"/>
    <x v="1"/>
    <n v="100"/>
    <n v="2"/>
    <n v="3"/>
    <s v="Nurse"/>
    <n v="4"/>
    <s v="Good"/>
    <x v="0"/>
    <n v="10496"/>
    <x v="0"/>
    <n v="2755"/>
    <n v="6"/>
    <s v="Y"/>
    <s v="No"/>
    <n v="15"/>
    <x v="0"/>
    <s v="Low Performance"/>
    <n v="4"/>
    <n v="80"/>
    <n v="0"/>
    <n v="20"/>
    <n v="2"/>
    <n v="3"/>
    <s v="Fair"/>
    <n v="4"/>
    <n v="3"/>
    <n v="1"/>
    <n v="3"/>
  </r>
  <r>
    <n v="1645744"/>
    <n v="40"/>
    <x v="0"/>
    <s v="No"/>
    <x v="0"/>
    <x v="0"/>
    <n v="575"/>
    <x v="0"/>
    <n v="22"/>
    <n v="2"/>
    <x v="3"/>
    <n v="1"/>
    <n v="3"/>
    <x v="1"/>
    <n v="68"/>
    <n v="2"/>
    <n v="2"/>
    <s v="Nurse"/>
    <n v="3"/>
    <s v="Fair"/>
    <x v="1"/>
    <n v="6380"/>
    <x v="0"/>
    <n v="6110"/>
    <n v="2"/>
    <s v="Y"/>
    <s v="Yes"/>
    <n v="12"/>
    <x v="0"/>
    <s v="Low Performance"/>
    <n v="1"/>
    <n v="80"/>
    <n v="2"/>
    <n v="8"/>
    <n v="6"/>
    <n v="3"/>
    <s v="Fair"/>
    <n v="6"/>
    <n v="4"/>
    <n v="1"/>
    <n v="0"/>
  </r>
  <r>
    <n v="1235953"/>
    <n v="31"/>
    <x v="2"/>
    <s v="Yes"/>
    <x v="1"/>
    <x v="0"/>
    <n v="408"/>
    <x v="1"/>
    <n v="9"/>
    <n v="4"/>
    <x v="0"/>
    <n v="1"/>
    <n v="3"/>
    <x v="1"/>
    <n v="42"/>
    <n v="2"/>
    <n v="1"/>
    <s v="Other"/>
    <n v="2"/>
    <s v="Poor"/>
    <x v="0"/>
    <n v="2657"/>
    <x v="1"/>
    <n v="7551"/>
    <n v="0"/>
    <s v="Y"/>
    <s v="Yes"/>
    <n v="16"/>
    <x v="0"/>
    <s v="Low Performance"/>
    <n v="4"/>
    <n v="80"/>
    <n v="0"/>
    <n v="3"/>
    <n v="5"/>
    <n v="3"/>
    <s v="Fair"/>
    <n v="2"/>
    <n v="2"/>
    <n v="2"/>
    <n v="2"/>
  </r>
  <r>
    <n v="1034442"/>
    <n v="21"/>
    <x v="4"/>
    <s v="Yes"/>
    <x v="1"/>
    <x v="0"/>
    <n v="156"/>
    <x v="0"/>
    <n v="12"/>
    <n v="3"/>
    <x v="0"/>
    <n v="1"/>
    <n v="3"/>
    <x v="0"/>
    <n v="90"/>
    <n v="4"/>
    <n v="1"/>
    <s v="Other"/>
    <n v="2"/>
    <s v="Poor"/>
    <x v="0"/>
    <n v="2716"/>
    <x v="1"/>
    <n v="25422"/>
    <n v="1"/>
    <s v="Y"/>
    <s v="No"/>
    <n v="15"/>
    <x v="0"/>
    <s v="Low Performance"/>
    <n v="4"/>
    <n v="80"/>
    <n v="0"/>
    <n v="1"/>
    <n v="0"/>
    <n v="3"/>
    <s v="Fair"/>
    <n v="1"/>
    <n v="0"/>
    <n v="0"/>
    <n v="0"/>
  </r>
  <r>
    <n v="1616596"/>
    <n v="29"/>
    <x v="2"/>
    <s v="No"/>
    <x v="0"/>
    <x v="0"/>
    <n v="1283"/>
    <x v="1"/>
    <n v="23"/>
    <n v="3"/>
    <x v="0"/>
    <n v="1"/>
    <n v="4"/>
    <x v="1"/>
    <n v="54"/>
    <n v="3"/>
    <n v="1"/>
    <s v="Other"/>
    <n v="4"/>
    <s v="Good"/>
    <x v="0"/>
    <n v="2201"/>
    <x v="1"/>
    <n v="18168"/>
    <n v="9"/>
    <s v="Y"/>
    <s v="No"/>
    <n v="16"/>
    <x v="0"/>
    <s v="Low Performance"/>
    <n v="4"/>
    <n v="80"/>
    <n v="0"/>
    <n v="6"/>
    <n v="4"/>
    <n v="3"/>
    <s v="Fair"/>
    <n v="3"/>
    <n v="2"/>
    <n v="1"/>
    <n v="2"/>
  </r>
  <r>
    <n v="1078791"/>
    <n v="35"/>
    <x v="2"/>
    <s v="No"/>
    <x v="0"/>
    <x v="0"/>
    <n v="755"/>
    <x v="1"/>
    <n v="9"/>
    <n v="4"/>
    <x v="0"/>
    <n v="1"/>
    <n v="3"/>
    <x v="1"/>
    <n v="97"/>
    <n v="2"/>
    <n v="2"/>
    <s v="Nurse"/>
    <n v="2"/>
    <s v="Poor"/>
    <x v="0"/>
    <n v="6540"/>
    <x v="0"/>
    <n v="19394"/>
    <n v="9"/>
    <s v="Y"/>
    <s v="No"/>
    <n v="19"/>
    <x v="0"/>
    <s v="Low Performance"/>
    <n v="3"/>
    <n v="80"/>
    <n v="0"/>
    <n v="10"/>
    <n v="5"/>
    <n v="3"/>
    <s v="Fair"/>
    <n v="1"/>
    <n v="1"/>
    <n v="0"/>
    <n v="0"/>
  </r>
  <r>
    <n v="1513965"/>
    <n v="27"/>
    <x v="2"/>
    <s v="No"/>
    <x v="0"/>
    <x v="0"/>
    <n v="1469"/>
    <x v="1"/>
    <n v="1"/>
    <n v="2"/>
    <x v="2"/>
    <n v="1"/>
    <n v="4"/>
    <x v="1"/>
    <n v="82"/>
    <n v="3"/>
    <n v="1"/>
    <s v="Nurse"/>
    <n v="2"/>
    <s v="Poor"/>
    <x v="2"/>
    <n v="3816"/>
    <x v="1"/>
    <n v="17881"/>
    <n v="1"/>
    <s v="Y"/>
    <s v="No"/>
    <n v="11"/>
    <x v="0"/>
    <s v="Low Performance"/>
    <n v="2"/>
    <n v="80"/>
    <n v="1"/>
    <n v="5"/>
    <n v="2"/>
    <n v="3"/>
    <s v="Fair"/>
    <n v="5"/>
    <n v="2"/>
    <n v="0"/>
    <n v="4"/>
  </r>
  <r>
    <n v="1786169"/>
    <n v="28"/>
    <x v="2"/>
    <s v="No"/>
    <x v="0"/>
    <x v="0"/>
    <n v="304"/>
    <x v="0"/>
    <n v="9"/>
    <n v="4"/>
    <x v="0"/>
    <n v="1"/>
    <n v="2"/>
    <x v="1"/>
    <n v="92"/>
    <n v="3"/>
    <n v="2"/>
    <s v="Nurse"/>
    <n v="4"/>
    <s v="Good"/>
    <x v="0"/>
    <n v="5253"/>
    <x v="0"/>
    <n v="20750"/>
    <n v="1"/>
    <s v="Y"/>
    <s v="No"/>
    <n v="16"/>
    <x v="0"/>
    <s v="Low Performance"/>
    <n v="4"/>
    <n v="80"/>
    <n v="0"/>
    <n v="7"/>
    <n v="1"/>
    <n v="3"/>
    <s v="Fair"/>
    <n v="7"/>
    <n v="5"/>
    <n v="0"/>
    <n v="7"/>
  </r>
  <r>
    <n v="1377506"/>
    <n v="49"/>
    <x v="1"/>
    <s v="No"/>
    <x v="0"/>
    <x v="0"/>
    <n v="1261"/>
    <x v="1"/>
    <n v="7"/>
    <n v="3"/>
    <x v="1"/>
    <n v="1"/>
    <n v="2"/>
    <x v="1"/>
    <n v="31"/>
    <n v="2"/>
    <n v="3"/>
    <s v="Nurse"/>
    <n v="3"/>
    <s v="Fair"/>
    <x v="0"/>
    <n v="10965"/>
    <x v="0"/>
    <n v="12066"/>
    <n v="8"/>
    <s v="Y"/>
    <s v="No"/>
    <n v="24"/>
    <x v="1"/>
    <s v="High Performance"/>
    <n v="3"/>
    <n v="80"/>
    <n v="0"/>
    <n v="26"/>
    <n v="2"/>
    <n v="3"/>
    <s v="Fair"/>
    <n v="5"/>
    <n v="2"/>
    <n v="0"/>
    <n v="0"/>
  </r>
  <r>
    <n v="1653415"/>
    <n v="51"/>
    <x v="1"/>
    <s v="No"/>
    <x v="0"/>
    <x v="0"/>
    <n v="1178"/>
    <x v="0"/>
    <n v="14"/>
    <n v="2"/>
    <x v="0"/>
    <n v="1"/>
    <n v="3"/>
    <x v="0"/>
    <n v="87"/>
    <n v="3"/>
    <n v="2"/>
    <s v="Nurse"/>
    <n v="4"/>
    <s v="Good"/>
    <x v="1"/>
    <n v="4936"/>
    <x v="1"/>
    <n v="14862"/>
    <n v="4"/>
    <s v="Y"/>
    <s v="No"/>
    <n v="11"/>
    <x v="0"/>
    <s v="Low Performance"/>
    <n v="3"/>
    <n v="80"/>
    <n v="1"/>
    <n v="18"/>
    <n v="2"/>
    <n v="2"/>
    <s v="Poor"/>
    <n v="7"/>
    <n v="7"/>
    <n v="0"/>
    <n v="7"/>
  </r>
  <r>
    <n v="1125672"/>
    <n v="36"/>
    <x v="0"/>
    <s v="No"/>
    <x v="0"/>
    <x v="0"/>
    <n v="329"/>
    <x v="1"/>
    <n v="2"/>
    <n v="3"/>
    <x v="0"/>
    <n v="1"/>
    <n v="4"/>
    <x v="0"/>
    <n v="96"/>
    <n v="3"/>
    <n v="1"/>
    <s v="Other"/>
    <n v="3"/>
    <s v="Fair"/>
    <x v="1"/>
    <n v="2543"/>
    <x v="1"/>
    <n v="11868"/>
    <n v="4"/>
    <s v="Y"/>
    <s v="No"/>
    <n v="13"/>
    <x v="0"/>
    <s v="Low Performance"/>
    <n v="2"/>
    <n v="80"/>
    <n v="1"/>
    <n v="6"/>
    <n v="3"/>
    <n v="3"/>
    <s v="Fair"/>
    <n v="2"/>
    <n v="2"/>
    <n v="2"/>
    <n v="2"/>
  </r>
  <r>
    <n v="1629676"/>
    <n v="34"/>
    <x v="2"/>
    <s v="Yes"/>
    <x v="1"/>
    <x v="2"/>
    <n v="1362"/>
    <x v="0"/>
    <n v="19"/>
    <n v="3"/>
    <x v="3"/>
    <n v="1"/>
    <n v="1"/>
    <x v="1"/>
    <n v="67"/>
    <n v="4"/>
    <n v="2"/>
    <s v="Nurse"/>
    <n v="4"/>
    <s v="Good"/>
    <x v="0"/>
    <n v="5304"/>
    <x v="0"/>
    <n v="4652"/>
    <n v="8"/>
    <s v="Y"/>
    <s v="Yes"/>
    <n v="13"/>
    <x v="0"/>
    <s v="Low Performance"/>
    <n v="2"/>
    <n v="80"/>
    <n v="0"/>
    <n v="9"/>
    <n v="3"/>
    <n v="2"/>
    <s v="Poor"/>
    <n v="5"/>
    <n v="2"/>
    <n v="0"/>
    <n v="4"/>
  </r>
  <r>
    <n v="1121223"/>
    <n v="55"/>
    <x v="1"/>
    <s v="No"/>
    <x v="0"/>
    <x v="0"/>
    <n v="1311"/>
    <x v="2"/>
    <n v="2"/>
    <n v="3"/>
    <x v="0"/>
    <n v="1"/>
    <n v="3"/>
    <x v="0"/>
    <n v="97"/>
    <n v="3"/>
    <n v="4"/>
    <s v="Other"/>
    <n v="4"/>
    <s v="Good"/>
    <x v="0"/>
    <n v="16659"/>
    <x v="2"/>
    <n v="23258"/>
    <n v="2"/>
    <s v="Y"/>
    <s v="Yes"/>
    <n v="13"/>
    <x v="0"/>
    <s v="Low Performance"/>
    <n v="3"/>
    <n v="80"/>
    <n v="0"/>
    <n v="30"/>
    <n v="2"/>
    <n v="3"/>
    <s v="Fair"/>
    <n v="5"/>
    <n v="4"/>
    <n v="1"/>
    <n v="2"/>
  </r>
  <r>
    <n v="1339400"/>
    <n v="24"/>
    <x v="4"/>
    <s v="No"/>
    <x v="0"/>
    <x v="0"/>
    <n v="1371"/>
    <x v="0"/>
    <n v="10"/>
    <n v="4"/>
    <x v="3"/>
    <n v="1"/>
    <n v="4"/>
    <x v="0"/>
    <n v="77"/>
    <n v="3"/>
    <n v="2"/>
    <s v="Nurse"/>
    <n v="3"/>
    <s v="Fair"/>
    <x v="2"/>
    <n v="4260"/>
    <x v="1"/>
    <n v="5915"/>
    <n v="1"/>
    <s v="Y"/>
    <s v="Yes"/>
    <n v="12"/>
    <x v="0"/>
    <s v="Low Performance"/>
    <n v="4"/>
    <n v="80"/>
    <n v="1"/>
    <n v="5"/>
    <n v="2"/>
    <n v="4"/>
    <s v="Good"/>
    <n v="5"/>
    <n v="2"/>
    <n v="0"/>
    <n v="3"/>
  </r>
  <r>
    <n v="1382648"/>
    <n v="30"/>
    <x v="2"/>
    <s v="No"/>
    <x v="0"/>
    <x v="0"/>
    <n v="202"/>
    <x v="0"/>
    <n v="2"/>
    <n v="1"/>
    <x v="4"/>
    <n v="1"/>
    <n v="3"/>
    <x v="1"/>
    <n v="72"/>
    <n v="3"/>
    <n v="1"/>
    <s v="Other"/>
    <n v="2"/>
    <s v="Poor"/>
    <x v="1"/>
    <n v="2476"/>
    <x v="1"/>
    <n v="17434"/>
    <n v="1"/>
    <s v="Y"/>
    <s v="No"/>
    <n v="18"/>
    <x v="0"/>
    <s v="Low Performance"/>
    <n v="1"/>
    <n v="80"/>
    <n v="1"/>
    <n v="1"/>
    <n v="3"/>
    <n v="3"/>
    <s v="Fair"/>
    <n v="1"/>
    <n v="0"/>
    <n v="0"/>
    <n v="0"/>
  </r>
  <r>
    <n v="1685681"/>
    <n v="26"/>
    <x v="2"/>
    <s v="No"/>
    <x v="0"/>
    <x v="1"/>
    <n v="575"/>
    <x v="1"/>
    <n v="3"/>
    <n v="1"/>
    <x v="4"/>
    <n v="1"/>
    <n v="3"/>
    <x v="1"/>
    <n v="73"/>
    <n v="3"/>
    <n v="1"/>
    <s v="Other"/>
    <n v="1"/>
    <s v="Poor"/>
    <x v="0"/>
    <n v="3102"/>
    <x v="1"/>
    <n v="6582"/>
    <n v="0"/>
    <s v="Y"/>
    <s v="No"/>
    <n v="22"/>
    <x v="1"/>
    <s v="High Performance"/>
    <n v="3"/>
    <n v="80"/>
    <n v="0"/>
    <n v="7"/>
    <n v="2"/>
    <n v="3"/>
    <s v="Fair"/>
    <n v="6"/>
    <n v="4"/>
    <n v="0"/>
    <n v="4"/>
  </r>
  <r>
    <n v="1700683"/>
    <n v="22"/>
    <x v="4"/>
    <s v="No"/>
    <x v="0"/>
    <x v="0"/>
    <n v="253"/>
    <x v="1"/>
    <n v="11"/>
    <n v="3"/>
    <x v="2"/>
    <n v="1"/>
    <n v="1"/>
    <x v="0"/>
    <n v="43"/>
    <n v="3"/>
    <n v="1"/>
    <s v="Other"/>
    <n v="2"/>
    <s v="Poor"/>
    <x v="1"/>
    <n v="2244"/>
    <x v="1"/>
    <n v="24440"/>
    <n v="1"/>
    <s v="Y"/>
    <s v="No"/>
    <n v="13"/>
    <x v="0"/>
    <s v="Low Performance"/>
    <n v="4"/>
    <n v="80"/>
    <n v="1"/>
    <n v="2"/>
    <n v="1"/>
    <n v="3"/>
    <s v="Fair"/>
    <n v="2"/>
    <n v="1"/>
    <n v="1"/>
    <n v="2"/>
  </r>
  <r>
    <n v="1634874"/>
    <n v="36"/>
    <x v="0"/>
    <s v="No"/>
    <x v="0"/>
    <x v="0"/>
    <n v="164"/>
    <x v="0"/>
    <n v="2"/>
    <n v="2"/>
    <x v="2"/>
    <n v="1"/>
    <n v="2"/>
    <x v="1"/>
    <n v="61"/>
    <n v="2"/>
    <n v="3"/>
    <s v="Nurse"/>
    <n v="3"/>
    <s v="Fair"/>
    <x v="1"/>
    <n v="7596"/>
    <x v="0"/>
    <n v="3809"/>
    <n v="1"/>
    <s v="Y"/>
    <s v="No"/>
    <n v="13"/>
    <x v="0"/>
    <s v="Low Performance"/>
    <n v="2"/>
    <n v="80"/>
    <n v="2"/>
    <n v="10"/>
    <n v="2"/>
    <n v="3"/>
    <s v="Fair"/>
    <n v="10"/>
    <n v="9"/>
    <n v="9"/>
    <n v="0"/>
  </r>
  <r>
    <n v="1362644"/>
    <n v="30"/>
    <x v="2"/>
    <s v="Yes"/>
    <x v="1"/>
    <x v="1"/>
    <n v="464"/>
    <x v="1"/>
    <n v="4"/>
    <n v="3"/>
    <x v="4"/>
    <n v="1"/>
    <n v="3"/>
    <x v="1"/>
    <n v="40"/>
    <n v="3"/>
    <n v="1"/>
    <s v="Other"/>
    <n v="4"/>
    <s v="Good"/>
    <x v="0"/>
    <n v="2285"/>
    <x v="1"/>
    <n v="3427"/>
    <n v="9"/>
    <s v="Y"/>
    <s v="Yes"/>
    <n v="23"/>
    <x v="1"/>
    <s v="High Performance"/>
    <n v="3"/>
    <n v="80"/>
    <n v="0"/>
    <n v="3"/>
    <n v="4"/>
    <n v="3"/>
    <s v="Fair"/>
    <n v="1"/>
    <n v="0"/>
    <n v="0"/>
    <n v="0"/>
  </r>
  <r>
    <n v="1286933"/>
    <n v="37"/>
    <x v="0"/>
    <s v="No"/>
    <x v="0"/>
    <x v="0"/>
    <n v="1107"/>
    <x v="1"/>
    <n v="14"/>
    <n v="3"/>
    <x v="0"/>
    <n v="1"/>
    <n v="4"/>
    <x v="0"/>
    <n v="95"/>
    <n v="3"/>
    <n v="1"/>
    <s v="Nurse"/>
    <n v="1"/>
    <s v="Poor"/>
    <x v="2"/>
    <n v="3034"/>
    <x v="1"/>
    <n v="26914"/>
    <n v="1"/>
    <s v="Y"/>
    <s v="No"/>
    <n v="12"/>
    <x v="0"/>
    <s v="Low Performance"/>
    <n v="3"/>
    <n v="80"/>
    <n v="1"/>
    <n v="18"/>
    <n v="2"/>
    <n v="2"/>
    <s v="Poor"/>
    <n v="18"/>
    <n v="7"/>
    <n v="12"/>
    <n v="17"/>
  </r>
  <r>
    <n v="1848633"/>
    <n v="40"/>
    <x v="0"/>
    <s v="No"/>
    <x v="0"/>
    <x v="0"/>
    <n v="759"/>
    <x v="0"/>
    <n v="2"/>
    <n v="2"/>
    <x v="3"/>
    <n v="1"/>
    <n v="4"/>
    <x v="0"/>
    <n v="46"/>
    <n v="3"/>
    <n v="2"/>
    <s v="Nurse"/>
    <n v="2"/>
    <s v="Poor"/>
    <x v="2"/>
    <n v="5715"/>
    <x v="0"/>
    <n v="22553"/>
    <n v="7"/>
    <s v="Y"/>
    <s v="No"/>
    <n v="12"/>
    <x v="0"/>
    <s v="Low Performance"/>
    <n v="3"/>
    <n v="80"/>
    <n v="2"/>
    <n v="8"/>
    <n v="5"/>
    <n v="3"/>
    <s v="Fair"/>
    <n v="5"/>
    <n v="4"/>
    <n v="1"/>
    <n v="3"/>
  </r>
  <r>
    <n v="1065198"/>
    <n v="42"/>
    <x v="0"/>
    <s v="No"/>
    <x v="0"/>
    <x v="0"/>
    <n v="201"/>
    <x v="1"/>
    <n v="1"/>
    <n v="4"/>
    <x v="0"/>
    <n v="1"/>
    <n v="2"/>
    <x v="0"/>
    <n v="95"/>
    <n v="3"/>
    <n v="1"/>
    <s v="Nurse"/>
    <n v="1"/>
    <s v="Poor"/>
    <x v="2"/>
    <n v="2576"/>
    <x v="1"/>
    <n v="20490"/>
    <n v="3"/>
    <s v="Y"/>
    <s v="No"/>
    <n v="16"/>
    <x v="0"/>
    <s v="Low Performance"/>
    <n v="2"/>
    <n v="80"/>
    <n v="1"/>
    <n v="8"/>
    <n v="5"/>
    <n v="3"/>
    <s v="Fair"/>
    <n v="5"/>
    <n v="2"/>
    <n v="1"/>
    <n v="2"/>
  </r>
  <r>
    <n v="1703984"/>
    <n v="37"/>
    <x v="0"/>
    <s v="No"/>
    <x v="0"/>
    <x v="0"/>
    <n v="1305"/>
    <x v="1"/>
    <n v="10"/>
    <n v="4"/>
    <x v="0"/>
    <n v="1"/>
    <n v="3"/>
    <x v="1"/>
    <n v="49"/>
    <n v="3"/>
    <n v="2"/>
    <s v="Therapist"/>
    <n v="2"/>
    <s v="Poor"/>
    <x v="0"/>
    <n v="4197"/>
    <x v="1"/>
    <n v="21123"/>
    <n v="2"/>
    <s v="Y"/>
    <s v="Yes"/>
    <n v="12"/>
    <x v="0"/>
    <s v="Low Performance"/>
    <n v="4"/>
    <n v="80"/>
    <n v="0"/>
    <n v="18"/>
    <n v="2"/>
    <n v="2"/>
    <s v="Poor"/>
    <n v="1"/>
    <n v="0"/>
    <n v="0"/>
    <n v="1"/>
  </r>
  <r>
    <n v="1538992"/>
    <n v="43"/>
    <x v="0"/>
    <s v="No"/>
    <x v="0"/>
    <x v="0"/>
    <n v="982"/>
    <x v="1"/>
    <n v="12"/>
    <n v="3"/>
    <x v="0"/>
    <n v="1"/>
    <n v="1"/>
    <x v="1"/>
    <n v="59"/>
    <n v="2"/>
    <n v="4"/>
    <s v="Administrative"/>
    <n v="2"/>
    <s v="Poor"/>
    <x v="2"/>
    <n v="14336"/>
    <x v="2"/>
    <n v="4345"/>
    <n v="1"/>
    <s v="Y"/>
    <s v="No"/>
    <n v="11"/>
    <x v="0"/>
    <s v="Low Performance"/>
    <n v="3"/>
    <n v="80"/>
    <n v="1"/>
    <n v="25"/>
    <n v="3"/>
    <n v="3"/>
    <s v="Fair"/>
    <n v="25"/>
    <n v="10"/>
    <n v="3"/>
    <n v="9"/>
  </r>
  <r>
    <n v="1488170"/>
    <n v="40"/>
    <x v="0"/>
    <s v="No"/>
    <x v="0"/>
    <x v="0"/>
    <n v="555"/>
    <x v="1"/>
    <n v="2"/>
    <n v="3"/>
    <x v="2"/>
    <n v="1"/>
    <n v="2"/>
    <x v="0"/>
    <n v="78"/>
    <n v="2"/>
    <n v="2"/>
    <s v="Nurse"/>
    <n v="3"/>
    <s v="Fair"/>
    <x v="1"/>
    <n v="3448"/>
    <x v="1"/>
    <n v="13436"/>
    <n v="6"/>
    <s v="Y"/>
    <s v="No"/>
    <n v="22"/>
    <x v="1"/>
    <s v="High Performance"/>
    <n v="2"/>
    <n v="80"/>
    <n v="1"/>
    <n v="20"/>
    <n v="3"/>
    <n v="3"/>
    <s v="Fair"/>
    <n v="1"/>
    <n v="0"/>
    <n v="0"/>
    <n v="0"/>
  </r>
  <r>
    <n v="1530826"/>
    <n v="54"/>
    <x v="1"/>
    <s v="No"/>
    <x v="0"/>
    <x v="0"/>
    <n v="821"/>
    <x v="1"/>
    <n v="5"/>
    <n v="2"/>
    <x v="2"/>
    <n v="1"/>
    <n v="1"/>
    <x v="1"/>
    <n v="86"/>
    <n v="3"/>
    <n v="5"/>
    <s v="Administrative"/>
    <n v="1"/>
    <s v="Poor"/>
    <x v="1"/>
    <n v="19406"/>
    <x v="2"/>
    <n v="8509"/>
    <n v="4"/>
    <s v="Y"/>
    <s v="No"/>
    <n v="11"/>
    <x v="0"/>
    <s v="Low Performance"/>
    <n v="3"/>
    <n v="80"/>
    <n v="1"/>
    <n v="24"/>
    <n v="4"/>
    <n v="2"/>
    <s v="Poor"/>
    <n v="4"/>
    <n v="2"/>
    <n v="1"/>
    <n v="2"/>
  </r>
  <r>
    <n v="1550660"/>
    <n v="34"/>
    <x v="2"/>
    <s v="No"/>
    <x v="0"/>
    <x v="2"/>
    <n v="1381"/>
    <x v="0"/>
    <n v="4"/>
    <n v="4"/>
    <x v="3"/>
    <n v="1"/>
    <n v="3"/>
    <x v="0"/>
    <n v="72"/>
    <n v="3"/>
    <n v="2"/>
    <s v="Nurse"/>
    <n v="3"/>
    <s v="Fair"/>
    <x v="1"/>
    <n v="6538"/>
    <x v="0"/>
    <n v="12740"/>
    <n v="9"/>
    <s v="Y"/>
    <s v="No"/>
    <n v="15"/>
    <x v="0"/>
    <s v="Low Performance"/>
    <n v="1"/>
    <n v="80"/>
    <n v="1"/>
    <n v="6"/>
    <n v="3"/>
    <n v="3"/>
    <s v="Fair"/>
    <n v="3"/>
    <n v="2"/>
    <n v="1"/>
    <n v="2"/>
  </r>
  <r>
    <n v="1766543"/>
    <n v="31"/>
    <x v="2"/>
    <s v="No"/>
    <x v="0"/>
    <x v="0"/>
    <n v="480"/>
    <x v="2"/>
    <n v="7"/>
    <n v="2"/>
    <x v="2"/>
    <n v="1"/>
    <n v="2"/>
    <x v="0"/>
    <n v="31"/>
    <n v="3"/>
    <n v="2"/>
    <s v="Therapist"/>
    <n v="1"/>
    <s v="Poor"/>
    <x v="1"/>
    <n v="4306"/>
    <x v="1"/>
    <n v="4156"/>
    <n v="1"/>
    <s v="Y"/>
    <s v="No"/>
    <n v="12"/>
    <x v="0"/>
    <s v="Low Performance"/>
    <n v="2"/>
    <n v="80"/>
    <n v="1"/>
    <n v="13"/>
    <n v="5"/>
    <n v="1"/>
    <s v="Poor"/>
    <n v="13"/>
    <n v="10"/>
    <n v="3"/>
    <n v="12"/>
  </r>
  <r>
    <n v="1241240"/>
    <n v="43"/>
    <x v="0"/>
    <s v="No"/>
    <x v="0"/>
    <x v="1"/>
    <n v="313"/>
    <x v="1"/>
    <n v="21"/>
    <n v="3"/>
    <x v="2"/>
    <n v="1"/>
    <n v="4"/>
    <x v="1"/>
    <n v="61"/>
    <n v="3"/>
    <n v="1"/>
    <s v="Nurse"/>
    <n v="4"/>
    <s v="Good"/>
    <x v="1"/>
    <n v="2258"/>
    <x v="1"/>
    <n v="15238"/>
    <n v="7"/>
    <s v="Y"/>
    <s v="No"/>
    <n v="20"/>
    <x v="1"/>
    <s v="High Performance"/>
    <n v="1"/>
    <n v="80"/>
    <n v="1"/>
    <n v="8"/>
    <n v="1"/>
    <n v="3"/>
    <s v="Fair"/>
    <n v="3"/>
    <n v="2"/>
    <n v="1"/>
    <n v="2"/>
  </r>
  <r>
    <n v="1616188"/>
    <n v="43"/>
    <x v="0"/>
    <s v="No"/>
    <x v="0"/>
    <x v="0"/>
    <n v="1473"/>
    <x v="1"/>
    <n v="8"/>
    <n v="4"/>
    <x v="1"/>
    <n v="1"/>
    <n v="3"/>
    <x v="0"/>
    <n v="74"/>
    <n v="3"/>
    <n v="2"/>
    <s v="Nurse"/>
    <n v="3"/>
    <s v="Fair"/>
    <x v="2"/>
    <n v="4522"/>
    <x v="1"/>
    <n v="2227"/>
    <n v="4"/>
    <s v="Y"/>
    <s v="Yes"/>
    <n v="14"/>
    <x v="0"/>
    <s v="Low Performance"/>
    <n v="4"/>
    <n v="80"/>
    <n v="0"/>
    <n v="8"/>
    <n v="3"/>
    <n v="3"/>
    <s v="Fair"/>
    <n v="5"/>
    <n v="2"/>
    <n v="0"/>
    <n v="2"/>
  </r>
  <r>
    <n v="1068776"/>
    <n v="25"/>
    <x v="4"/>
    <s v="No"/>
    <x v="0"/>
    <x v="0"/>
    <n v="891"/>
    <x v="0"/>
    <n v="4"/>
    <n v="2"/>
    <x v="0"/>
    <n v="1"/>
    <n v="2"/>
    <x v="0"/>
    <n v="99"/>
    <n v="2"/>
    <n v="2"/>
    <s v="Nurse"/>
    <n v="4"/>
    <s v="Good"/>
    <x v="0"/>
    <n v="4487"/>
    <x v="1"/>
    <n v="12090"/>
    <n v="1"/>
    <s v="Y"/>
    <s v="Yes"/>
    <n v="11"/>
    <x v="0"/>
    <s v="Low Performance"/>
    <n v="2"/>
    <n v="80"/>
    <n v="0"/>
    <n v="5"/>
    <n v="3"/>
    <n v="3"/>
    <s v="Fair"/>
    <n v="5"/>
    <n v="4"/>
    <n v="1"/>
    <n v="3"/>
  </r>
  <r>
    <n v="1514615"/>
    <n v="37"/>
    <x v="0"/>
    <s v="No"/>
    <x v="0"/>
    <x v="2"/>
    <n v="1063"/>
    <x v="1"/>
    <n v="25"/>
    <n v="5"/>
    <x v="2"/>
    <n v="1"/>
    <n v="2"/>
    <x v="0"/>
    <n v="72"/>
    <n v="3"/>
    <n v="2"/>
    <s v="Other"/>
    <n v="3"/>
    <s v="Fair"/>
    <x v="1"/>
    <n v="4449"/>
    <x v="1"/>
    <n v="23866"/>
    <n v="3"/>
    <s v="Y"/>
    <s v="Yes"/>
    <n v="15"/>
    <x v="0"/>
    <s v="Low Performance"/>
    <n v="1"/>
    <n v="80"/>
    <n v="2"/>
    <n v="15"/>
    <n v="2"/>
    <n v="3"/>
    <s v="Fair"/>
    <n v="13"/>
    <n v="11"/>
    <n v="10"/>
    <n v="7"/>
  </r>
  <r>
    <n v="1413436"/>
    <n v="31"/>
    <x v="2"/>
    <s v="No"/>
    <x v="0"/>
    <x v="0"/>
    <n v="329"/>
    <x v="1"/>
    <n v="1"/>
    <n v="2"/>
    <x v="0"/>
    <n v="1"/>
    <n v="4"/>
    <x v="1"/>
    <n v="98"/>
    <n v="2"/>
    <n v="1"/>
    <s v="Nurse"/>
    <n v="1"/>
    <s v="Poor"/>
    <x v="1"/>
    <n v="2218"/>
    <x v="1"/>
    <n v="16193"/>
    <n v="1"/>
    <s v="Y"/>
    <s v="No"/>
    <n v="12"/>
    <x v="0"/>
    <s v="Low Performance"/>
    <n v="3"/>
    <n v="80"/>
    <n v="1"/>
    <n v="4"/>
    <n v="3"/>
    <n v="3"/>
    <s v="Fair"/>
    <n v="4"/>
    <n v="2"/>
    <n v="3"/>
    <n v="2"/>
  </r>
  <r>
    <n v="1660433"/>
    <n v="39"/>
    <x v="0"/>
    <s v="No"/>
    <x v="0"/>
    <x v="1"/>
    <n v="1218"/>
    <x v="2"/>
    <n v="1"/>
    <n v="1"/>
    <x v="0"/>
    <n v="1"/>
    <n v="2"/>
    <x v="1"/>
    <n v="52"/>
    <n v="3"/>
    <n v="5"/>
    <s v="Other"/>
    <n v="3"/>
    <s v="Fair"/>
    <x v="2"/>
    <n v="19197"/>
    <x v="2"/>
    <n v="8213"/>
    <n v="1"/>
    <s v="Y"/>
    <s v="Yes"/>
    <n v="14"/>
    <x v="0"/>
    <s v="Low Performance"/>
    <n v="3"/>
    <n v="80"/>
    <n v="1"/>
    <n v="21"/>
    <n v="3"/>
    <n v="3"/>
    <s v="Fair"/>
    <n v="21"/>
    <n v="8"/>
    <n v="1"/>
    <n v="6"/>
  </r>
  <r>
    <n v="1415736"/>
    <n v="56"/>
    <x v="3"/>
    <s v="No"/>
    <x v="0"/>
    <x v="1"/>
    <n v="906"/>
    <x v="0"/>
    <n v="6"/>
    <n v="3"/>
    <x v="0"/>
    <n v="1"/>
    <n v="3"/>
    <x v="0"/>
    <n v="86"/>
    <n v="4"/>
    <n v="4"/>
    <s v="Nurse"/>
    <n v="1"/>
    <s v="Poor"/>
    <x v="1"/>
    <n v="13212"/>
    <x v="2"/>
    <n v="18256"/>
    <n v="9"/>
    <s v="Y"/>
    <s v="No"/>
    <n v="11"/>
    <x v="0"/>
    <s v="Low Performance"/>
    <n v="4"/>
    <n v="80"/>
    <n v="3"/>
    <n v="36"/>
    <n v="0"/>
    <n v="2"/>
    <s v="Poor"/>
    <n v="7"/>
    <n v="7"/>
    <n v="7"/>
    <n v="7"/>
  </r>
  <r>
    <n v="1356712"/>
    <n v="30"/>
    <x v="2"/>
    <s v="No"/>
    <x v="0"/>
    <x v="0"/>
    <n v="1082"/>
    <x v="0"/>
    <n v="12"/>
    <n v="3"/>
    <x v="4"/>
    <n v="1"/>
    <n v="2"/>
    <x v="0"/>
    <n v="83"/>
    <n v="3"/>
    <n v="2"/>
    <s v="Nurse"/>
    <n v="3"/>
    <s v="Fair"/>
    <x v="0"/>
    <n v="6577"/>
    <x v="0"/>
    <n v="19558"/>
    <n v="0"/>
    <s v="Y"/>
    <s v="No"/>
    <n v="11"/>
    <x v="0"/>
    <s v="Low Performance"/>
    <n v="2"/>
    <n v="80"/>
    <n v="0"/>
    <n v="6"/>
    <n v="6"/>
    <n v="3"/>
    <s v="Fair"/>
    <n v="5"/>
    <n v="4"/>
    <n v="4"/>
    <n v="4"/>
  </r>
  <r>
    <n v="1482423"/>
    <n v="41"/>
    <x v="0"/>
    <s v="No"/>
    <x v="0"/>
    <x v="0"/>
    <n v="645"/>
    <x v="0"/>
    <n v="1"/>
    <n v="3"/>
    <x v="3"/>
    <n v="1"/>
    <n v="2"/>
    <x v="1"/>
    <n v="49"/>
    <n v="4"/>
    <n v="3"/>
    <s v="Nurse"/>
    <n v="1"/>
    <s v="Poor"/>
    <x v="1"/>
    <n v="8392"/>
    <x v="0"/>
    <n v="19566"/>
    <n v="1"/>
    <s v="Y"/>
    <s v="No"/>
    <n v="16"/>
    <x v="0"/>
    <s v="Low Performance"/>
    <n v="3"/>
    <n v="80"/>
    <n v="1"/>
    <n v="10"/>
    <n v="2"/>
    <n v="3"/>
    <s v="Fair"/>
    <n v="10"/>
    <n v="7"/>
    <n v="0"/>
    <n v="7"/>
  </r>
  <r>
    <n v="1735186"/>
    <n v="28"/>
    <x v="2"/>
    <s v="No"/>
    <x v="0"/>
    <x v="0"/>
    <n v="1300"/>
    <x v="1"/>
    <n v="17"/>
    <n v="2"/>
    <x v="2"/>
    <n v="1"/>
    <n v="3"/>
    <x v="1"/>
    <n v="79"/>
    <n v="3"/>
    <n v="2"/>
    <s v="Nurse"/>
    <n v="1"/>
    <s v="Poor"/>
    <x v="2"/>
    <n v="4558"/>
    <x v="1"/>
    <n v="13535"/>
    <n v="1"/>
    <s v="Y"/>
    <s v="No"/>
    <n v="12"/>
    <x v="0"/>
    <s v="Low Performance"/>
    <n v="4"/>
    <n v="80"/>
    <n v="1"/>
    <n v="10"/>
    <n v="2"/>
    <n v="3"/>
    <s v="Fair"/>
    <n v="10"/>
    <n v="0"/>
    <n v="1"/>
    <n v="8"/>
  </r>
  <r>
    <n v="1303791"/>
    <n v="25"/>
    <x v="4"/>
    <s v="Yes"/>
    <x v="1"/>
    <x v="0"/>
    <n v="688"/>
    <x v="1"/>
    <n v="3"/>
    <n v="3"/>
    <x v="2"/>
    <n v="1"/>
    <n v="1"/>
    <x v="1"/>
    <n v="91"/>
    <n v="3"/>
    <n v="1"/>
    <s v="Nurse"/>
    <n v="1"/>
    <s v="Poor"/>
    <x v="1"/>
    <n v="4031"/>
    <x v="1"/>
    <n v="9396"/>
    <n v="5"/>
    <s v="Y"/>
    <s v="No"/>
    <n v="13"/>
    <x v="0"/>
    <s v="Low Performance"/>
    <n v="3"/>
    <n v="80"/>
    <n v="1"/>
    <n v="6"/>
    <n v="5"/>
    <n v="3"/>
    <s v="Fair"/>
    <n v="2"/>
    <n v="2"/>
    <n v="0"/>
    <n v="2"/>
  </r>
  <r>
    <n v="1595705"/>
    <n v="52"/>
    <x v="1"/>
    <s v="No"/>
    <x v="0"/>
    <x v="0"/>
    <n v="319"/>
    <x v="2"/>
    <n v="3"/>
    <n v="3"/>
    <x v="2"/>
    <n v="1"/>
    <n v="4"/>
    <x v="1"/>
    <n v="39"/>
    <n v="2"/>
    <n v="3"/>
    <s v="Therapist"/>
    <n v="3"/>
    <s v="Fair"/>
    <x v="1"/>
    <n v="7969"/>
    <x v="0"/>
    <n v="19609"/>
    <n v="2"/>
    <s v="Y"/>
    <s v="Yes"/>
    <n v="14"/>
    <x v="0"/>
    <s v="Low Performance"/>
    <n v="3"/>
    <n v="80"/>
    <n v="0"/>
    <n v="28"/>
    <n v="4"/>
    <n v="3"/>
    <s v="Fair"/>
    <n v="5"/>
    <n v="4"/>
    <n v="0"/>
    <n v="4"/>
  </r>
  <r>
    <n v="1314827"/>
    <n v="45"/>
    <x v="0"/>
    <s v="No"/>
    <x v="0"/>
    <x v="0"/>
    <n v="192"/>
    <x v="1"/>
    <n v="10"/>
    <n v="2"/>
    <x v="0"/>
    <n v="1"/>
    <n v="1"/>
    <x v="1"/>
    <n v="69"/>
    <n v="3"/>
    <n v="1"/>
    <s v="Other"/>
    <n v="4"/>
    <s v="Good"/>
    <x v="1"/>
    <n v="2654"/>
    <x v="1"/>
    <n v="9655"/>
    <n v="3"/>
    <s v="Y"/>
    <s v="No"/>
    <n v="21"/>
    <x v="1"/>
    <s v="High Performance"/>
    <n v="4"/>
    <n v="80"/>
    <n v="2"/>
    <n v="8"/>
    <n v="3"/>
    <n v="2"/>
    <s v="Poor"/>
    <n v="2"/>
    <n v="2"/>
    <n v="0"/>
    <n v="2"/>
  </r>
  <r>
    <n v="1499671"/>
    <n v="52"/>
    <x v="1"/>
    <s v="No"/>
    <x v="0"/>
    <x v="0"/>
    <n v="1490"/>
    <x v="2"/>
    <n v="4"/>
    <n v="2"/>
    <x v="0"/>
    <n v="1"/>
    <n v="4"/>
    <x v="0"/>
    <n v="30"/>
    <n v="3"/>
    <n v="4"/>
    <s v="Other"/>
    <n v="4"/>
    <s v="Good"/>
    <x v="1"/>
    <n v="16555"/>
    <x v="2"/>
    <n v="10310"/>
    <n v="2"/>
    <s v="Y"/>
    <s v="No"/>
    <n v="13"/>
    <x v="0"/>
    <s v="Low Performance"/>
    <n v="4"/>
    <n v="80"/>
    <n v="0"/>
    <n v="31"/>
    <n v="2"/>
    <n v="1"/>
    <s v="Poor"/>
    <n v="5"/>
    <n v="2"/>
    <n v="1"/>
    <n v="4"/>
  </r>
  <r>
    <n v="1085614"/>
    <n v="42"/>
    <x v="0"/>
    <s v="No"/>
    <x v="0"/>
    <x v="1"/>
    <n v="532"/>
    <x v="1"/>
    <n v="29"/>
    <n v="2"/>
    <x v="0"/>
    <n v="1"/>
    <n v="1"/>
    <x v="0"/>
    <n v="92"/>
    <n v="3"/>
    <n v="2"/>
    <s v="Other"/>
    <n v="3"/>
    <s v="Fair"/>
    <x v="2"/>
    <n v="4556"/>
    <x v="1"/>
    <n v="12932"/>
    <n v="2"/>
    <s v="Y"/>
    <s v="No"/>
    <n v="11"/>
    <x v="0"/>
    <s v="Low Performance"/>
    <n v="2"/>
    <n v="80"/>
    <n v="1"/>
    <n v="19"/>
    <n v="3"/>
    <n v="3"/>
    <s v="Fair"/>
    <n v="5"/>
    <n v="4"/>
    <n v="0"/>
    <n v="2"/>
  </r>
  <r>
    <n v="1635763"/>
    <n v="30"/>
    <x v="2"/>
    <s v="No"/>
    <x v="0"/>
    <x v="0"/>
    <n v="317"/>
    <x v="2"/>
    <n v="2"/>
    <n v="3"/>
    <x v="0"/>
    <n v="1"/>
    <n v="3"/>
    <x v="0"/>
    <n v="43"/>
    <n v="1"/>
    <n v="2"/>
    <s v="Therapist"/>
    <n v="4"/>
    <s v="Good"/>
    <x v="0"/>
    <n v="6091"/>
    <x v="0"/>
    <n v="24793"/>
    <n v="2"/>
    <s v="Y"/>
    <s v="No"/>
    <n v="20"/>
    <x v="1"/>
    <s v="High Performance"/>
    <n v="3"/>
    <n v="80"/>
    <n v="0"/>
    <n v="11"/>
    <n v="2"/>
    <n v="3"/>
    <s v="Fair"/>
    <n v="5"/>
    <n v="4"/>
    <n v="0"/>
    <n v="2"/>
  </r>
  <r>
    <n v="1031735"/>
    <n v="60"/>
    <x v="3"/>
    <s v="No"/>
    <x v="0"/>
    <x v="0"/>
    <n v="422"/>
    <x v="2"/>
    <n v="7"/>
    <n v="3"/>
    <x v="0"/>
    <n v="1"/>
    <n v="1"/>
    <x v="0"/>
    <n v="41"/>
    <n v="3"/>
    <n v="5"/>
    <s v="Other"/>
    <n v="1"/>
    <s v="Poor"/>
    <x v="1"/>
    <n v="19566"/>
    <x v="2"/>
    <n v="3854"/>
    <n v="5"/>
    <s v="Y"/>
    <s v="No"/>
    <n v="11"/>
    <x v="0"/>
    <s v="Low Performance"/>
    <n v="4"/>
    <n v="80"/>
    <n v="0"/>
    <n v="33"/>
    <n v="5"/>
    <n v="1"/>
    <s v="Poor"/>
    <n v="29"/>
    <n v="8"/>
    <n v="11"/>
    <n v="10"/>
  </r>
  <r>
    <n v="1787984"/>
    <n v="46"/>
    <x v="1"/>
    <s v="No"/>
    <x v="0"/>
    <x v="0"/>
    <n v="1485"/>
    <x v="1"/>
    <n v="18"/>
    <n v="3"/>
    <x v="2"/>
    <n v="1"/>
    <n v="3"/>
    <x v="0"/>
    <n v="87"/>
    <n v="3"/>
    <n v="2"/>
    <s v="Therapist"/>
    <n v="3"/>
    <s v="Fair"/>
    <x v="2"/>
    <n v="4810"/>
    <x v="1"/>
    <n v="26314"/>
    <n v="2"/>
    <s v="Y"/>
    <s v="No"/>
    <n v="14"/>
    <x v="0"/>
    <s v="Low Performance"/>
    <n v="3"/>
    <n v="80"/>
    <n v="1"/>
    <n v="19"/>
    <n v="5"/>
    <n v="2"/>
    <s v="Poor"/>
    <n v="10"/>
    <n v="7"/>
    <n v="0"/>
    <n v="8"/>
  </r>
  <r>
    <n v="1867121"/>
    <n v="42"/>
    <x v="0"/>
    <s v="No"/>
    <x v="0"/>
    <x v="1"/>
    <n v="1368"/>
    <x v="1"/>
    <n v="28"/>
    <n v="4"/>
    <x v="4"/>
    <n v="1"/>
    <n v="4"/>
    <x v="0"/>
    <n v="88"/>
    <n v="2"/>
    <n v="2"/>
    <s v="Nurse"/>
    <n v="4"/>
    <s v="Good"/>
    <x v="1"/>
    <n v="4523"/>
    <x v="1"/>
    <n v="4386"/>
    <n v="0"/>
    <s v="Y"/>
    <s v="No"/>
    <n v="11"/>
    <x v="0"/>
    <s v="Low Performance"/>
    <n v="4"/>
    <n v="80"/>
    <n v="3"/>
    <n v="7"/>
    <n v="4"/>
    <n v="4"/>
    <s v="Good"/>
    <n v="6"/>
    <n v="5"/>
    <n v="0"/>
    <n v="4"/>
  </r>
  <r>
    <n v="1377208"/>
    <n v="24"/>
    <x v="4"/>
    <s v="Yes"/>
    <x v="1"/>
    <x v="0"/>
    <n v="1448"/>
    <x v="0"/>
    <n v="1"/>
    <n v="1"/>
    <x v="4"/>
    <n v="1"/>
    <n v="1"/>
    <x v="0"/>
    <n v="62"/>
    <n v="3"/>
    <n v="1"/>
    <s v="Other"/>
    <n v="2"/>
    <s v="Poor"/>
    <x v="0"/>
    <n v="3202"/>
    <x v="1"/>
    <n v="21972"/>
    <n v="1"/>
    <s v="Y"/>
    <s v="Yes"/>
    <n v="16"/>
    <x v="0"/>
    <s v="Low Performance"/>
    <n v="2"/>
    <n v="80"/>
    <n v="0"/>
    <n v="6"/>
    <n v="4"/>
    <n v="3"/>
    <s v="Fair"/>
    <n v="5"/>
    <n v="3"/>
    <n v="1"/>
    <n v="4"/>
  </r>
  <r>
    <n v="1548908"/>
    <n v="34"/>
    <x v="2"/>
    <s v="No"/>
    <x v="0"/>
    <x v="1"/>
    <n v="296"/>
    <x v="0"/>
    <n v="6"/>
    <n v="2"/>
    <x v="3"/>
    <n v="1"/>
    <n v="4"/>
    <x v="0"/>
    <n v="33"/>
    <n v="1"/>
    <n v="1"/>
    <s v="Other"/>
    <n v="3"/>
    <s v="Fair"/>
    <x v="2"/>
    <n v="2351"/>
    <x v="1"/>
    <n v="12253"/>
    <n v="0"/>
    <s v="Y"/>
    <s v="No"/>
    <n v="16"/>
    <x v="0"/>
    <s v="Low Performance"/>
    <n v="4"/>
    <n v="80"/>
    <n v="1"/>
    <n v="3"/>
    <n v="3"/>
    <n v="2"/>
    <s v="Poor"/>
    <n v="2"/>
    <n v="2"/>
    <n v="1"/>
    <n v="0"/>
  </r>
  <r>
    <n v="1501749"/>
    <n v="38"/>
    <x v="0"/>
    <s v="No"/>
    <x v="0"/>
    <x v="1"/>
    <n v="1490"/>
    <x v="1"/>
    <n v="2"/>
    <n v="2"/>
    <x v="0"/>
    <n v="1"/>
    <n v="4"/>
    <x v="1"/>
    <n v="42"/>
    <n v="3"/>
    <n v="1"/>
    <s v="Nurse"/>
    <n v="4"/>
    <s v="Good"/>
    <x v="1"/>
    <n v="1702"/>
    <x v="1"/>
    <n v="12106"/>
    <n v="1"/>
    <s v="Y"/>
    <s v="Yes"/>
    <n v="23"/>
    <x v="1"/>
    <s v="High Performance"/>
    <n v="3"/>
    <n v="80"/>
    <n v="1"/>
    <n v="1"/>
    <n v="3"/>
    <n v="3"/>
    <s v="Fair"/>
    <n v="1"/>
    <n v="0"/>
    <n v="0"/>
    <n v="0"/>
  </r>
  <r>
    <n v="1317087"/>
    <n v="40"/>
    <x v="0"/>
    <s v="No"/>
    <x v="0"/>
    <x v="0"/>
    <n v="1398"/>
    <x v="0"/>
    <n v="2"/>
    <n v="4"/>
    <x v="0"/>
    <n v="1"/>
    <n v="3"/>
    <x v="0"/>
    <n v="79"/>
    <n v="3"/>
    <n v="5"/>
    <s v="Administrative"/>
    <n v="3"/>
    <s v="Fair"/>
    <x v="1"/>
    <n v="18041"/>
    <x v="2"/>
    <n v="13022"/>
    <n v="0"/>
    <s v="Y"/>
    <s v="No"/>
    <n v="14"/>
    <x v="0"/>
    <s v="Low Performance"/>
    <n v="4"/>
    <n v="80"/>
    <n v="0"/>
    <n v="21"/>
    <n v="2"/>
    <n v="3"/>
    <s v="Fair"/>
    <n v="20"/>
    <n v="15"/>
    <n v="1"/>
    <n v="12"/>
  </r>
  <r>
    <n v="1865341"/>
    <n v="26"/>
    <x v="2"/>
    <s v="No"/>
    <x v="0"/>
    <x v="0"/>
    <n v="1349"/>
    <x v="1"/>
    <n v="23"/>
    <n v="3"/>
    <x v="0"/>
    <n v="1"/>
    <n v="1"/>
    <x v="0"/>
    <n v="90"/>
    <n v="3"/>
    <n v="1"/>
    <s v="Other"/>
    <n v="4"/>
    <s v="Good"/>
    <x v="2"/>
    <n v="2886"/>
    <x v="1"/>
    <n v="3032"/>
    <n v="1"/>
    <s v="Y"/>
    <s v="No"/>
    <n v="22"/>
    <x v="1"/>
    <s v="High Performance"/>
    <n v="2"/>
    <n v="80"/>
    <n v="2"/>
    <n v="3"/>
    <n v="3"/>
    <n v="1"/>
    <s v="Poor"/>
    <n v="3"/>
    <n v="2"/>
    <n v="0"/>
    <n v="2"/>
  </r>
  <r>
    <n v="1051420"/>
    <n v="30"/>
    <x v="2"/>
    <s v="No"/>
    <x v="0"/>
    <x v="2"/>
    <n v="1400"/>
    <x v="1"/>
    <n v="3"/>
    <n v="3"/>
    <x v="0"/>
    <n v="1"/>
    <n v="3"/>
    <x v="1"/>
    <n v="53"/>
    <n v="3"/>
    <n v="1"/>
    <s v="Nurse"/>
    <n v="4"/>
    <s v="Good"/>
    <x v="1"/>
    <n v="2097"/>
    <x v="1"/>
    <n v="16734"/>
    <n v="4"/>
    <s v="Y"/>
    <s v="No"/>
    <n v="15"/>
    <x v="0"/>
    <s v="Low Performance"/>
    <n v="3"/>
    <n v="80"/>
    <n v="1"/>
    <n v="9"/>
    <n v="3"/>
    <n v="1"/>
    <s v="Poor"/>
    <n v="5"/>
    <n v="3"/>
    <n v="1"/>
    <n v="4"/>
  </r>
  <r>
    <n v="1589813"/>
    <n v="29"/>
    <x v="2"/>
    <s v="No"/>
    <x v="0"/>
    <x v="0"/>
    <n v="986"/>
    <x v="1"/>
    <n v="3"/>
    <n v="4"/>
    <x v="2"/>
    <n v="1"/>
    <n v="2"/>
    <x v="1"/>
    <n v="93"/>
    <n v="2"/>
    <n v="3"/>
    <s v="Administrative"/>
    <n v="3"/>
    <s v="Fair"/>
    <x v="1"/>
    <n v="11935"/>
    <x v="0"/>
    <n v="21526"/>
    <n v="1"/>
    <s v="Y"/>
    <s v="No"/>
    <n v="18"/>
    <x v="0"/>
    <s v="Low Performance"/>
    <n v="3"/>
    <n v="80"/>
    <n v="0"/>
    <n v="10"/>
    <n v="2"/>
    <n v="3"/>
    <s v="Fair"/>
    <n v="10"/>
    <n v="2"/>
    <n v="0"/>
    <n v="7"/>
  </r>
  <r>
    <n v="1297138"/>
    <n v="29"/>
    <x v="2"/>
    <s v="Yes"/>
    <x v="1"/>
    <x v="0"/>
    <n v="408"/>
    <x v="1"/>
    <n v="25"/>
    <n v="5"/>
    <x v="4"/>
    <n v="1"/>
    <n v="3"/>
    <x v="0"/>
    <n v="71"/>
    <n v="2"/>
    <n v="1"/>
    <s v="Other"/>
    <n v="2"/>
    <s v="Poor"/>
    <x v="1"/>
    <n v="2546"/>
    <x v="1"/>
    <n v="18300"/>
    <n v="5"/>
    <s v="Y"/>
    <s v="No"/>
    <n v="16"/>
    <x v="0"/>
    <s v="Low Performance"/>
    <n v="2"/>
    <n v="80"/>
    <n v="0"/>
    <n v="6"/>
    <n v="2"/>
    <n v="4"/>
    <s v="Good"/>
    <n v="2"/>
    <n v="2"/>
    <n v="1"/>
    <n v="1"/>
  </r>
  <r>
    <n v="1191505"/>
    <n v="19"/>
    <x v="4"/>
    <s v="Yes"/>
    <x v="1"/>
    <x v="0"/>
    <n v="489"/>
    <x v="2"/>
    <n v="2"/>
    <n v="2"/>
    <x v="4"/>
    <n v="1"/>
    <n v="1"/>
    <x v="1"/>
    <n v="52"/>
    <n v="2"/>
    <n v="1"/>
    <s v="Other"/>
    <n v="4"/>
    <s v="Good"/>
    <x v="0"/>
    <n v="2564"/>
    <x v="1"/>
    <n v="18437"/>
    <n v="1"/>
    <s v="Y"/>
    <s v="No"/>
    <n v="12"/>
    <x v="0"/>
    <s v="Low Performance"/>
    <n v="3"/>
    <n v="80"/>
    <n v="0"/>
    <n v="1"/>
    <n v="3"/>
    <n v="4"/>
    <s v="Good"/>
    <n v="1"/>
    <n v="0"/>
    <n v="0"/>
    <n v="0"/>
  </r>
  <r>
    <n v="1708021"/>
    <n v="30"/>
    <x v="2"/>
    <s v="No"/>
    <x v="0"/>
    <x v="2"/>
    <n v="1398"/>
    <x v="0"/>
    <n v="22"/>
    <n v="4"/>
    <x v="1"/>
    <n v="1"/>
    <n v="3"/>
    <x v="0"/>
    <n v="69"/>
    <n v="3"/>
    <n v="3"/>
    <s v="Nurse"/>
    <n v="1"/>
    <s v="Poor"/>
    <x v="1"/>
    <n v="8412"/>
    <x v="0"/>
    <n v="2890"/>
    <n v="0"/>
    <s v="Y"/>
    <s v="No"/>
    <n v="11"/>
    <x v="0"/>
    <s v="Low Performance"/>
    <n v="3"/>
    <n v="80"/>
    <n v="0"/>
    <n v="10"/>
    <n v="3"/>
    <n v="3"/>
    <s v="Fair"/>
    <n v="9"/>
    <n v="8"/>
    <n v="7"/>
    <n v="8"/>
  </r>
  <r>
    <n v="1353649"/>
    <n v="57"/>
    <x v="3"/>
    <s v="No"/>
    <x v="0"/>
    <x v="0"/>
    <n v="210"/>
    <x v="0"/>
    <n v="29"/>
    <n v="3"/>
    <x v="3"/>
    <n v="1"/>
    <n v="1"/>
    <x v="1"/>
    <n v="56"/>
    <n v="2"/>
    <n v="4"/>
    <s v="Administrative"/>
    <n v="4"/>
    <s v="Good"/>
    <x v="2"/>
    <n v="14118"/>
    <x v="2"/>
    <n v="22102"/>
    <n v="3"/>
    <s v="Y"/>
    <s v="No"/>
    <n v="12"/>
    <x v="0"/>
    <s v="Low Performance"/>
    <n v="3"/>
    <n v="80"/>
    <n v="1"/>
    <n v="32"/>
    <n v="3"/>
    <n v="2"/>
    <s v="Poor"/>
    <n v="1"/>
    <n v="0"/>
    <n v="0"/>
    <n v="0"/>
  </r>
  <r>
    <n v="1669573"/>
    <n v="50"/>
    <x v="1"/>
    <s v="No"/>
    <x v="0"/>
    <x v="0"/>
    <n v="1099"/>
    <x v="2"/>
    <n v="29"/>
    <n v="4"/>
    <x v="0"/>
    <n v="1"/>
    <n v="2"/>
    <x v="1"/>
    <n v="88"/>
    <n v="2"/>
    <n v="4"/>
    <s v="Other"/>
    <n v="3"/>
    <s v="Fair"/>
    <x v="1"/>
    <n v="17046"/>
    <x v="2"/>
    <n v="9314"/>
    <n v="0"/>
    <s v="Y"/>
    <s v="No"/>
    <n v="15"/>
    <x v="0"/>
    <s v="Low Performance"/>
    <n v="2"/>
    <n v="80"/>
    <n v="1"/>
    <n v="28"/>
    <n v="2"/>
    <n v="3"/>
    <s v="Fair"/>
    <n v="27"/>
    <n v="10"/>
    <n v="15"/>
    <n v="7"/>
  </r>
  <r>
    <n v="1613984"/>
    <n v="30"/>
    <x v="2"/>
    <s v="No"/>
    <x v="0"/>
    <x v="2"/>
    <n v="1116"/>
    <x v="1"/>
    <n v="2"/>
    <n v="3"/>
    <x v="2"/>
    <n v="1"/>
    <n v="3"/>
    <x v="0"/>
    <n v="49"/>
    <n v="3"/>
    <n v="1"/>
    <s v="Nurse"/>
    <n v="4"/>
    <s v="Good"/>
    <x v="0"/>
    <n v="2564"/>
    <x v="1"/>
    <n v="7181"/>
    <n v="0"/>
    <s v="Y"/>
    <s v="No"/>
    <n v="14"/>
    <x v="0"/>
    <s v="Low Performance"/>
    <n v="3"/>
    <n v="80"/>
    <n v="0"/>
    <n v="12"/>
    <n v="2"/>
    <n v="2"/>
    <s v="Poor"/>
    <n v="11"/>
    <n v="7"/>
    <n v="6"/>
    <n v="7"/>
  </r>
  <r>
    <n v="1269877"/>
    <n v="60"/>
    <x v="3"/>
    <s v="No"/>
    <x v="0"/>
    <x v="1"/>
    <n v="1499"/>
    <x v="0"/>
    <n v="28"/>
    <n v="3"/>
    <x v="3"/>
    <n v="1"/>
    <n v="3"/>
    <x v="0"/>
    <n v="80"/>
    <n v="2"/>
    <n v="3"/>
    <s v="Nurse"/>
    <n v="1"/>
    <s v="Poor"/>
    <x v="1"/>
    <n v="10266"/>
    <x v="0"/>
    <n v="2845"/>
    <n v="4"/>
    <s v="Y"/>
    <s v="No"/>
    <n v="19"/>
    <x v="0"/>
    <s v="Low Performance"/>
    <n v="4"/>
    <n v="80"/>
    <n v="0"/>
    <n v="22"/>
    <n v="5"/>
    <n v="4"/>
    <s v="Good"/>
    <n v="18"/>
    <n v="13"/>
    <n v="13"/>
    <n v="11"/>
  </r>
  <r>
    <n v="1593662"/>
    <n v="47"/>
    <x v="1"/>
    <s v="No"/>
    <x v="0"/>
    <x v="0"/>
    <n v="983"/>
    <x v="2"/>
    <n v="2"/>
    <n v="2"/>
    <x v="2"/>
    <n v="1"/>
    <n v="1"/>
    <x v="0"/>
    <n v="65"/>
    <n v="3"/>
    <n v="2"/>
    <s v="Therapist"/>
    <n v="4"/>
    <s v="Good"/>
    <x v="2"/>
    <n v="5070"/>
    <x v="0"/>
    <n v="7389"/>
    <n v="5"/>
    <s v="Y"/>
    <s v="No"/>
    <n v="13"/>
    <x v="0"/>
    <s v="Low Performance"/>
    <n v="3"/>
    <n v="80"/>
    <n v="3"/>
    <n v="20"/>
    <n v="2"/>
    <n v="3"/>
    <s v="Fair"/>
    <n v="5"/>
    <n v="0"/>
    <n v="0"/>
    <n v="4"/>
  </r>
  <r>
    <n v="1580340"/>
    <n v="46"/>
    <x v="1"/>
    <s v="No"/>
    <x v="0"/>
    <x v="0"/>
    <n v="1009"/>
    <x v="1"/>
    <n v="2"/>
    <n v="3"/>
    <x v="0"/>
    <n v="1"/>
    <n v="1"/>
    <x v="1"/>
    <n v="51"/>
    <n v="3"/>
    <n v="4"/>
    <s v="Administrative"/>
    <n v="3"/>
    <s v="Fair"/>
    <x v="1"/>
    <n v="17861"/>
    <x v="2"/>
    <n v="2288"/>
    <n v="6"/>
    <s v="Y"/>
    <s v="No"/>
    <n v="13"/>
    <x v="0"/>
    <s v="Low Performance"/>
    <n v="3"/>
    <n v="80"/>
    <n v="0"/>
    <n v="26"/>
    <n v="2"/>
    <n v="1"/>
    <s v="Poor"/>
    <n v="3"/>
    <n v="2"/>
    <n v="0"/>
    <n v="1"/>
  </r>
  <r>
    <n v="1354096"/>
    <n v="35"/>
    <x v="2"/>
    <s v="No"/>
    <x v="0"/>
    <x v="0"/>
    <n v="144"/>
    <x v="1"/>
    <n v="22"/>
    <n v="3"/>
    <x v="0"/>
    <n v="1"/>
    <n v="4"/>
    <x v="1"/>
    <n v="46"/>
    <n v="1"/>
    <n v="1"/>
    <s v="Nurse"/>
    <n v="3"/>
    <s v="Fair"/>
    <x v="0"/>
    <n v="4230"/>
    <x v="1"/>
    <n v="19225"/>
    <n v="0"/>
    <s v="Y"/>
    <s v="No"/>
    <n v="15"/>
    <x v="0"/>
    <s v="Low Performance"/>
    <n v="3"/>
    <n v="80"/>
    <n v="0"/>
    <n v="6"/>
    <n v="2"/>
    <n v="3"/>
    <s v="Fair"/>
    <n v="5"/>
    <n v="4"/>
    <n v="4"/>
    <n v="3"/>
  </r>
  <r>
    <n v="1667303"/>
    <n v="54"/>
    <x v="1"/>
    <s v="No"/>
    <x v="0"/>
    <x v="0"/>
    <n v="548"/>
    <x v="1"/>
    <n v="8"/>
    <n v="4"/>
    <x v="0"/>
    <n v="1"/>
    <n v="3"/>
    <x v="0"/>
    <n v="42"/>
    <n v="3"/>
    <n v="2"/>
    <s v="Nurse"/>
    <n v="3"/>
    <s v="Fair"/>
    <x v="0"/>
    <n v="3780"/>
    <x v="1"/>
    <n v="23428"/>
    <n v="7"/>
    <s v="Y"/>
    <s v="No"/>
    <n v="11"/>
    <x v="0"/>
    <s v="Low Performance"/>
    <n v="3"/>
    <n v="80"/>
    <n v="0"/>
    <n v="19"/>
    <n v="3"/>
    <n v="3"/>
    <s v="Fair"/>
    <n v="1"/>
    <n v="0"/>
    <n v="0"/>
    <n v="0"/>
  </r>
  <r>
    <n v="1095688"/>
    <n v="34"/>
    <x v="2"/>
    <s v="No"/>
    <x v="0"/>
    <x v="0"/>
    <n v="1303"/>
    <x v="1"/>
    <n v="2"/>
    <n v="4"/>
    <x v="0"/>
    <n v="1"/>
    <n v="4"/>
    <x v="1"/>
    <n v="62"/>
    <n v="2"/>
    <n v="1"/>
    <s v="Other"/>
    <n v="3"/>
    <s v="Fair"/>
    <x v="2"/>
    <n v="2768"/>
    <x v="1"/>
    <n v="8416"/>
    <n v="3"/>
    <s v="Y"/>
    <s v="No"/>
    <n v="12"/>
    <x v="0"/>
    <s v="Low Performance"/>
    <n v="3"/>
    <n v="80"/>
    <n v="1"/>
    <n v="14"/>
    <n v="3"/>
    <n v="3"/>
    <s v="Fair"/>
    <n v="7"/>
    <n v="3"/>
    <n v="5"/>
    <n v="7"/>
  </r>
  <r>
    <n v="1725110"/>
    <n v="31"/>
    <x v="2"/>
    <s v="No"/>
    <x v="0"/>
    <x v="0"/>
    <n v="1274"/>
    <x v="1"/>
    <n v="9"/>
    <n v="1"/>
    <x v="0"/>
    <n v="1"/>
    <n v="3"/>
    <x v="1"/>
    <n v="33"/>
    <n v="3"/>
    <n v="3"/>
    <s v="Therapist"/>
    <n v="2"/>
    <s v="Poor"/>
    <x v="2"/>
    <n v="10648"/>
    <x v="0"/>
    <n v="14394"/>
    <n v="1"/>
    <s v="Y"/>
    <s v="No"/>
    <n v="25"/>
    <x v="1"/>
    <s v="High Performance"/>
    <n v="4"/>
    <n v="80"/>
    <n v="1"/>
    <n v="13"/>
    <n v="6"/>
    <n v="4"/>
    <s v="Good"/>
    <n v="13"/>
    <n v="8"/>
    <n v="0"/>
    <n v="8"/>
  </r>
  <r>
    <n v="1563027"/>
    <n v="33"/>
    <x v="2"/>
    <s v="Yes"/>
    <x v="1"/>
    <x v="0"/>
    <n v="1277"/>
    <x v="2"/>
    <n v="15"/>
    <n v="1"/>
    <x v="2"/>
    <n v="1"/>
    <n v="2"/>
    <x v="1"/>
    <n v="56"/>
    <n v="3"/>
    <n v="3"/>
    <s v="Other"/>
    <n v="3"/>
    <s v="Fair"/>
    <x v="1"/>
    <n v="13610"/>
    <x v="2"/>
    <n v="24619"/>
    <n v="7"/>
    <s v="Y"/>
    <s v="Yes"/>
    <n v="12"/>
    <x v="0"/>
    <s v="Low Performance"/>
    <n v="4"/>
    <n v="80"/>
    <n v="0"/>
    <n v="15"/>
    <n v="2"/>
    <n v="4"/>
    <s v="Good"/>
    <n v="7"/>
    <n v="6"/>
    <n v="7"/>
    <n v="7"/>
  </r>
  <r>
    <n v="1173414"/>
    <n v="33"/>
    <x v="2"/>
    <s v="No"/>
    <x v="0"/>
    <x v="0"/>
    <n v="587"/>
    <x v="1"/>
    <n v="10"/>
    <n v="1"/>
    <x v="2"/>
    <n v="1"/>
    <n v="1"/>
    <x v="1"/>
    <n v="38"/>
    <n v="1"/>
    <n v="1"/>
    <s v="Nurse"/>
    <n v="4"/>
    <s v="Good"/>
    <x v="2"/>
    <n v="3408"/>
    <x v="1"/>
    <n v="6705"/>
    <n v="7"/>
    <s v="Y"/>
    <s v="No"/>
    <n v="13"/>
    <x v="0"/>
    <s v="Low Performance"/>
    <n v="1"/>
    <n v="80"/>
    <n v="3"/>
    <n v="8"/>
    <n v="2"/>
    <n v="3"/>
    <s v="Fair"/>
    <n v="4"/>
    <n v="3"/>
    <n v="1"/>
    <n v="3"/>
  </r>
  <r>
    <n v="1188476"/>
    <n v="30"/>
    <x v="2"/>
    <s v="No"/>
    <x v="0"/>
    <x v="0"/>
    <n v="413"/>
    <x v="0"/>
    <n v="7"/>
    <n v="1"/>
    <x v="3"/>
    <n v="1"/>
    <n v="4"/>
    <x v="1"/>
    <n v="57"/>
    <n v="3"/>
    <n v="1"/>
    <s v="Other"/>
    <n v="2"/>
    <s v="Poor"/>
    <x v="0"/>
    <n v="2983"/>
    <x v="1"/>
    <n v="18398"/>
    <n v="0"/>
    <s v="Y"/>
    <s v="No"/>
    <n v="14"/>
    <x v="0"/>
    <s v="Low Performance"/>
    <n v="1"/>
    <n v="80"/>
    <n v="0"/>
    <n v="4"/>
    <n v="3"/>
    <n v="3"/>
    <s v="Fair"/>
    <n v="3"/>
    <n v="2"/>
    <n v="1"/>
    <n v="2"/>
  </r>
  <r>
    <n v="1204541"/>
    <n v="35"/>
    <x v="2"/>
    <s v="No"/>
    <x v="0"/>
    <x v="0"/>
    <n v="1276"/>
    <x v="1"/>
    <n v="16"/>
    <n v="3"/>
    <x v="0"/>
    <n v="1"/>
    <n v="4"/>
    <x v="1"/>
    <n v="72"/>
    <n v="3"/>
    <n v="3"/>
    <s v="Nurse"/>
    <n v="3"/>
    <s v="Fair"/>
    <x v="1"/>
    <n v="7632"/>
    <x v="0"/>
    <n v="14295"/>
    <n v="4"/>
    <s v="Y"/>
    <s v="Yes"/>
    <n v="12"/>
    <x v="0"/>
    <s v="Low Performance"/>
    <n v="3"/>
    <n v="80"/>
    <n v="0"/>
    <n v="10"/>
    <n v="2"/>
    <n v="3"/>
    <s v="Fair"/>
    <n v="8"/>
    <n v="7"/>
    <n v="0"/>
    <n v="0"/>
  </r>
  <r>
    <n v="1736866"/>
    <n v="31"/>
    <x v="2"/>
    <s v="Yes"/>
    <x v="1"/>
    <x v="1"/>
    <n v="534"/>
    <x v="1"/>
    <n v="20"/>
    <n v="3"/>
    <x v="0"/>
    <n v="1"/>
    <n v="1"/>
    <x v="1"/>
    <n v="66"/>
    <n v="3"/>
    <n v="3"/>
    <s v="Nurse"/>
    <n v="3"/>
    <s v="Fair"/>
    <x v="1"/>
    <n v="9824"/>
    <x v="0"/>
    <n v="22908"/>
    <n v="3"/>
    <s v="Y"/>
    <s v="No"/>
    <n v="12"/>
    <x v="0"/>
    <s v="Low Performance"/>
    <n v="1"/>
    <n v="80"/>
    <n v="0"/>
    <n v="12"/>
    <n v="2"/>
    <n v="3"/>
    <s v="Fair"/>
    <n v="1"/>
    <n v="0"/>
    <n v="0"/>
    <n v="0"/>
  </r>
  <r>
    <n v="1776529"/>
    <n v="34"/>
    <x v="2"/>
    <s v="Yes"/>
    <x v="1"/>
    <x v="1"/>
    <n v="988"/>
    <x v="2"/>
    <n v="23"/>
    <n v="3"/>
    <x v="5"/>
    <n v="1"/>
    <n v="2"/>
    <x v="0"/>
    <n v="43"/>
    <n v="3"/>
    <n v="3"/>
    <s v="Other"/>
    <n v="1"/>
    <s v="Poor"/>
    <x v="2"/>
    <n v="9950"/>
    <x v="0"/>
    <n v="11533"/>
    <n v="9"/>
    <s v="Y"/>
    <s v="Yes"/>
    <n v="15"/>
    <x v="0"/>
    <s v="Low Performance"/>
    <n v="3"/>
    <n v="80"/>
    <n v="3"/>
    <n v="11"/>
    <n v="2"/>
    <n v="3"/>
    <s v="Fair"/>
    <n v="3"/>
    <n v="2"/>
    <n v="0"/>
    <n v="2"/>
  </r>
  <r>
    <n v="1489398"/>
    <n v="42"/>
    <x v="0"/>
    <s v="No"/>
    <x v="0"/>
    <x v="1"/>
    <n v="1474"/>
    <x v="1"/>
    <n v="5"/>
    <n v="2"/>
    <x v="1"/>
    <n v="1"/>
    <n v="2"/>
    <x v="1"/>
    <n v="97"/>
    <n v="3"/>
    <n v="1"/>
    <s v="Nurse"/>
    <n v="3"/>
    <s v="Fair"/>
    <x v="1"/>
    <n v="2093"/>
    <x v="1"/>
    <n v="9260"/>
    <n v="4"/>
    <s v="Y"/>
    <s v="No"/>
    <n v="17"/>
    <x v="0"/>
    <s v="Low Performance"/>
    <n v="4"/>
    <n v="80"/>
    <n v="1"/>
    <n v="8"/>
    <n v="4"/>
    <n v="3"/>
    <s v="Fair"/>
    <n v="2"/>
    <n v="2"/>
    <n v="2"/>
    <n v="0"/>
  </r>
  <r>
    <n v="1673608"/>
    <n v="36"/>
    <x v="0"/>
    <s v="No"/>
    <x v="0"/>
    <x v="2"/>
    <n v="635"/>
    <x v="0"/>
    <n v="10"/>
    <n v="4"/>
    <x v="2"/>
    <n v="1"/>
    <n v="2"/>
    <x v="1"/>
    <n v="32"/>
    <n v="3"/>
    <n v="3"/>
    <s v="Nurse"/>
    <n v="4"/>
    <s v="Good"/>
    <x v="0"/>
    <n v="9980"/>
    <x v="0"/>
    <n v="15318"/>
    <n v="1"/>
    <s v="Y"/>
    <s v="No"/>
    <n v="14"/>
    <x v="0"/>
    <s v="Low Performance"/>
    <n v="4"/>
    <n v="80"/>
    <n v="0"/>
    <n v="10"/>
    <n v="3"/>
    <n v="2"/>
    <s v="Poor"/>
    <n v="10"/>
    <n v="3"/>
    <n v="9"/>
    <n v="7"/>
  </r>
  <r>
    <n v="1107497"/>
    <n v="22"/>
    <x v="4"/>
    <s v="No"/>
    <x v="0"/>
    <x v="1"/>
    <n v="1368"/>
    <x v="1"/>
    <n v="4"/>
    <n v="1"/>
    <x v="4"/>
    <n v="1"/>
    <n v="3"/>
    <x v="1"/>
    <n v="99"/>
    <n v="2"/>
    <n v="1"/>
    <s v="Nurse"/>
    <n v="3"/>
    <s v="Fair"/>
    <x v="0"/>
    <n v="3894"/>
    <x v="1"/>
    <n v="9129"/>
    <n v="5"/>
    <s v="Y"/>
    <s v="No"/>
    <n v="16"/>
    <x v="0"/>
    <s v="Low Performance"/>
    <n v="3"/>
    <n v="80"/>
    <n v="0"/>
    <n v="4"/>
    <n v="3"/>
    <n v="3"/>
    <s v="Fair"/>
    <n v="2"/>
    <n v="2"/>
    <n v="1"/>
    <n v="2"/>
  </r>
  <r>
    <n v="1096432"/>
    <n v="48"/>
    <x v="1"/>
    <s v="No"/>
    <x v="0"/>
    <x v="0"/>
    <n v="163"/>
    <x v="0"/>
    <n v="2"/>
    <n v="5"/>
    <x v="3"/>
    <n v="1"/>
    <n v="2"/>
    <x v="0"/>
    <n v="37"/>
    <n v="3"/>
    <n v="2"/>
    <s v="Nurse"/>
    <n v="4"/>
    <s v="Good"/>
    <x v="1"/>
    <n v="4051"/>
    <x v="1"/>
    <n v="19658"/>
    <n v="2"/>
    <s v="Y"/>
    <s v="No"/>
    <n v="14"/>
    <x v="0"/>
    <s v="Low Performance"/>
    <n v="1"/>
    <n v="80"/>
    <n v="1"/>
    <n v="14"/>
    <n v="2"/>
    <n v="3"/>
    <s v="Fair"/>
    <n v="9"/>
    <n v="7"/>
    <n v="6"/>
    <n v="7"/>
  </r>
  <r>
    <n v="1045162"/>
    <n v="55"/>
    <x v="1"/>
    <s v="No"/>
    <x v="0"/>
    <x v="0"/>
    <n v="1117"/>
    <x v="0"/>
    <n v="18"/>
    <n v="5"/>
    <x v="0"/>
    <n v="1"/>
    <n v="1"/>
    <x v="0"/>
    <n v="83"/>
    <n v="3"/>
    <n v="4"/>
    <s v="Administrative"/>
    <n v="2"/>
    <s v="Poor"/>
    <x v="0"/>
    <n v="16835"/>
    <x v="2"/>
    <n v="9873"/>
    <n v="3"/>
    <s v="Y"/>
    <s v="No"/>
    <n v="23"/>
    <x v="1"/>
    <s v="High Performance"/>
    <n v="4"/>
    <n v="80"/>
    <n v="0"/>
    <n v="37"/>
    <n v="2"/>
    <n v="3"/>
    <s v="Fair"/>
    <n v="10"/>
    <n v="9"/>
    <n v="7"/>
    <n v="7"/>
  </r>
  <r>
    <n v="1756239"/>
    <n v="41"/>
    <x v="0"/>
    <s v="No"/>
    <x v="0"/>
    <x v="2"/>
    <n v="267"/>
    <x v="0"/>
    <n v="10"/>
    <n v="2"/>
    <x v="0"/>
    <n v="1"/>
    <n v="4"/>
    <x v="1"/>
    <n v="56"/>
    <n v="3"/>
    <n v="2"/>
    <s v="Nurse"/>
    <n v="4"/>
    <s v="Good"/>
    <x v="0"/>
    <n v="6230"/>
    <x v="0"/>
    <n v="13430"/>
    <n v="7"/>
    <s v="Y"/>
    <s v="No"/>
    <n v="14"/>
    <x v="0"/>
    <s v="Low Performance"/>
    <n v="4"/>
    <n v="80"/>
    <n v="0"/>
    <n v="16"/>
    <n v="3"/>
    <n v="3"/>
    <s v="Fair"/>
    <n v="14"/>
    <n v="3"/>
    <n v="1"/>
    <n v="10"/>
  </r>
  <r>
    <n v="1372229"/>
    <n v="35"/>
    <x v="2"/>
    <s v="No"/>
    <x v="0"/>
    <x v="0"/>
    <n v="619"/>
    <x v="0"/>
    <n v="1"/>
    <n v="3"/>
    <x v="3"/>
    <n v="1"/>
    <n v="2"/>
    <x v="1"/>
    <n v="85"/>
    <n v="3"/>
    <n v="2"/>
    <s v="Nurse"/>
    <n v="3"/>
    <s v="Fair"/>
    <x v="1"/>
    <n v="4717"/>
    <x v="1"/>
    <n v="18659"/>
    <n v="9"/>
    <s v="Y"/>
    <s v="No"/>
    <n v="11"/>
    <x v="0"/>
    <s v="Low Performance"/>
    <n v="3"/>
    <n v="80"/>
    <n v="0"/>
    <n v="15"/>
    <n v="2"/>
    <n v="3"/>
    <s v="Fair"/>
    <n v="11"/>
    <n v="9"/>
    <n v="6"/>
    <n v="9"/>
  </r>
  <r>
    <n v="1413753"/>
    <n v="40"/>
    <x v="0"/>
    <s v="No"/>
    <x v="0"/>
    <x v="0"/>
    <n v="302"/>
    <x v="2"/>
    <n v="6"/>
    <n v="3"/>
    <x v="0"/>
    <n v="1"/>
    <n v="2"/>
    <x v="0"/>
    <n v="75"/>
    <n v="3"/>
    <n v="4"/>
    <s v="Therapist"/>
    <n v="3"/>
    <s v="Fair"/>
    <x v="0"/>
    <n v="13237"/>
    <x v="2"/>
    <n v="20364"/>
    <n v="7"/>
    <s v="Y"/>
    <s v="No"/>
    <n v="15"/>
    <x v="0"/>
    <s v="Low Performance"/>
    <n v="3"/>
    <n v="80"/>
    <n v="0"/>
    <n v="22"/>
    <n v="3"/>
    <n v="3"/>
    <s v="Fair"/>
    <n v="20"/>
    <n v="6"/>
    <n v="5"/>
    <n v="13"/>
  </r>
  <r>
    <n v="1394294"/>
    <n v="39"/>
    <x v="0"/>
    <s v="No"/>
    <x v="0"/>
    <x v="1"/>
    <n v="443"/>
    <x v="1"/>
    <n v="8"/>
    <n v="1"/>
    <x v="0"/>
    <n v="1"/>
    <n v="3"/>
    <x v="0"/>
    <n v="48"/>
    <n v="3"/>
    <n v="1"/>
    <s v="Nurse"/>
    <n v="3"/>
    <s v="Fair"/>
    <x v="1"/>
    <n v="3755"/>
    <x v="1"/>
    <n v="17872"/>
    <n v="1"/>
    <s v="Y"/>
    <s v="No"/>
    <n v="11"/>
    <x v="0"/>
    <s v="Low Performance"/>
    <n v="1"/>
    <n v="80"/>
    <n v="1"/>
    <n v="8"/>
    <n v="3"/>
    <n v="3"/>
    <s v="Fair"/>
    <n v="8"/>
    <n v="3"/>
    <n v="0"/>
    <n v="7"/>
  </r>
  <r>
    <n v="1233772"/>
    <n v="31"/>
    <x v="2"/>
    <s v="No"/>
    <x v="0"/>
    <x v="0"/>
    <n v="828"/>
    <x v="0"/>
    <n v="2"/>
    <n v="1"/>
    <x v="0"/>
    <n v="1"/>
    <n v="2"/>
    <x v="1"/>
    <n v="77"/>
    <n v="3"/>
    <n v="2"/>
    <s v="Nurse"/>
    <n v="4"/>
    <s v="Good"/>
    <x v="0"/>
    <n v="6582"/>
    <x v="0"/>
    <n v="8346"/>
    <n v="4"/>
    <s v="Y"/>
    <s v="Yes"/>
    <n v="13"/>
    <x v="0"/>
    <s v="Low Performance"/>
    <n v="3"/>
    <n v="80"/>
    <n v="0"/>
    <n v="10"/>
    <n v="2"/>
    <n v="4"/>
    <s v="Good"/>
    <n v="6"/>
    <n v="5"/>
    <n v="0"/>
    <n v="5"/>
  </r>
  <r>
    <n v="1882668"/>
    <n v="42"/>
    <x v="0"/>
    <s v="No"/>
    <x v="0"/>
    <x v="0"/>
    <n v="319"/>
    <x v="1"/>
    <n v="24"/>
    <n v="3"/>
    <x v="2"/>
    <n v="1"/>
    <n v="4"/>
    <x v="1"/>
    <n v="56"/>
    <n v="3"/>
    <n v="3"/>
    <s v="Therapist"/>
    <n v="1"/>
    <s v="Poor"/>
    <x v="1"/>
    <n v="7406"/>
    <x v="0"/>
    <n v="6950"/>
    <n v="1"/>
    <s v="Y"/>
    <s v="Yes"/>
    <n v="21"/>
    <x v="1"/>
    <s v="High Performance"/>
    <n v="4"/>
    <n v="80"/>
    <n v="1"/>
    <n v="10"/>
    <n v="5"/>
    <n v="2"/>
    <s v="Poor"/>
    <n v="10"/>
    <n v="9"/>
    <n v="5"/>
    <n v="8"/>
  </r>
  <r>
    <n v="1218847"/>
    <n v="45"/>
    <x v="0"/>
    <s v="No"/>
    <x v="0"/>
    <x v="0"/>
    <n v="561"/>
    <x v="0"/>
    <n v="2"/>
    <n v="3"/>
    <x v="1"/>
    <n v="1"/>
    <n v="4"/>
    <x v="1"/>
    <n v="61"/>
    <n v="3"/>
    <n v="2"/>
    <s v="Nurse"/>
    <n v="2"/>
    <s v="Poor"/>
    <x v="1"/>
    <n v="4805"/>
    <x v="1"/>
    <n v="16177"/>
    <n v="0"/>
    <s v="Y"/>
    <s v="No"/>
    <n v="19"/>
    <x v="0"/>
    <s v="Low Performance"/>
    <n v="2"/>
    <n v="80"/>
    <n v="1"/>
    <n v="9"/>
    <n v="3"/>
    <n v="4"/>
    <s v="Good"/>
    <n v="8"/>
    <n v="7"/>
    <n v="3"/>
    <n v="7"/>
  </r>
  <r>
    <n v="1636995"/>
    <n v="26"/>
    <x v="2"/>
    <s v="Yes"/>
    <x v="1"/>
    <x v="1"/>
    <n v="426"/>
    <x v="2"/>
    <n v="17"/>
    <n v="4"/>
    <x v="0"/>
    <n v="1"/>
    <n v="2"/>
    <x v="0"/>
    <n v="58"/>
    <n v="3"/>
    <n v="1"/>
    <s v="Other"/>
    <n v="3"/>
    <s v="Fair"/>
    <x v="2"/>
    <n v="2741"/>
    <x v="1"/>
    <n v="22808"/>
    <n v="0"/>
    <s v="Y"/>
    <s v="Yes"/>
    <n v="11"/>
    <x v="0"/>
    <s v="Low Performance"/>
    <n v="2"/>
    <n v="80"/>
    <n v="1"/>
    <n v="8"/>
    <n v="2"/>
    <n v="2"/>
    <s v="Poor"/>
    <n v="7"/>
    <n v="7"/>
    <n v="1"/>
    <n v="0"/>
  </r>
  <r>
    <n v="1780761"/>
    <n v="29"/>
    <x v="2"/>
    <s v="No"/>
    <x v="0"/>
    <x v="0"/>
    <n v="232"/>
    <x v="1"/>
    <n v="19"/>
    <n v="3"/>
    <x v="4"/>
    <n v="1"/>
    <n v="4"/>
    <x v="1"/>
    <n v="34"/>
    <n v="3"/>
    <n v="2"/>
    <s v="Therapist"/>
    <n v="4"/>
    <s v="Good"/>
    <x v="2"/>
    <n v="4262"/>
    <x v="1"/>
    <n v="22645"/>
    <n v="4"/>
    <s v="Y"/>
    <s v="No"/>
    <n v="12"/>
    <x v="0"/>
    <s v="Low Performance"/>
    <n v="2"/>
    <n v="80"/>
    <n v="2"/>
    <n v="8"/>
    <n v="2"/>
    <n v="4"/>
    <s v="Good"/>
    <n v="3"/>
    <n v="2"/>
    <n v="1"/>
    <n v="2"/>
  </r>
  <r>
    <n v="1375351"/>
    <n v="33"/>
    <x v="2"/>
    <s v="No"/>
    <x v="0"/>
    <x v="0"/>
    <n v="922"/>
    <x v="1"/>
    <n v="1"/>
    <n v="5"/>
    <x v="2"/>
    <n v="1"/>
    <n v="1"/>
    <x v="0"/>
    <n v="95"/>
    <n v="4"/>
    <n v="4"/>
    <s v="Administrative"/>
    <n v="3"/>
    <s v="Fair"/>
    <x v="2"/>
    <n v="16184"/>
    <x v="2"/>
    <n v="22578"/>
    <n v="4"/>
    <s v="Y"/>
    <s v="No"/>
    <n v="19"/>
    <x v="0"/>
    <s v="Low Performance"/>
    <n v="3"/>
    <n v="80"/>
    <n v="1"/>
    <n v="10"/>
    <n v="2"/>
    <n v="3"/>
    <s v="Fair"/>
    <n v="6"/>
    <n v="1"/>
    <n v="0"/>
    <n v="5"/>
  </r>
  <r>
    <n v="1670281"/>
    <n v="31"/>
    <x v="2"/>
    <s v="No"/>
    <x v="0"/>
    <x v="0"/>
    <n v="688"/>
    <x v="0"/>
    <n v="7"/>
    <n v="3"/>
    <x v="0"/>
    <n v="1"/>
    <n v="3"/>
    <x v="1"/>
    <n v="44"/>
    <n v="2"/>
    <n v="3"/>
    <s v="Administrative"/>
    <n v="4"/>
    <s v="Good"/>
    <x v="2"/>
    <n v="11557"/>
    <x v="0"/>
    <n v="25291"/>
    <n v="9"/>
    <s v="Y"/>
    <s v="No"/>
    <n v="21"/>
    <x v="1"/>
    <s v="High Performance"/>
    <n v="3"/>
    <n v="80"/>
    <n v="1"/>
    <n v="10"/>
    <n v="3"/>
    <n v="2"/>
    <s v="Poor"/>
    <n v="5"/>
    <n v="4"/>
    <n v="0"/>
    <n v="1"/>
  </r>
  <r>
    <n v="1138891"/>
    <n v="18"/>
    <x v="4"/>
    <s v="Yes"/>
    <x v="1"/>
    <x v="1"/>
    <n v="1306"/>
    <x v="0"/>
    <n v="5"/>
    <n v="3"/>
    <x v="3"/>
    <n v="1"/>
    <n v="2"/>
    <x v="1"/>
    <n v="69"/>
    <n v="3"/>
    <n v="1"/>
    <s v="Other"/>
    <n v="2"/>
    <s v="Poor"/>
    <x v="0"/>
    <n v="1878"/>
    <x v="1"/>
    <n v="8059"/>
    <n v="1"/>
    <s v="Y"/>
    <s v="Yes"/>
    <n v="14"/>
    <x v="0"/>
    <s v="Low Performance"/>
    <n v="4"/>
    <n v="80"/>
    <n v="0"/>
    <n v="0"/>
    <n v="3"/>
    <n v="3"/>
    <s v="Fair"/>
    <n v="0"/>
    <n v="0"/>
    <n v="0"/>
    <n v="0"/>
  </r>
  <r>
    <n v="1755403"/>
    <n v="40"/>
    <x v="0"/>
    <s v="No"/>
    <x v="0"/>
    <x v="2"/>
    <n v="1094"/>
    <x v="0"/>
    <n v="28"/>
    <n v="3"/>
    <x v="1"/>
    <n v="1"/>
    <n v="3"/>
    <x v="1"/>
    <n v="58"/>
    <n v="1"/>
    <n v="3"/>
    <s v="Nurse"/>
    <n v="1"/>
    <s v="Poor"/>
    <x v="2"/>
    <n v="10932"/>
    <x v="0"/>
    <n v="11373"/>
    <n v="3"/>
    <s v="Y"/>
    <s v="No"/>
    <n v="15"/>
    <x v="0"/>
    <s v="Low Performance"/>
    <n v="3"/>
    <n v="80"/>
    <n v="1"/>
    <n v="20"/>
    <n v="2"/>
    <n v="3"/>
    <s v="Fair"/>
    <n v="1"/>
    <n v="0"/>
    <n v="0"/>
    <n v="1"/>
  </r>
  <r>
    <n v="1566630"/>
    <n v="41"/>
    <x v="0"/>
    <s v="No"/>
    <x v="0"/>
    <x v="2"/>
    <n v="509"/>
    <x v="1"/>
    <n v="2"/>
    <n v="4"/>
    <x v="1"/>
    <n v="1"/>
    <n v="1"/>
    <x v="0"/>
    <n v="62"/>
    <n v="2"/>
    <n v="2"/>
    <s v="Nurse"/>
    <n v="3"/>
    <s v="Fair"/>
    <x v="0"/>
    <n v="6811"/>
    <x v="0"/>
    <n v="2112"/>
    <n v="2"/>
    <s v="Y"/>
    <s v="Yes"/>
    <n v="17"/>
    <x v="0"/>
    <s v="Low Performance"/>
    <n v="1"/>
    <n v="80"/>
    <n v="0"/>
    <n v="10"/>
    <n v="3"/>
    <n v="3"/>
    <s v="Fair"/>
    <n v="8"/>
    <n v="7"/>
    <n v="0"/>
    <n v="7"/>
  </r>
  <r>
    <n v="1777635"/>
    <n v="26"/>
    <x v="2"/>
    <s v="No"/>
    <x v="0"/>
    <x v="0"/>
    <n v="775"/>
    <x v="0"/>
    <n v="29"/>
    <n v="2"/>
    <x v="2"/>
    <n v="1"/>
    <n v="1"/>
    <x v="1"/>
    <n v="45"/>
    <n v="3"/>
    <n v="2"/>
    <s v="Nurse"/>
    <n v="3"/>
    <s v="Fair"/>
    <x v="2"/>
    <n v="4306"/>
    <x v="1"/>
    <n v="4267"/>
    <n v="5"/>
    <s v="Y"/>
    <s v="No"/>
    <n v="12"/>
    <x v="0"/>
    <s v="Low Performance"/>
    <n v="1"/>
    <n v="80"/>
    <n v="2"/>
    <n v="8"/>
    <n v="5"/>
    <n v="3"/>
    <s v="Fair"/>
    <n v="0"/>
    <n v="0"/>
    <n v="0"/>
    <n v="0"/>
  </r>
  <r>
    <n v="1427912"/>
    <n v="35"/>
    <x v="2"/>
    <s v="No"/>
    <x v="0"/>
    <x v="0"/>
    <n v="195"/>
    <x v="0"/>
    <n v="1"/>
    <n v="3"/>
    <x v="2"/>
    <n v="1"/>
    <n v="1"/>
    <x v="0"/>
    <n v="80"/>
    <n v="3"/>
    <n v="2"/>
    <s v="Nurse"/>
    <n v="3"/>
    <s v="Fair"/>
    <x v="0"/>
    <n v="4859"/>
    <x v="1"/>
    <n v="6698"/>
    <n v="1"/>
    <s v="Y"/>
    <s v="No"/>
    <n v="16"/>
    <x v="0"/>
    <s v="Low Performance"/>
    <n v="4"/>
    <n v="80"/>
    <n v="0"/>
    <n v="5"/>
    <n v="3"/>
    <n v="3"/>
    <s v="Fair"/>
    <n v="5"/>
    <n v="4"/>
    <n v="0"/>
    <n v="3"/>
  </r>
  <r>
    <n v="1884554"/>
    <n v="34"/>
    <x v="2"/>
    <s v="No"/>
    <x v="0"/>
    <x v="0"/>
    <n v="258"/>
    <x v="0"/>
    <n v="21"/>
    <n v="4"/>
    <x v="0"/>
    <n v="1"/>
    <n v="4"/>
    <x v="1"/>
    <n v="74"/>
    <n v="4"/>
    <n v="2"/>
    <s v="Nurse"/>
    <n v="4"/>
    <s v="Good"/>
    <x v="0"/>
    <n v="5337"/>
    <x v="0"/>
    <n v="19921"/>
    <n v="1"/>
    <s v="Y"/>
    <s v="No"/>
    <n v="12"/>
    <x v="0"/>
    <s v="Low Performance"/>
    <n v="4"/>
    <n v="80"/>
    <n v="0"/>
    <n v="10"/>
    <n v="3"/>
    <n v="3"/>
    <s v="Fair"/>
    <n v="10"/>
    <n v="7"/>
    <n v="5"/>
    <n v="7"/>
  </r>
  <r>
    <n v="1335605"/>
    <n v="26"/>
    <x v="2"/>
    <s v="Yes"/>
    <x v="1"/>
    <x v="0"/>
    <n v="471"/>
    <x v="1"/>
    <n v="24"/>
    <n v="3"/>
    <x v="4"/>
    <n v="1"/>
    <n v="3"/>
    <x v="1"/>
    <n v="66"/>
    <n v="1"/>
    <n v="1"/>
    <s v="Nurse"/>
    <n v="4"/>
    <s v="Good"/>
    <x v="0"/>
    <n v="2340"/>
    <x v="1"/>
    <n v="23213"/>
    <n v="1"/>
    <s v="Y"/>
    <s v="Yes"/>
    <n v="18"/>
    <x v="0"/>
    <s v="Low Performance"/>
    <n v="2"/>
    <n v="80"/>
    <n v="0"/>
    <n v="1"/>
    <n v="3"/>
    <n v="1"/>
    <s v="Poor"/>
    <n v="1"/>
    <n v="0"/>
    <n v="0"/>
    <n v="0"/>
  </r>
  <r>
    <n v="1361476"/>
    <n v="37"/>
    <x v="0"/>
    <s v="No"/>
    <x v="0"/>
    <x v="0"/>
    <n v="799"/>
    <x v="2"/>
    <n v="1"/>
    <n v="3"/>
    <x v="4"/>
    <n v="1"/>
    <n v="2"/>
    <x v="0"/>
    <n v="59"/>
    <n v="3"/>
    <n v="3"/>
    <s v="Therapist"/>
    <n v="4"/>
    <s v="Good"/>
    <x v="0"/>
    <n v="7491"/>
    <x v="0"/>
    <n v="23848"/>
    <n v="4"/>
    <s v="Y"/>
    <s v="No"/>
    <n v="17"/>
    <x v="0"/>
    <s v="Low Performance"/>
    <n v="4"/>
    <n v="80"/>
    <n v="0"/>
    <n v="12"/>
    <n v="3"/>
    <n v="4"/>
    <s v="Good"/>
    <n v="6"/>
    <n v="5"/>
    <n v="1"/>
    <n v="2"/>
  </r>
  <r>
    <n v="1057253"/>
    <n v="46"/>
    <x v="1"/>
    <s v="No"/>
    <x v="0"/>
    <x v="1"/>
    <n v="1034"/>
    <x v="1"/>
    <n v="18"/>
    <n v="1"/>
    <x v="2"/>
    <n v="1"/>
    <n v="1"/>
    <x v="0"/>
    <n v="86"/>
    <n v="3"/>
    <n v="3"/>
    <s v="Nurse"/>
    <n v="3"/>
    <s v="Fair"/>
    <x v="1"/>
    <n v="10527"/>
    <x v="0"/>
    <n v="8984"/>
    <n v="5"/>
    <s v="Y"/>
    <s v="No"/>
    <n v="11"/>
    <x v="0"/>
    <s v="Low Performance"/>
    <n v="4"/>
    <n v="80"/>
    <n v="0"/>
    <n v="28"/>
    <n v="3"/>
    <n v="2"/>
    <s v="Poor"/>
    <n v="2"/>
    <n v="2"/>
    <n v="1"/>
    <n v="2"/>
  </r>
  <r>
    <n v="1617735"/>
    <n v="41"/>
    <x v="0"/>
    <s v="No"/>
    <x v="0"/>
    <x v="0"/>
    <n v="1276"/>
    <x v="0"/>
    <n v="2"/>
    <n v="5"/>
    <x v="0"/>
    <n v="1"/>
    <n v="2"/>
    <x v="0"/>
    <n v="91"/>
    <n v="3"/>
    <n v="4"/>
    <s v="Administrative"/>
    <n v="1"/>
    <s v="Poor"/>
    <x v="1"/>
    <n v="16595"/>
    <x v="2"/>
    <n v="5626"/>
    <n v="7"/>
    <s v="Y"/>
    <s v="No"/>
    <n v="16"/>
    <x v="0"/>
    <s v="Low Performance"/>
    <n v="2"/>
    <n v="80"/>
    <n v="1"/>
    <n v="22"/>
    <n v="2"/>
    <n v="3"/>
    <s v="Fair"/>
    <n v="18"/>
    <n v="16"/>
    <n v="11"/>
    <n v="8"/>
  </r>
  <r>
    <n v="1037353"/>
    <n v="37"/>
    <x v="0"/>
    <s v="No"/>
    <x v="0"/>
    <x v="2"/>
    <n v="142"/>
    <x v="0"/>
    <n v="9"/>
    <n v="4"/>
    <x v="2"/>
    <n v="1"/>
    <n v="1"/>
    <x v="1"/>
    <n v="69"/>
    <n v="3"/>
    <n v="3"/>
    <s v="Nurse"/>
    <n v="2"/>
    <s v="Poor"/>
    <x v="2"/>
    <n v="8834"/>
    <x v="0"/>
    <n v="24666"/>
    <n v="1"/>
    <s v="Y"/>
    <s v="No"/>
    <n v="13"/>
    <x v="0"/>
    <s v="Low Performance"/>
    <n v="4"/>
    <n v="80"/>
    <n v="1"/>
    <n v="9"/>
    <n v="6"/>
    <n v="3"/>
    <s v="Fair"/>
    <n v="9"/>
    <n v="5"/>
    <n v="7"/>
    <n v="7"/>
  </r>
  <r>
    <n v="1455020"/>
    <n v="52"/>
    <x v="1"/>
    <s v="No"/>
    <x v="0"/>
    <x v="0"/>
    <n v="956"/>
    <x v="1"/>
    <n v="6"/>
    <n v="2"/>
    <x v="4"/>
    <n v="1"/>
    <n v="4"/>
    <x v="1"/>
    <n v="78"/>
    <n v="3"/>
    <n v="2"/>
    <s v="Other"/>
    <n v="1"/>
    <s v="Poor"/>
    <x v="2"/>
    <n v="5577"/>
    <x v="0"/>
    <n v="22087"/>
    <n v="3"/>
    <s v="Y"/>
    <s v="Yes"/>
    <n v="12"/>
    <x v="0"/>
    <s v="Low Performance"/>
    <n v="2"/>
    <n v="80"/>
    <n v="2"/>
    <n v="18"/>
    <n v="3"/>
    <n v="3"/>
    <s v="Fair"/>
    <n v="10"/>
    <n v="9"/>
    <n v="6"/>
    <n v="9"/>
  </r>
  <r>
    <n v="1689256"/>
    <n v="32"/>
    <x v="2"/>
    <s v="No"/>
    <x v="0"/>
    <x v="2"/>
    <n v="1474"/>
    <x v="0"/>
    <n v="11"/>
    <n v="4"/>
    <x v="1"/>
    <n v="1"/>
    <n v="4"/>
    <x v="1"/>
    <n v="60"/>
    <n v="4"/>
    <n v="2"/>
    <s v="Nurse"/>
    <n v="3"/>
    <s v="Fair"/>
    <x v="1"/>
    <n v="4707"/>
    <x v="1"/>
    <n v="23914"/>
    <n v="8"/>
    <s v="Y"/>
    <s v="No"/>
    <n v="12"/>
    <x v="0"/>
    <s v="Low Performance"/>
    <n v="4"/>
    <n v="80"/>
    <n v="0"/>
    <n v="6"/>
    <n v="2"/>
    <n v="3"/>
    <s v="Fair"/>
    <n v="4"/>
    <n v="2"/>
    <n v="1"/>
    <n v="2"/>
  </r>
  <r>
    <n v="1793245"/>
    <n v="24"/>
    <x v="4"/>
    <s v="No"/>
    <x v="0"/>
    <x v="1"/>
    <n v="535"/>
    <x v="0"/>
    <n v="24"/>
    <n v="3"/>
    <x v="2"/>
    <n v="1"/>
    <n v="4"/>
    <x v="1"/>
    <n v="38"/>
    <n v="3"/>
    <n v="1"/>
    <s v="Other"/>
    <n v="4"/>
    <s v="Good"/>
    <x v="1"/>
    <n v="2400"/>
    <x v="1"/>
    <n v="5530"/>
    <n v="0"/>
    <s v="Y"/>
    <s v="No"/>
    <n v="13"/>
    <x v="0"/>
    <s v="Low Performance"/>
    <n v="3"/>
    <n v="80"/>
    <n v="2"/>
    <n v="3"/>
    <n v="3"/>
    <n v="3"/>
    <s v="Fair"/>
    <n v="2"/>
    <n v="2"/>
    <n v="2"/>
    <n v="1"/>
  </r>
  <r>
    <n v="1267131"/>
    <n v="38"/>
    <x v="0"/>
    <s v="No"/>
    <x v="0"/>
    <x v="0"/>
    <n v="1495"/>
    <x v="1"/>
    <n v="10"/>
    <n v="3"/>
    <x v="2"/>
    <n v="1"/>
    <n v="3"/>
    <x v="0"/>
    <n v="76"/>
    <n v="3"/>
    <n v="2"/>
    <s v="Nurse"/>
    <n v="3"/>
    <s v="Fair"/>
    <x v="1"/>
    <n v="9824"/>
    <x v="0"/>
    <n v="22174"/>
    <n v="3"/>
    <s v="Y"/>
    <s v="No"/>
    <n v="19"/>
    <x v="0"/>
    <s v="Low Performance"/>
    <n v="3"/>
    <n v="80"/>
    <n v="1"/>
    <n v="18"/>
    <n v="4"/>
    <n v="3"/>
    <s v="Fair"/>
    <n v="1"/>
    <n v="0"/>
    <n v="0"/>
    <n v="0"/>
  </r>
  <r>
    <n v="1105684"/>
    <n v="37"/>
    <x v="0"/>
    <s v="No"/>
    <x v="0"/>
    <x v="0"/>
    <n v="446"/>
    <x v="2"/>
    <n v="1"/>
    <n v="4"/>
    <x v="0"/>
    <n v="1"/>
    <n v="2"/>
    <x v="0"/>
    <n v="65"/>
    <n v="3"/>
    <n v="2"/>
    <s v="Therapist"/>
    <n v="2"/>
    <s v="Poor"/>
    <x v="1"/>
    <n v="6447"/>
    <x v="0"/>
    <n v="15701"/>
    <n v="6"/>
    <s v="Y"/>
    <s v="No"/>
    <n v="12"/>
    <x v="0"/>
    <s v="Low Performance"/>
    <n v="2"/>
    <n v="80"/>
    <n v="1"/>
    <n v="8"/>
    <n v="2"/>
    <n v="2"/>
    <s v="Poor"/>
    <n v="6"/>
    <n v="5"/>
    <n v="4"/>
    <n v="3"/>
  </r>
  <r>
    <n v="1206385"/>
    <n v="49"/>
    <x v="1"/>
    <s v="No"/>
    <x v="0"/>
    <x v="0"/>
    <n v="1245"/>
    <x v="1"/>
    <n v="18"/>
    <n v="4"/>
    <x v="0"/>
    <n v="1"/>
    <n v="4"/>
    <x v="1"/>
    <n v="58"/>
    <n v="2"/>
    <n v="5"/>
    <s v="Administrative"/>
    <n v="3"/>
    <s v="Fair"/>
    <x v="2"/>
    <n v="19502"/>
    <x v="2"/>
    <n v="2125"/>
    <n v="1"/>
    <s v="Y"/>
    <s v="Yes"/>
    <n v="17"/>
    <x v="0"/>
    <s v="Low Performance"/>
    <n v="3"/>
    <n v="80"/>
    <n v="1"/>
    <n v="31"/>
    <n v="5"/>
    <n v="3"/>
    <s v="Fair"/>
    <n v="31"/>
    <n v="9"/>
    <n v="0"/>
    <n v="9"/>
  </r>
  <r>
    <n v="1487282"/>
    <n v="24"/>
    <x v="4"/>
    <s v="No"/>
    <x v="0"/>
    <x v="0"/>
    <n v="691"/>
    <x v="1"/>
    <n v="23"/>
    <n v="3"/>
    <x v="2"/>
    <n v="1"/>
    <n v="2"/>
    <x v="1"/>
    <n v="89"/>
    <n v="4"/>
    <n v="1"/>
    <s v="Other"/>
    <n v="4"/>
    <s v="Good"/>
    <x v="1"/>
    <n v="2725"/>
    <x v="1"/>
    <n v="21630"/>
    <n v="1"/>
    <s v="Y"/>
    <s v="Yes"/>
    <n v="11"/>
    <x v="0"/>
    <s v="Low Performance"/>
    <n v="2"/>
    <n v="80"/>
    <n v="2"/>
    <n v="6"/>
    <n v="3"/>
    <n v="3"/>
    <s v="Fair"/>
    <n v="6"/>
    <n v="5"/>
    <n v="1"/>
    <n v="4"/>
  </r>
  <r>
    <n v="1295289"/>
    <n v="26"/>
    <x v="2"/>
    <s v="No"/>
    <x v="0"/>
    <x v="0"/>
    <n v="703"/>
    <x v="0"/>
    <n v="28"/>
    <n v="2"/>
    <x v="3"/>
    <n v="1"/>
    <n v="1"/>
    <x v="1"/>
    <n v="66"/>
    <n v="3"/>
    <n v="2"/>
    <s v="Nurse"/>
    <n v="2"/>
    <s v="Poor"/>
    <x v="1"/>
    <n v="6272"/>
    <x v="0"/>
    <n v="7428"/>
    <n v="1"/>
    <s v="Y"/>
    <s v="No"/>
    <n v="20"/>
    <x v="1"/>
    <s v="High Performance"/>
    <n v="4"/>
    <n v="80"/>
    <n v="2"/>
    <n v="6"/>
    <n v="5"/>
    <n v="4"/>
    <s v="Good"/>
    <n v="5"/>
    <n v="3"/>
    <n v="1"/>
    <n v="4"/>
  </r>
  <r>
    <n v="1875209"/>
    <n v="24"/>
    <x v="4"/>
    <s v="No"/>
    <x v="0"/>
    <x v="0"/>
    <n v="823"/>
    <x v="1"/>
    <n v="17"/>
    <n v="2"/>
    <x v="1"/>
    <n v="1"/>
    <n v="4"/>
    <x v="1"/>
    <n v="94"/>
    <n v="2"/>
    <n v="1"/>
    <s v="Nurse"/>
    <n v="2"/>
    <s v="Poor"/>
    <x v="1"/>
    <n v="2127"/>
    <x v="1"/>
    <n v="9100"/>
    <n v="1"/>
    <s v="Y"/>
    <s v="No"/>
    <n v="21"/>
    <x v="1"/>
    <s v="High Performance"/>
    <n v="4"/>
    <n v="80"/>
    <n v="1"/>
    <n v="1"/>
    <n v="2"/>
    <n v="3"/>
    <s v="Fair"/>
    <n v="1"/>
    <n v="0"/>
    <n v="0"/>
    <n v="0"/>
  </r>
  <r>
    <n v="1079394"/>
    <n v="50"/>
    <x v="1"/>
    <s v="No"/>
    <x v="0"/>
    <x v="1"/>
    <n v="1246"/>
    <x v="2"/>
    <n v="3"/>
    <n v="3"/>
    <x v="2"/>
    <n v="1"/>
    <n v="1"/>
    <x v="1"/>
    <n v="99"/>
    <n v="3"/>
    <n v="5"/>
    <s v="Administrative"/>
    <n v="2"/>
    <s v="Poor"/>
    <x v="1"/>
    <n v="18200"/>
    <x v="2"/>
    <n v="7999"/>
    <n v="1"/>
    <s v="Y"/>
    <s v="No"/>
    <n v="11"/>
    <x v="0"/>
    <s v="Low Performance"/>
    <n v="3"/>
    <n v="80"/>
    <n v="1"/>
    <n v="32"/>
    <n v="2"/>
    <n v="3"/>
    <s v="Fair"/>
    <n v="32"/>
    <n v="5"/>
    <n v="10"/>
    <n v="7"/>
  </r>
  <r>
    <n v="1353559"/>
    <n v="25"/>
    <x v="4"/>
    <s v="No"/>
    <x v="0"/>
    <x v="0"/>
    <n v="622"/>
    <x v="0"/>
    <n v="13"/>
    <n v="1"/>
    <x v="2"/>
    <n v="1"/>
    <n v="2"/>
    <x v="1"/>
    <n v="40"/>
    <n v="3"/>
    <n v="1"/>
    <s v="Other"/>
    <n v="3"/>
    <s v="Fair"/>
    <x v="1"/>
    <n v="2096"/>
    <x v="1"/>
    <n v="26376"/>
    <n v="1"/>
    <s v="Y"/>
    <s v="No"/>
    <n v="11"/>
    <x v="0"/>
    <s v="Low Performance"/>
    <n v="3"/>
    <n v="80"/>
    <n v="0"/>
    <n v="7"/>
    <n v="1"/>
    <n v="3"/>
    <s v="Fair"/>
    <n v="7"/>
    <n v="4"/>
    <n v="0"/>
    <n v="6"/>
  </r>
  <r>
    <n v="1119549"/>
    <n v="24"/>
    <x v="4"/>
    <s v="Yes"/>
    <x v="1"/>
    <x v="1"/>
    <n v="1287"/>
    <x v="1"/>
    <n v="7"/>
    <n v="3"/>
    <x v="0"/>
    <n v="1"/>
    <n v="1"/>
    <x v="0"/>
    <n v="55"/>
    <n v="3"/>
    <n v="1"/>
    <s v="Nurse"/>
    <n v="3"/>
    <s v="Fair"/>
    <x v="1"/>
    <n v="2886"/>
    <x v="1"/>
    <n v="14168"/>
    <n v="1"/>
    <s v="Y"/>
    <s v="Yes"/>
    <n v="16"/>
    <x v="0"/>
    <s v="Low Performance"/>
    <n v="4"/>
    <n v="80"/>
    <n v="1"/>
    <n v="6"/>
    <n v="4"/>
    <n v="3"/>
    <s v="Fair"/>
    <n v="6"/>
    <n v="3"/>
    <n v="1"/>
    <n v="2"/>
  </r>
  <r>
    <n v="1209208"/>
    <n v="30"/>
    <x v="2"/>
    <s v="Yes"/>
    <x v="1"/>
    <x v="1"/>
    <n v="448"/>
    <x v="0"/>
    <n v="12"/>
    <n v="4"/>
    <x v="0"/>
    <n v="1"/>
    <n v="2"/>
    <x v="1"/>
    <n v="74"/>
    <n v="2"/>
    <n v="1"/>
    <s v="Other"/>
    <n v="1"/>
    <s v="Poor"/>
    <x v="1"/>
    <n v="2033"/>
    <x v="1"/>
    <n v="14470"/>
    <n v="1"/>
    <s v="Y"/>
    <s v="No"/>
    <n v="18"/>
    <x v="0"/>
    <s v="Low Performance"/>
    <n v="3"/>
    <n v="80"/>
    <n v="1"/>
    <n v="1"/>
    <n v="2"/>
    <n v="4"/>
    <s v="Good"/>
    <n v="1"/>
    <n v="0"/>
    <n v="0"/>
    <n v="0"/>
  </r>
  <r>
    <n v="1228187"/>
    <n v="34"/>
    <x v="2"/>
    <s v="No"/>
    <x v="0"/>
    <x v="0"/>
    <n v="254"/>
    <x v="1"/>
    <n v="1"/>
    <n v="2"/>
    <x v="0"/>
    <n v="1"/>
    <n v="2"/>
    <x v="1"/>
    <n v="83"/>
    <n v="2"/>
    <n v="1"/>
    <s v="Other"/>
    <n v="4"/>
    <s v="Good"/>
    <x v="1"/>
    <n v="3622"/>
    <x v="1"/>
    <n v="22794"/>
    <n v="1"/>
    <s v="Y"/>
    <s v="Yes"/>
    <n v="13"/>
    <x v="0"/>
    <s v="Low Performance"/>
    <n v="4"/>
    <n v="80"/>
    <n v="1"/>
    <n v="6"/>
    <n v="3"/>
    <n v="3"/>
    <s v="Fair"/>
    <n v="6"/>
    <n v="5"/>
    <n v="1"/>
    <n v="3"/>
  </r>
  <r>
    <n v="1090528"/>
    <n v="31"/>
    <x v="2"/>
    <s v="No"/>
    <x v="0"/>
    <x v="0"/>
    <n v="1365"/>
    <x v="0"/>
    <n v="13"/>
    <n v="4"/>
    <x v="2"/>
    <n v="1"/>
    <n v="2"/>
    <x v="1"/>
    <n v="46"/>
    <n v="3"/>
    <n v="2"/>
    <s v="Nurse"/>
    <n v="1"/>
    <s v="Poor"/>
    <x v="2"/>
    <n v="4233"/>
    <x v="1"/>
    <n v="11512"/>
    <n v="2"/>
    <s v="Y"/>
    <s v="No"/>
    <n v="17"/>
    <x v="0"/>
    <s v="Low Performance"/>
    <n v="3"/>
    <n v="80"/>
    <n v="0"/>
    <n v="9"/>
    <n v="2"/>
    <n v="1"/>
    <s v="Poor"/>
    <n v="3"/>
    <n v="1"/>
    <n v="1"/>
    <n v="2"/>
  </r>
  <r>
    <n v="1665575"/>
    <n v="35"/>
    <x v="2"/>
    <s v="No"/>
    <x v="0"/>
    <x v="0"/>
    <n v="538"/>
    <x v="1"/>
    <n v="25"/>
    <n v="2"/>
    <x v="1"/>
    <n v="1"/>
    <n v="1"/>
    <x v="1"/>
    <n v="54"/>
    <n v="2"/>
    <n v="2"/>
    <s v="Nurse"/>
    <n v="4"/>
    <s v="Good"/>
    <x v="0"/>
    <n v="3681"/>
    <x v="1"/>
    <n v="14004"/>
    <n v="4"/>
    <s v="Y"/>
    <s v="No"/>
    <n v="14"/>
    <x v="0"/>
    <s v="Low Performance"/>
    <n v="4"/>
    <n v="80"/>
    <n v="0"/>
    <n v="9"/>
    <n v="3"/>
    <n v="3"/>
    <s v="Fair"/>
    <n v="3"/>
    <n v="2"/>
    <n v="0"/>
    <n v="2"/>
  </r>
  <r>
    <n v="1761086"/>
    <n v="31"/>
    <x v="2"/>
    <s v="No"/>
    <x v="0"/>
    <x v="0"/>
    <n v="525"/>
    <x v="0"/>
    <n v="6"/>
    <n v="4"/>
    <x v="2"/>
    <n v="1"/>
    <n v="1"/>
    <x v="1"/>
    <n v="66"/>
    <n v="4"/>
    <n v="2"/>
    <s v="Nurse"/>
    <n v="4"/>
    <s v="Good"/>
    <x v="2"/>
    <n v="5460"/>
    <x v="0"/>
    <n v="6219"/>
    <n v="4"/>
    <s v="Y"/>
    <s v="No"/>
    <n v="22"/>
    <x v="1"/>
    <s v="High Performance"/>
    <n v="4"/>
    <n v="80"/>
    <n v="2"/>
    <n v="13"/>
    <n v="4"/>
    <n v="4"/>
    <s v="Good"/>
    <n v="7"/>
    <n v="7"/>
    <n v="5"/>
    <n v="7"/>
  </r>
  <r>
    <n v="1591129"/>
    <n v="27"/>
    <x v="2"/>
    <s v="No"/>
    <x v="0"/>
    <x v="0"/>
    <n v="798"/>
    <x v="1"/>
    <n v="6"/>
    <n v="4"/>
    <x v="2"/>
    <n v="1"/>
    <n v="1"/>
    <x v="0"/>
    <n v="66"/>
    <n v="2"/>
    <n v="1"/>
    <s v="Other"/>
    <n v="3"/>
    <s v="Fair"/>
    <x v="2"/>
    <n v="2187"/>
    <x v="1"/>
    <n v="5013"/>
    <n v="0"/>
    <s v="Y"/>
    <s v="No"/>
    <n v="12"/>
    <x v="0"/>
    <s v="Low Performance"/>
    <n v="3"/>
    <n v="80"/>
    <n v="2"/>
    <n v="6"/>
    <n v="5"/>
    <n v="2"/>
    <s v="Poor"/>
    <n v="5"/>
    <n v="3"/>
    <n v="0"/>
    <n v="3"/>
  </r>
  <r>
    <n v="1518444"/>
    <n v="37"/>
    <x v="0"/>
    <s v="No"/>
    <x v="0"/>
    <x v="0"/>
    <n v="558"/>
    <x v="0"/>
    <n v="2"/>
    <n v="3"/>
    <x v="3"/>
    <n v="1"/>
    <n v="4"/>
    <x v="1"/>
    <n v="75"/>
    <n v="3"/>
    <n v="2"/>
    <s v="Nurse"/>
    <n v="3"/>
    <s v="Fair"/>
    <x v="1"/>
    <n v="9602"/>
    <x v="0"/>
    <n v="3010"/>
    <n v="4"/>
    <s v="Y"/>
    <s v="Yes"/>
    <n v="11"/>
    <x v="0"/>
    <s v="Low Performance"/>
    <n v="3"/>
    <n v="80"/>
    <n v="1"/>
    <n v="17"/>
    <n v="3"/>
    <n v="2"/>
    <s v="Poor"/>
    <n v="3"/>
    <n v="0"/>
    <n v="1"/>
    <n v="0"/>
  </r>
  <r>
    <n v="1814200"/>
    <n v="42"/>
    <x v="0"/>
    <s v="No"/>
    <x v="0"/>
    <x v="0"/>
    <n v="622"/>
    <x v="1"/>
    <n v="2"/>
    <n v="4"/>
    <x v="0"/>
    <n v="1"/>
    <n v="3"/>
    <x v="0"/>
    <n v="81"/>
    <n v="3"/>
    <n v="2"/>
    <s v="Nurse"/>
    <n v="4"/>
    <s v="Good"/>
    <x v="1"/>
    <n v="4089"/>
    <x v="1"/>
    <n v="5718"/>
    <n v="1"/>
    <s v="Y"/>
    <s v="No"/>
    <n v="13"/>
    <x v="0"/>
    <s v="Low Performance"/>
    <n v="2"/>
    <n v="80"/>
    <n v="2"/>
    <n v="10"/>
    <n v="4"/>
    <n v="3"/>
    <s v="Fair"/>
    <n v="10"/>
    <n v="2"/>
    <n v="2"/>
    <n v="2"/>
  </r>
  <r>
    <n v="1669153"/>
    <n v="43"/>
    <x v="0"/>
    <s v="No"/>
    <x v="0"/>
    <x v="0"/>
    <n v="782"/>
    <x v="1"/>
    <n v="6"/>
    <n v="4"/>
    <x v="1"/>
    <n v="1"/>
    <n v="2"/>
    <x v="1"/>
    <n v="50"/>
    <n v="2"/>
    <n v="4"/>
    <s v="Administrative"/>
    <n v="4"/>
    <s v="Good"/>
    <x v="2"/>
    <n v="16627"/>
    <x v="2"/>
    <n v="2671"/>
    <n v="4"/>
    <s v="Y"/>
    <s v="Yes"/>
    <n v="14"/>
    <x v="0"/>
    <s v="Low Performance"/>
    <n v="3"/>
    <n v="80"/>
    <n v="1"/>
    <n v="21"/>
    <n v="3"/>
    <n v="2"/>
    <s v="Poor"/>
    <n v="1"/>
    <n v="0"/>
    <n v="0"/>
    <n v="0"/>
  </r>
  <r>
    <n v="1668455"/>
    <n v="38"/>
    <x v="0"/>
    <s v="No"/>
    <x v="0"/>
    <x v="0"/>
    <n v="362"/>
    <x v="1"/>
    <n v="1"/>
    <n v="1"/>
    <x v="0"/>
    <n v="1"/>
    <n v="3"/>
    <x v="0"/>
    <n v="43"/>
    <n v="3"/>
    <n v="1"/>
    <s v="Other"/>
    <n v="1"/>
    <s v="Poor"/>
    <x v="0"/>
    <n v="2619"/>
    <x v="1"/>
    <n v="14561"/>
    <n v="3"/>
    <s v="Y"/>
    <s v="No"/>
    <n v="17"/>
    <x v="0"/>
    <s v="Low Performance"/>
    <n v="4"/>
    <n v="80"/>
    <n v="0"/>
    <n v="8"/>
    <n v="3"/>
    <n v="2"/>
    <s v="Poor"/>
    <n v="0"/>
    <n v="0"/>
    <n v="0"/>
    <n v="0"/>
  </r>
  <r>
    <n v="1251852"/>
    <n v="43"/>
    <x v="0"/>
    <s v="No"/>
    <x v="0"/>
    <x v="1"/>
    <n v="1001"/>
    <x v="1"/>
    <n v="9"/>
    <n v="5"/>
    <x v="2"/>
    <n v="1"/>
    <n v="4"/>
    <x v="1"/>
    <n v="72"/>
    <n v="3"/>
    <n v="2"/>
    <s v="Nurse"/>
    <n v="3"/>
    <s v="Fair"/>
    <x v="2"/>
    <n v="5679"/>
    <x v="0"/>
    <n v="19627"/>
    <n v="3"/>
    <s v="Y"/>
    <s v="Yes"/>
    <n v="13"/>
    <x v="0"/>
    <s v="Low Performance"/>
    <n v="2"/>
    <n v="80"/>
    <n v="1"/>
    <n v="10"/>
    <n v="3"/>
    <n v="3"/>
    <s v="Fair"/>
    <n v="8"/>
    <n v="7"/>
    <n v="4"/>
    <n v="7"/>
  </r>
  <r>
    <n v="1589946"/>
    <n v="48"/>
    <x v="1"/>
    <s v="No"/>
    <x v="0"/>
    <x v="0"/>
    <n v="1236"/>
    <x v="2"/>
    <n v="1"/>
    <n v="4"/>
    <x v="0"/>
    <n v="1"/>
    <n v="4"/>
    <x v="0"/>
    <n v="40"/>
    <n v="2"/>
    <n v="4"/>
    <s v="Other"/>
    <n v="1"/>
    <s v="Poor"/>
    <x v="1"/>
    <n v="15402"/>
    <x v="2"/>
    <n v="17997"/>
    <n v="7"/>
    <s v="Y"/>
    <s v="No"/>
    <n v="11"/>
    <x v="0"/>
    <s v="Low Performance"/>
    <n v="1"/>
    <n v="80"/>
    <n v="1"/>
    <n v="21"/>
    <n v="3"/>
    <n v="1"/>
    <s v="Poor"/>
    <n v="3"/>
    <n v="2"/>
    <n v="0"/>
    <n v="2"/>
  </r>
  <r>
    <n v="1580530"/>
    <n v="44"/>
    <x v="0"/>
    <s v="No"/>
    <x v="0"/>
    <x v="0"/>
    <n v="1112"/>
    <x v="2"/>
    <n v="1"/>
    <n v="4"/>
    <x v="0"/>
    <n v="1"/>
    <n v="1"/>
    <x v="0"/>
    <n v="50"/>
    <n v="2"/>
    <n v="2"/>
    <s v="Other"/>
    <n v="3"/>
    <s v="Fair"/>
    <x v="0"/>
    <n v="5985"/>
    <x v="0"/>
    <n v="26894"/>
    <n v="4"/>
    <s v="Y"/>
    <s v="No"/>
    <n v="11"/>
    <x v="0"/>
    <s v="Low Performance"/>
    <n v="2"/>
    <n v="80"/>
    <n v="0"/>
    <n v="10"/>
    <n v="1"/>
    <n v="4"/>
    <s v="Good"/>
    <n v="2"/>
    <n v="2"/>
    <n v="0"/>
    <n v="2"/>
  </r>
  <r>
    <n v="1718961"/>
    <n v="34"/>
    <x v="2"/>
    <s v="No"/>
    <x v="0"/>
    <x v="0"/>
    <n v="204"/>
    <x v="0"/>
    <n v="14"/>
    <n v="3"/>
    <x v="4"/>
    <n v="1"/>
    <n v="3"/>
    <x v="0"/>
    <n v="31"/>
    <n v="3"/>
    <n v="1"/>
    <s v="Other"/>
    <n v="3"/>
    <s v="Fair"/>
    <x v="2"/>
    <n v="2579"/>
    <x v="1"/>
    <n v="2912"/>
    <n v="1"/>
    <s v="Y"/>
    <s v="Yes"/>
    <n v="18"/>
    <x v="0"/>
    <s v="Low Performance"/>
    <n v="4"/>
    <n v="80"/>
    <n v="2"/>
    <n v="8"/>
    <n v="3"/>
    <n v="3"/>
    <s v="Fair"/>
    <n v="8"/>
    <n v="2"/>
    <n v="0"/>
    <n v="6"/>
  </r>
  <r>
    <n v="1792606"/>
    <n v="27"/>
    <x v="2"/>
    <s v="No"/>
    <x v="0"/>
    <x v="0"/>
    <n v="1420"/>
    <x v="0"/>
    <n v="2"/>
    <n v="1"/>
    <x v="3"/>
    <n v="1"/>
    <n v="3"/>
    <x v="1"/>
    <n v="85"/>
    <n v="3"/>
    <n v="1"/>
    <s v="Other"/>
    <n v="1"/>
    <s v="Poor"/>
    <x v="2"/>
    <n v="3041"/>
    <x v="1"/>
    <n v="16346"/>
    <n v="0"/>
    <s v="Y"/>
    <s v="No"/>
    <n v="11"/>
    <x v="0"/>
    <s v="Low Performance"/>
    <n v="2"/>
    <n v="80"/>
    <n v="1"/>
    <n v="5"/>
    <n v="3"/>
    <n v="3"/>
    <s v="Fair"/>
    <n v="4"/>
    <n v="3"/>
    <n v="0"/>
    <n v="2"/>
  </r>
  <r>
    <n v="1147261"/>
    <n v="21"/>
    <x v="4"/>
    <s v="No"/>
    <x v="0"/>
    <x v="0"/>
    <n v="1343"/>
    <x v="0"/>
    <n v="22"/>
    <n v="1"/>
    <x v="4"/>
    <n v="1"/>
    <n v="3"/>
    <x v="1"/>
    <n v="49"/>
    <n v="3"/>
    <n v="1"/>
    <s v="Other"/>
    <n v="3"/>
    <s v="Fair"/>
    <x v="0"/>
    <n v="3447"/>
    <x v="1"/>
    <n v="24444"/>
    <n v="1"/>
    <s v="Y"/>
    <s v="No"/>
    <n v="11"/>
    <x v="0"/>
    <s v="Low Performance"/>
    <n v="3"/>
    <n v="80"/>
    <n v="0"/>
    <n v="3"/>
    <n v="2"/>
    <n v="3"/>
    <s v="Fair"/>
    <n v="3"/>
    <n v="2"/>
    <n v="1"/>
    <n v="2"/>
  </r>
  <r>
    <n v="1434704"/>
    <n v="44"/>
    <x v="0"/>
    <s v="No"/>
    <x v="0"/>
    <x v="0"/>
    <n v="1315"/>
    <x v="2"/>
    <n v="3"/>
    <n v="4"/>
    <x v="1"/>
    <n v="1"/>
    <n v="4"/>
    <x v="1"/>
    <n v="35"/>
    <n v="3"/>
    <n v="5"/>
    <s v="Other"/>
    <n v="4"/>
    <s v="Good"/>
    <x v="1"/>
    <n v="19513"/>
    <x v="2"/>
    <n v="9358"/>
    <n v="4"/>
    <s v="Y"/>
    <s v="Yes"/>
    <n v="12"/>
    <x v="0"/>
    <s v="Low Performance"/>
    <n v="1"/>
    <n v="80"/>
    <n v="1"/>
    <n v="26"/>
    <n v="2"/>
    <n v="4"/>
    <s v="Good"/>
    <n v="2"/>
    <n v="2"/>
    <n v="0"/>
    <n v="1"/>
  </r>
  <r>
    <n v="1794793"/>
    <n v="22"/>
    <x v="4"/>
    <s v="No"/>
    <x v="0"/>
    <x v="0"/>
    <n v="604"/>
    <x v="1"/>
    <n v="6"/>
    <n v="1"/>
    <x v="2"/>
    <n v="1"/>
    <n v="1"/>
    <x v="1"/>
    <n v="69"/>
    <n v="3"/>
    <n v="1"/>
    <s v="Other"/>
    <n v="3"/>
    <s v="Fair"/>
    <x v="1"/>
    <n v="2773"/>
    <x v="1"/>
    <n v="12145"/>
    <n v="0"/>
    <s v="Y"/>
    <s v="No"/>
    <n v="20"/>
    <x v="1"/>
    <s v="High Performance"/>
    <n v="4"/>
    <n v="80"/>
    <n v="0"/>
    <n v="3"/>
    <n v="3"/>
    <n v="3"/>
    <s v="Fair"/>
    <n v="2"/>
    <n v="2"/>
    <n v="2"/>
    <n v="2"/>
  </r>
  <r>
    <n v="1034561"/>
    <n v="33"/>
    <x v="2"/>
    <s v="No"/>
    <x v="0"/>
    <x v="0"/>
    <n v="1216"/>
    <x v="0"/>
    <n v="8"/>
    <n v="4"/>
    <x v="3"/>
    <n v="1"/>
    <n v="3"/>
    <x v="1"/>
    <n v="39"/>
    <n v="3"/>
    <n v="2"/>
    <s v="Nurse"/>
    <n v="3"/>
    <s v="Fair"/>
    <x v="2"/>
    <n v="7104"/>
    <x v="0"/>
    <n v="20431"/>
    <n v="0"/>
    <s v="Y"/>
    <s v="No"/>
    <n v="12"/>
    <x v="0"/>
    <s v="Low Performance"/>
    <n v="4"/>
    <n v="80"/>
    <n v="0"/>
    <n v="6"/>
    <n v="3"/>
    <n v="3"/>
    <s v="Fair"/>
    <n v="5"/>
    <n v="0"/>
    <n v="1"/>
    <n v="2"/>
  </r>
  <r>
    <n v="1745732"/>
    <n v="32"/>
    <x v="2"/>
    <s v="No"/>
    <x v="0"/>
    <x v="0"/>
    <n v="646"/>
    <x v="1"/>
    <n v="9"/>
    <n v="4"/>
    <x v="0"/>
    <n v="1"/>
    <n v="1"/>
    <x v="0"/>
    <n v="92"/>
    <n v="3"/>
    <n v="2"/>
    <s v="Other"/>
    <n v="4"/>
    <s v="Good"/>
    <x v="1"/>
    <n v="6322"/>
    <x v="0"/>
    <n v="18089"/>
    <n v="1"/>
    <s v="Y"/>
    <s v="Yes"/>
    <n v="12"/>
    <x v="0"/>
    <s v="Low Performance"/>
    <n v="4"/>
    <n v="80"/>
    <n v="1"/>
    <n v="6"/>
    <n v="2"/>
    <n v="2"/>
    <s v="Poor"/>
    <n v="6"/>
    <n v="4"/>
    <n v="0"/>
    <n v="5"/>
  </r>
  <r>
    <n v="1477313"/>
    <n v="30"/>
    <x v="2"/>
    <s v="No"/>
    <x v="0"/>
    <x v="1"/>
    <n v="160"/>
    <x v="1"/>
    <n v="3"/>
    <n v="3"/>
    <x v="2"/>
    <n v="1"/>
    <n v="3"/>
    <x v="0"/>
    <n v="71"/>
    <n v="3"/>
    <n v="1"/>
    <s v="Other"/>
    <n v="3"/>
    <s v="Fair"/>
    <x v="2"/>
    <n v="2083"/>
    <x v="1"/>
    <n v="22653"/>
    <n v="1"/>
    <s v="Y"/>
    <s v="No"/>
    <n v="20"/>
    <x v="1"/>
    <s v="High Performance"/>
    <n v="3"/>
    <n v="80"/>
    <n v="1"/>
    <n v="1"/>
    <n v="2"/>
    <n v="3"/>
    <s v="Fair"/>
    <n v="1"/>
    <n v="0"/>
    <n v="0"/>
    <n v="0"/>
  </r>
  <r>
    <n v="1624205"/>
    <n v="53"/>
    <x v="1"/>
    <s v="No"/>
    <x v="0"/>
    <x v="0"/>
    <n v="238"/>
    <x v="0"/>
    <n v="1"/>
    <n v="1"/>
    <x v="2"/>
    <n v="1"/>
    <n v="4"/>
    <x v="0"/>
    <n v="34"/>
    <n v="3"/>
    <n v="2"/>
    <s v="Nurse"/>
    <n v="1"/>
    <s v="Poor"/>
    <x v="0"/>
    <n v="8381"/>
    <x v="0"/>
    <n v="7507"/>
    <n v="7"/>
    <s v="Y"/>
    <s v="No"/>
    <n v="20"/>
    <x v="1"/>
    <s v="High Performance"/>
    <n v="4"/>
    <n v="80"/>
    <n v="0"/>
    <n v="18"/>
    <n v="2"/>
    <n v="4"/>
    <s v="Good"/>
    <n v="14"/>
    <n v="7"/>
    <n v="8"/>
    <n v="10"/>
  </r>
  <r>
    <n v="1641585"/>
    <n v="34"/>
    <x v="2"/>
    <s v="No"/>
    <x v="0"/>
    <x v="0"/>
    <n v="1397"/>
    <x v="1"/>
    <n v="1"/>
    <n v="5"/>
    <x v="0"/>
    <n v="1"/>
    <n v="2"/>
    <x v="1"/>
    <n v="42"/>
    <n v="3"/>
    <n v="1"/>
    <s v="Other"/>
    <n v="4"/>
    <s v="Good"/>
    <x v="1"/>
    <n v="2691"/>
    <x v="1"/>
    <n v="7660"/>
    <n v="1"/>
    <s v="Y"/>
    <s v="No"/>
    <n v="12"/>
    <x v="0"/>
    <s v="Low Performance"/>
    <n v="4"/>
    <n v="80"/>
    <n v="1"/>
    <n v="10"/>
    <n v="4"/>
    <n v="2"/>
    <s v="Poor"/>
    <n v="10"/>
    <n v="9"/>
    <n v="8"/>
    <n v="8"/>
  </r>
  <r>
    <n v="1080875"/>
    <n v="45"/>
    <x v="0"/>
    <s v="Yes"/>
    <x v="1"/>
    <x v="1"/>
    <n v="306"/>
    <x v="0"/>
    <n v="26"/>
    <n v="4"/>
    <x v="0"/>
    <n v="1"/>
    <n v="1"/>
    <x v="0"/>
    <n v="100"/>
    <n v="3"/>
    <n v="2"/>
    <s v="Nurse"/>
    <n v="1"/>
    <s v="Poor"/>
    <x v="1"/>
    <n v="4286"/>
    <x v="1"/>
    <n v="5630"/>
    <n v="2"/>
    <s v="Y"/>
    <s v="No"/>
    <n v="14"/>
    <x v="0"/>
    <s v="Low Performance"/>
    <n v="4"/>
    <n v="80"/>
    <n v="2"/>
    <n v="5"/>
    <n v="4"/>
    <n v="3"/>
    <s v="Fair"/>
    <n v="1"/>
    <n v="1"/>
    <n v="0"/>
    <n v="0"/>
  </r>
  <r>
    <n v="1551597"/>
    <n v="26"/>
    <x v="2"/>
    <s v="No"/>
    <x v="0"/>
    <x v="0"/>
    <n v="991"/>
    <x v="1"/>
    <n v="6"/>
    <n v="3"/>
    <x v="0"/>
    <n v="1"/>
    <n v="3"/>
    <x v="0"/>
    <n v="71"/>
    <n v="3"/>
    <n v="1"/>
    <s v="Nurse"/>
    <n v="4"/>
    <s v="Good"/>
    <x v="1"/>
    <n v="2659"/>
    <x v="1"/>
    <n v="17759"/>
    <n v="1"/>
    <s v="Y"/>
    <s v="Yes"/>
    <n v="13"/>
    <x v="0"/>
    <s v="Low Performance"/>
    <n v="3"/>
    <n v="80"/>
    <n v="1"/>
    <n v="3"/>
    <n v="2"/>
    <n v="3"/>
    <s v="Fair"/>
    <n v="3"/>
    <n v="2"/>
    <n v="0"/>
    <n v="2"/>
  </r>
  <r>
    <n v="1498477"/>
    <n v="37"/>
    <x v="0"/>
    <s v="No"/>
    <x v="0"/>
    <x v="0"/>
    <n v="482"/>
    <x v="2"/>
    <n v="3"/>
    <n v="3"/>
    <x v="1"/>
    <n v="1"/>
    <n v="3"/>
    <x v="1"/>
    <n v="36"/>
    <n v="3"/>
    <n v="3"/>
    <s v="Therapist"/>
    <n v="3"/>
    <s v="Fair"/>
    <x v="1"/>
    <n v="9434"/>
    <x v="0"/>
    <n v="9606"/>
    <n v="1"/>
    <s v="Y"/>
    <s v="No"/>
    <n v="15"/>
    <x v="0"/>
    <s v="Low Performance"/>
    <n v="3"/>
    <n v="80"/>
    <n v="1"/>
    <n v="10"/>
    <n v="2"/>
    <n v="3"/>
    <s v="Fair"/>
    <n v="10"/>
    <n v="7"/>
    <n v="7"/>
    <n v="8"/>
  </r>
  <r>
    <n v="1507332"/>
    <n v="29"/>
    <x v="2"/>
    <s v="No"/>
    <x v="0"/>
    <x v="0"/>
    <n v="1176"/>
    <x v="0"/>
    <n v="3"/>
    <n v="2"/>
    <x v="2"/>
    <n v="1"/>
    <n v="2"/>
    <x v="0"/>
    <n v="62"/>
    <n v="3"/>
    <n v="2"/>
    <s v="Nurse"/>
    <n v="3"/>
    <s v="Fair"/>
    <x v="1"/>
    <n v="5561"/>
    <x v="0"/>
    <n v="3487"/>
    <n v="1"/>
    <s v="Y"/>
    <s v="No"/>
    <n v="14"/>
    <x v="0"/>
    <s v="Low Performance"/>
    <n v="1"/>
    <n v="80"/>
    <n v="1"/>
    <n v="6"/>
    <n v="5"/>
    <n v="2"/>
    <s v="Poor"/>
    <n v="6"/>
    <n v="0"/>
    <n v="1"/>
    <n v="2"/>
  </r>
  <r>
    <n v="1398672"/>
    <n v="35"/>
    <x v="2"/>
    <s v="No"/>
    <x v="0"/>
    <x v="0"/>
    <n v="1017"/>
    <x v="1"/>
    <n v="6"/>
    <n v="4"/>
    <x v="0"/>
    <n v="1"/>
    <n v="2"/>
    <x v="1"/>
    <n v="82"/>
    <n v="1"/>
    <n v="2"/>
    <s v="Other"/>
    <n v="4"/>
    <s v="Good"/>
    <x v="0"/>
    <n v="6646"/>
    <x v="0"/>
    <n v="19368"/>
    <n v="1"/>
    <s v="Y"/>
    <s v="No"/>
    <n v="13"/>
    <x v="0"/>
    <s v="Low Performance"/>
    <n v="2"/>
    <n v="80"/>
    <n v="0"/>
    <n v="17"/>
    <n v="3"/>
    <n v="3"/>
    <s v="Fair"/>
    <n v="17"/>
    <n v="11"/>
    <n v="11"/>
    <n v="8"/>
  </r>
  <r>
    <n v="1179356"/>
    <n v="33"/>
    <x v="2"/>
    <s v="No"/>
    <x v="0"/>
    <x v="1"/>
    <n v="1296"/>
    <x v="1"/>
    <n v="6"/>
    <n v="3"/>
    <x v="0"/>
    <n v="1"/>
    <n v="3"/>
    <x v="1"/>
    <n v="30"/>
    <n v="3"/>
    <n v="2"/>
    <s v="Nurse"/>
    <n v="4"/>
    <s v="Good"/>
    <x v="2"/>
    <n v="7725"/>
    <x v="0"/>
    <n v="5335"/>
    <n v="3"/>
    <s v="Y"/>
    <s v="No"/>
    <n v="23"/>
    <x v="1"/>
    <s v="High Performance"/>
    <n v="3"/>
    <n v="80"/>
    <n v="1"/>
    <n v="15"/>
    <n v="2"/>
    <n v="1"/>
    <s v="Poor"/>
    <n v="13"/>
    <n v="11"/>
    <n v="4"/>
    <n v="7"/>
  </r>
  <r>
    <n v="1414067"/>
    <n v="54"/>
    <x v="1"/>
    <s v="No"/>
    <x v="0"/>
    <x v="0"/>
    <n v="397"/>
    <x v="2"/>
    <n v="19"/>
    <n v="4"/>
    <x v="2"/>
    <n v="1"/>
    <n v="3"/>
    <x v="1"/>
    <n v="88"/>
    <n v="3"/>
    <n v="3"/>
    <s v="Other"/>
    <n v="2"/>
    <s v="Poor"/>
    <x v="1"/>
    <n v="10725"/>
    <x v="0"/>
    <n v="6729"/>
    <n v="2"/>
    <s v="Y"/>
    <s v="No"/>
    <n v="15"/>
    <x v="0"/>
    <s v="Low Performance"/>
    <n v="3"/>
    <n v="80"/>
    <n v="1"/>
    <n v="16"/>
    <n v="1"/>
    <n v="4"/>
    <s v="Good"/>
    <n v="9"/>
    <n v="7"/>
    <n v="7"/>
    <n v="1"/>
  </r>
  <r>
    <n v="1285109"/>
    <n v="36"/>
    <x v="0"/>
    <s v="No"/>
    <x v="0"/>
    <x v="0"/>
    <n v="913"/>
    <x v="1"/>
    <n v="9"/>
    <n v="2"/>
    <x v="2"/>
    <n v="1"/>
    <n v="2"/>
    <x v="1"/>
    <n v="48"/>
    <n v="2"/>
    <n v="2"/>
    <s v="Therapist"/>
    <n v="2"/>
    <s v="Poor"/>
    <x v="2"/>
    <n v="8847"/>
    <x v="0"/>
    <n v="13934"/>
    <n v="2"/>
    <s v="Y"/>
    <s v="Yes"/>
    <n v="11"/>
    <x v="0"/>
    <s v="Low Performance"/>
    <n v="3"/>
    <n v="80"/>
    <n v="1"/>
    <n v="13"/>
    <n v="2"/>
    <n v="3"/>
    <s v="Fair"/>
    <n v="3"/>
    <n v="2"/>
    <n v="0"/>
    <n v="2"/>
  </r>
  <r>
    <n v="1699009"/>
    <n v="27"/>
    <x v="2"/>
    <s v="No"/>
    <x v="0"/>
    <x v="0"/>
    <n v="1115"/>
    <x v="1"/>
    <n v="3"/>
    <n v="4"/>
    <x v="2"/>
    <n v="1"/>
    <n v="1"/>
    <x v="1"/>
    <n v="54"/>
    <n v="2"/>
    <n v="1"/>
    <s v="Other"/>
    <n v="4"/>
    <s v="Good"/>
    <x v="0"/>
    <n v="2045"/>
    <x v="1"/>
    <n v="15174"/>
    <n v="0"/>
    <s v="Y"/>
    <s v="No"/>
    <n v="13"/>
    <x v="0"/>
    <s v="Low Performance"/>
    <n v="4"/>
    <n v="80"/>
    <n v="0"/>
    <n v="5"/>
    <n v="0"/>
    <n v="3"/>
    <s v="Fair"/>
    <n v="4"/>
    <n v="2"/>
    <n v="1"/>
    <n v="1"/>
  </r>
  <r>
    <n v="1547538"/>
    <n v="20"/>
    <x v="4"/>
    <s v="Yes"/>
    <x v="1"/>
    <x v="0"/>
    <n v="1362"/>
    <x v="1"/>
    <n v="10"/>
    <n v="1"/>
    <x v="2"/>
    <n v="1"/>
    <n v="4"/>
    <x v="1"/>
    <n v="32"/>
    <n v="3"/>
    <n v="1"/>
    <s v="Other"/>
    <n v="3"/>
    <s v="Fair"/>
    <x v="0"/>
    <n v="1009"/>
    <x v="1"/>
    <n v="26999"/>
    <n v="1"/>
    <s v="Y"/>
    <s v="Yes"/>
    <n v="11"/>
    <x v="0"/>
    <s v="Low Performance"/>
    <n v="4"/>
    <n v="80"/>
    <n v="0"/>
    <n v="1"/>
    <n v="5"/>
    <n v="3"/>
    <s v="Fair"/>
    <n v="1"/>
    <n v="0"/>
    <n v="1"/>
    <n v="1"/>
  </r>
  <r>
    <n v="1712154"/>
    <n v="33"/>
    <x v="2"/>
    <s v="Yes"/>
    <x v="1"/>
    <x v="1"/>
    <n v="1076"/>
    <x v="1"/>
    <n v="3"/>
    <n v="3"/>
    <x v="0"/>
    <n v="1"/>
    <n v="1"/>
    <x v="1"/>
    <n v="70"/>
    <n v="3"/>
    <n v="1"/>
    <s v="Other"/>
    <n v="1"/>
    <s v="Poor"/>
    <x v="0"/>
    <n v="3348"/>
    <x v="1"/>
    <n v="3164"/>
    <n v="1"/>
    <s v="Y"/>
    <s v="Yes"/>
    <n v="11"/>
    <x v="0"/>
    <s v="Low Performance"/>
    <n v="1"/>
    <n v="80"/>
    <n v="0"/>
    <n v="10"/>
    <n v="3"/>
    <n v="3"/>
    <s v="Fair"/>
    <n v="10"/>
    <n v="8"/>
    <n v="9"/>
    <n v="7"/>
  </r>
  <r>
    <n v="1715015"/>
    <n v="35"/>
    <x v="2"/>
    <s v="No"/>
    <x v="0"/>
    <x v="2"/>
    <n v="727"/>
    <x v="1"/>
    <n v="3"/>
    <n v="3"/>
    <x v="0"/>
    <n v="1"/>
    <n v="3"/>
    <x v="1"/>
    <n v="41"/>
    <n v="2"/>
    <n v="1"/>
    <s v="Nurse"/>
    <n v="3"/>
    <s v="Fair"/>
    <x v="1"/>
    <n v="1281"/>
    <x v="1"/>
    <n v="16900"/>
    <n v="1"/>
    <s v="Y"/>
    <s v="No"/>
    <n v="18"/>
    <x v="0"/>
    <s v="Low Performance"/>
    <n v="3"/>
    <n v="80"/>
    <n v="2"/>
    <n v="1"/>
    <n v="3"/>
    <n v="3"/>
    <s v="Fair"/>
    <n v="1"/>
    <n v="0"/>
    <n v="0"/>
    <n v="0"/>
  </r>
  <r>
    <n v="1344006"/>
    <n v="23"/>
    <x v="4"/>
    <s v="No"/>
    <x v="0"/>
    <x v="0"/>
    <n v="885"/>
    <x v="1"/>
    <n v="4"/>
    <n v="3"/>
    <x v="2"/>
    <n v="1"/>
    <n v="1"/>
    <x v="1"/>
    <n v="58"/>
    <n v="4"/>
    <n v="1"/>
    <s v="Other"/>
    <n v="1"/>
    <s v="Poor"/>
    <x v="1"/>
    <n v="2819"/>
    <x v="1"/>
    <n v="8544"/>
    <n v="2"/>
    <s v="Y"/>
    <s v="No"/>
    <n v="16"/>
    <x v="0"/>
    <s v="Low Performance"/>
    <n v="1"/>
    <n v="80"/>
    <n v="1"/>
    <n v="5"/>
    <n v="3"/>
    <n v="4"/>
    <s v="Good"/>
    <n v="3"/>
    <n v="2"/>
    <n v="0"/>
    <n v="2"/>
  </r>
  <r>
    <n v="1136352"/>
    <n v="25"/>
    <x v="4"/>
    <s v="No"/>
    <x v="0"/>
    <x v="0"/>
    <n v="810"/>
    <x v="0"/>
    <n v="8"/>
    <n v="3"/>
    <x v="0"/>
    <n v="1"/>
    <n v="4"/>
    <x v="1"/>
    <n v="57"/>
    <n v="4"/>
    <n v="2"/>
    <s v="Nurse"/>
    <n v="2"/>
    <s v="Poor"/>
    <x v="1"/>
    <n v="4851"/>
    <x v="1"/>
    <n v="15678"/>
    <n v="0"/>
    <s v="Y"/>
    <s v="No"/>
    <n v="22"/>
    <x v="1"/>
    <s v="High Performance"/>
    <n v="3"/>
    <n v="80"/>
    <n v="1"/>
    <n v="4"/>
    <n v="4"/>
    <n v="3"/>
    <s v="Fair"/>
    <n v="3"/>
    <n v="2"/>
    <n v="1"/>
    <n v="2"/>
  </r>
  <r>
    <n v="1767421"/>
    <n v="38"/>
    <x v="0"/>
    <s v="No"/>
    <x v="0"/>
    <x v="0"/>
    <n v="243"/>
    <x v="0"/>
    <n v="7"/>
    <n v="4"/>
    <x v="3"/>
    <n v="1"/>
    <n v="4"/>
    <x v="0"/>
    <n v="46"/>
    <n v="2"/>
    <n v="2"/>
    <s v="Nurse"/>
    <n v="4"/>
    <s v="Good"/>
    <x v="0"/>
    <n v="4028"/>
    <x v="1"/>
    <n v="7791"/>
    <n v="0"/>
    <s v="Y"/>
    <s v="No"/>
    <n v="20"/>
    <x v="1"/>
    <s v="High Performance"/>
    <n v="1"/>
    <n v="80"/>
    <n v="0"/>
    <n v="8"/>
    <n v="2"/>
    <n v="3"/>
    <s v="Fair"/>
    <n v="7"/>
    <n v="7"/>
    <n v="0"/>
    <n v="5"/>
  </r>
  <r>
    <n v="1196090"/>
    <n v="29"/>
    <x v="2"/>
    <s v="No"/>
    <x v="0"/>
    <x v="1"/>
    <n v="806"/>
    <x v="1"/>
    <n v="1"/>
    <n v="4"/>
    <x v="0"/>
    <n v="1"/>
    <n v="2"/>
    <x v="1"/>
    <n v="76"/>
    <n v="1"/>
    <n v="1"/>
    <s v="Other"/>
    <n v="4"/>
    <s v="Good"/>
    <x v="2"/>
    <n v="2720"/>
    <x v="1"/>
    <n v="18959"/>
    <n v="1"/>
    <s v="Y"/>
    <s v="No"/>
    <n v="18"/>
    <x v="0"/>
    <s v="Low Performance"/>
    <n v="4"/>
    <n v="80"/>
    <n v="1"/>
    <n v="10"/>
    <n v="5"/>
    <n v="3"/>
    <s v="Fair"/>
    <n v="10"/>
    <n v="7"/>
    <n v="2"/>
    <n v="8"/>
  </r>
  <r>
    <n v="1202761"/>
    <n v="48"/>
    <x v="1"/>
    <s v="No"/>
    <x v="0"/>
    <x v="0"/>
    <n v="817"/>
    <x v="0"/>
    <n v="2"/>
    <n v="1"/>
    <x v="3"/>
    <n v="1"/>
    <n v="2"/>
    <x v="1"/>
    <n v="56"/>
    <n v="4"/>
    <n v="2"/>
    <s v="Nurse"/>
    <n v="2"/>
    <s v="Poor"/>
    <x v="1"/>
    <n v="8120"/>
    <x v="0"/>
    <n v="18597"/>
    <n v="3"/>
    <s v="Y"/>
    <s v="No"/>
    <n v="12"/>
    <x v="0"/>
    <s v="Low Performance"/>
    <n v="4"/>
    <n v="80"/>
    <n v="0"/>
    <n v="12"/>
    <n v="3"/>
    <n v="3"/>
    <s v="Fair"/>
    <n v="2"/>
    <n v="2"/>
    <n v="2"/>
    <n v="2"/>
  </r>
  <r>
    <n v="1288214"/>
    <n v="27"/>
    <x v="2"/>
    <s v="No"/>
    <x v="0"/>
    <x v="1"/>
    <n v="1410"/>
    <x v="0"/>
    <n v="3"/>
    <n v="1"/>
    <x v="2"/>
    <n v="1"/>
    <n v="4"/>
    <x v="0"/>
    <n v="71"/>
    <n v="4"/>
    <n v="2"/>
    <s v="Nurse"/>
    <n v="4"/>
    <s v="Good"/>
    <x v="2"/>
    <n v="4647"/>
    <x v="1"/>
    <n v="16673"/>
    <n v="1"/>
    <s v="Y"/>
    <s v="Yes"/>
    <n v="20"/>
    <x v="1"/>
    <s v="High Performance"/>
    <n v="2"/>
    <n v="80"/>
    <n v="2"/>
    <n v="6"/>
    <n v="3"/>
    <n v="3"/>
    <s v="Fair"/>
    <n v="6"/>
    <n v="5"/>
    <n v="0"/>
    <n v="4"/>
  </r>
  <r>
    <n v="1510616"/>
    <n v="37"/>
    <x v="0"/>
    <s v="No"/>
    <x v="0"/>
    <x v="0"/>
    <n v="1225"/>
    <x v="1"/>
    <n v="10"/>
    <n v="2"/>
    <x v="0"/>
    <n v="1"/>
    <n v="4"/>
    <x v="1"/>
    <n v="80"/>
    <n v="4"/>
    <n v="1"/>
    <s v="Other"/>
    <n v="4"/>
    <s v="Good"/>
    <x v="0"/>
    <n v="4680"/>
    <x v="1"/>
    <n v="15232"/>
    <n v="3"/>
    <s v="Y"/>
    <s v="No"/>
    <n v="17"/>
    <x v="0"/>
    <s v="Low Performance"/>
    <n v="1"/>
    <n v="80"/>
    <n v="0"/>
    <n v="4"/>
    <n v="2"/>
    <n v="3"/>
    <s v="Fair"/>
    <n v="1"/>
    <n v="0"/>
    <n v="0"/>
    <n v="0"/>
  </r>
  <r>
    <n v="1824855"/>
    <n v="50"/>
    <x v="1"/>
    <s v="No"/>
    <x v="0"/>
    <x v="0"/>
    <n v="1207"/>
    <x v="1"/>
    <n v="28"/>
    <n v="1"/>
    <x v="2"/>
    <n v="1"/>
    <n v="4"/>
    <x v="1"/>
    <n v="74"/>
    <n v="4"/>
    <n v="1"/>
    <s v="Nurse"/>
    <n v="3"/>
    <s v="Fair"/>
    <x v="1"/>
    <n v="3221"/>
    <x v="1"/>
    <n v="3297"/>
    <n v="1"/>
    <s v="Y"/>
    <s v="Yes"/>
    <n v="11"/>
    <x v="0"/>
    <s v="Low Performance"/>
    <n v="3"/>
    <n v="80"/>
    <n v="3"/>
    <n v="20"/>
    <n v="3"/>
    <n v="3"/>
    <s v="Fair"/>
    <n v="20"/>
    <n v="8"/>
    <n v="3"/>
    <n v="8"/>
  </r>
  <r>
    <n v="1700617"/>
    <n v="34"/>
    <x v="2"/>
    <s v="No"/>
    <x v="0"/>
    <x v="0"/>
    <n v="1442"/>
    <x v="1"/>
    <n v="9"/>
    <n v="3"/>
    <x v="2"/>
    <n v="1"/>
    <n v="4"/>
    <x v="0"/>
    <n v="46"/>
    <n v="2"/>
    <n v="3"/>
    <s v="Nurse"/>
    <n v="2"/>
    <s v="Poor"/>
    <x v="0"/>
    <n v="8621"/>
    <x v="0"/>
    <n v="17654"/>
    <n v="1"/>
    <s v="Y"/>
    <s v="No"/>
    <n v="14"/>
    <x v="0"/>
    <s v="Low Performance"/>
    <n v="2"/>
    <n v="80"/>
    <n v="0"/>
    <n v="9"/>
    <n v="3"/>
    <n v="4"/>
    <s v="Good"/>
    <n v="8"/>
    <n v="7"/>
    <n v="7"/>
    <n v="7"/>
  </r>
  <r>
    <n v="1589131"/>
    <n v="24"/>
    <x v="4"/>
    <s v="No"/>
    <x v="0"/>
    <x v="0"/>
    <n v="693"/>
    <x v="0"/>
    <n v="3"/>
    <n v="2"/>
    <x v="0"/>
    <n v="1"/>
    <n v="1"/>
    <x v="0"/>
    <n v="65"/>
    <n v="3"/>
    <n v="2"/>
    <s v="Nurse"/>
    <n v="3"/>
    <s v="Fair"/>
    <x v="0"/>
    <n v="4577"/>
    <x v="1"/>
    <n v="24785"/>
    <n v="9"/>
    <s v="Y"/>
    <s v="No"/>
    <n v="14"/>
    <x v="0"/>
    <s v="Low Performance"/>
    <n v="1"/>
    <n v="80"/>
    <n v="0"/>
    <n v="4"/>
    <n v="3"/>
    <n v="3"/>
    <s v="Fair"/>
    <n v="2"/>
    <n v="2"/>
    <n v="2"/>
    <n v="0"/>
  </r>
  <r>
    <n v="1634766"/>
    <n v="39"/>
    <x v="0"/>
    <s v="No"/>
    <x v="0"/>
    <x v="0"/>
    <n v="408"/>
    <x v="1"/>
    <n v="2"/>
    <n v="4"/>
    <x v="4"/>
    <n v="1"/>
    <n v="4"/>
    <x v="0"/>
    <n v="80"/>
    <n v="2"/>
    <n v="2"/>
    <s v="Nurse"/>
    <n v="3"/>
    <s v="Fair"/>
    <x v="0"/>
    <n v="4553"/>
    <x v="1"/>
    <n v="20978"/>
    <n v="1"/>
    <s v="Y"/>
    <s v="No"/>
    <n v="11"/>
    <x v="0"/>
    <s v="Low Performance"/>
    <n v="1"/>
    <n v="80"/>
    <n v="0"/>
    <n v="20"/>
    <n v="4"/>
    <n v="3"/>
    <s v="Fair"/>
    <n v="20"/>
    <n v="7"/>
    <n v="11"/>
    <n v="10"/>
  </r>
  <r>
    <n v="1248364"/>
    <n v="32"/>
    <x v="2"/>
    <s v="No"/>
    <x v="0"/>
    <x v="0"/>
    <n v="929"/>
    <x v="0"/>
    <n v="10"/>
    <n v="3"/>
    <x v="3"/>
    <n v="1"/>
    <n v="4"/>
    <x v="1"/>
    <n v="55"/>
    <n v="3"/>
    <n v="2"/>
    <s v="Nurse"/>
    <n v="4"/>
    <s v="Good"/>
    <x v="0"/>
    <n v="5396"/>
    <x v="0"/>
    <n v="21703"/>
    <n v="1"/>
    <s v="Y"/>
    <s v="No"/>
    <n v="12"/>
    <x v="0"/>
    <s v="Low Performance"/>
    <n v="4"/>
    <n v="80"/>
    <n v="0"/>
    <n v="10"/>
    <n v="2"/>
    <n v="2"/>
    <s v="Poor"/>
    <n v="10"/>
    <n v="7"/>
    <n v="0"/>
    <n v="8"/>
  </r>
  <r>
    <n v="1844102"/>
    <n v="50"/>
    <x v="1"/>
    <s v="No"/>
    <x v="0"/>
    <x v="1"/>
    <n v="562"/>
    <x v="0"/>
    <n v="8"/>
    <n v="2"/>
    <x v="4"/>
    <n v="1"/>
    <n v="2"/>
    <x v="1"/>
    <n v="50"/>
    <n v="3"/>
    <n v="2"/>
    <s v="Nurse"/>
    <n v="3"/>
    <s v="Fair"/>
    <x v="1"/>
    <n v="6796"/>
    <x v="0"/>
    <n v="23452"/>
    <n v="3"/>
    <s v="Y"/>
    <s v="Yes"/>
    <n v="14"/>
    <x v="0"/>
    <s v="Low Performance"/>
    <n v="1"/>
    <n v="80"/>
    <n v="1"/>
    <n v="18"/>
    <n v="4"/>
    <n v="3"/>
    <s v="Fair"/>
    <n v="4"/>
    <n v="3"/>
    <n v="1"/>
    <n v="3"/>
  </r>
  <r>
    <n v="1180968"/>
    <n v="38"/>
    <x v="0"/>
    <s v="No"/>
    <x v="0"/>
    <x v="0"/>
    <n v="827"/>
    <x v="1"/>
    <n v="1"/>
    <n v="4"/>
    <x v="0"/>
    <n v="1"/>
    <n v="2"/>
    <x v="0"/>
    <n v="33"/>
    <n v="4"/>
    <n v="2"/>
    <s v="Nurse"/>
    <n v="4"/>
    <s v="Good"/>
    <x v="0"/>
    <n v="7625"/>
    <x v="0"/>
    <n v="19383"/>
    <n v="0"/>
    <s v="Y"/>
    <s v="No"/>
    <n v="13"/>
    <x v="0"/>
    <s v="Low Performance"/>
    <n v="3"/>
    <n v="80"/>
    <n v="0"/>
    <n v="10"/>
    <n v="4"/>
    <n v="2"/>
    <s v="Poor"/>
    <n v="9"/>
    <n v="7"/>
    <n v="1"/>
    <n v="8"/>
  </r>
  <r>
    <n v="1705991"/>
    <n v="27"/>
    <x v="2"/>
    <s v="No"/>
    <x v="0"/>
    <x v="0"/>
    <n v="608"/>
    <x v="2"/>
    <n v="1"/>
    <n v="2"/>
    <x v="0"/>
    <n v="1"/>
    <n v="3"/>
    <x v="0"/>
    <n v="68"/>
    <n v="3"/>
    <n v="3"/>
    <s v="Therapist"/>
    <n v="1"/>
    <s v="Poor"/>
    <x v="1"/>
    <n v="7412"/>
    <x v="0"/>
    <n v="6009"/>
    <n v="1"/>
    <s v="Y"/>
    <s v="No"/>
    <n v="11"/>
    <x v="0"/>
    <s v="Low Performance"/>
    <n v="4"/>
    <n v="80"/>
    <n v="0"/>
    <n v="9"/>
    <n v="3"/>
    <n v="3"/>
    <s v="Fair"/>
    <n v="9"/>
    <n v="7"/>
    <n v="0"/>
    <n v="7"/>
  </r>
  <r>
    <n v="1533978"/>
    <n v="32"/>
    <x v="2"/>
    <s v="No"/>
    <x v="0"/>
    <x v="0"/>
    <n v="1018"/>
    <x v="1"/>
    <n v="3"/>
    <n v="2"/>
    <x v="0"/>
    <n v="1"/>
    <n v="3"/>
    <x v="0"/>
    <n v="39"/>
    <n v="3"/>
    <n v="3"/>
    <s v="Administrative"/>
    <n v="4"/>
    <s v="Good"/>
    <x v="0"/>
    <n v="11159"/>
    <x v="0"/>
    <n v="19373"/>
    <n v="3"/>
    <s v="Y"/>
    <s v="No"/>
    <n v="15"/>
    <x v="0"/>
    <s v="Low Performance"/>
    <n v="4"/>
    <n v="80"/>
    <n v="0"/>
    <n v="10"/>
    <n v="6"/>
    <n v="3"/>
    <s v="Fair"/>
    <n v="7"/>
    <n v="7"/>
    <n v="7"/>
    <n v="7"/>
  </r>
  <r>
    <n v="1838364"/>
    <n v="47"/>
    <x v="1"/>
    <s v="No"/>
    <x v="0"/>
    <x v="0"/>
    <n v="703"/>
    <x v="0"/>
    <n v="14"/>
    <n v="4"/>
    <x v="3"/>
    <n v="1"/>
    <n v="4"/>
    <x v="1"/>
    <n v="42"/>
    <n v="3"/>
    <n v="2"/>
    <s v="Nurse"/>
    <n v="1"/>
    <s v="Poor"/>
    <x v="0"/>
    <n v="4960"/>
    <x v="1"/>
    <n v="11825"/>
    <n v="2"/>
    <s v="Y"/>
    <s v="No"/>
    <n v="12"/>
    <x v="0"/>
    <s v="Low Performance"/>
    <n v="4"/>
    <n v="80"/>
    <n v="0"/>
    <n v="20"/>
    <n v="2"/>
    <n v="3"/>
    <s v="Fair"/>
    <n v="7"/>
    <n v="7"/>
    <n v="1"/>
    <n v="7"/>
  </r>
  <r>
    <n v="1886378"/>
    <n v="40"/>
    <x v="0"/>
    <s v="No"/>
    <x v="0"/>
    <x v="1"/>
    <n v="580"/>
    <x v="0"/>
    <n v="5"/>
    <n v="4"/>
    <x v="0"/>
    <n v="1"/>
    <n v="4"/>
    <x v="1"/>
    <n v="48"/>
    <n v="2"/>
    <n v="3"/>
    <s v="Nurse"/>
    <n v="1"/>
    <s v="Poor"/>
    <x v="1"/>
    <n v="10475"/>
    <x v="0"/>
    <n v="23772"/>
    <n v="5"/>
    <s v="Y"/>
    <s v="Yes"/>
    <n v="21"/>
    <x v="1"/>
    <s v="High Performance"/>
    <n v="3"/>
    <n v="80"/>
    <n v="1"/>
    <n v="20"/>
    <n v="2"/>
    <n v="3"/>
    <s v="Fair"/>
    <n v="18"/>
    <n v="13"/>
    <n v="1"/>
    <n v="12"/>
  </r>
  <r>
    <n v="1217160"/>
    <n v="53"/>
    <x v="1"/>
    <s v="No"/>
    <x v="0"/>
    <x v="0"/>
    <n v="970"/>
    <x v="1"/>
    <n v="7"/>
    <n v="3"/>
    <x v="0"/>
    <n v="1"/>
    <n v="3"/>
    <x v="1"/>
    <n v="59"/>
    <n v="4"/>
    <n v="4"/>
    <s v="Administrative"/>
    <n v="3"/>
    <s v="Fair"/>
    <x v="1"/>
    <n v="14814"/>
    <x v="2"/>
    <n v="13514"/>
    <n v="3"/>
    <s v="Y"/>
    <s v="No"/>
    <n v="19"/>
    <x v="0"/>
    <s v="Low Performance"/>
    <n v="3"/>
    <n v="80"/>
    <n v="0"/>
    <n v="32"/>
    <n v="3"/>
    <n v="3"/>
    <s v="Fair"/>
    <n v="5"/>
    <n v="1"/>
    <n v="1"/>
    <n v="3"/>
  </r>
  <r>
    <n v="1494989"/>
    <n v="41"/>
    <x v="0"/>
    <s v="No"/>
    <x v="0"/>
    <x v="0"/>
    <n v="427"/>
    <x v="2"/>
    <n v="10"/>
    <n v="4"/>
    <x v="5"/>
    <n v="1"/>
    <n v="2"/>
    <x v="1"/>
    <n v="73"/>
    <n v="2"/>
    <n v="5"/>
    <s v="Administrative"/>
    <n v="4"/>
    <s v="Good"/>
    <x v="2"/>
    <n v="19141"/>
    <x v="2"/>
    <n v="8861"/>
    <n v="3"/>
    <s v="Y"/>
    <s v="No"/>
    <n v="15"/>
    <x v="0"/>
    <s v="Low Performance"/>
    <n v="2"/>
    <n v="80"/>
    <n v="3"/>
    <n v="23"/>
    <n v="2"/>
    <n v="2"/>
    <s v="Poor"/>
    <n v="21"/>
    <n v="6"/>
    <n v="12"/>
    <n v="6"/>
  </r>
  <r>
    <n v="1180556"/>
    <n v="60"/>
    <x v="3"/>
    <s v="No"/>
    <x v="0"/>
    <x v="0"/>
    <n v="1179"/>
    <x v="0"/>
    <n v="16"/>
    <n v="4"/>
    <x v="3"/>
    <n v="1"/>
    <n v="1"/>
    <x v="1"/>
    <n v="84"/>
    <n v="3"/>
    <n v="2"/>
    <s v="Nurse"/>
    <n v="1"/>
    <s v="Poor"/>
    <x v="0"/>
    <n v="5405"/>
    <x v="0"/>
    <n v="11924"/>
    <n v="8"/>
    <s v="Y"/>
    <s v="No"/>
    <n v="14"/>
    <x v="0"/>
    <s v="Low Performance"/>
    <n v="4"/>
    <n v="80"/>
    <n v="0"/>
    <n v="10"/>
    <n v="1"/>
    <n v="3"/>
    <s v="Fair"/>
    <n v="2"/>
    <n v="2"/>
    <n v="2"/>
    <n v="2"/>
  </r>
  <r>
    <n v="1271756"/>
    <n v="27"/>
    <x v="2"/>
    <s v="No"/>
    <x v="0"/>
    <x v="1"/>
    <n v="294"/>
    <x v="1"/>
    <n v="10"/>
    <n v="2"/>
    <x v="0"/>
    <n v="1"/>
    <n v="4"/>
    <x v="1"/>
    <n v="32"/>
    <n v="3"/>
    <n v="3"/>
    <s v="Therapist"/>
    <n v="1"/>
    <s v="Poor"/>
    <x v="2"/>
    <n v="8793"/>
    <x v="0"/>
    <n v="4809"/>
    <n v="1"/>
    <s v="Y"/>
    <s v="No"/>
    <n v="21"/>
    <x v="1"/>
    <s v="High Performance"/>
    <n v="3"/>
    <n v="80"/>
    <n v="2"/>
    <n v="9"/>
    <n v="4"/>
    <n v="2"/>
    <s v="Poor"/>
    <n v="9"/>
    <n v="7"/>
    <n v="1"/>
    <n v="7"/>
  </r>
  <r>
    <n v="1786662"/>
    <n v="41"/>
    <x v="0"/>
    <s v="No"/>
    <x v="0"/>
    <x v="0"/>
    <n v="314"/>
    <x v="2"/>
    <n v="1"/>
    <n v="3"/>
    <x v="5"/>
    <n v="1"/>
    <n v="4"/>
    <x v="1"/>
    <n v="59"/>
    <n v="2"/>
    <n v="5"/>
    <s v="Administrative"/>
    <n v="3"/>
    <s v="Fair"/>
    <x v="1"/>
    <n v="19189"/>
    <x v="2"/>
    <n v="19562"/>
    <n v="1"/>
    <s v="Y"/>
    <s v="No"/>
    <n v="12"/>
    <x v="0"/>
    <s v="Low Performance"/>
    <n v="2"/>
    <n v="80"/>
    <n v="1"/>
    <n v="22"/>
    <n v="3"/>
    <n v="3"/>
    <s v="Fair"/>
    <n v="22"/>
    <n v="7"/>
    <n v="2"/>
    <n v="10"/>
  </r>
  <r>
    <n v="1713058"/>
    <n v="50"/>
    <x v="1"/>
    <s v="No"/>
    <x v="0"/>
    <x v="0"/>
    <n v="316"/>
    <x v="0"/>
    <n v="8"/>
    <n v="4"/>
    <x v="3"/>
    <n v="1"/>
    <n v="4"/>
    <x v="1"/>
    <n v="54"/>
    <n v="3"/>
    <n v="1"/>
    <s v="Other"/>
    <n v="2"/>
    <s v="Poor"/>
    <x v="1"/>
    <n v="3875"/>
    <x v="1"/>
    <n v="9983"/>
    <n v="7"/>
    <s v="Y"/>
    <s v="No"/>
    <n v="15"/>
    <x v="0"/>
    <s v="Low Performance"/>
    <n v="4"/>
    <n v="80"/>
    <n v="1"/>
    <n v="4"/>
    <n v="2"/>
    <n v="3"/>
    <s v="Fair"/>
    <n v="2"/>
    <n v="2"/>
    <n v="2"/>
    <n v="2"/>
  </r>
  <r>
    <n v="1879624"/>
    <n v="28"/>
    <x v="2"/>
    <s v="Yes"/>
    <x v="1"/>
    <x v="0"/>
    <n v="654"/>
    <x v="1"/>
    <n v="1"/>
    <n v="2"/>
    <x v="0"/>
    <n v="1"/>
    <n v="1"/>
    <x v="0"/>
    <n v="67"/>
    <n v="1"/>
    <n v="1"/>
    <s v="Other"/>
    <n v="2"/>
    <s v="Poor"/>
    <x v="0"/>
    <n v="2216"/>
    <x v="1"/>
    <n v="3872"/>
    <n v="7"/>
    <s v="Y"/>
    <s v="Yes"/>
    <n v="13"/>
    <x v="0"/>
    <s v="Low Performance"/>
    <n v="4"/>
    <n v="80"/>
    <n v="0"/>
    <n v="10"/>
    <n v="4"/>
    <n v="3"/>
    <s v="Fair"/>
    <n v="7"/>
    <n v="7"/>
    <n v="3"/>
    <n v="7"/>
  </r>
  <r>
    <n v="1530315"/>
    <n v="36"/>
    <x v="0"/>
    <s v="No"/>
    <x v="0"/>
    <x v="2"/>
    <n v="427"/>
    <x v="1"/>
    <n v="8"/>
    <n v="3"/>
    <x v="0"/>
    <n v="1"/>
    <n v="1"/>
    <x v="0"/>
    <n v="63"/>
    <n v="4"/>
    <n v="3"/>
    <s v="Administrative"/>
    <n v="1"/>
    <s v="Poor"/>
    <x v="1"/>
    <n v="11713"/>
    <x v="0"/>
    <n v="20335"/>
    <n v="9"/>
    <s v="Y"/>
    <s v="No"/>
    <n v="14"/>
    <x v="0"/>
    <s v="Low Performance"/>
    <n v="1"/>
    <n v="80"/>
    <n v="1"/>
    <n v="10"/>
    <n v="2"/>
    <n v="3"/>
    <s v="Fair"/>
    <n v="8"/>
    <n v="7"/>
    <n v="0"/>
    <n v="5"/>
  </r>
  <r>
    <n v="1589247"/>
    <n v="38"/>
    <x v="0"/>
    <s v="No"/>
    <x v="0"/>
    <x v="0"/>
    <n v="168"/>
    <x v="2"/>
    <n v="1"/>
    <n v="3"/>
    <x v="0"/>
    <n v="1"/>
    <n v="3"/>
    <x v="0"/>
    <n v="81"/>
    <n v="3"/>
    <n v="3"/>
    <s v="Therapist"/>
    <n v="3"/>
    <s v="Fair"/>
    <x v="0"/>
    <n v="7861"/>
    <x v="0"/>
    <n v="15397"/>
    <n v="4"/>
    <s v="Y"/>
    <s v="Yes"/>
    <n v="14"/>
    <x v="0"/>
    <s v="Low Performance"/>
    <n v="4"/>
    <n v="80"/>
    <n v="0"/>
    <n v="10"/>
    <n v="4"/>
    <n v="4"/>
    <s v="Good"/>
    <n v="1"/>
    <n v="0"/>
    <n v="0"/>
    <n v="0"/>
  </r>
  <r>
    <n v="1347933"/>
    <n v="44"/>
    <x v="0"/>
    <s v="No"/>
    <x v="0"/>
    <x v="2"/>
    <n v="381"/>
    <x v="1"/>
    <n v="24"/>
    <n v="3"/>
    <x v="2"/>
    <n v="1"/>
    <n v="1"/>
    <x v="1"/>
    <n v="49"/>
    <n v="1"/>
    <n v="1"/>
    <s v="Nurse"/>
    <n v="3"/>
    <s v="Fair"/>
    <x v="0"/>
    <n v="3708"/>
    <x v="1"/>
    <n v="2104"/>
    <n v="2"/>
    <s v="Y"/>
    <s v="No"/>
    <n v="14"/>
    <x v="0"/>
    <s v="Low Performance"/>
    <n v="3"/>
    <n v="80"/>
    <n v="0"/>
    <n v="9"/>
    <n v="5"/>
    <n v="3"/>
    <s v="Fair"/>
    <n v="5"/>
    <n v="2"/>
    <n v="1"/>
    <n v="4"/>
  </r>
  <r>
    <n v="1031434"/>
    <n v="47"/>
    <x v="1"/>
    <s v="No"/>
    <x v="0"/>
    <x v="1"/>
    <n v="217"/>
    <x v="0"/>
    <n v="3"/>
    <n v="3"/>
    <x v="2"/>
    <n v="1"/>
    <n v="4"/>
    <x v="0"/>
    <n v="49"/>
    <n v="3"/>
    <n v="4"/>
    <s v="Nurse"/>
    <n v="3"/>
    <s v="Fair"/>
    <x v="2"/>
    <n v="13770"/>
    <x v="2"/>
    <n v="10225"/>
    <n v="9"/>
    <s v="Y"/>
    <s v="Yes"/>
    <n v="12"/>
    <x v="0"/>
    <s v="Low Performance"/>
    <n v="4"/>
    <n v="80"/>
    <n v="2"/>
    <n v="28"/>
    <n v="2"/>
    <n v="2"/>
    <s v="Poor"/>
    <n v="22"/>
    <n v="2"/>
    <n v="11"/>
    <n v="13"/>
  </r>
  <r>
    <n v="1699255"/>
    <n v="30"/>
    <x v="2"/>
    <s v="No"/>
    <x v="0"/>
    <x v="0"/>
    <n v="501"/>
    <x v="0"/>
    <n v="27"/>
    <n v="5"/>
    <x v="3"/>
    <n v="1"/>
    <n v="3"/>
    <x v="1"/>
    <n v="99"/>
    <n v="3"/>
    <n v="2"/>
    <s v="Nurse"/>
    <n v="4"/>
    <s v="Good"/>
    <x v="2"/>
    <n v="5304"/>
    <x v="0"/>
    <n v="25275"/>
    <n v="7"/>
    <s v="Y"/>
    <s v="No"/>
    <n v="23"/>
    <x v="1"/>
    <s v="High Performance"/>
    <n v="4"/>
    <n v="80"/>
    <n v="1"/>
    <n v="10"/>
    <n v="2"/>
    <n v="2"/>
    <s v="Poor"/>
    <n v="8"/>
    <n v="7"/>
    <n v="7"/>
    <n v="7"/>
  </r>
  <r>
    <n v="1670081"/>
    <n v="29"/>
    <x v="2"/>
    <s v="No"/>
    <x v="0"/>
    <x v="0"/>
    <n v="1396"/>
    <x v="0"/>
    <n v="10"/>
    <n v="3"/>
    <x v="0"/>
    <n v="1"/>
    <n v="3"/>
    <x v="1"/>
    <n v="99"/>
    <n v="3"/>
    <n v="1"/>
    <s v="Other"/>
    <n v="3"/>
    <s v="Fair"/>
    <x v="0"/>
    <n v="2642"/>
    <x v="1"/>
    <n v="2755"/>
    <n v="1"/>
    <s v="Y"/>
    <s v="No"/>
    <n v="11"/>
    <x v="0"/>
    <s v="Low Performance"/>
    <n v="3"/>
    <n v="80"/>
    <n v="0"/>
    <n v="1"/>
    <n v="6"/>
    <n v="3"/>
    <s v="Fair"/>
    <n v="1"/>
    <n v="0"/>
    <n v="0"/>
    <n v="0"/>
  </r>
  <r>
    <n v="1542367"/>
    <n v="42"/>
    <x v="0"/>
    <s v="Yes"/>
    <x v="1"/>
    <x v="1"/>
    <n v="933"/>
    <x v="1"/>
    <n v="19"/>
    <n v="3"/>
    <x v="2"/>
    <n v="1"/>
    <n v="3"/>
    <x v="1"/>
    <n v="57"/>
    <n v="4"/>
    <n v="1"/>
    <s v="Other"/>
    <n v="3"/>
    <s v="Fair"/>
    <x v="2"/>
    <n v="2759"/>
    <x v="1"/>
    <n v="20366"/>
    <n v="6"/>
    <s v="Y"/>
    <s v="Yes"/>
    <n v="12"/>
    <x v="0"/>
    <s v="Low Performance"/>
    <n v="4"/>
    <n v="80"/>
    <n v="0"/>
    <n v="7"/>
    <n v="2"/>
    <n v="3"/>
    <s v="Fair"/>
    <n v="2"/>
    <n v="2"/>
    <n v="2"/>
    <n v="2"/>
  </r>
  <r>
    <n v="1259211"/>
    <n v="43"/>
    <x v="0"/>
    <s v="No"/>
    <x v="0"/>
    <x v="1"/>
    <n v="775"/>
    <x v="0"/>
    <n v="15"/>
    <n v="3"/>
    <x v="0"/>
    <n v="1"/>
    <n v="4"/>
    <x v="1"/>
    <n v="47"/>
    <n v="2"/>
    <n v="2"/>
    <s v="Nurse"/>
    <n v="4"/>
    <s v="Good"/>
    <x v="1"/>
    <n v="6804"/>
    <x v="0"/>
    <n v="23683"/>
    <n v="3"/>
    <s v="Y"/>
    <s v="No"/>
    <n v="18"/>
    <x v="0"/>
    <s v="Low Performance"/>
    <n v="3"/>
    <n v="80"/>
    <n v="1"/>
    <n v="7"/>
    <n v="5"/>
    <n v="3"/>
    <s v="Fair"/>
    <n v="2"/>
    <n v="2"/>
    <n v="2"/>
    <n v="2"/>
  </r>
  <r>
    <n v="1758544"/>
    <n v="34"/>
    <x v="2"/>
    <s v="No"/>
    <x v="0"/>
    <x v="0"/>
    <n v="970"/>
    <x v="1"/>
    <n v="8"/>
    <n v="2"/>
    <x v="2"/>
    <n v="1"/>
    <n v="2"/>
    <x v="0"/>
    <n v="96"/>
    <n v="3"/>
    <n v="2"/>
    <s v="Nurse"/>
    <n v="3"/>
    <s v="Fair"/>
    <x v="0"/>
    <n v="6142"/>
    <x v="0"/>
    <n v="7360"/>
    <n v="3"/>
    <s v="Y"/>
    <s v="No"/>
    <n v="11"/>
    <x v="0"/>
    <s v="Low Performance"/>
    <n v="4"/>
    <n v="80"/>
    <n v="0"/>
    <n v="10"/>
    <n v="2"/>
    <n v="3"/>
    <s v="Fair"/>
    <n v="5"/>
    <n v="1"/>
    <n v="4"/>
    <n v="3"/>
  </r>
  <r>
    <n v="1545288"/>
    <n v="23"/>
    <x v="4"/>
    <s v="No"/>
    <x v="0"/>
    <x v="0"/>
    <n v="650"/>
    <x v="1"/>
    <n v="9"/>
    <n v="1"/>
    <x v="2"/>
    <n v="1"/>
    <n v="2"/>
    <x v="1"/>
    <n v="37"/>
    <n v="3"/>
    <n v="1"/>
    <s v="Nurse"/>
    <n v="1"/>
    <s v="Poor"/>
    <x v="1"/>
    <n v="2500"/>
    <x v="1"/>
    <n v="4344"/>
    <n v="1"/>
    <s v="Y"/>
    <s v="No"/>
    <n v="14"/>
    <x v="0"/>
    <s v="Low Performance"/>
    <n v="4"/>
    <n v="80"/>
    <n v="1"/>
    <n v="5"/>
    <n v="2"/>
    <n v="4"/>
    <s v="Good"/>
    <n v="4"/>
    <n v="3"/>
    <n v="0"/>
    <n v="2"/>
  </r>
  <r>
    <n v="1121259"/>
    <n v="39"/>
    <x v="0"/>
    <s v="No"/>
    <x v="0"/>
    <x v="0"/>
    <n v="141"/>
    <x v="2"/>
    <n v="3"/>
    <n v="3"/>
    <x v="5"/>
    <n v="1"/>
    <n v="3"/>
    <x v="0"/>
    <n v="44"/>
    <n v="4"/>
    <n v="2"/>
    <s v="Other"/>
    <n v="2"/>
    <s v="Poor"/>
    <x v="1"/>
    <n v="6389"/>
    <x v="0"/>
    <n v="18767"/>
    <n v="9"/>
    <s v="Y"/>
    <s v="No"/>
    <n v="15"/>
    <x v="0"/>
    <s v="Low Performance"/>
    <n v="3"/>
    <n v="80"/>
    <n v="1"/>
    <n v="12"/>
    <n v="3"/>
    <n v="1"/>
    <s v="Poor"/>
    <n v="8"/>
    <n v="3"/>
    <n v="3"/>
    <n v="6"/>
  </r>
  <r>
    <n v="1126307"/>
    <n v="56"/>
    <x v="3"/>
    <s v="No"/>
    <x v="0"/>
    <x v="0"/>
    <n v="832"/>
    <x v="1"/>
    <n v="9"/>
    <n v="3"/>
    <x v="2"/>
    <n v="1"/>
    <n v="3"/>
    <x v="1"/>
    <n v="81"/>
    <n v="3"/>
    <n v="4"/>
    <s v="Nurse"/>
    <n v="4"/>
    <s v="Good"/>
    <x v="1"/>
    <n v="11103"/>
    <x v="0"/>
    <n v="20420"/>
    <n v="7"/>
    <s v="Y"/>
    <s v="No"/>
    <n v="11"/>
    <x v="0"/>
    <s v="Low Performance"/>
    <n v="3"/>
    <n v="80"/>
    <n v="0"/>
    <n v="30"/>
    <n v="1"/>
    <n v="2"/>
    <s v="Poor"/>
    <n v="10"/>
    <n v="7"/>
    <n v="1"/>
    <n v="1"/>
  </r>
  <r>
    <n v="1400061"/>
    <n v="40"/>
    <x v="0"/>
    <s v="No"/>
    <x v="0"/>
    <x v="0"/>
    <n v="804"/>
    <x v="1"/>
    <n v="2"/>
    <n v="1"/>
    <x v="2"/>
    <n v="1"/>
    <n v="4"/>
    <x v="0"/>
    <n v="86"/>
    <n v="2"/>
    <n v="1"/>
    <s v="Other"/>
    <n v="4"/>
    <s v="Good"/>
    <x v="0"/>
    <n v="2342"/>
    <x v="1"/>
    <n v="22929"/>
    <n v="0"/>
    <s v="Y"/>
    <s v="Yes"/>
    <n v="20"/>
    <x v="1"/>
    <s v="High Performance"/>
    <n v="4"/>
    <n v="80"/>
    <n v="0"/>
    <n v="5"/>
    <n v="2"/>
    <n v="2"/>
    <s v="Poor"/>
    <n v="4"/>
    <n v="2"/>
    <n v="2"/>
    <n v="3"/>
  </r>
  <r>
    <n v="1855799"/>
    <n v="27"/>
    <x v="2"/>
    <s v="No"/>
    <x v="0"/>
    <x v="0"/>
    <n v="975"/>
    <x v="1"/>
    <n v="7"/>
    <n v="3"/>
    <x v="2"/>
    <n v="1"/>
    <n v="4"/>
    <x v="0"/>
    <n v="55"/>
    <n v="2"/>
    <n v="2"/>
    <s v="Nurse"/>
    <n v="1"/>
    <s v="Poor"/>
    <x v="0"/>
    <n v="6811"/>
    <x v="0"/>
    <n v="23398"/>
    <n v="8"/>
    <s v="Y"/>
    <s v="No"/>
    <n v="19"/>
    <x v="0"/>
    <s v="Low Performance"/>
    <n v="1"/>
    <n v="80"/>
    <n v="0"/>
    <n v="9"/>
    <n v="2"/>
    <n v="1"/>
    <s v="Poor"/>
    <n v="7"/>
    <n v="6"/>
    <n v="0"/>
    <n v="7"/>
  </r>
  <r>
    <n v="1639147"/>
    <n v="29"/>
    <x v="2"/>
    <s v="No"/>
    <x v="0"/>
    <x v="0"/>
    <n v="1090"/>
    <x v="0"/>
    <n v="10"/>
    <n v="3"/>
    <x v="3"/>
    <n v="1"/>
    <n v="4"/>
    <x v="1"/>
    <n v="83"/>
    <n v="3"/>
    <n v="1"/>
    <s v="Other"/>
    <n v="2"/>
    <s v="Poor"/>
    <x v="2"/>
    <n v="2297"/>
    <x v="1"/>
    <n v="17967"/>
    <n v="1"/>
    <s v="Y"/>
    <s v="No"/>
    <n v="14"/>
    <x v="0"/>
    <s v="Low Performance"/>
    <n v="4"/>
    <n v="80"/>
    <n v="2"/>
    <n v="2"/>
    <n v="2"/>
    <n v="3"/>
    <s v="Fair"/>
    <n v="2"/>
    <n v="2"/>
    <n v="2"/>
    <n v="2"/>
  </r>
  <r>
    <n v="1446990"/>
    <n v="53"/>
    <x v="1"/>
    <s v="No"/>
    <x v="0"/>
    <x v="0"/>
    <n v="346"/>
    <x v="1"/>
    <n v="6"/>
    <n v="3"/>
    <x v="0"/>
    <n v="1"/>
    <n v="4"/>
    <x v="1"/>
    <n v="86"/>
    <n v="3"/>
    <n v="2"/>
    <s v="Nurse"/>
    <n v="4"/>
    <s v="Good"/>
    <x v="0"/>
    <n v="2450"/>
    <x v="1"/>
    <n v="10919"/>
    <n v="2"/>
    <s v="Y"/>
    <s v="No"/>
    <n v="17"/>
    <x v="0"/>
    <s v="Low Performance"/>
    <n v="4"/>
    <n v="80"/>
    <n v="0"/>
    <n v="19"/>
    <n v="4"/>
    <n v="3"/>
    <s v="Fair"/>
    <n v="2"/>
    <n v="2"/>
    <n v="2"/>
    <n v="2"/>
  </r>
  <r>
    <n v="1446447"/>
    <n v="35"/>
    <x v="2"/>
    <s v="No"/>
    <x v="0"/>
    <x v="2"/>
    <n v="1225"/>
    <x v="1"/>
    <n v="2"/>
    <n v="4"/>
    <x v="0"/>
    <n v="1"/>
    <n v="4"/>
    <x v="0"/>
    <n v="61"/>
    <n v="3"/>
    <n v="2"/>
    <s v="Nurse"/>
    <n v="1"/>
    <s v="Poor"/>
    <x v="2"/>
    <n v="5093"/>
    <x v="0"/>
    <n v="4761"/>
    <n v="2"/>
    <s v="Y"/>
    <s v="No"/>
    <n v="11"/>
    <x v="0"/>
    <s v="Low Performance"/>
    <n v="1"/>
    <n v="80"/>
    <n v="1"/>
    <n v="16"/>
    <n v="2"/>
    <n v="4"/>
    <s v="Good"/>
    <n v="1"/>
    <n v="0"/>
    <n v="0"/>
    <n v="0"/>
  </r>
  <r>
    <n v="1729159"/>
    <n v="32"/>
    <x v="2"/>
    <s v="No"/>
    <x v="0"/>
    <x v="1"/>
    <n v="430"/>
    <x v="1"/>
    <n v="24"/>
    <n v="4"/>
    <x v="0"/>
    <n v="1"/>
    <n v="1"/>
    <x v="1"/>
    <n v="80"/>
    <n v="3"/>
    <n v="2"/>
    <s v="Nurse"/>
    <n v="4"/>
    <s v="Good"/>
    <x v="1"/>
    <n v="5309"/>
    <x v="0"/>
    <n v="21146"/>
    <n v="1"/>
    <s v="Y"/>
    <s v="No"/>
    <n v="15"/>
    <x v="0"/>
    <s v="Low Performance"/>
    <n v="4"/>
    <n v="80"/>
    <n v="2"/>
    <n v="10"/>
    <n v="2"/>
    <n v="3"/>
    <s v="Fair"/>
    <n v="10"/>
    <n v="8"/>
    <n v="4"/>
    <n v="7"/>
  </r>
  <r>
    <n v="1808474"/>
    <n v="38"/>
    <x v="0"/>
    <s v="No"/>
    <x v="0"/>
    <x v="0"/>
    <n v="268"/>
    <x v="1"/>
    <n v="2"/>
    <n v="5"/>
    <x v="2"/>
    <n v="1"/>
    <n v="4"/>
    <x v="1"/>
    <n v="92"/>
    <n v="3"/>
    <n v="1"/>
    <s v="Other"/>
    <n v="3"/>
    <s v="Fair"/>
    <x v="1"/>
    <n v="3057"/>
    <x v="1"/>
    <n v="20471"/>
    <n v="6"/>
    <s v="Y"/>
    <s v="Yes"/>
    <n v="13"/>
    <x v="0"/>
    <s v="Low Performance"/>
    <n v="2"/>
    <n v="80"/>
    <n v="1"/>
    <n v="6"/>
    <n v="0"/>
    <n v="1"/>
    <s v="Poor"/>
    <n v="1"/>
    <n v="0"/>
    <n v="0"/>
    <n v="1"/>
  </r>
  <r>
    <n v="1254029"/>
    <n v="34"/>
    <x v="2"/>
    <s v="No"/>
    <x v="0"/>
    <x v="0"/>
    <n v="167"/>
    <x v="0"/>
    <n v="8"/>
    <n v="5"/>
    <x v="0"/>
    <n v="1"/>
    <n v="2"/>
    <x v="0"/>
    <n v="32"/>
    <n v="3"/>
    <n v="2"/>
    <s v="Therapist"/>
    <n v="1"/>
    <s v="Poor"/>
    <x v="2"/>
    <n v="5121"/>
    <x v="0"/>
    <n v="4187"/>
    <n v="3"/>
    <s v="Y"/>
    <s v="No"/>
    <n v="14"/>
    <x v="0"/>
    <s v="Low Performance"/>
    <n v="3"/>
    <n v="80"/>
    <n v="1"/>
    <n v="7"/>
    <n v="3"/>
    <n v="3"/>
    <s v="Fair"/>
    <n v="0"/>
    <n v="0"/>
    <n v="0"/>
    <n v="0"/>
  </r>
  <r>
    <n v="1581250"/>
    <n v="52"/>
    <x v="1"/>
    <s v="No"/>
    <x v="0"/>
    <x v="0"/>
    <n v="621"/>
    <x v="0"/>
    <n v="3"/>
    <n v="4"/>
    <x v="3"/>
    <n v="1"/>
    <n v="3"/>
    <x v="1"/>
    <n v="31"/>
    <n v="2"/>
    <n v="4"/>
    <s v="Administrative"/>
    <n v="1"/>
    <s v="Poor"/>
    <x v="1"/>
    <n v="16856"/>
    <x v="2"/>
    <n v="10084"/>
    <n v="1"/>
    <s v="Y"/>
    <s v="No"/>
    <n v="11"/>
    <x v="0"/>
    <s v="Low Performance"/>
    <n v="1"/>
    <n v="80"/>
    <n v="0"/>
    <n v="34"/>
    <n v="3"/>
    <n v="4"/>
    <s v="Good"/>
    <n v="34"/>
    <n v="6"/>
    <n v="1"/>
    <n v="16"/>
  </r>
  <r>
    <n v="1269152"/>
    <n v="33"/>
    <x v="2"/>
    <s v="Yes"/>
    <x v="1"/>
    <x v="0"/>
    <n v="527"/>
    <x v="1"/>
    <n v="1"/>
    <n v="4"/>
    <x v="1"/>
    <n v="1"/>
    <n v="4"/>
    <x v="1"/>
    <n v="63"/>
    <n v="3"/>
    <n v="1"/>
    <s v="Other"/>
    <n v="4"/>
    <s v="Good"/>
    <x v="0"/>
    <n v="2686"/>
    <x v="1"/>
    <n v="5207"/>
    <n v="1"/>
    <s v="Y"/>
    <s v="Yes"/>
    <n v="13"/>
    <x v="0"/>
    <s v="Low Performance"/>
    <n v="3"/>
    <n v="80"/>
    <n v="0"/>
    <n v="10"/>
    <n v="2"/>
    <n v="2"/>
    <s v="Poor"/>
    <n v="10"/>
    <n v="9"/>
    <n v="7"/>
    <n v="8"/>
  </r>
  <r>
    <n v="1615430"/>
    <n v="25"/>
    <x v="4"/>
    <s v="No"/>
    <x v="0"/>
    <x v="0"/>
    <n v="883"/>
    <x v="0"/>
    <n v="26"/>
    <n v="1"/>
    <x v="2"/>
    <n v="1"/>
    <n v="3"/>
    <x v="0"/>
    <n v="32"/>
    <n v="3"/>
    <n v="2"/>
    <s v="Nurse"/>
    <n v="4"/>
    <s v="Good"/>
    <x v="0"/>
    <n v="6180"/>
    <x v="0"/>
    <n v="22807"/>
    <n v="1"/>
    <s v="Y"/>
    <s v="No"/>
    <n v="23"/>
    <x v="1"/>
    <s v="High Performance"/>
    <n v="2"/>
    <n v="80"/>
    <n v="0"/>
    <n v="6"/>
    <n v="5"/>
    <n v="2"/>
    <s v="Poor"/>
    <n v="6"/>
    <n v="5"/>
    <n v="1"/>
    <n v="4"/>
  </r>
  <r>
    <n v="1186983"/>
    <n v="45"/>
    <x v="0"/>
    <s v="No"/>
    <x v="0"/>
    <x v="0"/>
    <n v="954"/>
    <x v="0"/>
    <n v="2"/>
    <n v="2"/>
    <x v="4"/>
    <n v="1"/>
    <n v="2"/>
    <x v="1"/>
    <n v="46"/>
    <n v="1"/>
    <n v="2"/>
    <s v="Other"/>
    <n v="3"/>
    <s v="Fair"/>
    <x v="0"/>
    <n v="6632"/>
    <x v="0"/>
    <n v="12388"/>
    <n v="0"/>
    <s v="Y"/>
    <s v="No"/>
    <n v="13"/>
    <x v="0"/>
    <s v="Low Performance"/>
    <n v="1"/>
    <n v="80"/>
    <n v="0"/>
    <n v="9"/>
    <n v="3"/>
    <n v="3"/>
    <s v="Fair"/>
    <n v="8"/>
    <n v="7"/>
    <n v="3"/>
    <n v="1"/>
  </r>
  <r>
    <n v="1570791"/>
    <n v="23"/>
    <x v="4"/>
    <s v="No"/>
    <x v="0"/>
    <x v="0"/>
    <n v="310"/>
    <x v="1"/>
    <n v="10"/>
    <n v="1"/>
    <x v="2"/>
    <n v="1"/>
    <n v="1"/>
    <x v="1"/>
    <n v="79"/>
    <n v="4"/>
    <n v="1"/>
    <s v="Other"/>
    <n v="3"/>
    <s v="Fair"/>
    <x v="0"/>
    <n v="3505"/>
    <x v="1"/>
    <n v="19630"/>
    <n v="1"/>
    <s v="Y"/>
    <s v="No"/>
    <n v="18"/>
    <x v="0"/>
    <s v="Low Performance"/>
    <n v="4"/>
    <n v="80"/>
    <n v="0"/>
    <n v="2"/>
    <n v="3"/>
    <n v="3"/>
    <s v="Fair"/>
    <n v="2"/>
    <n v="2"/>
    <n v="0"/>
    <n v="2"/>
  </r>
  <r>
    <n v="1052229"/>
    <n v="47"/>
    <x v="1"/>
    <s v="Yes"/>
    <x v="1"/>
    <x v="1"/>
    <n v="719"/>
    <x v="0"/>
    <n v="27"/>
    <n v="2"/>
    <x v="0"/>
    <n v="1"/>
    <n v="2"/>
    <x v="0"/>
    <n v="77"/>
    <n v="4"/>
    <n v="2"/>
    <s v="Nurse"/>
    <n v="3"/>
    <s v="Fair"/>
    <x v="0"/>
    <n v="6397"/>
    <x v="0"/>
    <n v="10339"/>
    <n v="4"/>
    <s v="Y"/>
    <s v="Yes"/>
    <n v="12"/>
    <x v="0"/>
    <s v="Low Performance"/>
    <n v="4"/>
    <n v="80"/>
    <n v="0"/>
    <n v="8"/>
    <n v="2"/>
    <n v="3"/>
    <s v="Fair"/>
    <n v="5"/>
    <n v="4"/>
    <n v="1"/>
    <n v="3"/>
  </r>
  <r>
    <n v="1551168"/>
    <n v="34"/>
    <x v="2"/>
    <s v="No"/>
    <x v="0"/>
    <x v="0"/>
    <n v="304"/>
    <x v="0"/>
    <n v="2"/>
    <n v="3"/>
    <x v="1"/>
    <n v="1"/>
    <n v="4"/>
    <x v="1"/>
    <n v="60"/>
    <n v="3"/>
    <n v="2"/>
    <s v="Nurse"/>
    <n v="4"/>
    <s v="Good"/>
    <x v="0"/>
    <n v="6274"/>
    <x v="0"/>
    <n v="18686"/>
    <n v="1"/>
    <s v="Y"/>
    <s v="No"/>
    <n v="22"/>
    <x v="1"/>
    <s v="High Performance"/>
    <n v="3"/>
    <n v="80"/>
    <n v="0"/>
    <n v="6"/>
    <n v="5"/>
    <n v="3"/>
    <s v="Fair"/>
    <n v="6"/>
    <n v="5"/>
    <n v="1"/>
    <n v="4"/>
  </r>
  <r>
    <n v="1699666"/>
    <n v="55"/>
    <x v="1"/>
    <s v="Yes"/>
    <x v="1"/>
    <x v="0"/>
    <n v="725"/>
    <x v="2"/>
    <n v="2"/>
    <n v="3"/>
    <x v="2"/>
    <n v="1"/>
    <n v="4"/>
    <x v="1"/>
    <n v="78"/>
    <n v="3"/>
    <n v="5"/>
    <s v="Other"/>
    <n v="1"/>
    <s v="Poor"/>
    <x v="1"/>
    <n v="19859"/>
    <x v="2"/>
    <n v="21199"/>
    <n v="5"/>
    <s v="Y"/>
    <s v="Yes"/>
    <n v="13"/>
    <x v="0"/>
    <s v="Low Performance"/>
    <n v="4"/>
    <n v="80"/>
    <n v="1"/>
    <n v="24"/>
    <n v="2"/>
    <n v="3"/>
    <s v="Fair"/>
    <n v="5"/>
    <n v="2"/>
    <n v="1"/>
    <n v="4"/>
  </r>
  <r>
    <n v="1521095"/>
    <n v="36"/>
    <x v="0"/>
    <s v="No"/>
    <x v="0"/>
    <x v="2"/>
    <n v="1434"/>
    <x v="0"/>
    <n v="8"/>
    <n v="4"/>
    <x v="0"/>
    <n v="1"/>
    <n v="1"/>
    <x v="1"/>
    <n v="76"/>
    <n v="2"/>
    <n v="3"/>
    <s v="Nurse"/>
    <n v="1"/>
    <s v="Poor"/>
    <x v="0"/>
    <n v="7587"/>
    <x v="0"/>
    <n v="14229"/>
    <n v="1"/>
    <s v="Y"/>
    <s v="No"/>
    <n v="15"/>
    <x v="0"/>
    <s v="Low Performance"/>
    <n v="2"/>
    <n v="80"/>
    <n v="0"/>
    <n v="10"/>
    <n v="1"/>
    <n v="3"/>
    <s v="Fair"/>
    <n v="10"/>
    <n v="7"/>
    <n v="0"/>
    <n v="9"/>
  </r>
  <r>
    <n v="1224712"/>
    <n v="52"/>
    <x v="1"/>
    <s v="No"/>
    <x v="0"/>
    <x v="2"/>
    <n v="715"/>
    <x v="1"/>
    <n v="19"/>
    <n v="4"/>
    <x v="2"/>
    <n v="1"/>
    <n v="4"/>
    <x v="1"/>
    <n v="41"/>
    <n v="3"/>
    <n v="1"/>
    <s v="Other"/>
    <n v="4"/>
    <s v="Good"/>
    <x v="1"/>
    <n v="4258"/>
    <x v="1"/>
    <n v="26589"/>
    <n v="0"/>
    <s v="Y"/>
    <s v="No"/>
    <n v="18"/>
    <x v="0"/>
    <s v="Low Performance"/>
    <n v="1"/>
    <n v="80"/>
    <n v="1"/>
    <n v="5"/>
    <n v="3"/>
    <n v="3"/>
    <s v="Fair"/>
    <n v="4"/>
    <n v="3"/>
    <n v="1"/>
    <n v="2"/>
  </r>
  <r>
    <n v="1238998"/>
    <n v="26"/>
    <x v="2"/>
    <s v="No"/>
    <x v="0"/>
    <x v="1"/>
    <n v="575"/>
    <x v="1"/>
    <n v="1"/>
    <n v="2"/>
    <x v="0"/>
    <n v="1"/>
    <n v="1"/>
    <x v="0"/>
    <n v="71"/>
    <n v="1"/>
    <n v="1"/>
    <s v="Nurse"/>
    <n v="4"/>
    <s v="Good"/>
    <x v="2"/>
    <n v="4364"/>
    <x v="1"/>
    <n v="5288"/>
    <n v="3"/>
    <s v="Y"/>
    <s v="No"/>
    <n v="14"/>
    <x v="0"/>
    <s v="Low Performance"/>
    <n v="1"/>
    <n v="80"/>
    <n v="1"/>
    <n v="5"/>
    <n v="2"/>
    <n v="3"/>
    <s v="Fair"/>
    <n v="2"/>
    <n v="2"/>
    <n v="2"/>
    <n v="0"/>
  </r>
  <r>
    <n v="1541532"/>
    <n v="29"/>
    <x v="2"/>
    <s v="No"/>
    <x v="0"/>
    <x v="0"/>
    <n v="657"/>
    <x v="1"/>
    <n v="27"/>
    <n v="3"/>
    <x v="2"/>
    <n v="1"/>
    <n v="2"/>
    <x v="0"/>
    <n v="66"/>
    <n v="3"/>
    <n v="2"/>
    <s v="Nurse"/>
    <n v="3"/>
    <s v="Fair"/>
    <x v="1"/>
    <n v="4335"/>
    <x v="1"/>
    <n v="25549"/>
    <n v="4"/>
    <s v="Y"/>
    <s v="No"/>
    <n v="12"/>
    <x v="0"/>
    <s v="Low Performance"/>
    <n v="1"/>
    <n v="80"/>
    <n v="1"/>
    <n v="11"/>
    <n v="3"/>
    <n v="2"/>
    <s v="Poor"/>
    <n v="8"/>
    <n v="7"/>
    <n v="1"/>
    <n v="1"/>
  </r>
  <r>
    <n v="1152345"/>
    <n v="26"/>
    <x v="2"/>
    <s v="Yes"/>
    <x v="1"/>
    <x v="0"/>
    <n v="1146"/>
    <x v="0"/>
    <n v="8"/>
    <n v="3"/>
    <x v="4"/>
    <n v="1"/>
    <n v="4"/>
    <x v="1"/>
    <n v="38"/>
    <n v="2"/>
    <n v="2"/>
    <s v="Nurse"/>
    <n v="1"/>
    <s v="Poor"/>
    <x v="0"/>
    <n v="5326"/>
    <x v="0"/>
    <n v="3064"/>
    <n v="6"/>
    <s v="Y"/>
    <s v="No"/>
    <n v="17"/>
    <x v="0"/>
    <s v="Low Performance"/>
    <n v="3"/>
    <n v="80"/>
    <n v="0"/>
    <n v="6"/>
    <n v="2"/>
    <n v="2"/>
    <s v="Poor"/>
    <n v="4"/>
    <n v="3"/>
    <n v="1"/>
    <n v="2"/>
  </r>
  <r>
    <n v="1830116"/>
    <n v="34"/>
    <x v="2"/>
    <s v="No"/>
    <x v="0"/>
    <x v="0"/>
    <n v="182"/>
    <x v="1"/>
    <n v="1"/>
    <n v="4"/>
    <x v="0"/>
    <n v="1"/>
    <n v="2"/>
    <x v="0"/>
    <n v="72"/>
    <n v="4"/>
    <n v="1"/>
    <s v="Other"/>
    <n v="4"/>
    <s v="Good"/>
    <x v="0"/>
    <n v="3280"/>
    <x v="1"/>
    <n v="13551"/>
    <n v="2"/>
    <s v="Y"/>
    <s v="No"/>
    <n v="16"/>
    <x v="0"/>
    <s v="Low Performance"/>
    <n v="3"/>
    <n v="80"/>
    <n v="0"/>
    <n v="10"/>
    <n v="2"/>
    <n v="3"/>
    <s v="Fair"/>
    <n v="4"/>
    <n v="2"/>
    <n v="1"/>
    <n v="3"/>
  </r>
  <r>
    <n v="1755563"/>
    <n v="54"/>
    <x v="1"/>
    <s v="No"/>
    <x v="0"/>
    <x v="0"/>
    <n v="376"/>
    <x v="1"/>
    <n v="19"/>
    <n v="4"/>
    <x v="2"/>
    <n v="1"/>
    <n v="4"/>
    <x v="0"/>
    <n v="95"/>
    <n v="3"/>
    <n v="2"/>
    <s v="Therapist"/>
    <n v="1"/>
    <s v="Poor"/>
    <x v="2"/>
    <n v="5485"/>
    <x v="0"/>
    <n v="22670"/>
    <n v="9"/>
    <s v="Y"/>
    <s v="Yes"/>
    <n v="11"/>
    <x v="0"/>
    <s v="Low Performance"/>
    <n v="2"/>
    <n v="80"/>
    <n v="2"/>
    <n v="9"/>
    <n v="4"/>
    <n v="3"/>
    <s v="Fair"/>
    <n v="5"/>
    <n v="3"/>
    <n v="1"/>
    <n v="4"/>
  </r>
  <r>
    <n v="1660820"/>
    <n v="27"/>
    <x v="2"/>
    <s v="No"/>
    <x v="0"/>
    <x v="1"/>
    <n v="829"/>
    <x v="0"/>
    <n v="8"/>
    <n v="1"/>
    <x v="3"/>
    <n v="1"/>
    <n v="3"/>
    <x v="1"/>
    <n v="84"/>
    <n v="3"/>
    <n v="2"/>
    <s v="Nurse"/>
    <n v="4"/>
    <s v="Good"/>
    <x v="1"/>
    <n v="4342"/>
    <x v="1"/>
    <n v="24008"/>
    <n v="0"/>
    <s v="Y"/>
    <s v="No"/>
    <n v="19"/>
    <x v="0"/>
    <s v="Low Performance"/>
    <n v="2"/>
    <n v="80"/>
    <n v="1"/>
    <n v="5"/>
    <n v="3"/>
    <n v="3"/>
    <s v="Fair"/>
    <n v="4"/>
    <n v="2"/>
    <n v="1"/>
    <n v="1"/>
  </r>
  <r>
    <n v="1150067"/>
    <n v="37"/>
    <x v="0"/>
    <s v="No"/>
    <x v="0"/>
    <x v="0"/>
    <n v="571"/>
    <x v="1"/>
    <n v="10"/>
    <n v="1"/>
    <x v="0"/>
    <n v="1"/>
    <n v="4"/>
    <x v="0"/>
    <n v="82"/>
    <n v="3"/>
    <n v="1"/>
    <s v="Other"/>
    <n v="1"/>
    <s v="Poor"/>
    <x v="2"/>
    <n v="2782"/>
    <x v="1"/>
    <n v="19905"/>
    <n v="0"/>
    <s v="Y"/>
    <s v="Yes"/>
    <n v="13"/>
    <x v="0"/>
    <s v="Low Performance"/>
    <n v="2"/>
    <n v="80"/>
    <n v="2"/>
    <n v="6"/>
    <n v="3"/>
    <n v="2"/>
    <s v="Poor"/>
    <n v="5"/>
    <n v="3"/>
    <n v="4"/>
    <n v="3"/>
  </r>
  <r>
    <n v="1862559"/>
    <n v="38"/>
    <x v="0"/>
    <s v="No"/>
    <x v="0"/>
    <x v="1"/>
    <n v="240"/>
    <x v="2"/>
    <n v="2"/>
    <n v="4"/>
    <x v="0"/>
    <n v="1"/>
    <n v="1"/>
    <x v="0"/>
    <n v="75"/>
    <n v="4"/>
    <n v="2"/>
    <s v="Therapist"/>
    <n v="1"/>
    <s v="Poor"/>
    <x v="0"/>
    <n v="5980"/>
    <x v="0"/>
    <n v="26085"/>
    <n v="6"/>
    <s v="Y"/>
    <s v="Yes"/>
    <n v="12"/>
    <x v="0"/>
    <s v="Low Performance"/>
    <n v="4"/>
    <n v="80"/>
    <n v="0"/>
    <n v="17"/>
    <n v="2"/>
    <n v="3"/>
    <s v="Fair"/>
    <n v="15"/>
    <n v="7"/>
    <n v="4"/>
    <n v="12"/>
  </r>
  <r>
    <n v="1107380"/>
    <n v="34"/>
    <x v="2"/>
    <s v="No"/>
    <x v="0"/>
    <x v="0"/>
    <n v="121"/>
    <x v="1"/>
    <n v="2"/>
    <n v="4"/>
    <x v="2"/>
    <n v="1"/>
    <n v="3"/>
    <x v="0"/>
    <n v="86"/>
    <n v="2"/>
    <n v="1"/>
    <s v="Other"/>
    <n v="1"/>
    <s v="Poor"/>
    <x v="0"/>
    <n v="4381"/>
    <x v="1"/>
    <n v="7530"/>
    <n v="1"/>
    <s v="Y"/>
    <s v="No"/>
    <n v="11"/>
    <x v="0"/>
    <s v="Low Performance"/>
    <n v="3"/>
    <n v="80"/>
    <n v="0"/>
    <n v="6"/>
    <n v="3"/>
    <n v="3"/>
    <s v="Fair"/>
    <n v="6"/>
    <n v="5"/>
    <n v="1"/>
    <n v="3"/>
  </r>
  <r>
    <n v="1734641"/>
    <n v="35"/>
    <x v="2"/>
    <s v="No"/>
    <x v="0"/>
    <x v="0"/>
    <n v="384"/>
    <x v="0"/>
    <n v="8"/>
    <n v="4"/>
    <x v="0"/>
    <n v="1"/>
    <n v="1"/>
    <x v="0"/>
    <n v="72"/>
    <n v="3"/>
    <n v="1"/>
    <s v="Other"/>
    <n v="4"/>
    <s v="Good"/>
    <x v="1"/>
    <n v="2572"/>
    <x v="1"/>
    <n v="20317"/>
    <n v="1"/>
    <s v="Y"/>
    <s v="No"/>
    <n v="16"/>
    <x v="0"/>
    <s v="Low Performance"/>
    <n v="2"/>
    <n v="80"/>
    <n v="1"/>
    <n v="3"/>
    <n v="1"/>
    <n v="2"/>
    <s v="Poor"/>
    <n v="3"/>
    <n v="2"/>
    <n v="0"/>
    <n v="2"/>
  </r>
  <r>
    <n v="1298935"/>
    <n v="30"/>
    <x v="2"/>
    <s v="No"/>
    <x v="0"/>
    <x v="0"/>
    <n v="921"/>
    <x v="1"/>
    <n v="1"/>
    <n v="3"/>
    <x v="0"/>
    <n v="1"/>
    <n v="4"/>
    <x v="1"/>
    <n v="38"/>
    <n v="1"/>
    <n v="1"/>
    <s v="Nurse"/>
    <n v="3"/>
    <s v="Fair"/>
    <x v="1"/>
    <n v="3833"/>
    <x v="1"/>
    <n v="24375"/>
    <n v="3"/>
    <s v="Y"/>
    <s v="No"/>
    <n v="21"/>
    <x v="1"/>
    <s v="High Performance"/>
    <n v="3"/>
    <n v="80"/>
    <n v="2"/>
    <n v="7"/>
    <n v="2"/>
    <n v="3"/>
    <s v="Fair"/>
    <n v="2"/>
    <n v="2"/>
    <n v="0"/>
    <n v="2"/>
  </r>
  <r>
    <n v="1025177"/>
    <n v="40"/>
    <x v="0"/>
    <s v="No"/>
    <x v="0"/>
    <x v="1"/>
    <n v="791"/>
    <x v="1"/>
    <n v="2"/>
    <n v="2"/>
    <x v="2"/>
    <n v="1"/>
    <n v="3"/>
    <x v="0"/>
    <n v="38"/>
    <n v="4"/>
    <n v="2"/>
    <s v="Nurse"/>
    <n v="2"/>
    <s v="Poor"/>
    <x v="1"/>
    <n v="4244"/>
    <x v="1"/>
    <n v="9931"/>
    <n v="1"/>
    <s v="Y"/>
    <s v="No"/>
    <n v="24"/>
    <x v="1"/>
    <s v="High Performance"/>
    <n v="4"/>
    <n v="80"/>
    <n v="1"/>
    <n v="8"/>
    <n v="2"/>
    <n v="3"/>
    <s v="Fair"/>
    <n v="8"/>
    <n v="7"/>
    <n v="3"/>
    <n v="7"/>
  </r>
  <r>
    <n v="1546242"/>
    <n v="34"/>
    <x v="2"/>
    <s v="No"/>
    <x v="0"/>
    <x v="0"/>
    <n v="1111"/>
    <x v="0"/>
    <n v="8"/>
    <n v="2"/>
    <x v="0"/>
    <n v="1"/>
    <n v="3"/>
    <x v="0"/>
    <n v="93"/>
    <n v="3"/>
    <n v="2"/>
    <s v="Nurse"/>
    <n v="1"/>
    <s v="Poor"/>
    <x v="1"/>
    <n v="6500"/>
    <x v="0"/>
    <n v="13305"/>
    <n v="5"/>
    <s v="Y"/>
    <s v="No"/>
    <n v="17"/>
    <x v="0"/>
    <s v="Low Performance"/>
    <n v="2"/>
    <n v="80"/>
    <n v="1"/>
    <n v="6"/>
    <n v="1"/>
    <n v="3"/>
    <s v="Fair"/>
    <n v="3"/>
    <n v="2"/>
    <n v="1"/>
    <n v="2"/>
  </r>
  <r>
    <n v="1288565"/>
    <n v="42"/>
    <x v="0"/>
    <s v="No"/>
    <x v="0"/>
    <x v="1"/>
    <n v="570"/>
    <x v="2"/>
    <n v="8"/>
    <n v="3"/>
    <x v="0"/>
    <n v="1"/>
    <n v="2"/>
    <x v="1"/>
    <n v="66"/>
    <n v="3"/>
    <n v="5"/>
    <s v="Other"/>
    <n v="4"/>
    <s v="Good"/>
    <x v="2"/>
    <n v="18430"/>
    <x v="2"/>
    <n v="16225"/>
    <n v="1"/>
    <s v="Y"/>
    <s v="No"/>
    <n v="13"/>
    <x v="0"/>
    <s v="Low Performance"/>
    <n v="2"/>
    <n v="80"/>
    <n v="1"/>
    <n v="24"/>
    <n v="4"/>
    <n v="2"/>
    <s v="Poor"/>
    <n v="24"/>
    <n v="7"/>
    <n v="14"/>
    <n v="9"/>
  </r>
  <r>
    <n v="1572087"/>
    <n v="23"/>
    <x v="4"/>
    <s v="Yes"/>
    <x v="1"/>
    <x v="0"/>
    <n v="1243"/>
    <x v="1"/>
    <n v="6"/>
    <n v="3"/>
    <x v="0"/>
    <n v="1"/>
    <n v="3"/>
    <x v="1"/>
    <n v="63"/>
    <n v="4"/>
    <n v="1"/>
    <s v="Nurse"/>
    <n v="1"/>
    <s v="Poor"/>
    <x v="1"/>
    <n v="1601"/>
    <x v="1"/>
    <n v="3445"/>
    <n v="1"/>
    <s v="Y"/>
    <s v="Yes"/>
    <n v="21"/>
    <x v="1"/>
    <s v="High Performance"/>
    <n v="3"/>
    <n v="80"/>
    <n v="2"/>
    <n v="1"/>
    <n v="2"/>
    <n v="3"/>
    <s v="Fair"/>
    <n v="0"/>
    <n v="0"/>
    <n v="0"/>
    <n v="0"/>
  </r>
  <r>
    <n v="1451315"/>
    <n v="24"/>
    <x v="4"/>
    <s v="No"/>
    <x v="0"/>
    <x v="2"/>
    <n v="1092"/>
    <x v="1"/>
    <n v="9"/>
    <n v="3"/>
    <x v="0"/>
    <n v="1"/>
    <n v="3"/>
    <x v="1"/>
    <n v="60"/>
    <n v="2"/>
    <n v="1"/>
    <s v="Nurse"/>
    <n v="2"/>
    <s v="Poor"/>
    <x v="2"/>
    <n v="2694"/>
    <x v="1"/>
    <n v="26551"/>
    <n v="1"/>
    <s v="Y"/>
    <s v="No"/>
    <n v="11"/>
    <x v="0"/>
    <s v="Low Performance"/>
    <n v="3"/>
    <n v="80"/>
    <n v="3"/>
    <n v="1"/>
    <n v="4"/>
    <n v="3"/>
    <s v="Fair"/>
    <n v="1"/>
    <n v="0"/>
    <n v="0"/>
    <n v="0"/>
  </r>
  <r>
    <n v="1755899"/>
    <n v="52"/>
    <x v="1"/>
    <s v="No"/>
    <x v="0"/>
    <x v="0"/>
    <n v="1325"/>
    <x v="1"/>
    <n v="11"/>
    <n v="4"/>
    <x v="0"/>
    <n v="1"/>
    <n v="4"/>
    <x v="0"/>
    <n v="82"/>
    <n v="3"/>
    <n v="2"/>
    <s v="Nurse"/>
    <n v="3"/>
    <s v="Fair"/>
    <x v="1"/>
    <n v="3149"/>
    <x v="1"/>
    <n v="21821"/>
    <n v="8"/>
    <s v="Y"/>
    <s v="No"/>
    <n v="20"/>
    <x v="1"/>
    <s v="High Performance"/>
    <n v="2"/>
    <n v="80"/>
    <n v="1"/>
    <n v="9"/>
    <n v="3"/>
    <n v="3"/>
    <s v="Fair"/>
    <n v="5"/>
    <n v="2"/>
    <n v="1"/>
    <n v="4"/>
  </r>
  <r>
    <n v="1330421"/>
    <n v="50"/>
    <x v="1"/>
    <s v="No"/>
    <x v="0"/>
    <x v="0"/>
    <n v="691"/>
    <x v="1"/>
    <n v="2"/>
    <n v="3"/>
    <x v="2"/>
    <n v="1"/>
    <n v="3"/>
    <x v="1"/>
    <n v="64"/>
    <n v="3"/>
    <n v="4"/>
    <s v="Administrative"/>
    <n v="3"/>
    <s v="Fair"/>
    <x v="1"/>
    <n v="17639"/>
    <x v="2"/>
    <n v="6881"/>
    <n v="5"/>
    <s v="Y"/>
    <s v="No"/>
    <n v="16"/>
    <x v="0"/>
    <s v="Low Performance"/>
    <n v="4"/>
    <n v="80"/>
    <n v="0"/>
    <n v="30"/>
    <n v="3"/>
    <n v="3"/>
    <s v="Fair"/>
    <n v="4"/>
    <n v="3"/>
    <n v="0"/>
    <n v="3"/>
  </r>
  <r>
    <n v="1187355"/>
    <n v="29"/>
    <x v="2"/>
    <s v="Yes"/>
    <x v="1"/>
    <x v="0"/>
    <n v="805"/>
    <x v="1"/>
    <n v="1"/>
    <n v="2"/>
    <x v="0"/>
    <n v="1"/>
    <n v="2"/>
    <x v="0"/>
    <n v="36"/>
    <n v="2"/>
    <n v="1"/>
    <s v="Nurse"/>
    <n v="1"/>
    <s v="Poor"/>
    <x v="1"/>
    <n v="2319"/>
    <x v="1"/>
    <n v="6689"/>
    <n v="1"/>
    <s v="Y"/>
    <s v="Yes"/>
    <n v="11"/>
    <x v="0"/>
    <s v="Low Performance"/>
    <n v="4"/>
    <n v="80"/>
    <n v="1"/>
    <n v="1"/>
    <n v="1"/>
    <n v="3"/>
    <s v="Fair"/>
    <n v="1"/>
    <n v="0"/>
    <n v="0"/>
    <n v="0"/>
  </r>
  <r>
    <n v="1297416"/>
    <n v="33"/>
    <x v="2"/>
    <s v="No"/>
    <x v="0"/>
    <x v="0"/>
    <n v="213"/>
    <x v="1"/>
    <n v="7"/>
    <n v="3"/>
    <x v="2"/>
    <n v="1"/>
    <n v="3"/>
    <x v="1"/>
    <n v="49"/>
    <n v="3"/>
    <n v="3"/>
    <s v="Administrative"/>
    <n v="3"/>
    <s v="Fair"/>
    <x v="1"/>
    <n v="11691"/>
    <x v="0"/>
    <n v="25995"/>
    <n v="0"/>
    <s v="Y"/>
    <s v="No"/>
    <n v="11"/>
    <x v="0"/>
    <s v="Low Performance"/>
    <n v="4"/>
    <n v="80"/>
    <n v="0"/>
    <n v="14"/>
    <n v="3"/>
    <n v="4"/>
    <s v="Good"/>
    <n v="13"/>
    <n v="9"/>
    <n v="3"/>
    <n v="7"/>
  </r>
  <r>
    <n v="1161558"/>
    <n v="33"/>
    <x v="2"/>
    <s v="Yes"/>
    <x v="1"/>
    <x v="0"/>
    <n v="118"/>
    <x v="0"/>
    <n v="16"/>
    <n v="3"/>
    <x v="3"/>
    <n v="1"/>
    <n v="1"/>
    <x v="0"/>
    <n v="69"/>
    <n v="3"/>
    <n v="2"/>
    <s v="Nurse"/>
    <n v="1"/>
    <s v="Poor"/>
    <x v="0"/>
    <n v="5324"/>
    <x v="0"/>
    <n v="26507"/>
    <n v="5"/>
    <s v="Y"/>
    <s v="No"/>
    <n v="15"/>
    <x v="0"/>
    <s v="Low Performance"/>
    <n v="3"/>
    <n v="80"/>
    <n v="0"/>
    <n v="6"/>
    <n v="3"/>
    <n v="3"/>
    <s v="Fair"/>
    <n v="3"/>
    <n v="2"/>
    <n v="0"/>
    <n v="2"/>
  </r>
  <r>
    <n v="1069822"/>
    <n v="47"/>
    <x v="1"/>
    <s v="No"/>
    <x v="0"/>
    <x v="0"/>
    <n v="202"/>
    <x v="2"/>
    <n v="2"/>
    <n v="2"/>
    <x v="1"/>
    <n v="1"/>
    <n v="3"/>
    <x v="0"/>
    <n v="33"/>
    <n v="3"/>
    <n v="4"/>
    <s v="Other"/>
    <n v="4"/>
    <s v="Good"/>
    <x v="1"/>
    <n v="16752"/>
    <x v="2"/>
    <n v="12982"/>
    <n v="1"/>
    <s v="Y"/>
    <s v="Yes"/>
    <n v="11"/>
    <x v="0"/>
    <s v="Low Performance"/>
    <n v="3"/>
    <n v="80"/>
    <n v="1"/>
    <n v="26"/>
    <n v="3"/>
    <n v="2"/>
    <s v="Poor"/>
    <n v="26"/>
    <n v="14"/>
    <n v="3"/>
    <n v="0"/>
  </r>
  <r>
    <n v="1418243"/>
    <n v="36"/>
    <x v="0"/>
    <s v="No"/>
    <x v="0"/>
    <x v="0"/>
    <n v="676"/>
    <x v="2"/>
    <n v="1"/>
    <n v="3"/>
    <x v="1"/>
    <n v="1"/>
    <n v="3"/>
    <x v="0"/>
    <n v="35"/>
    <n v="3"/>
    <n v="2"/>
    <s v="Therapist"/>
    <n v="2"/>
    <s v="Poor"/>
    <x v="1"/>
    <n v="5228"/>
    <x v="0"/>
    <n v="23361"/>
    <n v="0"/>
    <s v="Y"/>
    <s v="No"/>
    <n v="15"/>
    <x v="0"/>
    <s v="Low Performance"/>
    <n v="1"/>
    <n v="80"/>
    <n v="1"/>
    <n v="10"/>
    <n v="2"/>
    <n v="3"/>
    <s v="Fair"/>
    <n v="9"/>
    <n v="7"/>
    <n v="0"/>
    <n v="5"/>
  </r>
  <r>
    <n v="1312456"/>
    <n v="29"/>
    <x v="2"/>
    <s v="No"/>
    <x v="0"/>
    <x v="0"/>
    <n v="1252"/>
    <x v="1"/>
    <n v="23"/>
    <n v="2"/>
    <x v="0"/>
    <n v="1"/>
    <n v="3"/>
    <x v="1"/>
    <n v="81"/>
    <n v="4"/>
    <n v="1"/>
    <s v="Other"/>
    <n v="3"/>
    <s v="Fair"/>
    <x v="1"/>
    <n v="2700"/>
    <x v="1"/>
    <n v="23779"/>
    <n v="1"/>
    <s v="Y"/>
    <s v="No"/>
    <n v="24"/>
    <x v="1"/>
    <s v="High Performance"/>
    <n v="3"/>
    <n v="80"/>
    <n v="1"/>
    <n v="10"/>
    <n v="3"/>
    <n v="3"/>
    <s v="Fair"/>
    <n v="10"/>
    <n v="7"/>
    <n v="0"/>
    <n v="7"/>
  </r>
  <r>
    <n v="1294456"/>
    <n v="58"/>
    <x v="3"/>
    <s v="Yes"/>
    <x v="1"/>
    <x v="0"/>
    <n v="286"/>
    <x v="1"/>
    <n v="2"/>
    <n v="4"/>
    <x v="0"/>
    <n v="1"/>
    <n v="4"/>
    <x v="1"/>
    <n v="31"/>
    <n v="3"/>
    <n v="5"/>
    <s v="Administrative"/>
    <n v="2"/>
    <s v="Poor"/>
    <x v="0"/>
    <n v="19246"/>
    <x v="2"/>
    <n v="25761"/>
    <n v="7"/>
    <s v="Y"/>
    <s v="Yes"/>
    <n v="12"/>
    <x v="0"/>
    <s v="Low Performance"/>
    <n v="4"/>
    <n v="80"/>
    <n v="0"/>
    <n v="40"/>
    <n v="2"/>
    <n v="3"/>
    <s v="Fair"/>
    <n v="31"/>
    <n v="15"/>
    <n v="13"/>
    <n v="8"/>
  </r>
  <r>
    <n v="1637745"/>
    <n v="35"/>
    <x v="2"/>
    <s v="No"/>
    <x v="0"/>
    <x v="0"/>
    <n v="1258"/>
    <x v="1"/>
    <n v="1"/>
    <n v="4"/>
    <x v="0"/>
    <n v="1"/>
    <n v="4"/>
    <x v="0"/>
    <n v="40"/>
    <n v="4"/>
    <n v="1"/>
    <s v="Other"/>
    <n v="3"/>
    <s v="Fair"/>
    <x v="0"/>
    <n v="2506"/>
    <x v="1"/>
    <n v="13301"/>
    <n v="3"/>
    <s v="Y"/>
    <s v="No"/>
    <n v="13"/>
    <x v="0"/>
    <s v="Low Performance"/>
    <n v="3"/>
    <n v="80"/>
    <n v="0"/>
    <n v="7"/>
    <n v="0"/>
    <n v="3"/>
    <s v="Fair"/>
    <n v="2"/>
    <n v="2"/>
    <n v="2"/>
    <n v="2"/>
  </r>
  <r>
    <n v="1307498"/>
    <n v="42"/>
    <x v="0"/>
    <s v="No"/>
    <x v="0"/>
    <x v="0"/>
    <n v="932"/>
    <x v="2"/>
    <n v="1"/>
    <n v="2"/>
    <x v="0"/>
    <n v="1"/>
    <n v="4"/>
    <x v="0"/>
    <n v="43"/>
    <n v="2"/>
    <n v="2"/>
    <s v="Therapist"/>
    <n v="4"/>
    <s v="Good"/>
    <x v="1"/>
    <n v="6062"/>
    <x v="0"/>
    <n v="4051"/>
    <n v="9"/>
    <s v="Y"/>
    <s v="Yes"/>
    <n v="13"/>
    <x v="0"/>
    <s v="Low Performance"/>
    <n v="4"/>
    <n v="80"/>
    <n v="1"/>
    <n v="8"/>
    <n v="4"/>
    <n v="3"/>
    <s v="Fair"/>
    <n v="4"/>
    <n v="3"/>
    <n v="0"/>
    <n v="2"/>
  </r>
  <r>
    <n v="1759857"/>
    <n v="28"/>
    <x v="2"/>
    <s v="No"/>
    <x v="0"/>
    <x v="0"/>
    <n v="890"/>
    <x v="1"/>
    <n v="2"/>
    <n v="4"/>
    <x v="2"/>
    <n v="1"/>
    <n v="3"/>
    <x v="1"/>
    <n v="46"/>
    <n v="3"/>
    <n v="1"/>
    <s v="Other"/>
    <n v="3"/>
    <s v="Fair"/>
    <x v="0"/>
    <n v="4382"/>
    <x v="1"/>
    <n v="16374"/>
    <n v="6"/>
    <s v="Y"/>
    <s v="No"/>
    <n v="17"/>
    <x v="0"/>
    <s v="Low Performance"/>
    <n v="4"/>
    <n v="80"/>
    <n v="0"/>
    <n v="5"/>
    <n v="3"/>
    <n v="2"/>
    <s v="Poor"/>
    <n v="2"/>
    <n v="2"/>
    <n v="2"/>
    <n v="1"/>
  </r>
  <r>
    <n v="1675215"/>
    <n v="36"/>
    <x v="0"/>
    <s v="No"/>
    <x v="0"/>
    <x v="0"/>
    <n v="1041"/>
    <x v="2"/>
    <n v="13"/>
    <n v="3"/>
    <x v="5"/>
    <n v="1"/>
    <n v="3"/>
    <x v="1"/>
    <n v="36"/>
    <n v="3"/>
    <n v="1"/>
    <s v="Other"/>
    <n v="2"/>
    <s v="Poor"/>
    <x v="1"/>
    <n v="2143"/>
    <x v="1"/>
    <n v="25527"/>
    <n v="4"/>
    <s v="Y"/>
    <s v="No"/>
    <n v="13"/>
    <x v="0"/>
    <s v="Low Performance"/>
    <n v="2"/>
    <n v="80"/>
    <n v="1"/>
    <n v="8"/>
    <n v="2"/>
    <n v="3"/>
    <s v="Fair"/>
    <n v="5"/>
    <n v="2"/>
    <n v="0"/>
    <n v="4"/>
  </r>
  <r>
    <n v="1845955"/>
    <n v="32"/>
    <x v="2"/>
    <s v="No"/>
    <x v="0"/>
    <x v="0"/>
    <n v="859"/>
    <x v="2"/>
    <n v="4"/>
    <n v="3"/>
    <x v="0"/>
    <n v="1"/>
    <n v="3"/>
    <x v="0"/>
    <n v="98"/>
    <n v="2"/>
    <n v="2"/>
    <s v="Therapist"/>
    <n v="3"/>
    <s v="Fair"/>
    <x v="1"/>
    <n v="6162"/>
    <x v="0"/>
    <n v="19124"/>
    <n v="1"/>
    <s v="Y"/>
    <s v="No"/>
    <n v="12"/>
    <x v="0"/>
    <s v="Low Performance"/>
    <n v="3"/>
    <n v="80"/>
    <n v="1"/>
    <n v="14"/>
    <n v="3"/>
    <n v="3"/>
    <s v="Fair"/>
    <n v="14"/>
    <n v="13"/>
    <n v="6"/>
    <n v="8"/>
  </r>
  <r>
    <n v="1178013"/>
    <n v="40"/>
    <x v="0"/>
    <s v="No"/>
    <x v="0"/>
    <x v="1"/>
    <n v="720"/>
    <x v="1"/>
    <n v="16"/>
    <n v="4"/>
    <x v="2"/>
    <n v="1"/>
    <n v="1"/>
    <x v="1"/>
    <n v="51"/>
    <n v="2"/>
    <n v="2"/>
    <s v="Nurse"/>
    <n v="3"/>
    <s v="Fair"/>
    <x v="0"/>
    <n v="5094"/>
    <x v="0"/>
    <n v="11983"/>
    <n v="6"/>
    <s v="Y"/>
    <s v="No"/>
    <n v="14"/>
    <x v="0"/>
    <s v="Low Performance"/>
    <n v="4"/>
    <n v="80"/>
    <n v="0"/>
    <n v="10"/>
    <n v="6"/>
    <n v="3"/>
    <s v="Fair"/>
    <n v="1"/>
    <n v="0"/>
    <n v="0"/>
    <n v="0"/>
  </r>
  <r>
    <n v="1266910"/>
    <n v="30"/>
    <x v="2"/>
    <s v="No"/>
    <x v="0"/>
    <x v="0"/>
    <n v="946"/>
    <x v="2"/>
    <n v="2"/>
    <n v="3"/>
    <x v="2"/>
    <n v="1"/>
    <n v="3"/>
    <x v="0"/>
    <n v="52"/>
    <n v="2"/>
    <n v="2"/>
    <s v="Therapist"/>
    <n v="4"/>
    <s v="Good"/>
    <x v="0"/>
    <n v="6877"/>
    <x v="0"/>
    <n v="20234"/>
    <n v="5"/>
    <s v="Y"/>
    <s v="Yes"/>
    <n v="24"/>
    <x v="1"/>
    <s v="High Performance"/>
    <n v="2"/>
    <n v="80"/>
    <n v="0"/>
    <n v="12"/>
    <n v="4"/>
    <n v="2"/>
    <s v="Poor"/>
    <n v="0"/>
    <n v="0"/>
    <n v="0"/>
    <n v="0"/>
  </r>
  <r>
    <n v="1643001"/>
    <n v="45"/>
    <x v="0"/>
    <s v="No"/>
    <x v="0"/>
    <x v="0"/>
    <n v="252"/>
    <x v="1"/>
    <n v="2"/>
    <n v="3"/>
    <x v="0"/>
    <n v="1"/>
    <n v="2"/>
    <x v="0"/>
    <n v="95"/>
    <n v="2"/>
    <n v="1"/>
    <s v="Other"/>
    <n v="3"/>
    <s v="Fair"/>
    <x v="0"/>
    <n v="2274"/>
    <x v="1"/>
    <n v="6153"/>
    <n v="1"/>
    <s v="Y"/>
    <s v="No"/>
    <n v="14"/>
    <x v="0"/>
    <s v="Low Performance"/>
    <n v="4"/>
    <n v="80"/>
    <n v="0"/>
    <n v="1"/>
    <n v="3"/>
    <n v="3"/>
    <s v="Fair"/>
    <n v="1"/>
    <n v="0"/>
    <n v="0"/>
    <n v="0"/>
  </r>
  <r>
    <n v="1804767"/>
    <n v="42"/>
    <x v="0"/>
    <s v="No"/>
    <x v="0"/>
    <x v="0"/>
    <n v="933"/>
    <x v="1"/>
    <n v="29"/>
    <n v="3"/>
    <x v="0"/>
    <n v="1"/>
    <n v="2"/>
    <x v="1"/>
    <n v="98"/>
    <n v="3"/>
    <n v="2"/>
    <s v="Therapist"/>
    <n v="2"/>
    <s v="Poor"/>
    <x v="1"/>
    <n v="4434"/>
    <x v="1"/>
    <n v="11806"/>
    <n v="1"/>
    <s v="Y"/>
    <s v="No"/>
    <n v="13"/>
    <x v="0"/>
    <s v="Low Performance"/>
    <n v="4"/>
    <n v="80"/>
    <n v="1"/>
    <n v="10"/>
    <n v="3"/>
    <n v="2"/>
    <s v="Poor"/>
    <n v="9"/>
    <n v="8"/>
    <n v="7"/>
    <n v="8"/>
  </r>
  <r>
    <n v="1686305"/>
    <n v="38"/>
    <x v="0"/>
    <s v="No"/>
    <x v="0"/>
    <x v="1"/>
    <n v="471"/>
    <x v="1"/>
    <n v="12"/>
    <n v="3"/>
    <x v="0"/>
    <n v="1"/>
    <n v="1"/>
    <x v="1"/>
    <n v="45"/>
    <n v="2"/>
    <n v="2"/>
    <s v="Nurse"/>
    <n v="1"/>
    <s v="Poor"/>
    <x v="2"/>
    <n v="6288"/>
    <x v="0"/>
    <n v="4284"/>
    <n v="2"/>
    <s v="Y"/>
    <s v="No"/>
    <n v="15"/>
    <x v="0"/>
    <s v="Low Performance"/>
    <n v="3"/>
    <n v="80"/>
    <n v="1"/>
    <n v="13"/>
    <n v="3"/>
    <n v="2"/>
    <s v="Poor"/>
    <n v="4"/>
    <n v="3"/>
    <n v="1"/>
    <n v="2"/>
  </r>
  <r>
    <n v="1375250"/>
    <n v="34"/>
    <x v="2"/>
    <s v="No"/>
    <x v="0"/>
    <x v="1"/>
    <n v="702"/>
    <x v="1"/>
    <n v="16"/>
    <n v="4"/>
    <x v="0"/>
    <n v="1"/>
    <n v="3"/>
    <x v="0"/>
    <n v="100"/>
    <n v="2"/>
    <n v="1"/>
    <s v="Other"/>
    <n v="4"/>
    <s v="Good"/>
    <x v="0"/>
    <n v="2553"/>
    <x v="1"/>
    <n v="8306"/>
    <n v="1"/>
    <s v="Y"/>
    <s v="No"/>
    <n v="16"/>
    <x v="0"/>
    <s v="Low Performance"/>
    <n v="3"/>
    <n v="80"/>
    <n v="0"/>
    <n v="6"/>
    <n v="3"/>
    <n v="3"/>
    <s v="Fair"/>
    <n v="5"/>
    <n v="2"/>
    <n v="1"/>
    <n v="3"/>
  </r>
  <r>
    <n v="1744940"/>
    <n v="49"/>
    <x v="1"/>
    <s v="No"/>
    <x v="0"/>
    <x v="0"/>
    <n v="1184"/>
    <x v="0"/>
    <n v="11"/>
    <n v="3"/>
    <x v="3"/>
    <n v="1"/>
    <n v="3"/>
    <x v="0"/>
    <n v="43"/>
    <n v="3"/>
    <n v="3"/>
    <s v="Nurse"/>
    <n v="4"/>
    <s v="Good"/>
    <x v="1"/>
    <n v="7654"/>
    <x v="0"/>
    <n v="5860"/>
    <n v="1"/>
    <s v="Y"/>
    <s v="No"/>
    <n v="18"/>
    <x v="0"/>
    <s v="Low Performance"/>
    <n v="1"/>
    <n v="80"/>
    <n v="2"/>
    <n v="9"/>
    <n v="3"/>
    <n v="4"/>
    <s v="Good"/>
    <n v="9"/>
    <n v="8"/>
    <n v="7"/>
    <n v="7"/>
  </r>
  <r>
    <n v="1545377"/>
    <n v="55"/>
    <x v="1"/>
    <s v="No"/>
    <x v="0"/>
    <x v="0"/>
    <n v="436"/>
    <x v="0"/>
    <n v="2"/>
    <n v="1"/>
    <x v="2"/>
    <n v="1"/>
    <n v="3"/>
    <x v="1"/>
    <n v="37"/>
    <n v="3"/>
    <n v="2"/>
    <s v="Nurse"/>
    <n v="4"/>
    <s v="Good"/>
    <x v="0"/>
    <n v="5160"/>
    <x v="0"/>
    <n v="21519"/>
    <n v="4"/>
    <s v="Y"/>
    <s v="No"/>
    <n v="16"/>
    <x v="0"/>
    <s v="Low Performance"/>
    <n v="3"/>
    <n v="80"/>
    <n v="0"/>
    <n v="12"/>
    <n v="3"/>
    <n v="2"/>
    <s v="Poor"/>
    <n v="9"/>
    <n v="7"/>
    <n v="7"/>
    <n v="3"/>
  </r>
  <r>
    <n v="1282527"/>
    <n v="43"/>
    <x v="0"/>
    <s v="No"/>
    <x v="0"/>
    <x v="0"/>
    <n v="589"/>
    <x v="1"/>
    <n v="14"/>
    <n v="2"/>
    <x v="0"/>
    <n v="1"/>
    <n v="2"/>
    <x v="1"/>
    <n v="94"/>
    <n v="3"/>
    <n v="4"/>
    <s v="Administrative"/>
    <n v="1"/>
    <s v="Poor"/>
    <x v="1"/>
    <n v="17159"/>
    <x v="2"/>
    <n v="5200"/>
    <n v="6"/>
    <s v="Y"/>
    <s v="No"/>
    <n v="24"/>
    <x v="1"/>
    <s v="High Performance"/>
    <n v="3"/>
    <n v="80"/>
    <n v="1"/>
    <n v="22"/>
    <n v="3"/>
    <n v="3"/>
    <s v="Fair"/>
    <n v="4"/>
    <n v="1"/>
    <n v="1"/>
    <n v="0"/>
  </r>
  <r>
    <n v="1266242"/>
    <n v="27"/>
    <x v="2"/>
    <s v="No"/>
    <x v="0"/>
    <x v="0"/>
    <n v="269"/>
    <x v="1"/>
    <n v="5"/>
    <n v="1"/>
    <x v="4"/>
    <n v="1"/>
    <n v="3"/>
    <x v="1"/>
    <n v="42"/>
    <n v="2"/>
    <n v="3"/>
    <s v="Administrative"/>
    <n v="4"/>
    <s v="Good"/>
    <x v="2"/>
    <n v="12808"/>
    <x v="2"/>
    <n v="8842"/>
    <n v="1"/>
    <s v="Y"/>
    <s v="Yes"/>
    <n v="16"/>
    <x v="0"/>
    <s v="Low Performance"/>
    <n v="2"/>
    <n v="80"/>
    <n v="1"/>
    <n v="9"/>
    <n v="3"/>
    <n v="3"/>
    <s v="Fair"/>
    <n v="9"/>
    <n v="8"/>
    <n v="0"/>
    <n v="8"/>
  </r>
  <r>
    <n v="1668361"/>
    <n v="35"/>
    <x v="2"/>
    <s v="No"/>
    <x v="0"/>
    <x v="0"/>
    <n v="950"/>
    <x v="2"/>
    <n v="7"/>
    <n v="3"/>
    <x v="1"/>
    <n v="1"/>
    <n v="3"/>
    <x v="1"/>
    <n v="59"/>
    <n v="3"/>
    <n v="3"/>
    <s v="Therapist"/>
    <n v="3"/>
    <s v="Fair"/>
    <x v="0"/>
    <n v="10221"/>
    <x v="0"/>
    <n v="18869"/>
    <n v="3"/>
    <s v="Y"/>
    <s v="No"/>
    <n v="21"/>
    <x v="1"/>
    <s v="High Performance"/>
    <n v="2"/>
    <n v="80"/>
    <n v="0"/>
    <n v="17"/>
    <n v="3"/>
    <n v="4"/>
    <s v="Good"/>
    <n v="8"/>
    <n v="5"/>
    <n v="1"/>
    <n v="6"/>
  </r>
  <r>
    <n v="1574775"/>
    <n v="28"/>
    <x v="2"/>
    <s v="No"/>
    <x v="0"/>
    <x v="0"/>
    <n v="760"/>
    <x v="0"/>
    <n v="2"/>
    <n v="4"/>
    <x v="3"/>
    <n v="1"/>
    <n v="2"/>
    <x v="0"/>
    <n v="81"/>
    <n v="3"/>
    <n v="2"/>
    <s v="Nurse"/>
    <n v="2"/>
    <s v="Poor"/>
    <x v="1"/>
    <n v="4779"/>
    <x v="1"/>
    <n v="3698"/>
    <n v="1"/>
    <s v="Y"/>
    <s v="Yes"/>
    <n v="20"/>
    <x v="1"/>
    <s v="High Performance"/>
    <n v="1"/>
    <n v="80"/>
    <n v="0"/>
    <n v="8"/>
    <n v="2"/>
    <n v="3"/>
    <s v="Fair"/>
    <n v="8"/>
    <n v="7"/>
    <n v="7"/>
    <n v="5"/>
  </r>
  <r>
    <n v="1822365"/>
    <n v="34"/>
    <x v="2"/>
    <s v="No"/>
    <x v="0"/>
    <x v="0"/>
    <n v="829"/>
    <x v="2"/>
    <n v="3"/>
    <n v="2"/>
    <x v="5"/>
    <n v="1"/>
    <n v="3"/>
    <x v="1"/>
    <n v="88"/>
    <n v="3"/>
    <n v="1"/>
    <s v="Other"/>
    <n v="4"/>
    <s v="Good"/>
    <x v="1"/>
    <n v="3737"/>
    <x v="1"/>
    <n v="2243"/>
    <n v="0"/>
    <s v="Y"/>
    <s v="No"/>
    <n v="19"/>
    <x v="0"/>
    <s v="Low Performance"/>
    <n v="3"/>
    <n v="80"/>
    <n v="1"/>
    <n v="4"/>
    <n v="1"/>
    <n v="1"/>
    <s v="Poor"/>
    <n v="3"/>
    <n v="2"/>
    <n v="0"/>
    <n v="2"/>
  </r>
  <r>
    <n v="1082176"/>
    <n v="26"/>
    <x v="2"/>
    <s v="Yes"/>
    <x v="1"/>
    <x v="1"/>
    <n v="887"/>
    <x v="1"/>
    <n v="5"/>
    <n v="2"/>
    <x v="2"/>
    <n v="1"/>
    <n v="3"/>
    <x v="0"/>
    <n v="88"/>
    <n v="2"/>
    <n v="1"/>
    <s v="Other"/>
    <n v="3"/>
    <s v="Fair"/>
    <x v="1"/>
    <n v="2366"/>
    <x v="1"/>
    <n v="20898"/>
    <n v="1"/>
    <s v="Y"/>
    <s v="Yes"/>
    <n v="14"/>
    <x v="0"/>
    <s v="Low Performance"/>
    <n v="1"/>
    <n v="80"/>
    <n v="1"/>
    <n v="8"/>
    <n v="2"/>
    <n v="3"/>
    <s v="Fair"/>
    <n v="8"/>
    <n v="7"/>
    <n v="1"/>
    <n v="7"/>
  </r>
  <r>
    <n v="1415673"/>
    <n v="27"/>
    <x v="2"/>
    <s v="No"/>
    <x v="0"/>
    <x v="2"/>
    <n v="443"/>
    <x v="1"/>
    <n v="3"/>
    <n v="3"/>
    <x v="2"/>
    <n v="1"/>
    <n v="4"/>
    <x v="1"/>
    <n v="50"/>
    <n v="3"/>
    <n v="1"/>
    <s v="Other"/>
    <n v="4"/>
    <s v="Good"/>
    <x v="1"/>
    <n v="1706"/>
    <x v="1"/>
    <n v="16571"/>
    <n v="1"/>
    <s v="Y"/>
    <s v="No"/>
    <n v="11"/>
    <x v="0"/>
    <s v="Low Performance"/>
    <n v="3"/>
    <n v="80"/>
    <n v="3"/>
    <n v="0"/>
    <n v="6"/>
    <n v="2"/>
    <s v="Poor"/>
    <n v="0"/>
    <n v="0"/>
    <n v="0"/>
    <n v="0"/>
  </r>
  <r>
    <n v="1455518"/>
    <n v="51"/>
    <x v="1"/>
    <s v="No"/>
    <x v="0"/>
    <x v="0"/>
    <n v="1318"/>
    <x v="0"/>
    <n v="26"/>
    <n v="4"/>
    <x v="3"/>
    <n v="1"/>
    <n v="1"/>
    <x v="0"/>
    <n v="66"/>
    <n v="3"/>
    <n v="4"/>
    <s v="Administrative"/>
    <n v="3"/>
    <s v="Fair"/>
    <x v="1"/>
    <n v="16307"/>
    <x v="2"/>
    <n v="5594"/>
    <n v="2"/>
    <s v="Y"/>
    <s v="No"/>
    <n v="14"/>
    <x v="0"/>
    <s v="Low Performance"/>
    <n v="3"/>
    <n v="80"/>
    <n v="1"/>
    <n v="29"/>
    <n v="2"/>
    <n v="2"/>
    <s v="Poor"/>
    <n v="20"/>
    <n v="6"/>
    <n v="4"/>
    <n v="17"/>
  </r>
  <r>
    <n v="1117532"/>
    <n v="44"/>
    <x v="0"/>
    <s v="No"/>
    <x v="0"/>
    <x v="0"/>
    <n v="625"/>
    <x v="1"/>
    <n v="4"/>
    <n v="3"/>
    <x v="2"/>
    <n v="1"/>
    <n v="4"/>
    <x v="1"/>
    <n v="50"/>
    <n v="3"/>
    <n v="2"/>
    <s v="Nurse"/>
    <n v="2"/>
    <s v="Poor"/>
    <x v="0"/>
    <n v="5933"/>
    <x v="0"/>
    <n v="5197"/>
    <n v="9"/>
    <s v="Y"/>
    <s v="No"/>
    <n v="12"/>
    <x v="0"/>
    <s v="Low Performance"/>
    <n v="4"/>
    <n v="80"/>
    <n v="0"/>
    <n v="10"/>
    <n v="2"/>
    <n v="2"/>
    <s v="Poor"/>
    <n v="5"/>
    <n v="2"/>
    <n v="2"/>
    <n v="3"/>
  </r>
  <r>
    <n v="1450149"/>
    <n v="25"/>
    <x v="4"/>
    <s v="No"/>
    <x v="0"/>
    <x v="0"/>
    <n v="180"/>
    <x v="1"/>
    <n v="2"/>
    <n v="1"/>
    <x v="2"/>
    <n v="1"/>
    <n v="1"/>
    <x v="1"/>
    <n v="65"/>
    <n v="4"/>
    <n v="1"/>
    <s v="Other"/>
    <n v="1"/>
    <s v="Poor"/>
    <x v="0"/>
    <n v="3424"/>
    <x v="1"/>
    <n v="21632"/>
    <n v="7"/>
    <s v="Y"/>
    <s v="No"/>
    <n v="13"/>
    <x v="0"/>
    <s v="Low Performance"/>
    <n v="3"/>
    <n v="80"/>
    <n v="0"/>
    <n v="6"/>
    <n v="3"/>
    <n v="2"/>
    <s v="Poor"/>
    <n v="4"/>
    <n v="3"/>
    <n v="0"/>
    <n v="1"/>
  </r>
  <r>
    <n v="1826341"/>
    <n v="33"/>
    <x v="2"/>
    <s v="No"/>
    <x v="0"/>
    <x v="0"/>
    <n v="586"/>
    <x v="0"/>
    <n v="1"/>
    <n v="3"/>
    <x v="2"/>
    <n v="1"/>
    <n v="1"/>
    <x v="1"/>
    <n v="48"/>
    <n v="4"/>
    <n v="2"/>
    <s v="Nurse"/>
    <n v="1"/>
    <s v="Poor"/>
    <x v="2"/>
    <n v="4037"/>
    <x v="1"/>
    <n v="21816"/>
    <n v="1"/>
    <s v="Y"/>
    <s v="No"/>
    <n v="22"/>
    <x v="1"/>
    <s v="High Performance"/>
    <n v="1"/>
    <n v="80"/>
    <n v="1"/>
    <n v="9"/>
    <n v="5"/>
    <n v="3"/>
    <s v="Fair"/>
    <n v="9"/>
    <n v="8"/>
    <n v="0"/>
    <n v="8"/>
  </r>
  <r>
    <n v="1276016"/>
    <n v="35"/>
    <x v="2"/>
    <s v="No"/>
    <x v="0"/>
    <x v="0"/>
    <n v="1343"/>
    <x v="1"/>
    <n v="27"/>
    <n v="1"/>
    <x v="2"/>
    <n v="1"/>
    <n v="3"/>
    <x v="0"/>
    <n v="53"/>
    <n v="2"/>
    <n v="1"/>
    <s v="Other"/>
    <n v="1"/>
    <s v="Poor"/>
    <x v="0"/>
    <n v="2559"/>
    <x v="1"/>
    <n v="17852"/>
    <n v="1"/>
    <s v="Y"/>
    <s v="No"/>
    <n v="11"/>
    <x v="0"/>
    <s v="Low Performance"/>
    <n v="4"/>
    <n v="80"/>
    <n v="0"/>
    <n v="6"/>
    <n v="3"/>
    <n v="2"/>
    <s v="Poor"/>
    <n v="6"/>
    <n v="5"/>
    <n v="1"/>
    <n v="1"/>
  </r>
  <r>
    <n v="1193450"/>
    <n v="36"/>
    <x v="0"/>
    <s v="No"/>
    <x v="0"/>
    <x v="0"/>
    <n v="928"/>
    <x v="0"/>
    <n v="1"/>
    <n v="2"/>
    <x v="0"/>
    <n v="1"/>
    <n v="2"/>
    <x v="1"/>
    <n v="56"/>
    <n v="3"/>
    <n v="2"/>
    <s v="Nurse"/>
    <n v="4"/>
    <s v="Good"/>
    <x v="1"/>
    <n v="6201"/>
    <x v="0"/>
    <n v="2823"/>
    <n v="1"/>
    <s v="Y"/>
    <s v="Yes"/>
    <n v="14"/>
    <x v="0"/>
    <s v="Low Performance"/>
    <n v="4"/>
    <n v="80"/>
    <n v="1"/>
    <n v="18"/>
    <n v="1"/>
    <n v="2"/>
    <s v="Poor"/>
    <n v="18"/>
    <n v="14"/>
    <n v="4"/>
    <n v="11"/>
  </r>
  <r>
    <n v="1119237"/>
    <n v="32"/>
    <x v="2"/>
    <s v="No"/>
    <x v="0"/>
    <x v="0"/>
    <n v="117"/>
    <x v="0"/>
    <n v="13"/>
    <n v="4"/>
    <x v="0"/>
    <n v="1"/>
    <n v="2"/>
    <x v="1"/>
    <n v="73"/>
    <n v="3"/>
    <n v="2"/>
    <s v="Nurse"/>
    <n v="4"/>
    <s v="Good"/>
    <x v="2"/>
    <n v="4403"/>
    <x v="1"/>
    <n v="9250"/>
    <n v="2"/>
    <s v="Y"/>
    <s v="No"/>
    <n v="11"/>
    <x v="0"/>
    <s v="Low Performance"/>
    <n v="3"/>
    <n v="80"/>
    <n v="1"/>
    <n v="8"/>
    <n v="3"/>
    <n v="2"/>
    <s v="Poor"/>
    <n v="5"/>
    <n v="2"/>
    <n v="0"/>
    <n v="3"/>
  </r>
  <r>
    <n v="1077496"/>
    <n v="30"/>
    <x v="2"/>
    <s v="No"/>
    <x v="0"/>
    <x v="1"/>
    <n v="1012"/>
    <x v="1"/>
    <n v="5"/>
    <n v="4"/>
    <x v="0"/>
    <n v="1"/>
    <n v="2"/>
    <x v="1"/>
    <n v="75"/>
    <n v="2"/>
    <n v="1"/>
    <s v="Other"/>
    <n v="4"/>
    <s v="Good"/>
    <x v="2"/>
    <n v="3761"/>
    <x v="1"/>
    <n v="2373"/>
    <n v="9"/>
    <s v="Y"/>
    <s v="No"/>
    <n v="12"/>
    <x v="0"/>
    <s v="Low Performance"/>
    <n v="2"/>
    <n v="80"/>
    <n v="1"/>
    <n v="10"/>
    <n v="3"/>
    <n v="2"/>
    <s v="Poor"/>
    <n v="5"/>
    <n v="4"/>
    <n v="0"/>
    <n v="3"/>
  </r>
  <r>
    <n v="1689022"/>
    <n v="53"/>
    <x v="1"/>
    <s v="No"/>
    <x v="0"/>
    <x v="0"/>
    <n v="661"/>
    <x v="0"/>
    <n v="7"/>
    <n v="2"/>
    <x v="3"/>
    <n v="1"/>
    <n v="1"/>
    <x v="0"/>
    <n v="78"/>
    <n v="2"/>
    <n v="3"/>
    <s v="Nurse"/>
    <n v="4"/>
    <s v="Good"/>
    <x v="1"/>
    <n v="10934"/>
    <x v="0"/>
    <n v="20715"/>
    <n v="7"/>
    <s v="Y"/>
    <s v="Yes"/>
    <n v="18"/>
    <x v="0"/>
    <s v="Low Performance"/>
    <n v="4"/>
    <n v="80"/>
    <n v="1"/>
    <n v="35"/>
    <n v="3"/>
    <n v="3"/>
    <s v="Fair"/>
    <n v="5"/>
    <n v="2"/>
    <n v="0"/>
    <n v="4"/>
  </r>
  <r>
    <n v="1580740"/>
    <n v="45"/>
    <x v="0"/>
    <s v="No"/>
    <x v="0"/>
    <x v="0"/>
    <n v="930"/>
    <x v="0"/>
    <n v="9"/>
    <n v="3"/>
    <x v="3"/>
    <n v="1"/>
    <n v="4"/>
    <x v="1"/>
    <n v="74"/>
    <n v="3"/>
    <n v="3"/>
    <s v="Nurse"/>
    <n v="1"/>
    <s v="Poor"/>
    <x v="2"/>
    <n v="10761"/>
    <x v="0"/>
    <n v="19239"/>
    <n v="4"/>
    <s v="Y"/>
    <s v="Yes"/>
    <n v="12"/>
    <x v="0"/>
    <s v="Low Performance"/>
    <n v="3"/>
    <n v="80"/>
    <n v="1"/>
    <n v="18"/>
    <n v="2"/>
    <n v="3"/>
    <s v="Fair"/>
    <n v="5"/>
    <n v="4"/>
    <n v="0"/>
    <n v="2"/>
  </r>
  <r>
    <n v="1214731"/>
    <n v="32"/>
    <x v="2"/>
    <s v="No"/>
    <x v="0"/>
    <x v="0"/>
    <n v="638"/>
    <x v="1"/>
    <n v="8"/>
    <n v="2"/>
    <x v="2"/>
    <n v="1"/>
    <n v="3"/>
    <x v="0"/>
    <n v="91"/>
    <n v="4"/>
    <n v="2"/>
    <s v="Other"/>
    <n v="3"/>
    <s v="Fair"/>
    <x v="1"/>
    <n v="5175"/>
    <x v="0"/>
    <n v="22162"/>
    <n v="5"/>
    <s v="Y"/>
    <s v="No"/>
    <n v="12"/>
    <x v="0"/>
    <s v="Low Performance"/>
    <n v="3"/>
    <n v="80"/>
    <n v="1"/>
    <n v="9"/>
    <n v="3"/>
    <n v="2"/>
    <s v="Poor"/>
    <n v="5"/>
    <n v="3"/>
    <n v="1"/>
    <n v="3"/>
  </r>
  <r>
    <n v="1501967"/>
    <n v="52"/>
    <x v="1"/>
    <s v="No"/>
    <x v="0"/>
    <x v="1"/>
    <n v="890"/>
    <x v="1"/>
    <n v="25"/>
    <n v="4"/>
    <x v="2"/>
    <n v="1"/>
    <n v="3"/>
    <x v="0"/>
    <n v="81"/>
    <n v="2"/>
    <n v="4"/>
    <s v="Therapist"/>
    <n v="4"/>
    <s v="Good"/>
    <x v="1"/>
    <n v="13826"/>
    <x v="2"/>
    <n v="19028"/>
    <n v="3"/>
    <s v="Y"/>
    <s v="No"/>
    <n v="22"/>
    <x v="1"/>
    <s v="High Performance"/>
    <n v="3"/>
    <n v="80"/>
    <n v="0"/>
    <n v="31"/>
    <n v="3"/>
    <n v="3"/>
    <s v="Fair"/>
    <n v="9"/>
    <n v="8"/>
    <n v="0"/>
    <n v="0"/>
  </r>
  <r>
    <n v="1659259"/>
    <n v="37"/>
    <x v="0"/>
    <s v="No"/>
    <x v="0"/>
    <x v="0"/>
    <n v="342"/>
    <x v="0"/>
    <n v="16"/>
    <n v="4"/>
    <x v="3"/>
    <n v="1"/>
    <n v="4"/>
    <x v="1"/>
    <n v="66"/>
    <n v="2"/>
    <n v="2"/>
    <s v="Nurse"/>
    <n v="3"/>
    <s v="Fair"/>
    <x v="2"/>
    <n v="6334"/>
    <x v="0"/>
    <n v="24558"/>
    <n v="4"/>
    <s v="Y"/>
    <s v="No"/>
    <n v="19"/>
    <x v="0"/>
    <s v="Low Performance"/>
    <n v="4"/>
    <n v="80"/>
    <n v="2"/>
    <n v="9"/>
    <n v="2"/>
    <n v="3"/>
    <s v="Fair"/>
    <n v="1"/>
    <n v="0"/>
    <n v="0"/>
    <n v="0"/>
  </r>
  <r>
    <n v="1851689"/>
    <n v="28"/>
    <x v="2"/>
    <s v="No"/>
    <x v="0"/>
    <x v="0"/>
    <n v="1169"/>
    <x v="2"/>
    <n v="8"/>
    <n v="2"/>
    <x v="2"/>
    <n v="1"/>
    <n v="2"/>
    <x v="1"/>
    <n v="63"/>
    <n v="2"/>
    <n v="1"/>
    <s v="Other"/>
    <n v="4"/>
    <s v="Good"/>
    <x v="2"/>
    <n v="4936"/>
    <x v="1"/>
    <n v="23965"/>
    <n v="1"/>
    <s v="Y"/>
    <s v="No"/>
    <n v="13"/>
    <x v="0"/>
    <s v="Low Performance"/>
    <n v="4"/>
    <n v="80"/>
    <n v="1"/>
    <n v="6"/>
    <n v="6"/>
    <n v="3"/>
    <s v="Fair"/>
    <n v="5"/>
    <n v="1"/>
    <n v="0"/>
    <n v="4"/>
  </r>
  <r>
    <n v="1578894"/>
    <n v="22"/>
    <x v="4"/>
    <s v="No"/>
    <x v="0"/>
    <x v="0"/>
    <n v="1230"/>
    <x v="2"/>
    <n v="1"/>
    <n v="2"/>
    <x v="0"/>
    <n v="1"/>
    <n v="4"/>
    <x v="1"/>
    <n v="33"/>
    <n v="2"/>
    <n v="2"/>
    <s v="Therapist"/>
    <n v="4"/>
    <s v="Good"/>
    <x v="1"/>
    <n v="4775"/>
    <x v="1"/>
    <n v="19146"/>
    <n v="6"/>
    <s v="Y"/>
    <s v="No"/>
    <n v="22"/>
    <x v="1"/>
    <s v="High Performance"/>
    <n v="1"/>
    <n v="80"/>
    <n v="2"/>
    <n v="4"/>
    <n v="2"/>
    <n v="1"/>
    <s v="Poor"/>
    <n v="2"/>
    <n v="2"/>
    <n v="2"/>
    <n v="2"/>
  </r>
  <r>
    <n v="1147768"/>
    <n v="44"/>
    <x v="0"/>
    <s v="No"/>
    <x v="0"/>
    <x v="0"/>
    <n v="986"/>
    <x v="1"/>
    <n v="8"/>
    <n v="4"/>
    <x v="0"/>
    <n v="1"/>
    <n v="1"/>
    <x v="1"/>
    <n v="62"/>
    <n v="4"/>
    <n v="1"/>
    <s v="Nurse"/>
    <n v="4"/>
    <s v="Good"/>
    <x v="1"/>
    <n v="2818"/>
    <x v="1"/>
    <n v="5044"/>
    <n v="2"/>
    <s v="Y"/>
    <s v="Yes"/>
    <n v="24"/>
    <x v="1"/>
    <s v="High Performance"/>
    <n v="3"/>
    <n v="80"/>
    <n v="1"/>
    <n v="10"/>
    <n v="2"/>
    <n v="2"/>
    <s v="Poor"/>
    <n v="3"/>
    <n v="2"/>
    <n v="0"/>
    <n v="2"/>
  </r>
  <r>
    <n v="1341422"/>
    <n v="42"/>
    <x v="0"/>
    <s v="No"/>
    <x v="0"/>
    <x v="1"/>
    <n v="1271"/>
    <x v="1"/>
    <n v="2"/>
    <n v="1"/>
    <x v="2"/>
    <n v="1"/>
    <n v="2"/>
    <x v="1"/>
    <n v="35"/>
    <n v="3"/>
    <n v="1"/>
    <s v="Other"/>
    <n v="4"/>
    <s v="Good"/>
    <x v="0"/>
    <n v="2515"/>
    <x v="1"/>
    <n v="9068"/>
    <n v="5"/>
    <s v="Y"/>
    <s v="Yes"/>
    <n v="14"/>
    <x v="0"/>
    <s v="Low Performance"/>
    <n v="4"/>
    <n v="80"/>
    <n v="0"/>
    <n v="8"/>
    <n v="2"/>
    <n v="3"/>
    <s v="Fair"/>
    <n v="2"/>
    <n v="1"/>
    <n v="2"/>
    <n v="2"/>
  </r>
  <r>
    <n v="1524503"/>
    <n v="36"/>
    <x v="0"/>
    <s v="No"/>
    <x v="0"/>
    <x v="0"/>
    <n v="1278"/>
    <x v="2"/>
    <n v="8"/>
    <n v="3"/>
    <x v="0"/>
    <n v="1"/>
    <n v="1"/>
    <x v="1"/>
    <n v="77"/>
    <n v="2"/>
    <n v="1"/>
    <s v="Other"/>
    <n v="1"/>
    <s v="Poor"/>
    <x v="1"/>
    <n v="2342"/>
    <x v="1"/>
    <n v="8635"/>
    <n v="0"/>
    <s v="Y"/>
    <s v="No"/>
    <n v="21"/>
    <x v="1"/>
    <s v="High Performance"/>
    <n v="3"/>
    <n v="80"/>
    <n v="0"/>
    <n v="6"/>
    <n v="3"/>
    <n v="3"/>
    <s v="Fair"/>
    <n v="5"/>
    <n v="4"/>
    <n v="0"/>
    <n v="3"/>
  </r>
  <r>
    <n v="1643524"/>
    <n v="25"/>
    <x v="4"/>
    <s v="No"/>
    <x v="0"/>
    <x v="0"/>
    <n v="141"/>
    <x v="0"/>
    <n v="3"/>
    <n v="1"/>
    <x v="1"/>
    <n v="1"/>
    <n v="3"/>
    <x v="1"/>
    <n v="98"/>
    <n v="3"/>
    <n v="2"/>
    <s v="Nurse"/>
    <n v="1"/>
    <s v="Poor"/>
    <x v="1"/>
    <n v="4194"/>
    <x v="1"/>
    <n v="14363"/>
    <n v="1"/>
    <s v="Y"/>
    <s v="Yes"/>
    <n v="18"/>
    <x v="0"/>
    <s v="Low Performance"/>
    <n v="4"/>
    <n v="80"/>
    <n v="0"/>
    <n v="5"/>
    <n v="3"/>
    <n v="3"/>
    <s v="Fair"/>
    <n v="5"/>
    <n v="3"/>
    <n v="0"/>
    <n v="3"/>
  </r>
  <r>
    <n v="1330630"/>
    <n v="35"/>
    <x v="2"/>
    <s v="No"/>
    <x v="0"/>
    <x v="0"/>
    <n v="607"/>
    <x v="1"/>
    <n v="9"/>
    <n v="3"/>
    <x v="0"/>
    <n v="1"/>
    <n v="4"/>
    <x v="0"/>
    <n v="66"/>
    <n v="2"/>
    <n v="3"/>
    <s v="Therapist"/>
    <n v="3"/>
    <s v="Fair"/>
    <x v="1"/>
    <n v="10685"/>
    <x v="0"/>
    <n v="23457"/>
    <n v="1"/>
    <s v="Y"/>
    <s v="Yes"/>
    <n v="20"/>
    <x v="1"/>
    <s v="High Performance"/>
    <n v="2"/>
    <n v="80"/>
    <n v="1"/>
    <n v="17"/>
    <n v="2"/>
    <n v="3"/>
    <s v="Fair"/>
    <n v="17"/>
    <n v="14"/>
    <n v="5"/>
    <n v="15"/>
  </r>
  <r>
    <n v="1050771"/>
    <n v="35"/>
    <x v="2"/>
    <s v="Yes"/>
    <x v="1"/>
    <x v="1"/>
    <n v="130"/>
    <x v="1"/>
    <n v="25"/>
    <n v="4"/>
    <x v="0"/>
    <n v="1"/>
    <n v="4"/>
    <x v="0"/>
    <n v="96"/>
    <n v="3"/>
    <n v="1"/>
    <s v="Other"/>
    <n v="2"/>
    <s v="Poor"/>
    <x v="2"/>
    <n v="2022"/>
    <x v="1"/>
    <n v="16612"/>
    <n v="1"/>
    <s v="Y"/>
    <s v="Yes"/>
    <n v="19"/>
    <x v="0"/>
    <s v="Low Performance"/>
    <n v="1"/>
    <n v="80"/>
    <n v="1"/>
    <n v="10"/>
    <n v="3"/>
    <n v="2"/>
    <s v="Poor"/>
    <n v="10"/>
    <n v="2"/>
    <n v="7"/>
    <n v="8"/>
  </r>
  <r>
    <n v="1864456"/>
    <n v="32"/>
    <x v="2"/>
    <s v="No"/>
    <x v="0"/>
    <x v="2"/>
    <n v="300"/>
    <x v="1"/>
    <n v="1"/>
    <n v="3"/>
    <x v="0"/>
    <n v="1"/>
    <n v="4"/>
    <x v="1"/>
    <n v="61"/>
    <n v="3"/>
    <n v="1"/>
    <s v="Nurse"/>
    <n v="4"/>
    <s v="Good"/>
    <x v="2"/>
    <n v="2314"/>
    <x v="1"/>
    <n v="9148"/>
    <n v="0"/>
    <s v="Y"/>
    <s v="No"/>
    <n v="12"/>
    <x v="0"/>
    <s v="Low Performance"/>
    <n v="2"/>
    <n v="80"/>
    <n v="1"/>
    <n v="4"/>
    <n v="2"/>
    <n v="3"/>
    <s v="Fair"/>
    <n v="3"/>
    <n v="0"/>
    <n v="0"/>
    <n v="2"/>
  </r>
  <r>
    <n v="1252375"/>
    <n v="25"/>
    <x v="4"/>
    <s v="No"/>
    <x v="0"/>
    <x v="0"/>
    <n v="583"/>
    <x v="0"/>
    <n v="4"/>
    <n v="1"/>
    <x v="3"/>
    <n v="1"/>
    <n v="3"/>
    <x v="1"/>
    <n v="87"/>
    <n v="2"/>
    <n v="2"/>
    <s v="Nurse"/>
    <n v="1"/>
    <s v="Poor"/>
    <x v="1"/>
    <n v="4256"/>
    <x v="1"/>
    <n v="18154"/>
    <n v="1"/>
    <s v="Y"/>
    <s v="No"/>
    <n v="12"/>
    <x v="0"/>
    <s v="Low Performance"/>
    <n v="1"/>
    <n v="80"/>
    <n v="0"/>
    <n v="5"/>
    <n v="1"/>
    <n v="4"/>
    <s v="Good"/>
    <n v="5"/>
    <n v="2"/>
    <n v="0"/>
    <n v="3"/>
  </r>
  <r>
    <n v="1127921"/>
    <n v="49"/>
    <x v="1"/>
    <s v="No"/>
    <x v="0"/>
    <x v="0"/>
    <n v="1418"/>
    <x v="1"/>
    <n v="1"/>
    <n v="3"/>
    <x v="4"/>
    <n v="1"/>
    <n v="3"/>
    <x v="0"/>
    <n v="36"/>
    <n v="3"/>
    <n v="1"/>
    <s v="Other"/>
    <n v="1"/>
    <s v="Poor"/>
    <x v="1"/>
    <n v="3580"/>
    <x v="1"/>
    <n v="10554"/>
    <n v="2"/>
    <s v="Y"/>
    <s v="No"/>
    <n v="16"/>
    <x v="0"/>
    <s v="Low Performance"/>
    <n v="2"/>
    <n v="80"/>
    <n v="1"/>
    <n v="7"/>
    <n v="2"/>
    <n v="3"/>
    <s v="Fair"/>
    <n v="4"/>
    <n v="2"/>
    <n v="0"/>
    <n v="2"/>
  </r>
  <r>
    <n v="1122784"/>
    <n v="24"/>
    <x v="4"/>
    <s v="No"/>
    <x v="0"/>
    <x v="2"/>
    <n v="1269"/>
    <x v="1"/>
    <n v="4"/>
    <n v="1"/>
    <x v="0"/>
    <n v="1"/>
    <n v="1"/>
    <x v="1"/>
    <n v="46"/>
    <n v="2"/>
    <n v="1"/>
    <s v="Nurse"/>
    <n v="4"/>
    <s v="Good"/>
    <x v="1"/>
    <n v="3162"/>
    <x v="1"/>
    <n v="10778"/>
    <n v="0"/>
    <s v="Y"/>
    <s v="No"/>
    <n v="17"/>
    <x v="0"/>
    <s v="Low Performance"/>
    <n v="4"/>
    <n v="80"/>
    <n v="0"/>
    <n v="6"/>
    <n v="2"/>
    <n v="2"/>
    <s v="Poor"/>
    <n v="5"/>
    <n v="2"/>
    <n v="3"/>
    <n v="4"/>
  </r>
  <r>
    <n v="1767740"/>
    <n v="32"/>
    <x v="2"/>
    <s v="No"/>
    <x v="0"/>
    <x v="1"/>
    <n v="379"/>
    <x v="0"/>
    <n v="5"/>
    <n v="2"/>
    <x v="0"/>
    <n v="1"/>
    <n v="2"/>
    <x v="1"/>
    <n v="48"/>
    <n v="3"/>
    <n v="2"/>
    <s v="Nurse"/>
    <n v="2"/>
    <s v="Poor"/>
    <x v="1"/>
    <n v="6524"/>
    <x v="0"/>
    <n v="8891"/>
    <n v="1"/>
    <s v="Y"/>
    <s v="No"/>
    <n v="14"/>
    <x v="0"/>
    <s v="Low Performance"/>
    <n v="4"/>
    <n v="80"/>
    <n v="1"/>
    <n v="10"/>
    <n v="3"/>
    <n v="3"/>
    <s v="Fair"/>
    <n v="10"/>
    <n v="8"/>
    <n v="5"/>
    <n v="3"/>
  </r>
  <r>
    <n v="1740909"/>
    <n v="38"/>
    <x v="0"/>
    <s v="No"/>
    <x v="0"/>
    <x v="0"/>
    <n v="395"/>
    <x v="0"/>
    <n v="9"/>
    <n v="3"/>
    <x v="3"/>
    <n v="1"/>
    <n v="2"/>
    <x v="1"/>
    <n v="98"/>
    <n v="2"/>
    <n v="1"/>
    <s v="Other"/>
    <n v="2"/>
    <s v="Poor"/>
    <x v="1"/>
    <n v="2899"/>
    <x v="1"/>
    <n v="12102"/>
    <n v="0"/>
    <s v="Y"/>
    <s v="No"/>
    <n v="19"/>
    <x v="0"/>
    <s v="Low Performance"/>
    <n v="4"/>
    <n v="80"/>
    <n v="1"/>
    <n v="3"/>
    <n v="3"/>
    <n v="3"/>
    <s v="Fair"/>
    <n v="2"/>
    <n v="2"/>
    <n v="1"/>
    <n v="2"/>
  </r>
  <r>
    <n v="1395500"/>
    <n v="42"/>
    <x v="0"/>
    <s v="No"/>
    <x v="0"/>
    <x v="0"/>
    <n v="1265"/>
    <x v="1"/>
    <n v="3"/>
    <n v="3"/>
    <x v="0"/>
    <n v="1"/>
    <n v="3"/>
    <x v="0"/>
    <n v="95"/>
    <n v="4"/>
    <n v="2"/>
    <s v="Nurse"/>
    <n v="4"/>
    <s v="Good"/>
    <x v="1"/>
    <n v="5231"/>
    <x v="0"/>
    <n v="23726"/>
    <n v="2"/>
    <s v="Y"/>
    <s v="Yes"/>
    <n v="13"/>
    <x v="0"/>
    <s v="Low Performance"/>
    <n v="2"/>
    <n v="80"/>
    <n v="1"/>
    <n v="17"/>
    <n v="1"/>
    <n v="2"/>
    <s v="Poor"/>
    <n v="5"/>
    <n v="3"/>
    <n v="1"/>
    <n v="3"/>
  </r>
  <r>
    <n v="1253827"/>
    <n v="31"/>
    <x v="2"/>
    <s v="No"/>
    <x v="0"/>
    <x v="0"/>
    <n v="1222"/>
    <x v="1"/>
    <n v="11"/>
    <n v="4"/>
    <x v="0"/>
    <n v="1"/>
    <n v="4"/>
    <x v="1"/>
    <n v="48"/>
    <n v="3"/>
    <n v="1"/>
    <s v="Other"/>
    <n v="4"/>
    <s v="Good"/>
    <x v="1"/>
    <n v="2356"/>
    <x v="1"/>
    <n v="14871"/>
    <n v="3"/>
    <s v="Y"/>
    <s v="Yes"/>
    <n v="19"/>
    <x v="0"/>
    <s v="Low Performance"/>
    <n v="2"/>
    <n v="80"/>
    <n v="1"/>
    <n v="8"/>
    <n v="2"/>
    <n v="3"/>
    <s v="Fair"/>
    <n v="6"/>
    <n v="4"/>
    <n v="0"/>
    <n v="2"/>
  </r>
  <r>
    <n v="1329687"/>
    <n v="29"/>
    <x v="2"/>
    <s v="Yes"/>
    <x v="1"/>
    <x v="0"/>
    <n v="341"/>
    <x v="0"/>
    <n v="1"/>
    <n v="3"/>
    <x v="2"/>
    <n v="1"/>
    <n v="2"/>
    <x v="0"/>
    <n v="48"/>
    <n v="2"/>
    <n v="1"/>
    <s v="Other"/>
    <n v="3"/>
    <s v="Fair"/>
    <x v="2"/>
    <n v="2800"/>
    <x v="1"/>
    <n v="23522"/>
    <n v="6"/>
    <s v="Y"/>
    <s v="Yes"/>
    <n v="19"/>
    <x v="0"/>
    <s v="Low Performance"/>
    <n v="3"/>
    <n v="80"/>
    <n v="3"/>
    <n v="5"/>
    <n v="3"/>
    <n v="3"/>
    <s v="Fair"/>
    <n v="3"/>
    <n v="2"/>
    <n v="0"/>
    <n v="2"/>
  </r>
  <r>
    <n v="1221211"/>
    <n v="53"/>
    <x v="1"/>
    <s v="No"/>
    <x v="0"/>
    <x v="0"/>
    <n v="868"/>
    <x v="0"/>
    <n v="8"/>
    <n v="3"/>
    <x v="3"/>
    <n v="1"/>
    <n v="1"/>
    <x v="1"/>
    <n v="73"/>
    <n v="3"/>
    <n v="4"/>
    <s v="Nurse"/>
    <n v="4"/>
    <s v="Good"/>
    <x v="1"/>
    <n v="11836"/>
    <x v="0"/>
    <n v="22789"/>
    <n v="5"/>
    <s v="Y"/>
    <s v="No"/>
    <n v="14"/>
    <x v="0"/>
    <s v="Low Performance"/>
    <n v="3"/>
    <n v="80"/>
    <n v="1"/>
    <n v="28"/>
    <n v="3"/>
    <n v="3"/>
    <s v="Fair"/>
    <n v="2"/>
    <n v="0"/>
    <n v="2"/>
    <n v="2"/>
  </r>
  <r>
    <n v="1731227"/>
    <n v="35"/>
    <x v="2"/>
    <s v="No"/>
    <x v="0"/>
    <x v="0"/>
    <n v="672"/>
    <x v="1"/>
    <n v="25"/>
    <n v="3"/>
    <x v="4"/>
    <n v="1"/>
    <n v="4"/>
    <x v="1"/>
    <n v="78"/>
    <n v="2"/>
    <n v="3"/>
    <s v="Therapist"/>
    <n v="2"/>
    <s v="Poor"/>
    <x v="1"/>
    <n v="10903"/>
    <x v="0"/>
    <n v="9129"/>
    <n v="3"/>
    <s v="Y"/>
    <s v="No"/>
    <n v="16"/>
    <x v="0"/>
    <s v="Low Performance"/>
    <n v="1"/>
    <n v="80"/>
    <n v="0"/>
    <n v="16"/>
    <n v="2"/>
    <n v="3"/>
    <s v="Fair"/>
    <n v="13"/>
    <n v="10"/>
    <n v="4"/>
    <n v="8"/>
  </r>
  <r>
    <n v="1716658"/>
    <n v="37"/>
    <x v="0"/>
    <s v="No"/>
    <x v="0"/>
    <x v="1"/>
    <n v="1231"/>
    <x v="0"/>
    <n v="21"/>
    <n v="2"/>
    <x v="2"/>
    <n v="1"/>
    <n v="3"/>
    <x v="0"/>
    <n v="54"/>
    <n v="3"/>
    <n v="1"/>
    <s v="Other"/>
    <n v="4"/>
    <s v="Good"/>
    <x v="1"/>
    <n v="2973"/>
    <x v="1"/>
    <n v="21222"/>
    <n v="5"/>
    <s v="Y"/>
    <s v="No"/>
    <n v="15"/>
    <x v="0"/>
    <s v="Low Performance"/>
    <n v="2"/>
    <n v="80"/>
    <n v="1"/>
    <n v="10"/>
    <n v="3"/>
    <n v="3"/>
    <s v="Fair"/>
    <n v="5"/>
    <n v="4"/>
    <n v="0"/>
    <n v="0"/>
  </r>
  <r>
    <n v="1856275"/>
    <n v="53"/>
    <x v="1"/>
    <s v="No"/>
    <x v="0"/>
    <x v="0"/>
    <n v="102"/>
    <x v="1"/>
    <n v="23"/>
    <n v="4"/>
    <x v="0"/>
    <n v="1"/>
    <n v="4"/>
    <x v="0"/>
    <n v="72"/>
    <n v="3"/>
    <n v="4"/>
    <s v="Administrative"/>
    <n v="4"/>
    <s v="Good"/>
    <x v="0"/>
    <n v="14275"/>
    <x v="2"/>
    <n v="20206"/>
    <n v="6"/>
    <s v="Y"/>
    <s v="No"/>
    <n v="18"/>
    <x v="0"/>
    <s v="Low Performance"/>
    <n v="3"/>
    <n v="80"/>
    <n v="0"/>
    <n v="33"/>
    <n v="0"/>
    <n v="3"/>
    <s v="Fair"/>
    <n v="12"/>
    <n v="9"/>
    <n v="3"/>
    <n v="8"/>
  </r>
  <r>
    <n v="1780189"/>
    <n v="43"/>
    <x v="0"/>
    <s v="No"/>
    <x v="0"/>
    <x v="1"/>
    <n v="422"/>
    <x v="1"/>
    <n v="1"/>
    <n v="3"/>
    <x v="0"/>
    <n v="1"/>
    <n v="4"/>
    <x v="0"/>
    <n v="33"/>
    <n v="3"/>
    <n v="2"/>
    <s v="Nurse"/>
    <n v="4"/>
    <s v="Good"/>
    <x v="1"/>
    <n v="5562"/>
    <x v="0"/>
    <n v="21782"/>
    <n v="4"/>
    <s v="Y"/>
    <s v="No"/>
    <n v="13"/>
    <x v="0"/>
    <s v="Low Performance"/>
    <n v="2"/>
    <n v="80"/>
    <n v="1"/>
    <n v="12"/>
    <n v="2"/>
    <n v="2"/>
    <s v="Poor"/>
    <n v="5"/>
    <n v="2"/>
    <n v="2"/>
    <n v="2"/>
  </r>
  <r>
    <n v="1662886"/>
    <n v="47"/>
    <x v="1"/>
    <s v="No"/>
    <x v="0"/>
    <x v="0"/>
    <n v="249"/>
    <x v="0"/>
    <n v="2"/>
    <n v="2"/>
    <x v="3"/>
    <n v="1"/>
    <n v="3"/>
    <x v="0"/>
    <n v="35"/>
    <n v="3"/>
    <n v="2"/>
    <s v="Nurse"/>
    <n v="4"/>
    <s v="Good"/>
    <x v="1"/>
    <n v="4537"/>
    <x v="1"/>
    <n v="17783"/>
    <n v="0"/>
    <s v="Y"/>
    <s v="Yes"/>
    <n v="22"/>
    <x v="1"/>
    <s v="High Performance"/>
    <n v="1"/>
    <n v="80"/>
    <n v="1"/>
    <n v="8"/>
    <n v="2"/>
    <n v="3"/>
    <s v="Fair"/>
    <n v="7"/>
    <n v="6"/>
    <n v="7"/>
    <n v="7"/>
  </r>
  <r>
    <n v="1455944"/>
    <n v="37"/>
    <x v="0"/>
    <s v="No"/>
    <x v="0"/>
    <x v="2"/>
    <n v="1252"/>
    <x v="0"/>
    <n v="19"/>
    <n v="2"/>
    <x v="2"/>
    <n v="1"/>
    <n v="1"/>
    <x v="1"/>
    <n v="32"/>
    <n v="3"/>
    <n v="3"/>
    <s v="Nurse"/>
    <n v="2"/>
    <s v="Poor"/>
    <x v="0"/>
    <n v="7642"/>
    <x v="0"/>
    <n v="4814"/>
    <n v="1"/>
    <s v="Y"/>
    <s v="Yes"/>
    <n v="13"/>
    <x v="0"/>
    <s v="Low Performance"/>
    <n v="4"/>
    <n v="80"/>
    <n v="0"/>
    <n v="10"/>
    <n v="2"/>
    <n v="3"/>
    <s v="Fair"/>
    <n v="10"/>
    <n v="0"/>
    <n v="0"/>
    <n v="9"/>
  </r>
  <r>
    <n v="1597875"/>
    <n v="50"/>
    <x v="1"/>
    <s v="No"/>
    <x v="0"/>
    <x v="2"/>
    <n v="881"/>
    <x v="2"/>
    <n v="2"/>
    <n v="4"/>
    <x v="0"/>
    <n v="1"/>
    <n v="1"/>
    <x v="1"/>
    <n v="98"/>
    <n v="3"/>
    <n v="4"/>
    <s v="Other"/>
    <n v="1"/>
    <s v="Poor"/>
    <x v="2"/>
    <n v="17924"/>
    <x v="2"/>
    <n v="4544"/>
    <n v="1"/>
    <s v="Y"/>
    <s v="No"/>
    <n v="11"/>
    <x v="0"/>
    <s v="Low Performance"/>
    <n v="4"/>
    <n v="80"/>
    <n v="1"/>
    <n v="31"/>
    <n v="3"/>
    <n v="3"/>
    <s v="Fair"/>
    <n v="31"/>
    <n v="6"/>
    <n v="14"/>
    <n v="7"/>
  </r>
  <r>
    <n v="1514580"/>
    <n v="39"/>
    <x v="0"/>
    <s v="No"/>
    <x v="0"/>
    <x v="0"/>
    <n v="1383"/>
    <x v="2"/>
    <n v="2"/>
    <n v="3"/>
    <x v="0"/>
    <n v="1"/>
    <n v="4"/>
    <x v="0"/>
    <n v="42"/>
    <n v="2"/>
    <n v="2"/>
    <s v="Other"/>
    <n v="4"/>
    <s v="Good"/>
    <x v="1"/>
    <n v="5204"/>
    <x v="0"/>
    <n v="7790"/>
    <n v="8"/>
    <s v="Y"/>
    <s v="No"/>
    <n v="11"/>
    <x v="0"/>
    <s v="Low Performance"/>
    <n v="3"/>
    <n v="80"/>
    <n v="2"/>
    <n v="13"/>
    <n v="2"/>
    <n v="3"/>
    <s v="Fair"/>
    <n v="5"/>
    <n v="4"/>
    <n v="0"/>
    <n v="4"/>
  </r>
  <r>
    <n v="1457833"/>
    <n v="33"/>
    <x v="2"/>
    <s v="No"/>
    <x v="0"/>
    <x v="0"/>
    <n v="1075"/>
    <x v="2"/>
    <n v="3"/>
    <n v="2"/>
    <x v="5"/>
    <n v="1"/>
    <n v="4"/>
    <x v="1"/>
    <n v="57"/>
    <n v="3"/>
    <n v="1"/>
    <s v="Other"/>
    <n v="2"/>
    <s v="Poor"/>
    <x v="2"/>
    <n v="2277"/>
    <x v="1"/>
    <n v="22650"/>
    <n v="3"/>
    <s v="Y"/>
    <s v="Yes"/>
    <n v="11"/>
    <x v="0"/>
    <s v="Low Performance"/>
    <n v="3"/>
    <n v="80"/>
    <n v="1"/>
    <n v="7"/>
    <n v="4"/>
    <n v="4"/>
    <s v="Good"/>
    <n v="4"/>
    <n v="3"/>
    <n v="0"/>
    <n v="3"/>
  </r>
  <r>
    <n v="1406364"/>
    <n v="32"/>
    <x v="2"/>
    <s v="Yes"/>
    <x v="1"/>
    <x v="0"/>
    <n v="374"/>
    <x v="1"/>
    <n v="25"/>
    <n v="4"/>
    <x v="0"/>
    <n v="1"/>
    <n v="1"/>
    <x v="1"/>
    <n v="87"/>
    <n v="3"/>
    <n v="1"/>
    <s v="Nurse"/>
    <n v="4"/>
    <s v="Good"/>
    <x v="0"/>
    <n v="2795"/>
    <x v="1"/>
    <n v="18016"/>
    <n v="1"/>
    <s v="Y"/>
    <s v="Yes"/>
    <n v="24"/>
    <x v="1"/>
    <s v="High Performance"/>
    <n v="3"/>
    <n v="80"/>
    <n v="0"/>
    <n v="1"/>
    <n v="2"/>
    <n v="1"/>
    <s v="Poor"/>
    <n v="1"/>
    <n v="0"/>
    <n v="0"/>
    <n v="1"/>
  </r>
  <r>
    <n v="1574807"/>
    <n v="29"/>
    <x v="2"/>
    <s v="No"/>
    <x v="0"/>
    <x v="0"/>
    <n v="1086"/>
    <x v="1"/>
    <n v="7"/>
    <n v="1"/>
    <x v="2"/>
    <n v="1"/>
    <n v="1"/>
    <x v="0"/>
    <n v="62"/>
    <n v="2"/>
    <n v="1"/>
    <s v="Nurse"/>
    <n v="4"/>
    <s v="Good"/>
    <x v="2"/>
    <n v="2532"/>
    <x v="1"/>
    <n v="6054"/>
    <n v="6"/>
    <s v="Y"/>
    <s v="No"/>
    <n v="14"/>
    <x v="0"/>
    <s v="Low Performance"/>
    <n v="3"/>
    <n v="80"/>
    <n v="3"/>
    <n v="8"/>
    <n v="5"/>
    <n v="3"/>
    <s v="Fair"/>
    <n v="4"/>
    <n v="3"/>
    <n v="0"/>
    <n v="3"/>
  </r>
  <r>
    <n v="1423464"/>
    <n v="44"/>
    <x v="0"/>
    <s v="No"/>
    <x v="0"/>
    <x v="0"/>
    <n v="661"/>
    <x v="1"/>
    <n v="9"/>
    <n v="2"/>
    <x v="0"/>
    <n v="1"/>
    <n v="2"/>
    <x v="1"/>
    <n v="61"/>
    <n v="3"/>
    <n v="1"/>
    <s v="Other"/>
    <n v="1"/>
    <s v="Poor"/>
    <x v="1"/>
    <n v="2559"/>
    <x v="1"/>
    <n v="7508"/>
    <n v="1"/>
    <s v="Y"/>
    <s v="Yes"/>
    <n v="13"/>
    <x v="0"/>
    <s v="Low Performance"/>
    <n v="4"/>
    <n v="80"/>
    <n v="0"/>
    <n v="8"/>
    <n v="0"/>
    <n v="3"/>
    <s v="Fair"/>
    <n v="8"/>
    <n v="7"/>
    <n v="7"/>
    <n v="1"/>
  </r>
  <r>
    <n v="1592499"/>
    <n v="28"/>
    <x v="2"/>
    <s v="No"/>
    <x v="0"/>
    <x v="0"/>
    <n v="821"/>
    <x v="0"/>
    <n v="5"/>
    <n v="4"/>
    <x v="2"/>
    <n v="1"/>
    <n v="1"/>
    <x v="1"/>
    <n v="98"/>
    <n v="3"/>
    <n v="2"/>
    <s v="Nurse"/>
    <n v="4"/>
    <s v="Good"/>
    <x v="0"/>
    <n v="4908"/>
    <x v="1"/>
    <n v="24252"/>
    <n v="1"/>
    <s v="Y"/>
    <s v="No"/>
    <n v="14"/>
    <x v="0"/>
    <s v="Low Performance"/>
    <n v="2"/>
    <n v="80"/>
    <n v="0"/>
    <n v="4"/>
    <n v="3"/>
    <n v="3"/>
    <s v="Fair"/>
    <n v="4"/>
    <n v="2"/>
    <n v="0"/>
    <n v="2"/>
  </r>
  <r>
    <n v="1870106"/>
    <n v="58"/>
    <x v="3"/>
    <s v="Yes"/>
    <x v="1"/>
    <x v="1"/>
    <n v="781"/>
    <x v="1"/>
    <n v="2"/>
    <n v="1"/>
    <x v="0"/>
    <n v="1"/>
    <n v="4"/>
    <x v="1"/>
    <n v="57"/>
    <n v="2"/>
    <n v="1"/>
    <s v="Nurse"/>
    <n v="4"/>
    <s v="Good"/>
    <x v="2"/>
    <n v="2380"/>
    <x v="1"/>
    <n v="13384"/>
    <n v="9"/>
    <s v="Y"/>
    <s v="Yes"/>
    <n v="14"/>
    <x v="0"/>
    <s v="Low Performance"/>
    <n v="4"/>
    <n v="80"/>
    <n v="1"/>
    <n v="3"/>
    <n v="3"/>
    <n v="2"/>
    <s v="Poor"/>
    <n v="1"/>
    <n v="0"/>
    <n v="0"/>
    <n v="0"/>
  </r>
  <r>
    <n v="1860698"/>
    <n v="43"/>
    <x v="0"/>
    <s v="No"/>
    <x v="0"/>
    <x v="0"/>
    <n v="177"/>
    <x v="0"/>
    <n v="8"/>
    <n v="3"/>
    <x v="0"/>
    <n v="1"/>
    <n v="1"/>
    <x v="0"/>
    <n v="55"/>
    <n v="3"/>
    <n v="2"/>
    <s v="Therapist"/>
    <n v="2"/>
    <s v="Poor"/>
    <x v="2"/>
    <n v="4765"/>
    <x v="1"/>
    <n v="23814"/>
    <n v="4"/>
    <s v="Y"/>
    <s v="No"/>
    <n v="21"/>
    <x v="1"/>
    <s v="High Performance"/>
    <n v="3"/>
    <n v="80"/>
    <n v="1"/>
    <n v="4"/>
    <n v="2"/>
    <n v="4"/>
    <s v="Good"/>
    <n v="1"/>
    <n v="0"/>
    <n v="0"/>
    <n v="0"/>
  </r>
  <r>
    <n v="1334434"/>
    <n v="20"/>
    <x v="4"/>
    <s v="Yes"/>
    <x v="1"/>
    <x v="0"/>
    <n v="500"/>
    <x v="0"/>
    <n v="2"/>
    <n v="3"/>
    <x v="2"/>
    <n v="1"/>
    <n v="3"/>
    <x v="0"/>
    <n v="49"/>
    <n v="2"/>
    <n v="1"/>
    <s v="Other"/>
    <n v="3"/>
    <s v="Fair"/>
    <x v="0"/>
    <n v="2044"/>
    <x v="1"/>
    <n v="22052"/>
    <n v="1"/>
    <s v="Y"/>
    <s v="No"/>
    <n v="13"/>
    <x v="0"/>
    <s v="Low Performance"/>
    <n v="4"/>
    <n v="80"/>
    <n v="0"/>
    <n v="2"/>
    <n v="3"/>
    <n v="2"/>
    <s v="Poor"/>
    <n v="2"/>
    <n v="2"/>
    <n v="0"/>
    <n v="2"/>
  </r>
  <r>
    <n v="1657594"/>
    <n v="21"/>
    <x v="4"/>
    <s v="Yes"/>
    <x v="1"/>
    <x v="0"/>
    <n v="1427"/>
    <x v="1"/>
    <n v="18"/>
    <n v="1"/>
    <x v="1"/>
    <n v="1"/>
    <n v="4"/>
    <x v="0"/>
    <n v="65"/>
    <n v="3"/>
    <n v="1"/>
    <s v="Other"/>
    <n v="4"/>
    <s v="Good"/>
    <x v="0"/>
    <n v="2693"/>
    <x v="1"/>
    <n v="8870"/>
    <n v="1"/>
    <s v="Y"/>
    <s v="No"/>
    <n v="19"/>
    <x v="0"/>
    <s v="Low Performance"/>
    <n v="1"/>
    <n v="80"/>
    <n v="0"/>
    <n v="1"/>
    <n v="3"/>
    <n v="2"/>
    <s v="Poor"/>
    <n v="1"/>
    <n v="0"/>
    <n v="0"/>
    <n v="0"/>
  </r>
  <r>
    <n v="1497902"/>
    <n v="36"/>
    <x v="0"/>
    <s v="No"/>
    <x v="0"/>
    <x v="0"/>
    <n v="1425"/>
    <x v="1"/>
    <n v="14"/>
    <n v="1"/>
    <x v="0"/>
    <n v="1"/>
    <n v="3"/>
    <x v="1"/>
    <n v="68"/>
    <n v="3"/>
    <n v="2"/>
    <s v="Nurse"/>
    <n v="4"/>
    <s v="Good"/>
    <x v="1"/>
    <n v="6586"/>
    <x v="0"/>
    <n v="4821"/>
    <n v="0"/>
    <s v="Y"/>
    <s v="Yes"/>
    <n v="17"/>
    <x v="0"/>
    <s v="Low Performance"/>
    <n v="1"/>
    <n v="80"/>
    <n v="1"/>
    <n v="17"/>
    <n v="2"/>
    <n v="2"/>
    <s v="Poor"/>
    <n v="16"/>
    <n v="8"/>
    <n v="4"/>
    <n v="11"/>
  </r>
  <r>
    <n v="1289682"/>
    <n v="47"/>
    <x v="1"/>
    <s v="No"/>
    <x v="0"/>
    <x v="0"/>
    <n v="1454"/>
    <x v="0"/>
    <n v="2"/>
    <n v="4"/>
    <x v="0"/>
    <n v="1"/>
    <n v="4"/>
    <x v="0"/>
    <n v="65"/>
    <n v="2"/>
    <n v="1"/>
    <s v="Other"/>
    <n v="4"/>
    <s v="Good"/>
    <x v="0"/>
    <n v="3294"/>
    <x v="1"/>
    <n v="13137"/>
    <n v="1"/>
    <s v="Y"/>
    <s v="Yes"/>
    <n v="18"/>
    <x v="0"/>
    <s v="Low Performance"/>
    <n v="1"/>
    <n v="80"/>
    <n v="0"/>
    <n v="3"/>
    <n v="3"/>
    <n v="2"/>
    <s v="Poor"/>
    <n v="3"/>
    <n v="2"/>
    <n v="1"/>
    <n v="2"/>
  </r>
  <r>
    <n v="1185964"/>
    <n v="22"/>
    <x v="4"/>
    <s v="No"/>
    <x v="0"/>
    <x v="0"/>
    <n v="617"/>
    <x v="2"/>
    <n v="3"/>
    <n v="1"/>
    <x v="0"/>
    <n v="1"/>
    <n v="2"/>
    <x v="0"/>
    <n v="34"/>
    <n v="3"/>
    <n v="2"/>
    <s v="Therapist"/>
    <n v="3"/>
    <s v="Fair"/>
    <x v="1"/>
    <n v="4171"/>
    <x v="1"/>
    <n v="10022"/>
    <n v="0"/>
    <s v="Y"/>
    <s v="Yes"/>
    <n v="19"/>
    <x v="0"/>
    <s v="Low Performance"/>
    <n v="1"/>
    <n v="80"/>
    <n v="1"/>
    <n v="4"/>
    <n v="3"/>
    <n v="4"/>
    <s v="Good"/>
    <n v="3"/>
    <n v="2"/>
    <n v="0"/>
    <n v="2"/>
  </r>
  <r>
    <n v="1179676"/>
    <n v="41"/>
    <x v="0"/>
    <s v="Yes"/>
    <x v="1"/>
    <x v="0"/>
    <n v="1085"/>
    <x v="1"/>
    <n v="2"/>
    <n v="4"/>
    <x v="0"/>
    <n v="1"/>
    <n v="2"/>
    <x v="0"/>
    <n v="57"/>
    <n v="1"/>
    <n v="1"/>
    <s v="Nurse"/>
    <n v="4"/>
    <s v="Good"/>
    <x v="2"/>
    <n v="2778"/>
    <x v="1"/>
    <n v="17725"/>
    <n v="4"/>
    <s v="Y"/>
    <s v="Yes"/>
    <n v="13"/>
    <x v="0"/>
    <s v="Low Performance"/>
    <n v="3"/>
    <n v="80"/>
    <n v="1"/>
    <n v="10"/>
    <n v="1"/>
    <n v="2"/>
    <s v="Poor"/>
    <n v="7"/>
    <n v="7"/>
    <n v="1"/>
    <n v="0"/>
  </r>
  <r>
    <n v="1034373"/>
    <n v="28"/>
    <x v="2"/>
    <s v="No"/>
    <x v="0"/>
    <x v="0"/>
    <n v="995"/>
    <x v="1"/>
    <n v="9"/>
    <n v="3"/>
    <x v="2"/>
    <n v="1"/>
    <n v="3"/>
    <x v="0"/>
    <n v="77"/>
    <n v="3"/>
    <n v="1"/>
    <s v="Other"/>
    <n v="3"/>
    <s v="Fair"/>
    <x v="2"/>
    <n v="2377"/>
    <x v="1"/>
    <n v="9834"/>
    <n v="5"/>
    <s v="Y"/>
    <s v="No"/>
    <n v="18"/>
    <x v="0"/>
    <s v="Low Performance"/>
    <n v="2"/>
    <n v="80"/>
    <n v="1"/>
    <n v="6"/>
    <n v="2"/>
    <n v="3"/>
    <s v="Fair"/>
    <n v="2"/>
    <n v="2"/>
    <n v="2"/>
    <n v="2"/>
  </r>
  <r>
    <n v="1126499"/>
    <n v="39"/>
    <x v="0"/>
    <s v="Yes"/>
    <x v="1"/>
    <x v="0"/>
    <n v="1122"/>
    <x v="1"/>
    <n v="6"/>
    <n v="3"/>
    <x v="2"/>
    <n v="1"/>
    <n v="4"/>
    <x v="1"/>
    <n v="70"/>
    <n v="3"/>
    <n v="1"/>
    <s v="Nurse"/>
    <n v="1"/>
    <s v="Poor"/>
    <x v="1"/>
    <n v="2404"/>
    <x v="1"/>
    <n v="4303"/>
    <n v="7"/>
    <s v="Y"/>
    <s v="Yes"/>
    <n v="21"/>
    <x v="1"/>
    <s v="High Performance"/>
    <n v="4"/>
    <n v="80"/>
    <n v="0"/>
    <n v="8"/>
    <n v="2"/>
    <n v="1"/>
    <s v="Poor"/>
    <n v="2"/>
    <n v="2"/>
    <n v="2"/>
    <n v="2"/>
  </r>
  <r>
    <n v="1334359"/>
    <n v="27"/>
    <x v="2"/>
    <s v="No"/>
    <x v="0"/>
    <x v="0"/>
    <n v="618"/>
    <x v="1"/>
    <n v="4"/>
    <n v="3"/>
    <x v="0"/>
    <n v="1"/>
    <n v="2"/>
    <x v="0"/>
    <n v="76"/>
    <n v="3"/>
    <n v="1"/>
    <s v="Other"/>
    <n v="3"/>
    <s v="Fair"/>
    <x v="0"/>
    <n v="2318"/>
    <x v="1"/>
    <n v="17808"/>
    <n v="1"/>
    <s v="Y"/>
    <s v="No"/>
    <n v="19"/>
    <x v="0"/>
    <s v="Low Performance"/>
    <n v="3"/>
    <n v="80"/>
    <n v="0"/>
    <n v="1"/>
    <n v="2"/>
    <n v="3"/>
    <s v="Fair"/>
    <n v="1"/>
    <n v="1"/>
    <n v="0"/>
    <n v="0"/>
  </r>
  <r>
    <n v="1254150"/>
    <n v="34"/>
    <x v="2"/>
    <s v="No"/>
    <x v="0"/>
    <x v="0"/>
    <n v="546"/>
    <x v="1"/>
    <n v="10"/>
    <n v="3"/>
    <x v="0"/>
    <n v="1"/>
    <n v="2"/>
    <x v="1"/>
    <n v="83"/>
    <n v="3"/>
    <n v="1"/>
    <s v="Nurse"/>
    <n v="2"/>
    <s v="Poor"/>
    <x v="2"/>
    <n v="2008"/>
    <x v="1"/>
    <n v="6896"/>
    <n v="1"/>
    <s v="Y"/>
    <s v="No"/>
    <n v="14"/>
    <x v="0"/>
    <s v="Low Performance"/>
    <n v="2"/>
    <n v="80"/>
    <n v="2"/>
    <n v="1"/>
    <n v="3"/>
    <n v="3"/>
    <s v="Fair"/>
    <n v="1"/>
    <n v="0"/>
    <n v="1"/>
    <n v="0"/>
  </r>
  <r>
    <n v="1206644"/>
    <n v="42"/>
    <x v="0"/>
    <s v="No"/>
    <x v="0"/>
    <x v="0"/>
    <n v="462"/>
    <x v="0"/>
    <n v="14"/>
    <n v="2"/>
    <x v="2"/>
    <n v="1"/>
    <n v="3"/>
    <x v="0"/>
    <n v="68"/>
    <n v="2"/>
    <n v="2"/>
    <s v="Nurse"/>
    <n v="3"/>
    <s v="Fair"/>
    <x v="0"/>
    <n v="6244"/>
    <x v="0"/>
    <n v="7824"/>
    <n v="7"/>
    <s v="Y"/>
    <s v="No"/>
    <n v="17"/>
    <x v="0"/>
    <s v="Low Performance"/>
    <n v="1"/>
    <n v="80"/>
    <n v="0"/>
    <n v="10"/>
    <n v="6"/>
    <n v="3"/>
    <s v="Fair"/>
    <n v="5"/>
    <n v="4"/>
    <n v="0"/>
    <n v="3"/>
  </r>
  <r>
    <n v="1766963"/>
    <n v="33"/>
    <x v="2"/>
    <s v="No"/>
    <x v="0"/>
    <x v="0"/>
    <n v="1198"/>
    <x v="1"/>
    <n v="1"/>
    <n v="4"/>
    <x v="1"/>
    <n v="1"/>
    <n v="3"/>
    <x v="1"/>
    <n v="100"/>
    <n v="2"/>
    <n v="1"/>
    <s v="Other"/>
    <n v="1"/>
    <s v="Poor"/>
    <x v="0"/>
    <n v="2799"/>
    <x v="1"/>
    <n v="3339"/>
    <n v="3"/>
    <s v="Y"/>
    <s v="Yes"/>
    <n v="11"/>
    <x v="0"/>
    <s v="Low Performance"/>
    <n v="2"/>
    <n v="80"/>
    <n v="0"/>
    <n v="6"/>
    <n v="1"/>
    <n v="3"/>
    <s v="Fair"/>
    <n v="3"/>
    <n v="2"/>
    <n v="0"/>
    <n v="2"/>
  </r>
  <r>
    <n v="1795081"/>
    <n v="58"/>
    <x v="3"/>
    <s v="No"/>
    <x v="0"/>
    <x v="0"/>
    <n v="1272"/>
    <x v="1"/>
    <n v="5"/>
    <n v="3"/>
    <x v="4"/>
    <n v="1"/>
    <n v="3"/>
    <x v="0"/>
    <n v="37"/>
    <n v="2"/>
    <n v="3"/>
    <s v="Nurse"/>
    <n v="2"/>
    <s v="Poor"/>
    <x v="2"/>
    <n v="10552"/>
    <x v="0"/>
    <n v="9255"/>
    <n v="2"/>
    <s v="Y"/>
    <s v="Yes"/>
    <n v="13"/>
    <x v="0"/>
    <s v="Low Performance"/>
    <n v="4"/>
    <n v="80"/>
    <n v="1"/>
    <n v="24"/>
    <n v="3"/>
    <n v="3"/>
    <s v="Fair"/>
    <n v="6"/>
    <n v="0"/>
    <n v="0"/>
    <n v="4"/>
  </r>
  <r>
    <n v="1213565"/>
    <n v="31"/>
    <x v="2"/>
    <s v="No"/>
    <x v="0"/>
    <x v="0"/>
    <n v="154"/>
    <x v="0"/>
    <n v="7"/>
    <n v="4"/>
    <x v="0"/>
    <n v="1"/>
    <n v="2"/>
    <x v="1"/>
    <n v="41"/>
    <n v="2"/>
    <n v="1"/>
    <s v="Other"/>
    <n v="3"/>
    <s v="Fair"/>
    <x v="1"/>
    <n v="2329"/>
    <x v="1"/>
    <n v="11737"/>
    <n v="3"/>
    <s v="Y"/>
    <s v="No"/>
    <n v="15"/>
    <x v="0"/>
    <s v="Low Performance"/>
    <n v="2"/>
    <n v="80"/>
    <n v="0"/>
    <n v="13"/>
    <n v="2"/>
    <n v="4"/>
    <s v="Good"/>
    <n v="7"/>
    <n v="7"/>
    <n v="5"/>
    <n v="2"/>
  </r>
  <r>
    <n v="1416487"/>
    <n v="35"/>
    <x v="2"/>
    <s v="No"/>
    <x v="0"/>
    <x v="0"/>
    <n v="1137"/>
    <x v="1"/>
    <n v="21"/>
    <n v="1"/>
    <x v="0"/>
    <n v="1"/>
    <n v="4"/>
    <x v="0"/>
    <n v="51"/>
    <n v="3"/>
    <n v="2"/>
    <s v="Nurse"/>
    <n v="4"/>
    <s v="Good"/>
    <x v="1"/>
    <n v="4014"/>
    <x v="1"/>
    <n v="19170"/>
    <n v="1"/>
    <s v="Y"/>
    <s v="Yes"/>
    <n v="25"/>
    <x v="1"/>
    <s v="High Performance"/>
    <n v="4"/>
    <n v="80"/>
    <n v="1"/>
    <n v="10"/>
    <n v="2"/>
    <n v="1"/>
    <s v="Poor"/>
    <n v="10"/>
    <n v="6"/>
    <n v="0"/>
    <n v="7"/>
  </r>
  <r>
    <n v="1314640"/>
    <n v="49"/>
    <x v="1"/>
    <s v="No"/>
    <x v="0"/>
    <x v="0"/>
    <n v="527"/>
    <x v="1"/>
    <n v="8"/>
    <n v="2"/>
    <x v="1"/>
    <n v="1"/>
    <n v="1"/>
    <x v="0"/>
    <n v="51"/>
    <n v="3"/>
    <n v="3"/>
    <s v="Nurse"/>
    <n v="2"/>
    <s v="Poor"/>
    <x v="1"/>
    <n v="7403"/>
    <x v="0"/>
    <n v="22477"/>
    <n v="4"/>
    <s v="Y"/>
    <s v="No"/>
    <n v="11"/>
    <x v="0"/>
    <s v="Low Performance"/>
    <n v="3"/>
    <n v="80"/>
    <n v="1"/>
    <n v="29"/>
    <n v="3"/>
    <n v="2"/>
    <s v="Poor"/>
    <n v="26"/>
    <n v="9"/>
    <n v="1"/>
    <n v="7"/>
  </r>
  <r>
    <n v="1186466"/>
    <n v="48"/>
    <x v="1"/>
    <s v="No"/>
    <x v="0"/>
    <x v="0"/>
    <n v="1469"/>
    <x v="1"/>
    <n v="20"/>
    <n v="4"/>
    <x v="2"/>
    <n v="1"/>
    <n v="4"/>
    <x v="1"/>
    <n v="51"/>
    <n v="3"/>
    <n v="1"/>
    <s v="Other"/>
    <n v="3"/>
    <s v="Fair"/>
    <x v="1"/>
    <n v="2259"/>
    <x v="1"/>
    <n v="5543"/>
    <n v="4"/>
    <s v="Y"/>
    <s v="No"/>
    <n v="17"/>
    <x v="0"/>
    <s v="Low Performance"/>
    <n v="1"/>
    <n v="80"/>
    <n v="2"/>
    <n v="13"/>
    <n v="2"/>
    <n v="2"/>
    <s v="Poor"/>
    <n v="0"/>
    <n v="0"/>
    <n v="0"/>
    <n v="0"/>
  </r>
  <r>
    <n v="1749032"/>
    <n v="31"/>
    <x v="2"/>
    <s v="No"/>
    <x v="0"/>
    <x v="2"/>
    <n v="1188"/>
    <x v="0"/>
    <n v="20"/>
    <n v="2"/>
    <x v="3"/>
    <n v="1"/>
    <n v="4"/>
    <x v="0"/>
    <n v="45"/>
    <n v="3"/>
    <n v="2"/>
    <s v="Nurse"/>
    <n v="3"/>
    <s v="Fair"/>
    <x v="1"/>
    <n v="6932"/>
    <x v="0"/>
    <n v="24406"/>
    <n v="1"/>
    <s v="Y"/>
    <s v="No"/>
    <n v="13"/>
    <x v="0"/>
    <s v="Low Performance"/>
    <n v="4"/>
    <n v="80"/>
    <n v="1"/>
    <n v="9"/>
    <n v="2"/>
    <n v="2"/>
    <s v="Poor"/>
    <n v="9"/>
    <n v="8"/>
    <n v="0"/>
    <n v="0"/>
  </r>
  <r>
    <n v="1674536"/>
    <n v="36"/>
    <x v="0"/>
    <s v="No"/>
    <x v="0"/>
    <x v="0"/>
    <n v="188"/>
    <x v="1"/>
    <n v="7"/>
    <n v="4"/>
    <x v="1"/>
    <n v="1"/>
    <n v="2"/>
    <x v="1"/>
    <n v="65"/>
    <n v="3"/>
    <n v="1"/>
    <s v="Other"/>
    <n v="4"/>
    <s v="Good"/>
    <x v="0"/>
    <n v="4678"/>
    <x v="1"/>
    <n v="23293"/>
    <n v="2"/>
    <s v="Y"/>
    <s v="No"/>
    <n v="18"/>
    <x v="0"/>
    <s v="Low Performance"/>
    <n v="3"/>
    <n v="80"/>
    <n v="0"/>
    <n v="8"/>
    <n v="6"/>
    <n v="3"/>
    <s v="Fair"/>
    <n v="6"/>
    <n v="2"/>
    <n v="0"/>
    <n v="1"/>
  </r>
  <r>
    <n v="1327078"/>
    <n v="38"/>
    <x v="0"/>
    <s v="No"/>
    <x v="0"/>
    <x v="0"/>
    <n v="1333"/>
    <x v="1"/>
    <n v="1"/>
    <n v="3"/>
    <x v="4"/>
    <n v="1"/>
    <n v="4"/>
    <x v="0"/>
    <n v="80"/>
    <n v="3"/>
    <n v="3"/>
    <s v="Administrative"/>
    <n v="1"/>
    <s v="Poor"/>
    <x v="1"/>
    <n v="13582"/>
    <x v="2"/>
    <n v="16292"/>
    <n v="1"/>
    <s v="Y"/>
    <s v="No"/>
    <n v="13"/>
    <x v="0"/>
    <s v="Low Performance"/>
    <n v="2"/>
    <n v="80"/>
    <n v="1"/>
    <n v="15"/>
    <n v="3"/>
    <n v="3"/>
    <s v="Fair"/>
    <n v="15"/>
    <n v="12"/>
    <n v="5"/>
    <n v="11"/>
  </r>
  <r>
    <n v="1738679"/>
    <n v="32"/>
    <x v="2"/>
    <s v="No"/>
    <x v="0"/>
    <x v="2"/>
    <n v="1184"/>
    <x v="1"/>
    <n v="1"/>
    <n v="3"/>
    <x v="0"/>
    <n v="1"/>
    <n v="3"/>
    <x v="0"/>
    <n v="70"/>
    <n v="2"/>
    <n v="1"/>
    <s v="Nurse"/>
    <n v="2"/>
    <s v="Poor"/>
    <x v="1"/>
    <n v="2332"/>
    <x v="1"/>
    <n v="3974"/>
    <n v="6"/>
    <s v="Y"/>
    <s v="No"/>
    <n v="20"/>
    <x v="1"/>
    <s v="High Performance"/>
    <n v="3"/>
    <n v="80"/>
    <n v="0"/>
    <n v="5"/>
    <n v="3"/>
    <n v="3"/>
    <s v="Fair"/>
    <n v="3"/>
    <n v="0"/>
    <n v="0"/>
    <n v="2"/>
  </r>
  <r>
    <n v="1117151"/>
    <n v="25"/>
    <x v="4"/>
    <s v="Yes"/>
    <x v="1"/>
    <x v="0"/>
    <n v="867"/>
    <x v="0"/>
    <n v="19"/>
    <n v="2"/>
    <x v="3"/>
    <n v="1"/>
    <n v="3"/>
    <x v="1"/>
    <n v="36"/>
    <n v="2"/>
    <n v="1"/>
    <s v="Other"/>
    <n v="2"/>
    <s v="Poor"/>
    <x v="1"/>
    <n v="2413"/>
    <x v="1"/>
    <n v="18798"/>
    <n v="1"/>
    <s v="Y"/>
    <s v="Yes"/>
    <n v="18"/>
    <x v="0"/>
    <s v="Low Performance"/>
    <n v="3"/>
    <n v="80"/>
    <n v="3"/>
    <n v="1"/>
    <n v="2"/>
    <n v="3"/>
    <s v="Fair"/>
    <n v="1"/>
    <n v="0"/>
    <n v="0"/>
    <n v="0"/>
  </r>
  <r>
    <n v="1732657"/>
    <n v="40"/>
    <x v="0"/>
    <s v="No"/>
    <x v="0"/>
    <x v="0"/>
    <n v="658"/>
    <x v="0"/>
    <n v="10"/>
    <n v="4"/>
    <x v="3"/>
    <n v="1"/>
    <n v="1"/>
    <x v="1"/>
    <n v="67"/>
    <n v="2"/>
    <n v="3"/>
    <s v="Nurse"/>
    <n v="2"/>
    <s v="Poor"/>
    <x v="2"/>
    <n v="9705"/>
    <x v="0"/>
    <n v="20652"/>
    <n v="2"/>
    <s v="Y"/>
    <s v="No"/>
    <n v="12"/>
    <x v="0"/>
    <s v="Low Performance"/>
    <n v="2"/>
    <n v="80"/>
    <n v="1"/>
    <n v="11"/>
    <n v="2"/>
    <n v="2"/>
    <s v="Poor"/>
    <n v="1"/>
    <n v="0"/>
    <n v="0"/>
    <n v="0"/>
  </r>
  <r>
    <n v="1840229"/>
    <n v="26"/>
    <x v="2"/>
    <s v="No"/>
    <x v="0"/>
    <x v="1"/>
    <n v="1283"/>
    <x v="0"/>
    <n v="1"/>
    <n v="3"/>
    <x v="2"/>
    <n v="1"/>
    <n v="3"/>
    <x v="1"/>
    <n v="52"/>
    <n v="2"/>
    <n v="2"/>
    <s v="Nurse"/>
    <n v="1"/>
    <s v="Poor"/>
    <x v="0"/>
    <n v="4294"/>
    <x v="1"/>
    <n v="11148"/>
    <n v="1"/>
    <s v="Y"/>
    <s v="No"/>
    <n v="12"/>
    <x v="0"/>
    <s v="Low Performance"/>
    <n v="2"/>
    <n v="80"/>
    <n v="0"/>
    <n v="7"/>
    <n v="2"/>
    <n v="3"/>
    <s v="Fair"/>
    <n v="7"/>
    <n v="7"/>
    <n v="0"/>
    <n v="7"/>
  </r>
  <r>
    <n v="1179217"/>
    <n v="41"/>
    <x v="0"/>
    <s v="No"/>
    <x v="0"/>
    <x v="0"/>
    <n v="263"/>
    <x v="1"/>
    <n v="6"/>
    <n v="3"/>
    <x v="2"/>
    <n v="1"/>
    <n v="4"/>
    <x v="1"/>
    <n v="59"/>
    <n v="3"/>
    <n v="1"/>
    <s v="Nurse"/>
    <n v="1"/>
    <s v="Poor"/>
    <x v="0"/>
    <n v="4721"/>
    <x v="1"/>
    <n v="3119"/>
    <n v="2"/>
    <s v="Y"/>
    <s v="Yes"/>
    <n v="13"/>
    <x v="0"/>
    <s v="Low Performance"/>
    <n v="3"/>
    <n v="80"/>
    <n v="0"/>
    <n v="20"/>
    <n v="3"/>
    <n v="3"/>
    <s v="Fair"/>
    <n v="18"/>
    <n v="13"/>
    <n v="2"/>
    <n v="17"/>
  </r>
  <r>
    <n v="1612583"/>
    <n v="36"/>
    <x v="0"/>
    <s v="No"/>
    <x v="0"/>
    <x v="0"/>
    <n v="938"/>
    <x v="1"/>
    <n v="2"/>
    <n v="4"/>
    <x v="2"/>
    <n v="1"/>
    <n v="3"/>
    <x v="1"/>
    <n v="79"/>
    <n v="3"/>
    <n v="1"/>
    <s v="Nurse"/>
    <n v="3"/>
    <s v="Fair"/>
    <x v="0"/>
    <n v="2519"/>
    <x v="1"/>
    <n v="12287"/>
    <n v="4"/>
    <s v="Y"/>
    <s v="No"/>
    <n v="21"/>
    <x v="1"/>
    <s v="High Performance"/>
    <n v="3"/>
    <n v="80"/>
    <n v="0"/>
    <n v="16"/>
    <n v="6"/>
    <n v="3"/>
    <s v="Fair"/>
    <n v="11"/>
    <n v="8"/>
    <n v="3"/>
    <n v="9"/>
  </r>
  <r>
    <n v="1115854"/>
    <n v="19"/>
    <x v="4"/>
    <s v="Yes"/>
    <x v="1"/>
    <x v="0"/>
    <n v="419"/>
    <x v="0"/>
    <n v="21"/>
    <n v="3"/>
    <x v="1"/>
    <n v="1"/>
    <n v="4"/>
    <x v="1"/>
    <n v="37"/>
    <n v="2"/>
    <n v="1"/>
    <s v="Other"/>
    <n v="2"/>
    <s v="Poor"/>
    <x v="0"/>
    <n v="2121"/>
    <x v="1"/>
    <n v="9947"/>
    <n v="1"/>
    <s v="Y"/>
    <s v="Yes"/>
    <n v="13"/>
    <x v="0"/>
    <s v="Low Performance"/>
    <n v="2"/>
    <n v="80"/>
    <n v="0"/>
    <n v="1"/>
    <n v="3"/>
    <n v="4"/>
    <s v="Good"/>
    <n v="1"/>
    <n v="0"/>
    <n v="0"/>
    <n v="0"/>
  </r>
  <r>
    <n v="1306693"/>
    <n v="20"/>
    <x v="4"/>
    <s v="Yes"/>
    <x v="1"/>
    <x v="0"/>
    <n v="129"/>
    <x v="1"/>
    <n v="4"/>
    <n v="3"/>
    <x v="4"/>
    <n v="1"/>
    <n v="1"/>
    <x v="1"/>
    <n v="84"/>
    <n v="3"/>
    <n v="1"/>
    <s v="Nurse"/>
    <n v="1"/>
    <s v="Poor"/>
    <x v="0"/>
    <n v="2973"/>
    <x v="1"/>
    <n v="13008"/>
    <n v="1"/>
    <s v="Y"/>
    <s v="No"/>
    <n v="19"/>
    <x v="0"/>
    <s v="Low Performance"/>
    <n v="2"/>
    <n v="80"/>
    <n v="0"/>
    <n v="1"/>
    <n v="2"/>
    <n v="3"/>
    <s v="Fair"/>
    <n v="1"/>
    <n v="0"/>
    <n v="0"/>
    <n v="0"/>
  </r>
  <r>
    <n v="1142961"/>
    <n v="31"/>
    <x v="2"/>
    <s v="No"/>
    <x v="0"/>
    <x v="0"/>
    <n v="616"/>
    <x v="1"/>
    <n v="12"/>
    <n v="3"/>
    <x v="2"/>
    <n v="1"/>
    <n v="4"/>
    <x v="0"/>
    <n v="41"/>
    <n v="3"/>
    <n v="2"/>
    <s v="Nurse"/>
    <n v="4"/>
    <s v="Good"/>
    <x v="1"/>
    <n v="5855"/>
    <x v="0"/>
    <n v="17369"/>
    <n v="0"/>
    <s v="Y"/>
    <s v="Yes"/>
    <n v="11"/>
    <x v="0"/>
    <s v="Low Performance"/>
    <n v="3"/>
    <n v="80"/>
    <n v="2"/>
    <n v="10"/>
    <n v="2"/>
    <n v="1"/>
    <s v="Poor"/>
    <n v="9"/>
    <n v="7"/>
    <n v="8"/>
    <n v="5"/>
  </r>
  <r>
    <n v="1578228"/>
    <n v="40"/>
    <x v="0"/>
    <s v="No"/>
    <x v="0"/>
    <x v="1"/>
    <n v="1469"/>
    <x v="1"/>
    <n v="9"/>
    <n v="4"/>
    <x v="2"/>
    <n v="1"/>
    <n v="4"/>
    <x v="1"/>
    <n v="35"/>
    <n v="3"/>
    <n v="1"/>
    <s v="Other"/>
    <n v="2"/>
    <s v="Poor"/>
    <x v="2"/>
    <n v="3617"/>
    <x v="1"/>
    <n v="25063"/>
    <n v="8"/>
    <s v="Y"/>
    <s v="Yes"/>
    <n v="14"/>
    <x v="0"/>
    <s v="Low Performance"/>
    <n v="4"/>
    <n v="80"/>
    <n v="1"/>
    <n v="3"/>
    <n v="2"/>
    <n v="3"/>
    <s v="Fair"/>
    <n v="1"/>
    <n v="1"/>
    <n v="0"/>
    <n v="0"/>
  </r>
  <r>
    <n v="1607811"/>
    <n v="32"/>
    <x v="2"/>
    <s v="No"/>
    <x v="0"/>
    <x v="0"/>
    <n v="498"/>
    <x v="2"/>
    <n v="3"/>
    <n v="4"/>
    <x v="2"/>
    <n v="1"/>
    <n v="3"/>
    <x v="0"/>
    <n v="93"/>
    <n v="3"/>
    <n v="2"/>
    <s v="Therapist"/>
    <n v="1"/>
    <s v="Poor"/>
    <x v="1"/>
    <n v="6725"/>
    <x v="0"/>
    <n v="13554"/>
    <n v="1"/>
    <s v="Y"/>
    <s v="No"/>
    <n v="12"/>
    <x v="0"/>
    <s v="Low Performance"/>
    <n v="3"/>
    <n v="80"/>
    <n v="1"/>
    <n v="8"/>
    <n v="2"/>
    <n v="4"/>
    <s v="Good"/>
    <n v="8"/>
    <n v="7"/>
    <n v="6"/>
    <n v="3"/>
  </r>
  <r>
    <n v="1157826"/>
    <n v="36"/>
    <x v="0"/>
    <s v="No"/>
    <x v="0"/>
    <x v="0"/>
    <n v="530"/>
    <x v="0"/>
    <n v="3"/>
    <n v="1"/>
    <x v="0"/>
    <n v="1"/>
    <n v="3"/>
    <x v="1"/>
    <n v="51"/>
    <n v="2"/>
    <n v="3"/>
    <s v="Nurse"/>
    <n v="4"/>
    <s v="Good"/>
    <x v="1"/>
    <n v="10325"/>
    <x v="0"/>
    <n v="5518"/>
    <n v="1"/>
    <s v="Y"/>
    <s v="Yes"/>
    <n v="11"/>
    <x v="0"/>
    <s v="Low Performance"/>
    <n v="1"/>
    <n v="80"/>
    <n v="1"/>
    <n v="16"/>
    <n v="6"/>
    <n v="3"/>
    <s v="Fair"/>
    <n v="16"/>
    <n v="7"/>
    <n v="3"/>
    <n v="7"/>
  </r>
  <r>
    <n v="1863388"/>
    <n v="33"/>
    <x v="2"/>
    <s v="No"/>
    <x v="0"/>
    <x v="0"/>
    <n v="1069"/>
    <x v="1"/>
    <n v="1"/>
    <n v="3"/>
    <x v="0"/>
    <n v="1"/>
    <n v="2"/>
    <x v="0"/>
    <n v="42"/>
    <n v="2"/>
    <n v="2"/>
    <s v="Nurse"/>
    <n v="4"/>
    <s v="Good"/>
    <x v="0"/>
    <n v="6949"/>
    <x v="0"/>
    <n v="12291"/>
    <n v="0"/>
    <s v="Y"/>
    <s v="No"/>
    <n v="14"/>
    <x v="0"/>
    <s v="Low Performance"/>
    <n v="1"/>
    <n v="80"/>
    <n v="0"/>
    <n v="6"/>
    <n v="3"/>
    <n v="3"/>
    <s v="Fair"/>
    <n v="5"/>
    <n v="0"/>
    <n v="1"/>
    <n v="4"/>
  </r>
  <r>
    <n v="1818424"/>
    <n v="37"/>
    <x v="0"/>
    <s v="Yes"/>
    <x v="1"/>
    <x v="0"/>
    <n v="625"/>
    <x v="0"/>
    <n v="1"/>
    <n v="4"/>
    <x v="0"/>
    <n v="1"/>
    <n v="1"/>
    <x v="1"/>
    <n v="46"/>
    <n v="2"/>
    <n v="3"/>
    <s v="Nurse"/>
    <n v="3"/>
    <s v="Fair"/>
    <x v="1"/>
    <n v="10609"/>
    <x v="0"/>
    <n v="14922"/>
    <n v="5"/>
    <s v="Y"/>
    <s v="No"/>
    <n v="11"/>
    <x v="0"/>
    <s v="Low Performance"/>
    <n v="3"/>
    <n v="80"/>
    <n v="0"/>
    <n v="17"/>
    <n v="2"/>
    <n v="1"/>
    <s v="Poor"/>
    <n v="14"/>
    <n v="1"/>
    <n v="11"/>
    <n v="7"/>
  </r>
  <r>
    <n v="1707397"/>
    <n v="45"/>
    <x v="0"/>
    <s v="No"/>
    <x v="0"/>
    <x v="2"/>
    <n v="805"/>
    <x v="1"/>
    <n v="4"/>
    <n v="2"/>
    <x v="0"/>
    <n v="1"/>
    <n v="3"/>
    <x v="1"/>
    <n v="57"/>
    <n v="3"/>
    <n v="2"/>
    <s v="Nurse"/>
    <n v="2"/>
    <s v="Poor"/>
    <x v="1"/>
    <n v="4447"/>
    <x v="1"/>
    <n v="23163"/>
    <n v="1"/>
    <s v="Y"/>
    <s v="No"/>
    <n v="12"/>
    <x v="0"/>
    <s v="Low Performance"/>
    <n v="2"/>
    <n v="80"/>
    <n v="0"/>
    <n v="9"/>
    <n v="5"/>
    <n v="2"/>
    <s v="Poor"/>
    <n v="9"/>
    <n v="7"/>
    <n v="0"/>
    <n v="8"/>
  </r>
  <r>
    <n v="1742953"/>
    <n v="29"/>
    <x v="2"/>
    <s v="No"/>
    <x v="0"/>
    <x v="1"/>
    <n v="1404"/>
    <x v="0"/>
    <n v="20"/>
    <n v="3"/>
    <x v="4"/>
    <n v="1"/>
    <n v="3"/>
    <x v="0"/>
    <n v="84"/>
    <n v="3"/>
    <n v="1"/>
    <s v="Other"/>
    <n v="4"/>
    <s v="Good"/>
    <x v="1"/>
    <n v="2157"/>
    <x v="1"/>
    <n v="18203"/>
    <n v="1"/>
    <s v="Y"/>
    <s v="No"/>
    <n v="15"/>
    <x v="0"/>
    <s v="Low Performance"/>
    <n v="2"/>
    <n v="80"/>
    <n v="1"/>
    <n v="3"/>
    <n v="5"/>
    <n v="3"/>
    <s v="Fair"/>
    <n v="3"/>
    <n v="1"/>
    <n v="0"/>
    <n v="2"/>
  </r>
  <r>
    <n v="1416528"/>
    <n v="35"/>
    <x v="2"/>
    <s v="No"/>
    <x v="0"/>
    <x v="0"/>
    <n v="1219"/>
    <x v="0"/>
    <n v="18"/>
    <n v="3"/>
    <x v="2"/>
    <n v="1"/>
    <n v="3"/>
    <x v="0"/>
    <n v="86"/>
    <n v="3"/>
    <n v="2"/>
    <s v="Nurse"/>
    <n v="3"/>
    <s v="Fair"/>
    <x v="1"/>
    <n v="4601"/>
    <x v="1"/>
    <n v="6179"/>
    <n v="1"/>
    <s v="Y"/>
    <s v="No"/>
    <n v="16"/>
    <x v="0"/>
    <s v="Low Performance"/>
    <n v="2"/>
    <n v="80"/>
    <n v="0"/>
    <n v="5"/>
    <n v="3"/>
    <n v="3"/>
    <s v="Fair"/>
    <n v="5"/>
    <n v="2"/>
    <n v="1"/>
    <n v="0"/>
  </r>
  <r>
    <n v="1376209"/>
    <n v="52"/>
    <x v="1"/>
    <s v="No"/>
    <x v="0"/>
    <x v="0"/>
    <n v="1053"/>
    <x v="2"/>
    <n v="1"/>
    <n v="2"/>
    <x v="0"/>
    <n v="1"/>
    <n v="4"/>
    <x v="1"/>
    <n v="70"/>
    <n v="3"/>
    <n v="4"/>
    <s v="Other"/>
    <n v="4"/>
    <s v="Good"/>
    <x v="1"/>
    <n v="17099"/>
    <x v="2"/>
    <n v="13829"/>
    <n v="2"/>
    <s v="Y"/>
    <s v="No"/>
    <n v="15"/>
    <x v="0"/>
    <s v="Low Performance"/>
    <n v="2"/>
    <n v="80"/>
    <n v="1"/>
    <n v="26"/>
    <n v="2"/>
    <n v="2"/>
    <s v="Poor"/>
    <n v="9"/>
    <n v="8"/>
    <n v="7"/>
    <n v="8"/>
  </r>
  <r>
    <n v="1238813"/>
    <n v="58"/>
    <x v="3"/>
    <s v="No"/>
    <x v="0"/>
    <x v="0"/>
    <n v="289"/>
    <x v="1"/>
    <n v="2"/>
    <n v="3"/>
    <x v="4"/>
    <n v="1"/>
    <n v="4"/>
    <x v="1"/>
    <n v="51"/>
    <n v="3"/>
    <n v="1"/>
    <s v="Other"/>
    <n v="3"/>
    <s v="Fair"/>
    <x v="0"/>
    <n v="2479"/>
    <x v="1"/>
    <n v="26227"/>
    <n v="4"/>
    <s v="Y"/>
    <s v="No"/>
    <n v="24"/>
    <x v="1"/>
    <s v="High Performance"/>
    <n v="1"/>
    <n v="80"/>
    <n v="0"/>
    <n v="7"/>
    <n v="4"/>
    <n v="3"/>
    <s v="Fair"/>
    <n v="1"/>
    <n v="0"/>
    <n v="0"/>
    <n v="0"/>
  </r>
  <r>
    <n v="1715239"/>
    <n v="53"/>
    <x v="1"/>
    <s v="No"/>
    <x v="0"/>
    <x v="0"/>
    <n v="1376"/>
    <x v="0"/>
    <n v="2"/>
    <n v="2"/>
    <x v="2"/>
    <n v="1"/>
    <n v="3"/>
    <x v="1"/>
    <n v="45"/>
    <n v="3"/>
    <n v="4"/>
    <s v="Administrative"/>
    <n v="3"/>
    <s v="Fair"/>
    <x v="2"/>
    <n v="14852"/>
    <x v="2"/>
    <n v="13938"/>
    <n v="6"/>
    <s v="Y"/>
    <s v="No"/>
    <n v="13"/>
    <x v="0"/>
    <s v="Low Performance"/>
    <n v="3"/>
    <n v="80"/>
    <n v="1"/>
    <n v="22"/>
    <n v="3"/>
    <n v="4"/>
    <s v="Good"/>
    <n v="17"/>
    <n v="13"/>
    <n v="15"/>
    <n v="2"/>
  </r>
  <r>
    <n v="1688979"/>
    <n v="30"/>
    <x v="2"/>
    <s v="No"/>
    <x v="0"/>
    <x v="0"/>
    <n v="231"/>
    <x v="0"/>
    <n v="8"/>
    <n v="2"/>
    <x v="1"/>
    <n v="1"/>
    <n v="3"/>
    <x v="1"/>
    <n v="62"/>
    <n v="3"/>
    <n v="3"/>
    <s v="Nurse"/>
    <n v="3"/>
    <s v="Fair"/>
    <x v="2"/>
    <n v="7264"/>
    <x v="0"/>
    <n v="9977"/>
    <n v="5"/>
    <s v="Y"/>
    <s v="No"/>
    <n v="11"/>
    <x v="0"/>
    <s v="Low Performance"/>
    <n v="1"/>
    <n v="80"/>
    <n v="1"/>
    <n v="10"/>
    <n v="2"/>
    <n v="4"/>
    <s v="Good"/>
    <n v="8"/>
    <n v="4"/>
    <n v="7"/>
    <n v="7"/>
  </r>
  <r>
    <n v="1297623"/>
    <n v="38"/>
    <x v="0"/>
    <s v="No"/>
    <x v="0"/>
    <x v="2"/>
    <n v="152"/>
    <x v="0"/>
    <n v="10"/>
    <n v="3"/>
    <x v="4"/>
    <n v="1"/>
    <n v="3"/>
    <x v="0"/>
    <n v="85"/>
    <n v="3"/>
    <n v="2"/>
    <s v="Nurse"/>
    <n v="4"/>
    <s v="Good"/>
    <x v="0"/>
    <n v="5666"/>
    <x v="0"/>
    <n v="19899"/>
    <n v="1"/>
    <s v="Y"/>
    <s v="Yes"/>
    <n v="13"/>
    <x v="0"/>
    <s v="Low Performance"/>
    <n v="2"/>
    <n v="80"/>
    <n v="0"/>
    <n v="6"/>
    <n v="1"/>
    <n v="3"/>
    <s v="Fair"/>
    <n v="5"/>
    <n v="3"/>
    <n v="1"/>
    <n v="3"/>
  </r>
  <r>
    <n v="1685947"/>
    <n v="35"/>
    <x v="2"/>
    <s v="No"/>
    <x v="0"/>
    <x v="0"/>
    <n v="882"/>
    <x v="0"/>
    <n v="3"/>
    <n v="4"/>
    <x v="0"/>
    <n v="1"/>
    <n v="4"/>
    <x v="1"/>
    <n v="92"/>
    <n v="3"/>
    <n v="3"/>
    <s v="Nurse"/>
    <n v="4"/>
    <s v="Good"/>
    <x v="2"/>
    <n v="7823"/>
    <x v="0"/>
    <n v="6812"/>
    <n v="6"/>
    <s v="Y"/>
    <s v="No"/>
    <n v="13"/>
    <x v="0"/>
    <s v="Low Performance"/>
    <n v="2"/>
    <n v="80"/>
    <n v="1"/>
    <n v="12"/>
    <n v="2"/>
    <n v="3"/>
    <s v="Fair"/>
    <n v="10"/>
    <n v="9"/>
    <n v="0"/>
    <n v="8"/>
  </r>
  <r>
    <n v="1785279"/>
    <n v="39"/>
    <x v="0"/>
    <s v="No"/>
    <x v="0"/>
    <x v="0"/>
    <n v="903"/>
    <x v="0"/>
    <n v="2"/>
    <n v="5"/>
    <x v="0"/>
    <n v="1"/>
    <n v="1"/>
    <x v="1"/>
    <n v="41"/>
    <n v="4"/>
    <n v="3"/>
    <s v="Nurse"/>
    <n v="3"/>
    <s v="Fair"/>
    <x v="0"/>
    <n v="7880"/>
    <x v="0"/>
    <n v="2560"/>
    <n v="0"/>
    <s v="Y"/>
    <s v="No"/>
    <n v="18"/>
    <x v="0"/>
    <s v="Low Performance"/>
    <n v="4"/>
    <n v="80"/>
    <n v="0"/>
    <n v="9"/>
    <n v="3"/>
    <n v="3"/>
    <s v="Fair"/>
    <n v="8"/>
    <n v="7"/>
    <n v="0"/>
    <n v="7"/>
  </r>
  <r>
    <n v="1378606"/>
    <n v="40"/>
    <x v="0"/>
    <s v="Yes"/>
    <x v="1"/>
    <x v="2"/>
    <n v="1479"/>
    <x v="0"/>
    <n v="24"/>
    <n v="3"/>
    <x v="0"/>
    <n v="1"/>
    <n v="2"/>
    <x v="0"/>
    <n v="100"/>
    <n v="4"/>
    <n v="4"/>
    <s v="Nurse"/>
    <n v="2"/>
    <s v="Poor"/>
    <x v="0"/>
    <n v="13194"/>
    <x v="2"/>
    <n v="17071"/>
    <n v="4"/>
    <s v="Y"/>
    <s v="Yes"/>
    <n v="16"/>
    <x v="0"/>
    <s v="Low Performance"/>
    <n v="4"/>
    <n v="80"/>
    <n v="0"/>
    <n v="22"/>
    <n v="2"/>
    <n v="2"/>
    <s v="Poor"/>
    <n v="1"/>
    <n v="0"/>
    <n v="0"/>
    <n v="0"/>
  </r>
  <r>
    <n v="1118201"/>
    <n v="47"/>
    <x v="1"/>
    <s v="No"/>
    <x v="0"/>
    <x v="1"/>
    <n v="1379"/>
    <x v="1"/>
    <n v="16"/>
    <n v="4"/>
    <x v="2"/>
    <n v="1"/>
    <n v="3"/>
    <x v="1"/>
    <n v="64"/>
    <n v="4"/>
    <n v="2"/>
    <s v="Therapist"/>
    <n v="3"/>
    <s v="Fair"/>
    <x v="2"/>
    <n v="5067"/>
    <x v="0"/>
    <n v="6759"/>
    <n v="1"/>
    <s v="Y"/>
    <s v="Yes"/>
    <n v="19"/>
    <x v="0"/>
    <s v="Low Performance"/>
    <n v="3"/>
    <n v="80"/>
    <n v="0"/>
    <n v="20"/>
    <n v="3"/>
    <n v="4"/>
    <s v="Good"/>
    <n v="19"/>
    <n v="10"/>
    <n v="2"/>
    <n v="7"/>
  </r>
  <r>
    <n v="1866341"/>
    <n v="36"/>
    <x v="0"/>
    <s v="No"/>
    <x v="0"/>
    <x v="2"/>
    <n v="1229"/>
    <x v="0"/>
    <n v="8"/>
    <n v="4"/>
    <x v="4"/>
    <n v="1"/>
    <n v="1"/>
    <x v="1"/>
    <n v="84"/>
    <n v="3"/>
    <n v="2"/>
    <s v="Nurse"/>
    <n v="4"/>
    <s v="Good"/>
    <x v="2"/>
    <n v="5079"/>
    <x v="0"/>
    <n v="25952"/>
    <n v="4"/>
    <s v="Y"/>
    <s v="No"/>
    <n v="13"/>
    <x v="0"/>
    <s v="Low Performance"/>
    <n v="4"/>
    <n v="80"/>
    <n v="2"/>
    <n v="12"/>
    <n v="3"/>
    <n v="3"/>
    <s v="Fair"/>
    <n v="7"/>
    <n v="7"/>
    <n v="0"/>
    <n v="7"/>
  </r>
  <r>
    <n v="1649317"/>
    <n v="31"/>
    <x v="2"/>
    <s v="Yes"/>
    <x v="1"/>
    <x v="2"/>
    <n v="335"/>
    <x v="1"/>
    <n v="9"/>
    <n v="2"/>
    <x v="2"/>
    <n v="1"/>
    <n v="3"/>
    <x v="1"/>
    <n v="46"/>
    <n v="2"/>
    <n v="1"/>
    <s v="Other"/>
    <n v="1"/>
    <s v="Poor"/>
    <x v="0"/>
    <n v="2321"/>
    <x v="1"/>
    <n v="10322"/>
    <n v="0"/>
    <s v="Y"/>
    <s v="Yes"/>
    <n v="22"/>
    <x v="1"/>
    <s v="High Performance"/>
    <n v="1"/>
    <n v="80"/>
    <n v="0"/>
    <n v="4"/>
    <n v="0"/>
    <n v="3"/>
    <s v="Fair"/>
    <n v="3"/>
    <n v="2"/>
    <n v="1"/>
    <n v="2"/>
  </r>
  <r>
    <n v="1281310"/>
    <n v="33"/>
    <x v="2"/>
    <s v="No"/>
    <x v="0"/>
    <x v="2"/>
    <n v="722"/>
    <x v="0"/>
    <n v="17"/>
    <n v="3"/>
    <x v="0"/>
    <n v="1"/>
    <n v="4"/>
    <x v="1"/>
    <n v="38"/>
    <n v="3"/>
    <n v="4"/>
    <s v="Administrative"/>
    <n v="3"/>
    <s v="Fair"/>
    <x v="0"/>
    <n v="17444"/>
    <x v="2"/>
    <n v="20489"/>
    <n v="1"/>
    <s v="Y"/>
    <s v="No"/>
    <n v="11"/>
    <x v="0"/>
    <s v="Low Performance"/>
    <n v="4"/>
    <n v="80"/>
    <n v="0"/>
    <n v="10"/>
    <n v="2"/>
    <n v="3"/>
    <s v="Fair"/>
    <n v="10"/>
    <n v="8"/>
    <n v="6"/>
    <n v="0"/>
  </r>
  <r>
    <n v="1658398"/>
    <n v="29"/>
    <x v="2"/>
    <s v="Yes"/>
    <x v="1"/>
    <x v="0"/>
    <n v="906"/>
    <x v="1"/>
    <n v="10"/>
    <n v="3"/>
    <x v="0"/>
    <n v="1"/>
    <n v="4"/>
    <x v="0"/>
    <n v="92"/>
    <n v="2"/>
    <n v="1"/>
    <s v="Other"/>
    <n v="1"/>
    <s v="Poor"/>
    <x v="0"/>
    <n v="2404"/>
    <x v="1"/>
    <n v="11479"/>
    <n v="6"/>
    <s v="Y"/>
    <s v="Yes"/>
    <n v="20"/>
    <x v="1"/>
    <s v="High Performance"/>
    <n v="3"/>
    <n v="80"/>
    <n v="0"/>
    <n v="3"/>
    <n v="5"/>
    <n v="3"/>
    <s v="Fair"/>
    <n v="0"/>
    <n v="0"/>
    <n v="0"/>
    <n v="0"/>
  </r>
  <r>
    <n v="1462108"/>
    <n v="33"/>
    <x v="2"/>
    <s v="No"/>
    <x v="0"/>
    <x v="0"/>
    <n v="461"/>
    <x v="1"/>
    <n v="13"/>
    <n v="1"/>
    <x v="0"/>
    <n v="1"/>
    <n v="2"/>
    <x v="0"/>
    <n v="53"/>
    <n v="3"/>
    <n v="1"/>
    <s v="Other"/>
    <n v="4"/>
    <s v="Good"/>
    <x v="0"/>
    <n v="3452"/>
    <x v="1"/>
    <n v="17241"/>
    <n v="3"/>
    <s v="Y"/>
    <s v="No"/>
    <n v="18"/>
    <x v="0"/>
    <s v="Low Performance"/>
    <n v="1"/>
    <n v="80"/>
    <n v="0"/>
    <n v="5"/>
    <n v="4"/>
    <n v="3"/>
    <s v="Fair"/>
    <n v="3"/>
    <n v="2"/>
    <n v="0"/>
    <n v="2"/>
  </r>
  <r>
    <n v="1790357"/>
    <n v="45"/>
    <x v="0"/>
    <s v="No"/>
    <x v="0"/>
    <x v="0"/>
    <n v="974"/>
    <x v="1"/>
    <n v="1"/>
    <n v="4"/>
    <x v="2"/>
    <n v="1"/>
    <n v="4"/>
    <x v="0"/>
    <n v="91"/>
    <n v="3"/>
    <n v="1"/>
    <s v="Nurse"/>
    <n v="4"/>
    <s v="Good"/>
    <x v="2"/>
    <n v="2270"/>
    <x v="1"/>
    <n v="11005"/>
    <n v="3"/>
    <s v="Y"/>
    <s v="No"/>
    <n v="14"/>
    <x v="0"/>
    <s v="Low Performance"/>
    <n v="4"/>
    <n v="80"/>
    <n v="2"/>
    <n v="8"/>
    <n v="2"/>
    <n v="3"/>
    <s v="Fair"/>
    <n v="5"/>
    <n v="3"/>
    <n v="0"/>
    <n v="2"/>
  </r>
  <r>
    <n v="1752868"/>
    <n v="50"/>
    <x v="1"/>
    <s v="No"/>
    <x v="0"/>
    <x v="0"/>
    <n v="1126"/>
    <x v="1"/>
    <n v="1"/>
    <n v="2"/>
    <x v="2"/>
    <n v="1"/>
    <n v="4"/>
    <x v="1"/>
    <n v="66"/>
    <n v="3"/>
    <n v="4"/>
    <s v="Administrative"/>
    <n v="4"/>
    <s v="Good"/>
    <x v="2"/>
    <n v="17399"/>
    <x v="2"/>
    <n v="6615"/>
    <n v="9"/>
    <s v="Y"/>
    <s v="No"/>
    <n v="22"/>
    <x v="1"/>
    <s v="High Performance"/>
    <n v="3"/>
    <n v="80"/>
    <n v="1"/>
    <n v="32"/>
    <n v="1"/>
    <n v="2"/>
    <s v="Poor"/>
    <n v="5"/>
    <n v="4"/>
    <n v="1"/>
    <n v="3"/>
  </r>
  <r>
    <n v="1324348"/>
    <n v="33"/>
    <x v="2"/>
    <s v="No"/>
    <x v="0"/>
    <x v="1"/>
    <n v="827"/>
    <x v="1"/>
    <n v="1"/>
    <n v="4"/>
    <x v="1"/>
    <n v="1"/>
    <n v="3"/>
    <x v="0"/>
    <n v="84"/>
    <n v="4"/>
    <n v="2"/>
    <s v="Nurse"/>
    <n v="2"/>
    <s v="Poor"/>
    <x v="1"/>
    <n v="5488"/>
    <x v="0"/>
    <n v="20161"/>
    <n v="1"/>
    <s v="Y"/>
    <s v="Yes"/>
    <n v="13"/>
    <x v="0"/>
    <s v="Low Performance"/>
    <n v="1"/>
    <n v="80"/>
    <n v="1"/>
    <n v="6"/>
    <n v="2"/>
    <n v="3"/>
    <s v="Fair"/>
    <n v="6"/>
    <n v="5"/>
    <n v="1"/>
    <n v="2"/>
  </r>
  <r>
    <n v="1576599"/>
    <n v="41"/>
    <x v="0"/>
    <s v="No"/>
    <x v="0"/>
    <x v="1"/>
    <n v="840"/>
    <x v="1"/>
    <n v="9"/>
    <n v="3"/>
    <x v="2"/>
    <n v="1"/>
    <n v="1"/>
    <x v="1"/>
    <n v="64"/>
    <n v="3"/>
    <n v="5"/>
    <s v="Administrative"/>
    <n v="3"/>
    <s v="Fair"/>
    <x v="2"/>
    <n v="19419"/>
    <x v="2"/>
    <n v="3735"/>
    <n v="2"/>
    <s v="Y"/>
    <s v="No"/>
    <n v="17"/>
    <x v="0"/>
    <s v="Low Performance"/>
    <n v="2"/>
    <n v="80"/>
    <n v="1"/>
    <n v="21"/>
    <n v="2"/>
    <n v="4"/>
    <s v="Good"/>
    <n v="18"/>
    <n v="16"/>
    <n v="0"/>
    <n v="11"/>
  </r>
  <r>
    <n v="1381113"/>
    <n v="27"/>
    <x v="2"/>
    <s v="No"/>
    <x v="0"/>
    <x v="0"/>
    <n v="1134"/>
    <x v="1"/>
    <n v="16"/>
    <n v="4"/>
    <x v="4"/>
    <n v="1"/>
    <n v="3"/>
    <x v="0"/>
    <n v="37"/>
    <n v="3"/>
    <n v="1"/>
    <s v="Nurse"/>
    <n v="2"/>
    <s v="Poor"/>
    <x v="1"/>
    <n v="2811"/>
    <x v="1"/>
    <n v="12086"/>
    <n v="9"/>
    <s v="Y"/>
    <s v="No"/>
    <n v="14"/>
    <x v="0"/>
    <s v="Low Performance"/>
    <n v="2"/>
    <n v="80"/>
    <n v="1"/>
    <n v="4"/>
    <n v="2"/>
    <n v="3"/>
    <s v="Fair"/>
    <n v="2"/>
    <n v="2"/>
    <n v="2"/>
    <n v="2"/>
  </r>
  <r>
    <n v="1591865"/>
    <n v="45"/>
    <x v="0"/>
    <s v="No"/>
    <x v="0"/>
    <x v="2"/>
    <n v="248"/>
    <x v="1"/>
    <n v="23"/>
    <n v="2"/>
    <x v="0"/>
    <n v="1"/>
    <n v="4"/>
    <x v="1"/>
    <n v="42"/>
    <n v="3"/>
    <n v="2"/>
    <s v="Nurse"/>
    <n v="1"/>
    <s v="Poor"/>
    <x v="1"/>
    <n v="3633"/>
    <x v="1"/>
    <n v="14039"/>
    <n v="1"/>
    <s v="Y"/>
    <s v="Yes"/>
    <n v="15"/>
    <x v="0"/>
    <s v="Low Performance"/>
    <n v="3"/>
    <n v="80"/>
    <n v="1"/>
    <n v="9"/>
    <n v="2"/>
    <n v="3"/>
    <s v="Fair"/>
    <n v="9"/>
    <n v="8"/>
    <n v="0"/>
    <n v="8"/>
  </r>
  <r>
    <n v="1321447"/>
    <n v="47"/>
    <x v="1"/>
    <s v="No"/>
    <x v="0"/>
    <x v="0"/>
    <n v="955"/>
    <x v="0"/>
    <n v="4"/>
    <n v="2"/>
    <x v="0"/>
    <n v="1"/>
    <n v="4"/>
    <x v="0"/>
    <n v="83"/>
    <n v="3"/>
    <n v="2"/>
    <s v="Nurse"/>
    <n v="4"/>
    <s v="Good"/>
    <x v="0"/>
    <n v="4163"/>
    <x v="1"/>
    <n v="8571"/>
    <n v="1"/>
    <s v="Y"/>
    <s v="Yes"/>
    <n v="17"/>
    <x v="0"/>
    <s v="Low Performance"/>
    <n v="3"/>
    <n v="80"/>
    <n v="0"/>
    <n v="9"/>
    <n v="0"/>
    <n v="3"/>
    <s v="Fair"/>
    <n v="9"/>
    <n v="0"/>
    <n v="0"/>
    <n v="7"/>
  </r>
  <r>
    <n v="1034220"/>
    <n v="30"/>
    <x v="2"/>
    <s v="Yes"/>
    <x v="1"/>
    <x v="0"/>
    <n v="138"/>
    <x v="1"/>
    <n v="22"/>
    <n v="3"/>
    <x v="0"/>
    <n v="1"/>
    <n v="1"/>
    <x v="0"/>
    <n v="48"/>
    <n v="3"/>
    <n v="1"/>
    <s v="Other"/>
    <n v="3"/>
    <s v="Fair"/>
    <x v="1"/>
    <n v="2132"/>
    <x v="1"/>
    <n v="11539"/>
    <n v="4"/>
    <s v="Y"/>
    <s v="Yes"/>
    <n v="11"/>
    <x v="0"/>
    <s v="Low Performance"/>
    <n v="2"/>
    <n v="80"/>
    <n v="0"/>
    <n v="7"/>
    <n v="2"/>
    <n v="3"/>
    <s v="Fair"/>
    <n v="5"/>
    <n v="2"/>
    <n v="0"/>
    <n v="1"/>
  </r>
  <r>
    <n v="1359967"/>
    <n v="50"/>
    <x v="1"/>
    <s v="No"/>
    <x v="0"/>
    <x v="0"/>
    <n v="939"/>
    <x v="1"/>
    <n v="24"/>
    <n v="3"/>
    <x v="0"/>
    <n v="1"/>
    <n v="4"/>
    <x v="1"/>
    <n v="95"/>
    <n v="3"/>
    <n v="4"/>
    <s v="Therapist"/>
    <n v="3"/>
    <s v="Fair"/>
    <x v="1"/>
    <n v="13973"/>
    <x v="2"/>
    <n v="4161"/>
    <n v="3"/>
    <s v="Y"/>
    <s v="Yes"/>
    <n v="18"/>
    <x v="0"/>
    <s v="Low Performance"/>
    <n v="4"/>
    <n v="80"/>
    <n v="1"/>
    <n v="22"/>
    <n v="2"/>
    <n v="3"/>
    <s v="Fair"/>
    <n v="12"/>
    <n v="11"/>
    <n v="1"/>
    <n v="5"/>
  </r>
  <r>
    <n v="1662076"/>
    <n v="38"/>
    <x v="0"/>
    <s v="No"/>
    <x v="0"/>
    <x v="1"/>
    <n v="1391"/>
    <x v="1"/>
    <n v="10"/>
    <n v="1"/>
    <x v="2"/>
    <n v="1"/>
    <n v="3"/>
    <x v="1"/>
    <n v="66"/>
    <n v="3"/>
    <n v="1"/>
    <s v="Other"/>
    <n v="3"/>
    <s v="Fair"/>
    <x v="1"/>
    <n v="2684"/>
    <x v="1"/>
    <n v="12127"/>
    <n v="0"/>
    <s v="Y"/>
    <s v="No"/>
    <n v="17"/>
    <x v="0"/>
    <s v="Low Performance"/>
    <n v="2"/>
    <n v="80"/>
    <n v="1"/>
    <n v="3"/>
    <n v="0"/>
    <n v="2"/>
    <s v="Poor"/>
    <n v="2"/>
    <n v="1"/>
    <n v="0"/>
    <n v="2"/>
  </r>
  <r>
    <n v="1555678"/>
    <n v="46"/>
    <x v="1"/>
    <s v="No"/>
    <x v="0"/>
    <x v="0"/>
    <n v="566"/>
    <x v="2"/>
    <n v="7"/>
    <n v="2"/>
    <x v="2"/>
    <n v="1"/>
    <n v="4"/>
    <x v="1"/>
    <n v="75"/>
    <n v="3"/>
    <n v="3"/>
    <s v="Therapist"/>
    <n v="3"/>
    <s v="Fair"/>
    <x v="2"/>
    <n v="10845"/>
    <x v="0"/>
    <n v="24208"/>
    <n v="6"/>
    <s v="Y"/>
    <s v="No"/>
    <n v="13"/>
    <x v="0"/>
    <s v="Low Performance"/>
    <n v="2"/>
    <n v="80"/>
    <n v="1"/>
    <n v="13"/>
    <n v="3"/>
    <n v="3"/>
    <s v="Fair"/>
    <n v="8"/>
    <n v="7"/>
    <n v="0"/>
    <n v="7"/>
  </r>
  <r>
    <n v="1071870"/>
    <n v="24"/>
    <x v="4"/>
    <s v="No"/>
    <x v="0"/>
    <x v="0"/>
    <n v="1206"/>
    <x v="1"/>
    <n v="17"/>
    <n v="1"/>
    <x v="2"/>
    <n v="1"/>
    <n v="4"/>
    <x v="0"/>
    <n v="41"/>
    <n v="2"/>
    <n v="2"/>
    <s v="Therapist"/>
    <n v="3"/>
    <s v="Fair"/>
    <x v="2"/>
    <n v="4377"/>
    <x v="1"/>
    <n v="24117"/>
    <n v="1"/>
    <s v="Y"/>
    <s v="No"/>
    <n v="15"/>
    <x v="0"/>
    <s v="Low Performance"/>
    <n v="2"/>
    <n v="80"/>
    <n v="2"/>
    <n v="5"/>
    <n v="6"/>
    <n v="3"/>
    <s v="Fair"/>
    <n v="4"/>
    <n v="2"/>
    <n v="3"/>
    <n v="2"/>
  </r>
  <r>
    <n v="1690577"/>
    <n v="35"/>
    <x v="2"/>
    <s v="Yes"/>
    <x v="1"/>
    <x v="0"/>
    <n v="622"/>
    <x v="1"/>
    <n v="14"/>
    <n v="4"/>
    <x v="1"/>
    <n v="1"/>
    <n v="3"/>
    <x v="1"/>
    <n v="39"/>
    <n v="2"/>
    <n v="1"/>
    <s v="Nurse"/>
    <n v="2"/>
    <s v="Poor"/>
    <x v="2"/>
    <n v="3743"/>
    <x v="1"/>
    <n v="10074"/>
    <n v="1"/>
    <s v="Y"/>
    <s v="Yes"/>
    <n v="24"/>
    <x v="1"/>
    <s v="High Performance"/>
    <n v="4"/>
    <n v="80"/>
    <n v="1"/>
    <n v="5"/>
    <n v="2"/>
    <n v="1"/>
    <s v="Poor"/>
    <n v="4"/>
    <n v="2"/>
    <n v="0"/>
    <n v="2"/>
  </r>
  <r>
    <n v="1109596"/>
    <n v="31"/>
    <x v="2"/>
    <s v="No"/>
    <x v="0"/>
    <x v="1"/>
    <n v="853"/>
    <x v="2"/>
    <n v="1"/>
    <n v="1"/>
    <x v="0"/>
    <n v="1"/>
    <n v="3"/>
    <x v="0"/>
    <n v="96"/>
    <n v="3"/>
    <n v="2"/>
    <s v="Therapist"/>
    <n v="1"/>
    <s v="Poor"/>
    <x v="1"/>
    <n v="4148"/>
    <x v="1"/>
    <n v="11275"/>
    <n v="1"/>
    <s v="Y"/>
    <s v="No"/>
    <n v="12"/>
    <x v="0"/>
    <s v="Low Performance"/>
    <n v="3"/>
    <n v="80"/>
    <n v="1"/>
    <n v="4"/>
    <n v="1"/>
    <n v="3"/>
    <s v="Fair"/>
    <n v="4"/>
    <n v="3"/>
    <n v="0"/>
    <n v="3"/>
  </r>
  <r>
    <n v="1483743"/>
    <n v="18"/>
    <x v="4"/>
    <s v="No"/>
    <x v="0"/>
    <x v="2"/>
    <n v="287"/>
    <x v="1"/>
    <n v="5"/>
    <n v="2"/>
    <x v="0"/>
    <n v="1"/>
    <n v="2"/>
    <x v="1"/>
    <n v="73"/>
    <n v="3"/>
    <n v="1"/>
    <s v="Other"/>
    <n v="4"/>
    <s v="Good"/>
    <x v="0"/>
    <n v="1051"/>
    <x v="1"/>
    <n v="13493"/>
    <n v="1"/>
    <s v="Y"/>
    <s v="No"/>
    <n v="15"/>
    <x v="0"/>
    <s v="Low Performance"/>
    <n v="4"/>
    <n v="80"/>
    <n v="0"/>
    <n v="0"/>
    <n v="2"/>
    <n v="3"/>
    <s v="Fair"/>
    <n v="0"/>
    <n v="0"/>
    <n v="0"/>
    <n v="0"/>
  </r>
  <r>
    <n v="1100306"/>
    <n v="54"/>
    <x v="1"/>
    <s v="No"/>
    <x v="0"/>
    <x v="0"/>
    <n v="1441"/>
    <x v="1"/>
    <n v="17"/>
    <n v="3"/>
    <x v="4"/>
    <n v="1"/>
    <n v="3"/>
    <x v="0"/>
    <n v="56"/>
    <n v="3"/>
    <n v="3"/>
    <s v="Therapist"/>
    <n v="3"/>
    <s v="Fair"/>
    <x v="1"/>
    <n v="10739"/>
    <x v="0"/>
    <n v="13943"/>
    <n v="8"/>
    <s v="Y"/>
    <s v="No"/>
    <n v="11"/>
    <x v="0"/>
    <s v="Low Performance"/>
    <n v="3"/>
    <n v="80"/>
    <n v="1"/>
    <n v="22"/>
    <n v="2"/>
    <n v="3"/>
    <s v="Fair"/>
    <n v="10"/>
    <n v="7"/>
    <n v="0"/>
    <n v="8"/>
  </r>
  <r>
    <n v="1667869"/>
    <n v="35"/>
    <x v="2"/>
    <s v="No"/>
    <x v="0"/>
    <x v="0"/>
    <n v="583"/>
    <x v="1"/>
    <n v="25"/>
    <n v="4"/>
    <x v="2"/>
    <n v="1"/>
    <n v="3"/>
    <x v="0"/>
    <n v="57"/>
    <n v="3"/>
    <n v="3"/>
    <s v="Nurse"/>
    <n v="3"/>
    <s v="Fair"/>
    <x v="2"/>
    <n v="10388"/>
    <x v="0"/>
    <n v="6975"/>
    <n v="1"/>
    <s v="Y"/>
    <s v="Yes"/>
    <n v="11"/>
    <x v="0"/>
    <s v="Low Performance"/>
    <n v="3"/>
    <n v="80"/>
    <n v="1"/>
    <n v="16"/>
    <n v="3"/>
    <n v="2"/>
    <s v="Poor"/>
    <n v="16"/>
    <n v="10"/>
    <n v="10"/>
    <n v="1"/>
  </r>
  <r>
    <n v="1079832"/>
    <n v="30"/>
    <x v="2"/>
    <s v="No"/>
    <x v="0"/>
    <x v="0"/>
    <n v="153"/>
    <x v="1"/>
    <n v="8"/>
    <n v="2"/>
    <x v="0"/>
    <n v="1"/>
    <n v="2"/>
    <x v="0"/>
    <n v="73"/>
    <n v="4"/>
    <n v="3"/>
    <s v="Administrative"/>
    <n v="1"/>
    <s v="Poor"/>
    <x v="1"/>
    <n v="11416"/>
    <x v="0"/>
    <n v="17802"/>
    <n v="0"/>
    <s v="Y"/>
    <s v="Yes"/>
    <n v="12"/>
    <x v="0"/>
    <s v="Low Performance"/>
    <n v="3"/>
    <n v="80"/>
    <n v="3"/>
    <n v="9"/>
    <n v="4"/>
    <n v="2"/>
    <s v="Poor"/>
    <n v="8"/>
    <n v="7"/>
    <n v="1"/>
    <n v="7"/>
  </r>
  <r>
    <n v="1236529"/>
    <n v="20"/>
    <x v="4"/>
    <s v="Yes"/>
    <x v="1"/>
    <x v="0"/>
    <n v="1097"/>
    <x v="1"/>
    <n v="11"/>
    <n v="3"/>
    <x v="2"/>
    <n v="1"/>
    <n v="4"/>
    <x v="0"/>
    <n v="98"/>
    <n v="2"/>
    <n v="1"/>
    <s v="Other"/>
    <n v="1"/>
    <s v="Poor"/>
    <x v="0"/>
    <n v="2600"/>
    <x v="1"/>
    <n v="18275"/>
    <n v="1"/>
    <s v="Y"/>
    <s v="Yes"/>
    <n v="15"/>
    <x v="0"/>
    <s v="Low Performance"/>
    <n v="1"/>
    <n v="80"/>
    <n v="0"/>
    <n v="1"/>
    <n v="2"/>
    <n v="3"/>
    <s v="Fair"/>
    <n v="1"/>
    <n v="0"/>
    <n v="0"/>
    <n v="0"/>
  </r>
  <r>
    <n v="1233733"/>
    <n v="30"/>
    <x v="2"/>
    <s v="No"/>
    <x v="0"/>
    <x v="1"/>
    <n v="109"/>
    <x v="1"/>
    <n v="5"/>
    <n v="3"/>
    <x v="2"/>
    <n v="1"/>
    <n v="2"/>
    <x v="0"/>
    <n v="60"/>
    <n v="3"/>
    <n v="1"/>
    <s v="Nurse"/>
    <n v="2"/>
    <s v="Poor"/>
    <x v="0"/>
    <n v="2422"/>
    <x v="1"/>
    <n v="25725"/>
    <n v="0"/>
    <s v="Y"/>
    <s v="No"/>
    <n v="17"/>
    <x v="0"/>
    <s v="Low Performance"/>
    <n v="1"/>
    <n v="80"/>
    <n v="0"/>
    <n v="4"/>
    <n v="3"/>
    <n v="3"/>
    <s v="Fair"/>
    <n v="3"/>
    <n v="2"/>
    <n v="1"/>
    <n v="2"/>
  </r>
  <r>
    <n v="1824641"/>
    <n v="26"/>
    <x v="2"/>
    <s v="No"/>
    <x v="0"/>
    <x v="0"/>
    <n v="1066"/>
    <x v="2"/>
    <n v="2"/>
    <n v="2"/>
    <x v="2"/>
    <n v="1"/>
    <n v="4"/>
    <x v="1"/>
    <n v="32"/>
    <n v="4"/>
    <n v="2"/>
    <s v="Therapist"/>
    <n v="4"/>
    <s v="Good"/>
    <x v="1"/>
    <n v="5472"/>
    <x v="0"/>
    <n v="3334"/>
    <n v="1"/>
    <s v="Y"/>
    <s v="No"/>
    <n v="12"/>
    <x v="0"/>
    <s v="Low Performance"/>
    <n v="2"/>
    <n v="80"/>
    <n v="0"/>
    <n v="8"/>
    <n v="2"/>
    <n v="3"/>
    <s v="Fair"/>
    <n v="8"/>
    <n v="7"/>
    <n v="1"/>
    <n v="3"/>
  </r>
  <r>
    <n v="1559236"/>
    <n v="22"/>
    <x v="4"/>
    <s v="No"/>
    <x v="0"/>
    <x v="0"/>
    <n v="217"/>
    <x v="1"/>
    <n v="8"/>
    <n v="1"/>
    <x v="0"/>
    <n v="1"/>
    <n v="2"/>
    <x v="1"/>
    <n v="94"/>
    <n v="1"/>
    <n v="1"/>
    <s v="Nurse"/>
    <n v="1"/>
    <s v="Poor"/>
    <x v="1"/>
    <n v="2451"/>
    <x v="1"/>
    <n v="6881"/>
    <n v="1"/>
    <s v="Y"/>
    <s v="No"/>
    <n v="15"/>
    <x v="0"/>
    <s v="Low Performance"/>
    <n v="1"/>
    <n v="80"/>
    <n v="1"/>
    <n v="4"/>
    <n v="3"/>
    <n v="2"/>
    <s v="Poor"/>
    <n v="4"/>
    <n v="3"/>
    <n v="1"/>
    <n v="1"/>
  </r>
  <r>
    <n v="1362920"/>
    <n v="48"/>
    <x v="1"/>
    <s v="No"/>
    <x v="0"/>
    <x v="0"/>
    <n v="277"/>
    <x v="1"/>
    <n v="6"/>
    <n v="3"/>
    <x v="0"/>
    <n v="1"/>
    <n v="1"/>
    <x v="1"/>
    <n v="97"/>
    <n v="2"/>
    <n v="2"/>
    <s v="Nurse"/>
    <n v="3"/>
    <s v="Fair"/>
    <x v="0"/>
    <n v="4240"/>
    <x v="1"/>
    <n v="13119"/>
    <n v="2"/>
    <s v="Y"/>
    <s v="No"/>
    <n v="13"/>
    <x v="0"/>
    <s v="Low Performance"/>
    <n v="4"/>
    <n v="80"/>
    <n v="0"/>
    <n v="19"/>
    <n v="0"/>
    <n v="3"/>
    <s v="Fair"/>
    <n v="2"/>
    <n v="2"/>
    <n v="2"/>
    <n v="2"/>
  </r>
  <r>
    <n v="1374656"/>
    <n v="48"/>
    <x v="1"/>
    <s v="No"/>
    <x v="0"/>
    <x v="0"/>
    <n v="1355"/>
    <x v="1"/>
    <n v="4"/>
    <n v="4"/>
    <x v="0"/>
    <n v="1"/>
    <n v="3"/>
    <x v="1"/>
    <n v="78"/>
    <n v="2"/>
    <n v="3"/>
    <s v="Nurse"/>
    <n v="3"/>
    <s v="Fair"/>
    <x v="0"/>
    <n v="10999"/>
    <x v="0"/>
    <n v="22245"/>
    <n v="7"/>
    <s v="Y"/>
    <s v="No"/>
    <n v="14"/>
    <x v="0"/>
    <s v="Low Performance"/>
    <n v="2"/>
    <n v="80"/>
    <n v="0"/>
    <n v="27"/>
    <n v="3"/>
    <n v="3"/>
    <s v="Fair"/>
    <n v="15"/>
    <n v="11"/>
    <n v="4"/>
    <n v="8"/>
  </r>
  <r>
    <n v="1541429"/>
    <n v="41"/>
    <x v="0"/>
    <s v="No"/>
    <x v="0"/>
    <x v="0"/>
    <n v="549"/>
    <x v="0"/>
    <n v="7"/>
    <n v="2"/>
    <x v="2"/>
    <n v="1"/>
    <n v="4"/>
    <x v="0"/>
    <n v="42"/>
    <n v="3"/>
    <n v="2"/>
    <s v="Therapist"/>
    <n v="3"/>
    <s v="Fair"/>
    <x v="0"/>
    <n v="5003"/>
    <x v="0"/>
    <n v="23371"/>
    <n v="6"/>
    <s v="Y"/>
    <s v="No"/>
    <n v="14"/>
    <x v="0"/>
    <s v="Low Performance"/>
    <n v="2"/>
    <n v="80"/>
    <n v="0"/>
    <n v="8"/>
    <n v="6"/>
    <n v="3"/>
    <s v="Fair"/>
    <n v="2"/>
    <n v="2"/>
    <n v="2"/>
    <n v="1"/>
  </r>
  <r>
    <n v="1383639"/>
    <n v="27"/>
    <x v="2"/>
    <s v="No"/>
    <x v="0"/>
    <x v="0"/>
    <n v="1055"/>
    <x v="2"/>
    <n v="2"/>
    <n v="4"/>
    <x v="0"/>
    <n v="1"/>
    <n v="1"/>
    <x v="0"/>
    <n v="47"/>
    <n v="3"/>
    <n v="2"/>
    <s v="Therapist"/>
    <n v="4"/>
    <s v="Good"/>
    <x v="1"/>
    <n v="4227"/>
    <x v="1"/>
    <n v="4658"/>
    <n v="0"/>
    <s v="Y"/>
    <s v="No"/>
    <n v="18"/>
    <x v="0"/>
    <s v="Low Performance"/>
    <n v="2"/>
    <n v="80"/>
    <n v="1"/>
    <n v="4"/>
    <n v="2"/>
    <n v="3"/>
    <s v="Fair"/>
    <n v="3"/>
    <n v="2"/>
    <n v="2"/>
    <n v="2"/>
  </r>
  <r>
    <n v="1631280"/>
    <n v="35"/>
    <x v="2"/>
    <s v="No"/>
    <x v="0"/>
    <x v="0"/>
    <n v="802"/>
    <x v="1"/>
    <n v="10"/>
    <n v="3"/>
    <x v="1"/>
    <n v="1"/>
    <n v="2"/>
    <x v="1"/>
    <n v="45"/>
    <n v="3"/>
    <n v="1"/>
    <s v="Nurse"/>
    <n v="4"/>
    <s v="Good"/>
    <x v="2"/>
    <n v="3917"/>
    <x v="1"/>
    <n v="9541"/>
    <n v="1"/>
    <s v="Y"/>
    <s v="No"/>
    <n v="20"/>
    <x v="1"/>
    <s v="High Performance"/>
    <n v="1"/>
    <n v="80"/>
    <n v="1"/>
    <n v="3"/>
    <n v="4"/>
    <n v="2"/>
    <s v="Poor"/>
    <n v="3"/>
    <n v="2"/>
    <n v="1"/>
    <n v="2"/>
  </r>
  <r>
    <n v="1212094"/>
    <n v="42"/>
    <x v="0"/>
    <s v="No"/>
    <x v="0"/>
    <x v="0"/>
    <n v="265"/>
    <x v="0"/>
    <n v="5"/>
    <n v="2"/>
    <x v="3"/>
    <n v="1"/>
    <n v="4"/>
    <x v="1"/>
    <n v="90"/>
    <n v="3"/>
    <n v="5"/>
    <s v="Administrative"/>
    <n v="3"/>
    <s v="Fair"/>
    <x v="1"/>
    <n v="18303"/>
    <x v="2"/>
    <n v="7770"/>
    <n v="6"/>
    <s v="Y"/>
    <s v="No"/>
    <n v="13"/>
    <x v="0"/>
    <s v="Low Performance"/>
    <n v="2"/>
    <n v="80"/>
    <n v="0"/>
    <n v="21"/>
    <n v="3"/>
    <n v="4"/>
    <s v="Good"/>
    <n v="1"/>
    <n v="0"/>
    <n v="0"/>
    <n v="0"/>
  </r>
  <r>
    <n v="1509823"/>
    <n v="50"/>
    <x v="1"/>
    <s v="No"/>
    <x v="0"/>
    <x v="0"/>
    <n v="804"/>
    <x v="1"/>
    <n v="9"/>
    <n v="3"/>
    <x v="0"/>
    <n v="1"/>
    <n v="1"/>
    <x v="1"/>
    <n v="64"/>
    <n v="3"/>
    <n v="1"/>
    <s v="Nurse"/>
    <n v="4"/>
    <s v="Good"/>
    <x v="1"/>
    <n v="2380"/>
    <x v="1"/>
    <n v="20165"/>
    <n v="4"/>
    <s v="Y"/>
    <s v="No"/>
    <n v="18"/>
    <x v="0"/>
    <s v="Low Performance"/>
    <n v="2"/>
    <n v="80"/>
    <n v="0"/>
    <n v="8"/>
    <n v="5"/>
    <n v="3"/>
    <s v="Fair"/>
    <n v="1"/>
    <n v="0"/>
    <n v="0"/>
    <n v="0"/>
  </r>
  <r>
    <n v="1297098"/>
    <n v="59"/>
    <x v="3"/>
    <s v="No"/>
    <x v="0"/>
    <x v="0"/>
    <n v="715"/>
    <x v="2"/>
    <n v="2"/>
    <n v="3"/>
    <x v="0"/>
    <n v="1"/>
    <n v="3"/>
    <x v="0"/>
    <n v="69"/>
    <n v="2"/>
    <n v="4"/>
    <s v="Therapist"/>
    <n v="4"/>
    <s v="Good"/>
    <x v="0"/>
    <n v="13726"/>
    <x v="2"/>
    <n v="21829"/>
    <n v="3"/>
    <s v="Y"/>
    <s v="Yes"/>
    <n v="13"/>
    <x v="0"/>
    <s v="Low Performance"/>
    <n v="1"/>
    <n v="80"/>
    <n v="0"/>
    <n v="30"/>
    <n v="4"/>
    <n v="3"/>
    <s v="Fair"/>
    <n v="5"/>
    <n v="3"/>
    <n v="4"/>
    <n v="3"/>
  </r>
  <r>
    <n v="1664278"/>
    <n v="37"/>
    <x v="0"/>
    <s v="Yes"/>
    <x v="1"/>
    <x v="0"/>
    <n v="1141"/>
    <x v="1"/>
    <n v="11"/>
    <n v="2"/>
    <x v="2"/>
    <n v="1"/>
    <n v="1"/>
    <x v="0"/>
    <n v="61"/>
    <n v="1"/>
    <n v="2"/>
    <s v="Nurse"/>
    <n v="2"/>
    <s v="Poor"/>
    <x v="1"/>
    <n v="4777"/>
    <x v="1"/>
    <n v="14382"/>
    <n v="5"/>
    <s v="Y"/>
    <s v="No"/>
    <n v="15"/>
    <x v="0"/>
    <s v="Low Performance"/>
    <n v="1"/>
    <n v="80"/>
    <n v="0"/>
    <n v="15"/>
    <n v="2"/>
    <n v="1"/>
    <s v="Poor"/>
    <n v="1"/>
    <n v="0"/>
    <n v="0"/>
    <n v="0"/>
  </r>
  <r>
    <n v="1316661"/>
    <n v="55"/>
    <x v="1"/>
    <s v="No"/>
    <x v="0"/>
    <x v="1"/>
    <n v="135"/>
    <x v="1"/>
    <n v="18"/>
    <n v="4"/>
    <x v="2"/>
    <n v="1"/>
    <n v="3"/>
    <x v="1"/>
    <n v="62"/>
    <n v="3"/>
    <n v="2"/>
    <s v="Nurse"/>
    <n v="2"/>
    <s v="Poor"/>
    <x v="1"/>
    <n v="6385"/>
    <x v="0"/>
    <n v="12992"/>
    <n v="3"/>
    <s v="Y"/>
    <s v="Yes"/>
    <n v="14"/>
    <x v="0"/>
    <s v="Low Performance"/>
    <n v="4"/>
    <n v="80"/>
    <n v="2"/>
    <n v="17"/>
    <n v="3"/>
    <n v="3"/>
    <s v="Fair"/>
    <n v="8"/>
    <n v="7"/>
    <n v="6"/>
    <n v="7"/>
  </r>
  <r>
    <n v="1633200"/>
    <n v="41"/>
    <x v="0"/>
    <s v="No"/>
    <x v="0"/>
    <x v="2"/>
    <n v="247"/>
    <x v="1"/>
    <n v="7"/>
    <n v="1"/>
    <x v="0"/>
    <n v="1"/>
    <n v="2"/>
    <x v="0"/>
    <n v="55"/>
    <n v="1"/>
    <n v="5"/>
    <s v="Administrative"/>
    <n v="3"/>
    <s v="Fair"/>
    <x v="2"/>
    <n v="19973"/>
    <x v="2"/>
    <n v="20284"/>
    <n v="1"/>
    <s v="Y"/>
    <s v="No"/>
    <n v="22"/>
    <x v="1"/>
    <s v="High Performance"/>
    <n v="2"/>
    <n v="80"/>
    <n v="2"/>
    <n v="21"/>
    <n v="3"/>
    <n v="3"/>
    <s v="Fair"/>
    <n v="21"/>
    <n v="16"/>
    <n v="5"/>
    <n v="10"/>
  </r>
  <r>
    <n v="1480769"/>
    <n v="38"/>
    <x v="0"/>
    <s v="No"/>
    <x v="0"/>
    <x v="0"/>
    <n v="1035"/>
    <x v="0"/>
    <n v="3"/>
    <n v="4"/>
    <x v="0"/>
    <n v="1"/>
    <n v="2"/>
    <x v="1"/>
    <n v="42"/>
    <n v="3"/>
    <n v="2"/>
    <s v="Nurse"/>
    <n v="4"/>
    <s v="Good"/>
    <x v="0"/>
    <n v="6861"/>
    <x v="0"/>
    <n v="4981"/>
    <n v="8"/>
    <s v="Y"/>
    <s v="Yes"/>
    <n v="12"/>
    <x v="0"/>
    <s v="Low Performance"/>
    <n v="3"/>
    <n v="80"/>
    <n v="0"/>
    <n v="19"/>
    <n v="1"/>
    <n v="3"/>
    <s v="Fair"/>
    <n v="1"/>
    <n v="0"/>
    <n v="0"/>
    <n v="0"/>
  </r>
  <r>
    <n v="1665250"/>
    <n v="26"/>
    <x v="2"/>
    <s v="Yes"/>
    <x v="1"/>
    <x v="2"/>
    <n v="265"/>
    <x v="0"/>
    <n v="29"/>
    <n v="2"/>
    <x v="2"/>
    <n v="1"/>
    <n v="2"/>
    <x v="1"/>
    <n v="79"/>
    <n v="1"/>
    <n v="2"/>
    <s v="Nurse"/>
    <n v="1"/>
    <s v="Poor"/>
    <x v="0"/>
    <n v="4969"/>
    <x v="1"/>
    <n v="21813"/>
    <n v="8"/>
    <s v="Y"/>
    <s v="No"/>
    <n v="18"/>
    <x v="0"/>
    <s v="Low Performance"/>
    <n v="4"/>
    <n v="80"/>
    <n v="0"/>
    <n v="7"/>
    <n v="6"/>
    <n v="3"/>
    <s v="Fair"/>
    <n v="2"/>
    <n v="2"/>
    <n v="2"/>
    <n v="2"/>
  </r>
  <r>
    <n v="1476575"/>
    <n v="52"/>
    <x v="1"/>
    <s v="No"/>
    <x v="0"/>
    <x v="0"/>
    <n v="266"/>
    <x v="0"/>
    <n v="2"/>
    <n v="1"/>
    <x v="3"/>
    <n v="1"/>
    <n v="1"/>
    <x v="0"/>
    <n v="57"/>
    <n v="1"/>
    <n v="5"/>
    <s v="Administrative"/>
    <n v="4"/>
    <s v="Good"/>
    <x v="1"/>
    <n v="19845"/>
    <x v="2"/>
    <n v="25846"/>
    <n v="1"/>
    <s v="Y"/>
    <s v="No"/>
    <n v="15"/>
    <x v="0"/>
    <s v="Low Performance"/>
    <n v="4"/>
    <n v="80"/>
    <n v="1"/>
    <n v="33"/>
    <n v="3"/>
    <n v="3"/>
    <s v="Fair"/>
    <n v="32"/>
    <n v="14"/>
    <n v="6"/>
    <n v="9"/>
  </r>
  <r>
    <n v="1580401"/>
    <n v="44"/>
    <x v="0"/>
    <s v="No"/>
    <x v="0"/>
    <x v="0"/>
    <n v="1448"/>
    <x v="0"/>
    <n v="28"/>
    <n v="3"/>
    <x v="2"/>
    <n v="1"/>
    <n v="4"/>
    <x v="0"/>
    <n v="53"/>
    <n v="4"/>
    <n v="4"/>
    <s v="Nurse"/>
    <n v="4"/>
    <s v="Good"/>
    <x v="1"/>
    <n v="13320"/>
    <x v="2"/>
    <n v="11737"/>
    <n v="3"/>
    <s v="Y"/>
    <s v="Yes"/>
    <n v="18"/>
    <x v="0"/>
    <s v="Low Performance"/>
    <n v="3"/>
    <n v="80"/>
    <n v="1"/>
    <n v="23"/>
    <n v="2"/>
    <n v="3"/>
    <s v="Fair"/>
    <n v="12"/>
    <n v="11"/>
    <n v="11"/>
    <n v="11"/>
  </r>
  <r>
    <n v="1735028"/>
    <n v="50"/>
    <x v="1"/>
    <s v="No"/>
    <x v="0"/>
    <x v="2"/>
    <n v="145"/>
    <x v="0"/>
    <n v="1"/>
    <n v="3"/>
    <x v="0"/>
    <n v="1"/>
    <n v="4"/>
    <x v="0"/>
    <n v="95"/>
    <n v="3"/>
    <n v="2"/>
    <s v="Nurse"/>
    <n v="3"/>
    <s v="Fair"/>
    <x v="1"/>
    <n v="6347"/>
    <x v="0"/>
    <n v="24920"/>
    <n v="0"/>
    <s v="Y"/>
    <s v="No"/>
    <n v="12"/>
    <x v="0"/>
    <s v="Low Performance"/>
    <n v="1"/>
    <n v="80"/>
    <n v="1"/>
    <n v="19"/>
    <n v="3"/>
    <n v="3"/>
    <s v="Fair"/>
    <n v="18"/>
    <n v="7"/>
    <n v="0"/>
    <n v="13"/>
  </r>
  <r>
    <n v="1330619"/>
    <n v="36"/>
    <x v="0"/>
    <s v="No"/>
    <x v="0"/>
    <x v="0"/>
    <n v="885"/>
    <x v="1"/>
    <n v="16"/>
    <n v="4"/>
    <x v="0"/>
    <n v="1"/>
    <n v="3"/>
    <x v="0"/>
    <n v="43"/>
    <n v="4"/>
    <n v="1"/>
    <s v="Nurse"/>
    <n v="1"/>
    <s v="Poor"/>
    <x v="0"/>
    <n v="2743"/>
    <x v="1"/>
    <n v="8269"/>
    <n v="1"/>
    <s v="Y"/>
    <s v="No"/>
    <n v="16"/>
    <x v="0"/>
    <s v="Low Performance"/>
    <n v="3"/>
    <n v="80"/>
    <n v="0"/>
    <n v="18"/>
    <n v="1"/>
    <n v="3"/>
    <s v="Fair"/>
    <n v="17"/>
    <n v="13"/>
    <n v="15"/>
    <n v="14"/>
  </r>
  <r>
    <n v="1142212"/>
    <n v="39"/>
    <x v="0"/>
    <s v="No"/>
    <x v="0"/>
    <x v="1"/>
    <n v="945"/>
    <x v="1"/>
    <n v="22"/>
    <n v="3"/>
    <x v="2"/>
    <n v="1"/>
    <n v="4"/>
    <x v="0"/>
    <n v="82"/>
    <n v="3"/>
    <n v="3"/>
    <s v="Therapist"/>
    <n v="1"/>
    <s v="Poor"/>
    <x v="0"/>
    <n v="10880"/>
    <x v="0"/>
    <n v="5083"/>
    <n v="1"/>
    <s v="Y"/>
    <s v="Yes"/>
    <n v="13"/>
    <x v="0"/>
    <s v="Low Performance"/>
    <n v="3"/>
    <n v="80"/>
    <n v="0"/>
    <n v="21"/>
    <n v="2"/>
    <n v="3"/>
    <s v="Fair"/>
    <n v="21"/>
    <n v="6"/>
    <n v="2"/>
    <n v="8"/>
  </r>
  <r>
    <n v="1239925"/>
    <n v="33"/>
    <x v="2"/>
    <s v="No"/>
    <x v="0"/>
    <x v="2"/>
    <n v="1038"/>
    <x v="0"/>
    <n v="8"/>
    <n v="1"/>
    <x v="0"/>
    <n v="1"/>
    <n v="2"/>
    <x v="0"/>
    <n v="88"/>
    <n v="2"/>
    <n v="1"/>
    <s v="Other"/>
    <n v="4"/>
    <s v="Good"/>
    <x v="0"/>
    <n v="2342"/>
    <x v="1"/>
    <n v="21437"/>
    <n v="0"/>
    <s v="Y"/>
    <s v="No"/>
    <n v="19"/>
    <x v="0"/>
    <s v="Low Performance"/>
    <n v="4"/>
    <n v="80"/>
    <n v="0"/>
    <n v="3"/>
    <n v="2"/>
    <n v="2"/>
    <s v="Poor"/>
    <n v="2"/>
    <n v="2"/>
    <n v="2"/>
    <n v="2"/>
  </r>
  <r>
    <n v="1477537"/>
    <n v="45"/>
    <x v="0"/>
    <s v="No"/>
    <x v="0"/>
    <x v="0"/>
    <n v="1234"/>
    <x v="0"/>
    <n v="11"/>
    <n v="2"/>
    <x v="0"/>
    <n v="1"/>
    <n v="4"/>
    <x v="0"/>
    <n v="90"/>
    <n v="3"/>
    <n v="4"/>
    <s v="Administrative"/>
    <n v="4"/>
    <s v="Good"/>
    <x v="1"/>
    <n v="17650"/>
    <x v="2"/>
    <n v="5404"/>
    <n v="3"/>
    <s v="Y"/>
    <s v="No"/>
    <n v="13"/>
    <x v="0"/>
    <s v="Low Performance"/>
    <n v="2"/>
    <n v="80"/>
    <n v="1"/>
    <n v="26"/>
    <n v="4"/>
    <n v="4"/>
    <s v="Good"/>
    <n v="9"/>
    <n v="3"/>
    <n v="1"/>
    <n v="1"/>
  </r>
  <r>
    <n v="1404854"/>
    <n v="32"/>
    <x v="2"/>
    <s v="No"/>
    <x v="0"/>
    <x v="2"/>
    <n v="1109"/>
    <x v="1"/>
    <n v="29"/>
    <n v="4"/>
    <x v="2"/>
    <n v="1"/>
    <n v="4"/>
    <x v="0"/>
    <n v="69"/>
    <n v="3"/>
    <n v="1"/>
    <s v="Nurse"/>
    <n v="3"/>
    <s v="Fair"/>
    <x v="0"/>
    <n v="4025"/>
    <x v="1"/>
    <n v="11135"/>
    <n v="9"/>
    <s v="Y"/>
    <s v="No"/>
    <n v="12"/>
    <x v="0"/>
    <s v="Low Performance"/>
    <n v="2"/>
    <n v="80"/>
    <n v="0"/>
    <n v="10"/>
    <n v="2"/>
    <n v="3"/>
    <s v="Fair"/>
    <n v="8"/>
    <n v="7"/>
    <n v="7"/>
    <n v="7"/>
  </r>
  <r>
    <n v="1401928"/>
    <n v="34"/>
    <x v="2"/>
    <s v="No"/>
    <x v="0"/>
    <x v="0"/>
    <n v="216"/>
    <x v="0"/>
    <n v="1"/>
    <n v="4"/>
    <x v="3"/>
    <n v="1"/>
    <n v="2"/>
    <x v="1"/>
    <n v="75"/>
    <n v="4"/>
    <n v="2"/>
    <s v="Nurse"/>
    <n v="4"/>
    <s v="Good"/>
    <x v="2"/>
    <n v="9725"/>
    <x v="0"/>
    <n v="12278"/>
    <n v="0"/>
    <s v="Y"/>
    <s v="No"/>
    <n v="11"/>
    <x v="0"/>
    <s v="Low Performance"/>
    <n v="4"/>
    <n v="80"/>
    <n v="1"/>
    <n v="16"/>
    <n v="2"/>
    <n v="2"/>
    <s v="Poor"/>
    <n v="15"/>
    <n v="1"/>
    <n v="0"/>
    <n v="9"/>
  </r>
  <r>
    <n v="1041678"/>
    <n v="59"/>
    <x v="3"/>
    <s v="No"/>
    <x v="0"/>
    <x v="0"/>
    <n v="1089"/>
    <x v="0"/>
    <n v="1"/>
    <n v="2"/>
    <x v="4"/>
    <n v="1"/>
    <n v="2"/>
    <x v="1"/>
    <n v="66"/>
    <n v="3"/>
    <n v="3"/>
    <s v="Administrative"/>
    <n v="4"/>
    <s v="Good"/>
    <x v="1"/>
    <n v="11904"/>
    <x v="0"/>
    <n v="11038"/>
    <n v="3"/>
    <s v="Y"/>
    <s v="Yes"/>
    <n v="14"/>
    <x v="0"/>
    <s v="Low Performance"/>
    <n v="3"/>
    <n v="80"/>
    <n v="1"/>
    <n v="14"/>
    <n v="1"/>
    <n v="1"/>
    <s v="Poor"/>
    <n v="6"/>
    <n v="4"/>
    <n v="0"/>
    <n v="4"/>
  </r>
  <r>
    <n v="1568634"/>
    <n v="45"/>
    <x v="0"/>
    <s v="No"/>
    <x v="0"/>
    <x v="0"/>
    <n v="788"/>
    <x v="2"/>
    <n v="24"/>
    <n v="4"/>
    <x v="2"/>
    <n v="1"/>
    <n v="2"/>
    <x v="1"/>
    <n v="36"/>
    <n v="3"/>
    <n v="1"/>
    <s v="Other"/>
    <n v="2"/>
    <s v="Poor"/>
    <x v="0"/>
    <n v="2177"/>
    <x v="1"/>
    <n v="8318"/>
    <n v="1"/>
    <s v="Y"/>
    <s v="No"/>
    <n v="16"/>
    <x v="0"/>
    <s v="Low Performance"/>
    <n v="1"/>
    <n v="80"/>
    <n v="0"/>
    <n v="6"/>
    <n v="3"/>
    <n v="3"/>
    <s v="Fair"/>
    <n v="6"/>
    <n v="3"/>
    <n v="0"/>
    <n v="4"/>
  </r>
  <r>
    <n v="1763986"/>
    <n v="53"/>
    <x v="1"/>
    <s v="No"/>
    <x v="0"/>
    <x v="1"/>
    <n v="124"/>
    <x v="0"/>
    <n v="2"/>
    <n v="3"/>
    <x v="3"/>
    <n v="1"/>
    <n v="3"/>
    <x v="0"/>
    <n v="38"/>
    <n v="2"/>
    <n v="3"/>
    <s v="Nurse"/>
    <n v="2"/>
    <s v="Poor"/>
    <x v="1"/>
    <n v="7525"/>
    <x v="0"/>
    <n v="23537"/>
    <n v="2"/>
    <s v="Y"/>
    <s v="No"/>
    <n v="12"/>
    <x v="0"/>
    <s v="Low Performance"/>
    <n v="1"/>
    <n v="80"/>
    <n v="1"/>
    <n v="30"/>
    <n v="2"/>
    <n v="3"/>
    <s v="Fair"/>
    <n v="15"/>
    <n v="7"/>
    <n v="6"/>
    <n v="12"/>
  </r>
  <r>
    <n v="1721556"/>
    <n v="36"/>
    <x v="0"/>
    <s v="No"/>
    <x v="0"/>
    <x v="0"/>
    <n v="660"/>
    <x v="1"/>
    <n v="15"/>
    <n v="3"/>
    <x v="1"/>
    <n v="1"/>
    <n v="1"/>
    <x v="1"/>
    <n v="81"/>
    <n v="3"/>
    <n v="2"/>
    <s v="Nurse"/>
    <n v="3"/>
    <s v="Fair"/>
    <x v="2"/>
    <n v="4834"/>
    <x v="1"/>
    <n v="7858"/>
    <n v="7"/>
    <s v="Y"/>
    <s v="No"/>
    <n v="14"/>
    <x v="0"/>
    <s v="Low Performance"/>
    <n v="2"/>
    <n v="80"/>
    <n v="1"/>
    <n v="9"/>
    <n v="3"/>
    <n v="2"/>
    <s v="Poor"/>
    <n v="1"/>
    <n v="0"/>
    <n v="0"/>
    <n v="0"/>
  </r>
  <r>
    <n v="1631537"/>
    <n v="26"/>
    <x v="2"/>
    <s v="Yes"/>
    <x v="1"/>
    <x v="1"/>
    <n v="342"/>
    <x v="1"/>
    <n v="2"/>
    <n v="3"/>
    <x v="0"/>
    <n v="1"/>
    <n v="1"/>
    <x v="1"/>
    <n v="57"/>
    <n v="3"/>
    <n v="1"/>
    <s v="Other"/>
    <n v="1"/>
    <s v="Poor"/>
    <x v="1"/>
    <n v="2042"/>
    <x v="1"/>
    <n v="15346"/>
    <n v="6"/>
    <s v="Y"/>
    <s v="Yes"/>
    <n v="14"/>
    <x v="0"/>
    <s v="Low Performance"/>
    <n v="2"/>
    <n v="80"/>
    <n v="1"/>
    <n v="6"/>
    <n v="2"/>
    <n v="3"/>
    <s v="Fair"/>
    <n v="3"/>
    <n v="2"/>
    <n v="1"/>
    <n v="2"/>
  </r>
  <r>
    <n v="1277508"/>
    <n v="34"/>
    <x v="2"/>
    <s v="No"/>
    <x v="0"/>
    <x v="0"/>
    <n v="1333"/>
    <x v="0"/>
    <n v="10"/>
    <n v="4"/>
    <x v="0"/>
    <n v="1"/>
    <n v="3"/>
    <x v="0"/>
    <n v="87"/>
    <n v="3"/>
    <n v="1"/>
    <s v="Other"/>
    <n v="3"/>
    <s v="Fair"/>
    <x v="1"/>
    <n v="2220"/>
    <x v="1"/>
    <n v="18410"/>
    <n v="1"/>
    <s v="Y"/>
    <s v="Yes"/>
    <n v="19"/>
    <x v="0"/>
    <s v="Low Performance"/>
    <n v="4"/>
    <n v="80"/>
    <n v="1"/>
    <n v="1"/>
    <n v="2"/>
    <n v="3"/>
    <s v="Fair"/>
    <n v="1"/>
    <n v="1"/>
    <n v="0"/>
    <n v="0"/>
  </r>
  <r>
    <n v="1873017"/>
    <n v="28"/>
    <x v="2"/>
    <s v="No"/>
    <x v="0"/>
    <x v="0"/>
    <n v="1144"/>
    <x v="0"/>
    <n v="10"/>
    <n v="1"/>
    <x v="2"/>
    <n v="1"/>
    <n v="4"/>
    <x v="1"/>
    <n v="74"/>
    <n v="3"/>
    <n v="1"/>
    <s v="Other"/>
    <n v="2"/>
    <s v="Poor"/>
    <x v="1"/>
    <n v="1052"/>
    <x v="1"/>
    <n v="23384"/>
    <n v="1"/>
    <s v="Y"/>
    <s v="No"/>
    <n v="22"/>
    <x v="1"/>
    <s v="High Performance"/>
    <n v="2"/>
    <n v="80"/>
    <n v="0"/>
    <n v="1"/>
    <n v="5"/>
    <n v="3"/>
    <s v="Fair"/>
    <n v="1"/>
    <n v="0"/>
    <n v="0"/>
    <n v="0"/>
  </r>
  <r>
    <n v="1776541"/>
    <n v="38"/>
    <x v="0"/>
    <s v="No"/>
    <x v="0"/>
    <x v="1"/>
    <n v="1186"/>
    <x v="1"/>
    <n v="3"/>
    <n v="4"/>
    <x v="1"/>
    <n v="1"/>
    <n v="3"/>
    <x v="1"/>
    <n v="44"/>
    <n v="3"/>
    <n v="1"/>
    <s v="Other"/>
    <n v="3"/>
    <s v="Fair"/>
    <x v="1"/>
    <n v="2821"/>
    <x v="1"/>
    <n v="2997"/>
    <n v="3"/>
    <s v="Y"/>
    <s v="No"/>
    <n v="16"/>
    <x v="0"/>
    <s v="Low Performance"/>
    <n v="1"/>
    <n v="80"/>
    <n v="1"/>
    <n v="8"/>
    <n v="2"/>
    <n v="3"/>
    <s v="Fair"/>
    <n v="2"/>
    <n v="2"/>
    <n v="2"/>
    <n v="2"/>
  </r>
  <r>
    <n v="1545738"/>
    <n v="50"/>
    <x v="1"/>
    <s v="No"/>
    <x v="0"/>
    <x v="0"/>
    <n v="1464"/>
    <x v="1"/>
    <n v="2"/>
    <n v="4"/>
    <x v="2"/>
    <n v="1"/>
    <n v="2"/>
    <x v="1"/>
    <n v="62"/>
    <n v="3"/>
    <n v="5"/>
    <s v="Administrative"/>
    <n v="3"/>
    <s v="Fair"/>
    <x v="1"/>
    <n v="19237"/>
    <x v="2"/>
    <n v="12853"/>
    <n v="2"/>
    <s v="Y"/>
    <s v="Yes"/>
    <n v="11"/>
    <x v="0"/>
    <s v="Low Performance"/>
    <n v="4"/>
    <n v="80"/>
    <n v="1"/>
    <n v="29"/>
    <n v="2"/>
    <n v="2"/>
    <s v="Poor"/>
    <n v="8"/>
    <n v="1"/>
    <n v="7"/>
    <n v="7"/>
  </r>
  <r>
    <n v="1775055"/>
    <n v="37"/>
    <x v="0"/>
    <s v="No"/>
    <x v="0"/>
    <x v="0"/>
    <n v="124"/>
    <x v="1"/>
    <n v="3"/>
    <n v="3"/>
    <x v="1"/>
    <n v="1"/>
    <n v="4"/>
    <x v="0"/>
    <n v="35"/>
    <n v="3"/>
    <n v="2"/>
    <s v="Nurse"/>
    <n v="2"/>
    <s v="Poor"/>
    <x v="0"/>
    <n v="4107"/>
    <x v="1"/>
    <n v="13848"/>
    <n v="3"/>
    <s v="Y"/>
    <s v="No"/>
    <n v="15"/>
    <x v="0"/>
    <s v="Low Performance"/>
    <n v="1"/>
    <n v="80"/>
    <n v="0"/>
    <n v="8"/>
    <n v="3"/>
    <n v="2"/>
    <s v="Poor"/>
    <n v="4"/>
    <n v="3"/>
    <n v="0"/>
    <n v="1"/>
  </r>
  <r>
    <n v="1087619"/>
    <n v="40"/>
    <x v="0"/>
    <s v="No"/>
    <x v="0"/>
    <x v="0"/>
    <n v="300"/>
    <x v="0"/>
    <n v="26"/>
    <n v="3"/>
    <x v="3"/>
    <n v="1"/>
    <n v="3"/>
    <x v="1"/>
    <n v="74"/>
    <n v="3"/>
    <n v="2"/>
    <s v="Nurse"/>
    <n v="1"/>
    <s v="Poor"/>
    <x v="1"/>
    <n v="8396"/>
    <x v="0"/>
    <n v="22217"/>
    <n v="1"/>
    <s v="Y"/>
    <s v="No"/>
    <n v="14"/>
    <x v="0"/>
    <s v="Low Performance"/>
    <n v="2"/>
    <n v="80"/>
    <n v="1"/>
    <n v="8"/>
    <n v="3"/>
    <n v="2"/>
    <s v="Poor"/>
    <n v="7"/>
    <n v="7"/>
    <n v="7"/>
    <n v="5"/>
  </r>
  <r>
    <n v="1409664"/>
    <n v="26"/>
    <x v="2"/>
    <s v="No"/>
    <x v="0"/>
    <x v="1"/>
    <n v="921"/>
    <x v="1"/>
    <n v="1"/>
    <n v="1"/>
    <x v="2"/>
    <n v="1"/>
    <n v="1"/>
    <x v="0"/>
    <n v="66"/>
    <n v="2"/>
    <n v="1"/>
    <s v="Other"/>
    <n v="3"/>
    <s v="Fair"/>
    <x v="2"/>
    <n v="2007"/>
    <x v="1"/>
    <n v="25265"/>
    <n v="1"/>
    <s v="Y"/>
    <s v="No"/>
    <n v="13"/>
    <x v="0"/>
    <s v="Low Performance"/>
    <n v="3"/>
    <n v="80"/>
    <n v="2"/>
    <n v="5"/>
    <n v="5"/>
    <n v="3"/>
    <s v="Fair"/>
    <n v="5"/>
    <n v="3"/>
    <n v="1"/>
    <n v="3"/>
  </r>
  <r>
    <n v="1206462"/>
    <n v="46"/>
    <x v="1"/>
    <s v="No"/>
    <x v="0"/>
    <x v="0"/>
    <n v="430"/>
    <x v="1"/>
    <n v="1"/>
    <n v="4"/>
    <x v="2"/>
    <n v="1"/>
    <n v="4"/>
    <x v="1"/>
    <n v="40"/>
    <n v="3"/>
    <n v="5"/>
    <s v="Administrative"/>
    <n v="4"/>
    <s v="Good"/>
    <x v="2"/>
    <n v="19627"/>
    <x v="2"/>
    <n v="21445"/>
    <n v="9"/>
    <s v="Y"/>
    <s v="No"/>
    <n v="17"/>
    <x v="0"/>
    <s v="Low Performance"/>
    <n v="4"/>
    <n v="80"/>
    <n v="2"/>
    <n v="23"/>
    <n v="0"/>
    <n v="3"/>
    <s v="Fair"/>
    <n v="2"/>
    <n v="2"/>
    <n v="2"/>
    <n v="2"/>
  </r>
  <r>
    <n v="1431621"/>
    <n v="54"/>
    <x v="1"/>
    <s v="No"/>
    <x v="0"/>
    <x v="0"/>
    <n v="1082"/>
    <x v="0"/>
    <n v="2"/>
    <n v="4"/>
    <x v="0"/>
    <n v="1"/>
    <n v="3"/>
    <x v="0"/>
    <n v="41"/>
    <n v="2"/>
    <n v="3"/>
    <s v="Nurse"/>
    <n v="3"/>
    <s v="Fair"/>
    <x v="1"/>
    <n v="10686"/>
    <x v="0"/>
    <n v="8392"/>
    <n v="6"/>
    <s v="Y"/>
    <s v="No"/>
    <n v="11"/>
    <x v="0"/>
    <s v="Low Performance"/>
    <n v="2"/>
    <n v="80"/>
    <n v="1"/>
    <n v="13"/>
    <n v="4"/>
    <n v="3"/>
    <s v="Fair"/>
    <n v="9"/>
    <n v="4"/>
    <n v="7"/>
    <n v="0"/>
  </r>
  <r>
    <n v="1045879"/>
    <n v="56"/>
    <x v="3"/>
    <s v="No"/>
    <x v="0"/>
    <x v="1"/>
    <n v="1240"/>
    <x v="1"/>
    <n v="9"/>
    <n v="3"/>
    <x v="2"/>
    <n v="1"/>
    <n v="1"/>
    <x v="0"/>
    <n v="63"/>
    <n v="3"/>
    <n v="1"/>
    <s v="Other"/>
    <n v="3"/>
    <s v="Fair"/>
    <x v="1"/>
    <n v="2942"/>
    <x v="1"/>
    <n v="12154"/>
    <n v="2"/>
    <s v="Y"/>
    <s v="No"/>
    <n v="19"/>
    <x v="0"/>
    <s v="Low Performance"/>
    <n v="2"/>
    <n v="80"/>
    <n v="1"/>
    <n v="18"/>
    <n v="4"/>
    <n v="3"/>
    <s v="Fair"/>
    <n v="5"/>
    <n v="4"/>
    <n v="0"/>
    <n v="3"/>
  </r>
  <r>
    <n v="1619652"/>
    <n v="36"/>
    <x v="0"/>
    <s v="No"/>
    <x v="0"/>
    <x v="0"/>
    <n v="796"/>
    <x v="1"/>
    <n v="12"/>
    <n v="5"/>
    <x v="2"/>
    <n v="1"/>
    <n v="4"/>
    <x v="0"/>
    <n v="51"/>
    <n v="2"/>
    <n v="3"/>
    <s v="Therapist"/>
    <n v="4"/>
    <s v="Good"/>
    <x v="0"/>
    <n v="8858"/>
    <x v="0"/>
    <n v="15669"/>
    <n v="0"/>
    <s v="Y"/>
    <s v="No"/>
    <n v="11"/>
    <x v="0"/>
    <s v="Low Performance"/>
    <n v="2"/>
    <n v="80"/>
    <n v="0"/>
    <n v="15"/>
    <n v="2"/>
    <n v="2"/>
    <s v="Poor"/>
    <n v="14"/>
    <n v="8"/>
    <n v="7"/>
    <n v="8"/>
  </r>
  <r>
    <n v="1828114"/>
    <n v="55"/>
    <x v="1"/>
    <s v="No"/>
    <x v="0"/>
    <x v="2"/>
    <n v="444"/>
    <x v="2"/>
    <n v="2"/>
    <n v="1"/>
    <x v="2"/>
    <n v="1"/>
    <n v="3"/>
    <x v="1"/>
    <n v="40"/>
    <n v="2"/>
    <n v="4"/>
    <s v="Other"/>
    <n v="1"/>
    <s v="Poor"/>
    <x v="0"/>
    <n v="16756"/>
    <x v="2"/>
    <n v="17323"/>
    <n v="7"/>
    <s v="Y"/>
    <s v="No"/>
    <n v="15"/>
    <x v="0"/>
    <s v="Low Performance"/>
    <n v="2"/>
    <n v="80"/>
    <n v="0"/>
    <n v="31"/>
    <n v="3"/>
    <n v="4"/>
    <s v="Good"/>
    <n v="9"/>
    <n v="7"/>
    <n v="6"/>
    <n v="2"/>
  </r>
  <r>
    <n v="1128254"/>
    <n v="43"/>
    <x v="0"/>
    <s v="No"/>
    <x v="0"/>
    <x v="0"/>
    <n v="415"/>
    <x v="0"/>
    <n v="25"/>
    <n v="3"/>
    <x v="2"/>
    <n v="1"/>
    <n v="3"/>
    <x v="1"/>
    <n v="79"/>
    <n v="2"/>
    <n v="3"/>
    <s v="Nurse"/>
    <n v="4"/>
    <s v="Good"/>
    <x v="2"/>
    <n v="10798"/>
    <x v="0"/>
    <n v="5268"/>
    <n v="5"/>
    <s v="Y"/>
    <s v="No"/>
    <n v="13"/>
    <x v="0"/>
    <s v="Low Performance"/>
    <n v="3"/>
    <n v="80"/>
    <n v="1"/>
    <n v="18"/>
    <n v="5"/>
    <n v="3"/>
    <s v="Fair"/>
    <n v="1"/>
    <n v="0"/>
    <n v="0"/>
    <n v="0"/>
  </r>
  <r>
    <n v="1084699"/>
    <n v="20"/>
    <x v="4"/>
    <s v="Yes"/>
    <x v="1"/>
    <x v="1"/>
    <n v="769"/>
    <x v="0"/>
    <n v="9"/>
    <n v="3"/>
    <x v="3"/>
    <n v="1"/>
    <n v="4"/>
    <x v="0"/>
    <n v="54"/>
    <n v="3"/>
    <n v="1"/>
    <s v="Other"/>
    <n v="4"/>
    <s v="Good"/>
    <x v="0"/>
    <n v="2323"/>
    <x v="1"/>
    <n v="17205"/>
    <n v="1"/>
    <s v="Y"/>
    <s v="Yes"/>
    <n v="14"/>
    <x v="0"/>
    <s v="Low Performance"/>
    <n v="2"/>
    <n v="80"/>
    <n v="0"/>
    <n v="2"/>
    <n v="3"/>
    <n v="3"/>
    <s v="Fair"/>
    <n v="2"/>
    <n v="2"/>
    <n v="0"/>
    <n v="2"/>
  </r>
  <r>
    <n v="1343829"/>
    <n v="21"/>
    <x v="4"/>
    <s v="Yes"/>
    <x v="1"/>
    <x v="0"/>
    <n v="1334"/>
    <x v="1"/>
    <n v="10"/>
    <n v="3"/>
    <x v="0"/>
    <n v="1"/>
    <n v="3"/>
    <x v="0"/>
    <n v="36"/>
    <n v="2"/>
    <n v="1"/>
    <s v="Nurse"/>
    <n v="1"/>
    <s v="Poor"/>
    <x v="0"/>
    <n v="1416"/>
    <x v="1"/>
    <n v="17258"/>
    <n v="1"/>
    <s v="Y"/>
    <s v="No"/>
    <n v="13"/>
    <x v="0"/>
    <s v="Low Performance"/>
    <n v="1"/>
    <n v="80"/>
    <n v="0"/>
    <n v="1"/>
    <n v="6"/>
    <n v="2"/>
    <s v="Poor"/>
    <n v="1"/>
    <n v="0"/>
    <n v="1"/>
    <n v="0"/>
  </r>
  <r>
    <n v="1603378"/>
    <n v="46"/>
    <x v="1"/>
    <s v="No"/>
    <x v="0"/>
    <x v="0"/>
    <n v="1003"/>
    <x v="1"/>
    <n v="8"/>
    <n v="4"/>
    <x v="0"/>
    <n v="1"/>
    <n v="4"/>
    <x v="0"/>
    <n v="74"/>
    <n v="2"/>
    <n v="2"/>
    <s v="Other"/>
    <n v="1"/>
    <s v="Poor"/>
    <x v="2"/>
    <n v="4615"/>
    <x v="1"/>
    <n v="21029"/>
    <n v="8"/>
    <s v="Y"/>
    <s v="Yes"/>
    <n v="23"/>
    <x v="1"/>
    <s v="High Performance"/>
    <n v="1"/>
    <n v="80"/>
    <n v="3"/>
    <n v="19"/>
    <n v="2"/>
    <n v="3"/>
    <s v="Fair"/>
    <n v="16"/>
    <n v="13"/>
    <n v="1"/>
    <n v="7"/>
  </r>
  <r>
    <n v="1720881"/>
    <n v="51"/>
    <x v="1"/>
    <s v="No"/>
    <x v="0"/>
    <x v="0"/>
    <n v="1323"/>
    <x v="1"/>
    <n v="4"/>
    <n v="4"/>
    <x v="0"/>
    <n v="1"/>
    <n v="1"/>
    <x v="1"/>
    <n v="34"/>
    <n v="3"/>
    <n v="1"/>
    <s v="Other"/>
    <n v="3"/>
    <s v="Fair"/>
    <x v="1"/>
    <n v="2461"/>
    <x v="1"/>
    <n v="10332"/>
    <n v="9"/>
    <s v="Y"/>
    <s v="Yes"/>
    <n v="12"/>
    <x v="0"/>
    <s v="Low Performance"/>
    <n v="3"/>
    <n v="80"/>
    <n v="3"/>
    <n v="18"/>
    <n v="2"/>
    <n v="4"/>
    <s v="Good"/>
    <n v="10"/>
    <n v="0"/>
    <n v="2"/>
    <n v="7"/>
  </r>
  <r>
    <n v="1748251"/>
    <n v="28"/>
    <x v="2"/>
    <s v="No"/>
    <x v="0"/>
    <x v="2"/>
    <n v="1366"/>
    <x v="1"/>
    <n v="24"/>
    <n v="2"/>
    <x v="4"/>
    <n v="1"/>
    <n v="2"/>
    <x v="1"/>
    <n v="72"/>
    <n v="2"/>
    <n v="3"/>
    <s v="Nurse"/>
    <n v="1"/>
    <s v="Poor"/>
    <x v="0"/>
    <n v="8722"/>
    <x v="0"/>
    <n v="12355"/>
    <n v="1"/>
    <s v="Y"/>
    <s v="No"/>
    <n v="12"/>
    <x v="0"/>
    <s v="Low Performance"/>
    <n v="1"/>
    <n v="80"/>
    <n v="0"/>
    <n v="10"/>
    <n v="2"/>
    <n v="2"/>
    <s v="Poor"/>
    <n v="10"/>
    <n v="7"/>
    <n v="1"/>
    <n v="9"/>
  </r>
  <r>
    <n v="1740472"/>
    <n v="26"/>
    <x v="2"/>
    <s v="No"/>
    <x v="0"/>
    <x v="0"/>
    <n v="192"/>
    <x v="1"/>
    <n v="1"/>
    <n v="2"/>
    <x v="2"/>
    <n v="1"/>
    <n v="1"/>
    <x v="1"/>
    <n v="59"/>
    <n v="2"/>
    <n v="1"/>
    <s v="Nurse"/>
    <n v="1"/>
    <s v="Poor"/>
    <x v="1"/>
    <n v="3955"/>
    <x v="1"/>
    <n v="11141"/>
    <n v="1"/>
    <s v="Y"/>
    <s v="No"/>
    <n v="16"/>
    <x v="0"/>
    <s v="Low Performance"/>
    <n v="1"/>
    <n v="80"/>
    <n v="2"/>
    <n v="6"/>
    <n v="2"/>
    <n v="3"/>
    <s v="Fair"/>
    <n v="5"/>
    <n v="3"/>
    <n v="1"/>
    <n v="3"/>
  </r>
  <r>
    <n v="1825779"/>
    <n v="30"/>
    <x v="2"/>
    <s v="No"/>
    <x v="0"/>
    <x v="0"/>
    <n v="1176"/>
    <x v="1"/>
    <n v="20"/>
    <n v="3"/>
    <x v="1"/>
    <n v="1"/>
    <n v="3"/>
    <x v="1"/>
    <n v="85"/>
    <n v="3"/>
    <n v="2"/>
    <s v="Therapist"/>
    <n v="1"/>
    <s v="Poor"/>
    <x v="1"/>
    <n v="9957"/>
    <x v="0"/>
    <n v="9096"/>
    <n v="0"/>
    <s v="Y"/>
    <s v="No"/>
    <n v="15"/>
    <x v="0"/>
    <s v="Low Performance"/>
    <n v="3"/>
    <n v="80"/>
    <n v="1"/>
    <n v="7"/>
    <n v="1"/>
    <n v="2"/>
    <s v="Poor"/>
    <n v="6"/>
    <n v="2"/>
    <n v="0"/>
    <n v="2"/>
  </r>
  <r>
    <n v="1221286"/>
    <n v="41"/>
    <x v="0"/>
    <s v="No"/>
    <x v="0"/>
    <x v="0"/>
    <n v="509"/>
    <x v="1"/>
    <n v="7"/>
    <n v="2"/>
    <x v="4"/>
    <n v="1"/>
    <n v="2"/>
    <x v="0"/>
    <n v="43"/>
    <n v="4"/>
    <n v="1"/>
    <s v="Other"/>
    <n v="3"/>
    <s v="Fair"/>
    <x v="1"/>
    <n v="3376"/>
    <x v="1"/>
    <n v="18863"/>
    <n v="1"/>
    <s v="Y"/>
    <s v="No"/>
    <n v="13"/>
    <x v="0"/>
    <s v="Low Performance"/>
    <n v="3"/>
    <n v="80"/>
    <n v="0"/>
    <n v="10"/>
    <n v="3"/>
    <n v="3"/>
    <s v="Fair"/>
    <n v="10"/>
    <n v="6"/>
    <n v="0"/>
    <n v="8"/>
  </r>
  <r>
    <n v="1595168"/>
    <n v="38"/>
    <x v="0"/>
    <s v="No"/>
    <x v="0"/>
    <x v="0"/>
    <n v="330"/>
    <x v="1"/>
    <n v="17"/>
    <n v="1"/>
    <x v="0"/>
    <n v="1"/>
    <n v="3"/>
    <x v="0"/>
    <n v="65"/>
    <n v="2"/>
    <n v="3"/>
    <s v="Nurse"/>
    <n v="3"/>
    <s v="Fair"/>
    <x v="1"/>
    <n v="8823"/>
    <x v="0"/>
    <n v="24608"/>
    <n v="0"/>
    <s v="Y"/>
    <s v="No"/>
    <n v="18"/>
    <x v="0"/>
    <s v="Low Performance"/>
    <n v="1"/>
    <n v="80"/>
    <n v="1"/>
    <n v="20"/>
    <n v="4"/>
    <n v="2"/>
    <s v="Poor"/>
    <n v="19"/>
    <n v="9"/>
    <n v="1"/>
    <n v="9"/>
  </r>
  <r>
    <n v="1317075"/>
    <n v="40"/>
    <x v="0"/>
    <s v="No"/>
    <x v="0"/>
    <x v="0"/>
    <n v="1492"/>
    <x v="1"/>
    <n v="20"/>
    <n v="4"/>
    <x v="4"/>
    <n v="1"/>
    <n v="1"/>
    <x v="1"/>
    <n v="61"/>
    <n v="3"/>
    <n v="3"/>
    <s v="Nurse"/>
    <n v="4"/>
    <s v="Good"/>
    <x v="1"/>
    <n v="10322"/>
    <x v="0"/>
    <n v="26542"/>
    <n v="4"/>
    <s v="Y"/>
    <s v="No"/>
    <n v="20"/>
    <x v="1"/>
    <s v="High Performance"/>
    <n v="4"/>
    <n v="80"/>
    <n v="1"/>
    <n v="14"/>
    <n v="6"/>
    <n v="3"/>
    <s v="Fair"/>
    <n v="11"/>
    <n v="10"/>
    <n v="11"/>
    <n v="1"/>
  </r>
  <r>
    <n v="1169735"/>
    <n v="27"/>
    <x v="2"/>
    <s v="No"/>
    <x v="0"/>
    <x v="2"/>
    <n v="1277"/>
    <x v="1"/>
    <n v="8"/>
    <n v="5"/>
    <x v="0"/>
    <n v="1"/>
    <n v="1"/>
    <x v="1"/>
    <n v="87"/>
    <n v="1"/>
    <n v="1"/>
    <s v="Nurse"/>
    <n v="3"/>
    <s v="Fair"/>
    <x v="1"/>
    <n v="4621"/>
    <x v="1"/>
    <n v="5869"/>
    <n v="1"/>
    <s v="Y"/>
    <s v="No"/>
    <n v="19"/>
    <x v="0"/>
    <s v="Low Performance"/>
    <n v="4"/>
    <n v="80"/>
    <n v="3"/>
    <n v="3"/>
    <n v="4"/>
    <n v="3"/>
    <s v="Fair"/>
    <n v="3"/>
    <n v="2"/>
    <n v="1"/>
    <n v="2"/>
  </r>
  <r>
    <n v="1818130"/>
    <n v="55"/>
    <x v="1"/>
    <s v="No"/>
    <x v="0"/>
    <x v="1"/>
    <n v="1091"/>
    <x v="2"/>
    <n v="2"/>
    <n v="1"/>
    <x v="0"/>
    <n v="1"/>
    <n v="4"/>
    <x v="1"/>
    <n v="65"/>
    <n v="3"/>
    <n v="3"/>
    <s v="Therapist"/>
    <n v="2"/>
    <s v="Poor"/>
    <x v="1"/>
    <n v="10976"/>
    <x v="0"/>
    <n v="15813"/>
    <n v="3"/>
    <s v="Y"/>
    <s v="No"/>
    <n v="18"/>
    <x v="0"/>
    <s v="Low Performance"/>
    <n v="2"/>
    <n v="80"/>
    <n v="1"/>
    <n v="23"/>
    <n v="4"/>
    <n v="3"/>
    <s v="Fair"/>
    <n v="3"/>
    <n v="2"/>
    <n v="1"/>
    <n v="2"/>
  </r>
  <r>
    <n v="1467266"/>
    <n v="28"/>
    <x v="2"/>
    <s v="No"/>
    <x v="0"/>
    <x v="0"/>
    <n v="857"/>
    <x v="1"/>
    <n v="10"/>
    <n v="3"/>
    <x v="1"/>
    <n v="1"/>
    <n v="3"/>
    <x v="0"/>
    <n v="59"/>
    <n v="3"/>
    <n v="2"/>
    <s v="Other"/>
    <n v="3"/>
    <s v="Fair"/>
    <x v="0"/>
    <n v="3660"/>
    <x v="1"/>
    <n v="7909"/>
    <n v="3"/>
    <s v="Y"/>
    <s v="No"/>
    <n v="13"/>
    <x v="0"/>
    <s v="Low Performance"/>
    <n v="4"/>
    <n v="80"/>
    <n v="0"/>
    <n v="10"/>
    <n v="4"/>
    <n v="4"/>
    <s v="Good"/>
    <n v="8"/>
    <n v="7"/>
    <n v="1"/>
    <n v="7"/>
  </r>
  <r>
    <n v="1242796"/>
    <n v="44"/>
    <x v="0"/>
    <s v="No"/>
    <x v="0"/>
    <x v="0"/>
    <n v="1376"/>
    <x v="2"/>
    <n v="1"/>
    <n v="2"/>
    <x v="2"/>
    <n v="1"/>
    <n v="2"/>
    <x v="1"/>
    <n v="91"/>
    <n v="2"/>
    <n v="3"/>
    <s v="Other"/>
    <n v="1"/>
    <s v="Poor"/>
    <x v="1"/>
    <n v="10482"/>
    <x v="0"/>
    <n v="2326"/>
    <n v="9"/>
    <s v="Y"/>
    <s v="No"/>
    <n v="14"/>
    <x v="0"/>
    <s v="Low Performance"/>
    <n v="4"/>
    <n v="80"/>
    <n v="1"/>
    <n v="24"/>
    <n v="1"/>
    <n v="3"/>
    <s v="Fair"/>
    <n v="20"/>
    <n v="6"/>
    <n v="3"/>
    <n v="6"/>
  </r>
  <r>
    <n v="1116632"/>
    <n v="33"/>
    <x v="2"/>
    <s v="No"/>
    <x v="0"/>
    <x v="0"/>
    <n v="654"/>
    <x v="1"/>
    <n v="5"/>
    <n v="3"/>
    <x v="0"/>
    <n v="1"/>
    <n v="4"/>
    <x v="1"/>
    <n v="34"/>
    <n v="2"/>
    <n v="3"/>
    <s v="Nurse"/>
    <n v="4"/>
    <s v="Good"/>
    <x v="2"/>
    <n v="7119"/>
    <x v="0"/>
    <n v="21214"/>
    <n v="4"/>
    <s v="Y"/>
    <s v="No"/>
    <n v="15"/>
    <x v="0"/>
    <s v="Low Performance"/>
    <n v="3"/>
    <n v="80"/>
    <n v="1"/>
    <n v="9"/>
    <n v="2"/>
    <n v="3"/>
    <s v="Fair"/>
    <n v="3"/>
    <n v="2"/>
    <n v="1"/>
    <n v="2"/>
  </r>
  <r>
    <n v="1338800"/>
    <n v="35"/>
    <x v="2"/>
    <s v="Yes"/>
    <x v="1"/>
    <x v="0"/>
    <n v="1204"/>
    <x v="0"/>
    <n v="4"/>
    <n v="3"/>
    <x v="4"/>
    <n v="1"/>
    <n v="4"/>
    <x v="1"/>
    <n v="86"/>
    <n v="3"/>
    <n v="3"/>
    <s v="Nurse"/>
    <n v="1"/>
    <s v="Poor"/>
    <x v="0"/>
    <n v="9582"/>
    <x v="0"/>
    <n v="10333"/>
    <n v="0"/>
    <s v="Y"/>
    <s v="Yes"/>
    <n v="22"/>
    <x v="1"/>
    <s v="High Performance"/>
    <n v="1"/>
    <n v="80"/>
    <n v="0"/>
    <n v="9"/>
    <n v="2"/>
    <n v="3"/>
    <s v="Fair"/>
    <n v="8"/>
    <n v="7"/>
    <n v="4"/>
    <n v="7"/>
  </r>
  <r>
    <n v="1823713"/>
    <n v="33"/>
    <x v="2"/>
    <s v="No"/>
    <x v="0"/>
    <x v="1"/>
    <n v="827"/>
    <x v="1"/>
    <n v="29"/>
    <n v="4"/>
    <x v="2"/>
    <n v="1"/>
    <n v="1"/>
    <x v="0"/>
    <n v="54"/>
    <n v="2"/>
    <n v="2"/>
    <s v="Other"/>
    <n v="3"/>
    <s v="Fair"/>
    <x v="0"/>
    <n v="4508"/>
    <x v="1"/>
    <n v="3129"/>
    <n v="1"/>
    <s v="Y"/>
    <s v="No"/>
    <n v="22"/>
    <x v="1"/>
    <s v="High Performance"/>
    <n v="2"/>
    <n v="80"/>
    <n v="0"/>
    <n v="14"/>
    <n v="4"/>
    <n v="3"/>
    <s v="Fair"/>
    <n v="13"/>
    <n v="7"/>
    <n v="3"/>
    <n v="8"/>
  </r>
  <r>
    <n v="1461105"/>
    <n v="28"/>
    <x v="2"/>
    <s v="No"/>
    <x v="0"/>
    <x v="0"/>
    <n v="895"/>
    <x v="1"/>
    <n v="15"/>
    <n v="2"/>
    <x v="0"/>
    <n v="1"/>
    <n v="1"/>
    <x v="1"/>
    <n v="50"/>
    <n v="3"/>
    <n v="1"/>
    <s v="Nurse"/>
    <n v="3"/>
    <s v="Fair"/>
    <x v="2"/>
    <n v="2207"/>
    <x v="1"/>
    <n v="22482"/>
    <n v="1"/>
    <s v="Y"/>
    <s v="No"/>
    <n v="16"/>
    <x v="0"/>
    <s v="Low Performance"/>
    <n v="4"/>
    <n v="80"/>
    <n v="1"/>
    <n v="4"/>
    <n v="5"/>
    <n v="2"/>
    <s v="Poor"/>
    <n v="4"/>
    <n v="2"/>
    <n v="2"/>
    <n v="2"/>
  </r>
  <r>
    <n v="1714672"/>
    <n v="34"/>
    <x v="2"/>
    <s v="No"/>
    <x v="0"/>
    <x v="1"/>
    <n v="618"/>
    <x v="1"/>
    <n v="3"/>
    <n v="1"/>
    <x v="0"/>
    <n v="1"/>
    <n v="1"/>
    <x v="1"/>
    <n v="45"/>
    <n v="3"/>
    <n v="2"/>
    <s v="Nurse"/>
    <n v="4"/>
    <s v="Good"/>
    <x v="0"/>
    <n v="7756"/>
    <x v="0"/>
    <n v="22266"/>
    <n v="0"/>
    <s v="Y"/>
    <s v="No"/>
    <n v="17"/>
    <x v="0"/>
    <s v="Low Performance"/>
    <n v="3"/>
    <n v="80"/>
    <n v="0"/>
    <n v="7"/>
    <n v="1"/>
    <n v="2"/>
    <s v="Poor"/>
    <n v="6"/>
    <n v="2"/>
    <n v="0"/>
    <n v="4"/>
  </r>
  <r>
    <n v="1264321"/>
    <n v="37"/>
    <x v="0"/>
    <s v="No"/>
    <x v="0"/>
    <x v="0"/>
    <n v="309"/>
    <x v="0"/>
    <n v="10"/>
    <n v="4"/>
    <x v="0"/>
    <n v="1"/>
    <n v="4"/>
    <x v="0"/>
    <n v="88"/>
    <n v="2"/>
    <n v="2"/>
    <s v="Nurse"/>
    <n v="4"/>
    <s v="Good"/>
    <x v="2"/>
    <n v="6694"/>
    <x v="0"/>
    <n v="24223"/>
    <n v="2"/>
    <s v="Y"/>
    <s v="Yes"/>
    <n v="14"/>
    <x v="0"/>
    <s v="Low Performance"/>
    <n v="3"/>
    <n v="80"/>
    <n v="3"/>
    <n v="8"/>
    <n v="5"/>
    <n v="3"/>
    <s v="Fair"/>
    <n v="1"/>
    <n v="0"/>
    <n v="0"/>
    <n v="0"/>
  </r>
  <r>
    <n v="1570590"/>
    <n v="25"/>
    <x v="4"/>
    <s v="No"/>
    <x v="0"/>
    <x v="0"/>
    <n v="1219"/>
    <x v="1"/>
    <n v="4"/>
    <n v="1"/>
    <x v="4"/>
    <n v="1"/>
    <n v="4"/>
    <x v="1"/>
    <n v="32"/>
    <n v="3"/>
    <n v="1"/>
    <s v="Nurse"/>
    <n v="4"/>
    <s v="Good"/>
    <x v="1"/>
    <n v="3691"/>
    <x v="1"/>
    <n v="4605"/>
    <n v="1"/>
    <s v="Y"/>
    <s v="Yes"/>
    <n v="15"/>
    <x v="0"/>
    <s v="Low Performance"/>
    <n v="2"/>
    <n v="80"/>
    <n v="1"/>
    <n v="7"/>
    <n v="3"/>
    <n v="4"/>
    <s v="Good"/>
    <n v="7"/>
    <n v="7"/>
    <n v="5"/>
    <n v="6"/>
  </r>
  <r>
    <n v="1417598"/>
    <n v="26"/>
    <x v="2"/>
    <s v="Yes"/>
    <x v="1"/>
    <x v="0"/>
    <n v="1330"/>
    <x v="1"/>
    <n v="21"/>
    <n v="3"/>
    <x v="2"/>
    <n v="1"/>
    <n v="1"/>
    <x v="1"/>
    <n v="37"/>
    <n v="3"/>
    <n v="1"/>
    <s v="Nurse"/>
    <n v="3"/>
    <s v="Fair"/>
    <x v="2"/>
    <n v="2377"/>
    <x v="1"/>
    <n v="19373"/>
    <n v="1"/>
    <s v="Y"/>
    <s v="No"/>
    <n v="20"/>
    <x v="1"/>
    <s v="High Performance"/>
    <n v="3"/>
    <n v="80"/>
    <n v="1"/>
    <n v="1"/>
    <n v="0"/>
    <n v="2"/>
    <s v="Poor"/>
    <n v="1"/>
    <n v="1"/>
    <n v="0"/>
    <n v="0"/>
  </r>
  <r>
    <n v="1875940"/>
    <n v="33"/>
    <x v="2"/>
    <s v="Yes"/>
    <x v="1"/>
    <x v="0"/>
    <n v="1017"/>
    <x v="1"/>
    <n v="25"/>
    <n v="3"/>
    <x v="2"/>
    <n v="1"/>
    <n v="1"/>
    <x v="1"/>
    <n v="55"/>
    <n v="2"/>
    <n v="1"/>
    <s v="Other"/>
    <n v="2"/>
    <s v="Poor"/>
    <x v="0"/>
    <n v="2313"/>
    <x v="1"/>
    <n v="2993"/>
    <n v="4"/>
    <s v="Y"/>
    <s v="Yes"/>
    <n v="20"/>
    <x v="1"/>
    <s v="High Performance"/>
    <n v="2"/>
    <n v="80"/>
    <n v="0"/>
    <n v="5"/>
    <n v="0"/>
    <n v="3"/>
    <s v="Fair"/>
    <n v="2"/>
    <n v="2"/>
    <n v="2"/>
    <n v="2"/>
  </r>
  <r>
    <n v="1815487"/>
    <n v="42"/>
    <x v="0"/>
    <s v="No"/>
    <x v="0"/>
    <x v="0"/>
    <n v="469"/>
    <x v="2"/>
    <n v="2"/>
    <n v="2"/>
    <x v="2"/>
    <n v="1"/>
    <n v="4"/>
    <x v="1"/>
    <n v="35"/>
    <n v="3"/>
    <n v="4"/>
    <s v="Other"/>
    <n v="1"/>
    <s v="Poor"/>
    <x v="1"/>
    <n v="17665"/>
    <x v="2"/>
    <n v="14399"/>
    <n v="0"/>
    <s v="Y"/>
    <s v="No"/>
    <n v="17"/>
    <x v="0"/>
    <s v="Low Performance"/>
    <n v="4"/>
    <n v="80"/>
    <n v="1"/>
    <n v="23"/>
    <n v="3"/>
    <n v="3"/>
    <s v="Fair"/>
    <n v="22"/>
    <n v="6"/>
    <n v="13"/>
    <n v="7"/>
  </r>
  <r>
    <n v="1364682"/>
    <n v="28"/>
    <x v="2"/>
    <s v="No"/>
    <x v="0"/>
    <x v="1"/>
    <n v="1009"/>
    <x v="1"/>
    <n v="1"/>
    <n v="3"/>
    <x v="2"/>
    <n v="1"/>
    <n v="1"/>
    <x v="1"/>
    <n v="45"/>
    <n v="2"/>
    <n v="1"/>
    <s v="Nurse"/>
    <n v="2"/>
    <s v="Poor"/>
    <x v="2"/>
    <n v="2596"/>
    <x v="1"/>
    <n v="7160"/>
    <n v="1"/>
    <s v="Y"/>
    <s v="No"/>
    <n v="15"/>
    <x v="0"/>
    <s v="Low Performance"/>
    <n v="1"/>
    <n v="80"/>
    <n v="2"/>
    <n v="1"/>
    <n v="2"/>
    <n v="3"/>
    <s v="Fair"/>
    <n v="1"/>
    <n v="0"/>
    <n v="0"/>
    <n v="0"/>
  </r>
  <r>
    <n v="1150498"/>
    <n v="50"/>
    <x v="1"/>
    <s v="No"/>
    <x v="0"/>
    <x v="1"/>
    <n v="959"/>
    <x v="0"/>
    <n v="1"/>
    <n v="4"/>
    <x v="1"/>
    <n v="1"/>
    <n v="4"/>
    <x v="1"/>
    <n v="81"/>
    <n v="3"/>
    <n v="2"/>
    <s v="Nurse"/>
    <n v="3"/>
    <s v="Fair"/>
    <x v="0"/>
    <n v="4728"/>
    <x v="1"/>
    <n v="17251"/>
    <n v="3"/>
    <s v="Y"/>
    <s v="Yes"/>
    <n v="14"/>
    <x v="0"/>
    <s v="Low Performance"/>
    <n v="4"/>
    <n v="80"/>
    <n v="0"/>
    <n v="5"/>
    <n v="4"/>
    <n v="3"/>
    <s v="Fair"/>
    <n v="0"/>
    <n v="0"/>
    <n v="0"/>
    <n v="0"/>
  </r>
  <r>
    <n v="1446684"/>
    <n v="33"/>
    <x v="2"/>
    <s v="No"/>
    <x v="0"/>
    <x v="1"/>
    <n v="970"/>
    <x v="0"/>
    <n v="7"/>
    <n v="3"/>
    <x v="0"/>
    <n v="1"/>
    <n v="4"/>
    <x v="0"/>
    <n v="30"/>
    <n v="3"/>
    <n v="2"/>
    <s v="Nurse"/>
    <n v="2"/>
    <s v="Poor"/>
    <x v="1"/>
    <n v="4302"/>
    <x v="1"/>
    <n v="13401"/>
    <n v="0"/>
    <s v="Y"/>
    <s v="No"/>
    <n v="17"/>
    <x v="0"/>
    <s v="Low Performance"/>
    <n v="3"/>
    <n v="80"/>
    <n v="1"/>
    <n v="4"/>
    <n v="3"/>
    <n v="3"/>
    <s v="Fair"/>
    <n v="3"/>
    <n v="2"/>
    <n v="0"/>
    <n v="2"/>
  </r>
  <r>
    <n v="1852842"/>
    <n v="34"/>
    <x v="2"/>
    <s v="No"/>
    <x v="0"/>
    <x v="2"/>
    <n v="697"/>
    <x v="1"/>
    <n v="3"/>
    <n v="4"/>
    <x v="0"/>
    <n v="1"/>
    <n v="3"/>
    <x v="1"/>
    <n v="40"/>
    <n v="2"/>
    <n v="1"/>
    <s v="Other"/>
    <n v="4"/>
    <s v="Good"/>
    <x v="1"/>
    <n v="2979"/>
    <x v="1"/>
    <n v="22478"/>
    <n v="3"/>
    <s v="Y"/>
    <s v="No"/>
    <n v="17"/>
    <x v="0"/>
    <s v="Low Performance"/>
    <n v="4"/>
    <n v="80"/>
    <n v="3"/>
    <n v="6"/>
    <n v="2"/>
    <n v="3"/>
    <s v="Fair"/>
    <n v="0"/>
    <n v="0"/>
    <n v="0"/>
    <n v="0"/>
  </r>
  <r>
    <n v="1554886"/>
    <n v="48"/>
    <x v="1"/>
    <s v="No"/>
    <x v="0"/>
    <x v="2"/>
    <n v="1262"/>
    <x v="2"/>
    <n v="1"/>
    <n v="4"/>
    <x v="2"/>
    <n v="1"/>
    <n v="1"/>
    <x v="1"/>
    <n v="35"/>
    <n v="4"/>
    <n v="4"/>
    <s v="Other"/>
    <n v="4"/>
    <s v="Good"/>
    <x v="0"/>
    <n v="16885"/>
    <x v="2"/>
    <n v="16154"/>
    <n v="2"/>
    <s v="Y"/>
    <s v="No"/>
    <n v="22"/>
    <x v="1"/>
    <s v="High Performance"/>
    <n v="3"/>
    <n v="80"/>
    <n v="0"/>
    <n v="27"/>
    <n v="3"/>
    <n v="2"/>
    <s v="Poor"/>
    <n v="5"/>
    <n v="4"/>
    <n v="2"/>
    <n v="1"/>
  </r>
  <r>
    <n v="1454712"/>
    <n v="45"/>
    <x v="0"/>
    <s v="No"/>
    <x v="0"/>
    <x v="2"/>
    <n v="1050"/>
    <x v="0"/>
    <n v="9"/>
    <n v="4"/>
    <x v="0"/>
    <n v="1"/>
    <n v="2"/>
    <x v="0"/>
    <n v="65"/>
    <n v="2"/>
    <n v="2"/>
    <s v="Nurse"/>
    <n v="3"/>
    <s v="Fair"/>
    <x v="1"/>
    <n v="5593"/>
    <x v="0"/>
    <n v="17970"/>
    <n v="1"/>
    <s v="Y"/>
    <s v="No"/>
    <n v="13"/>
    <x v="0"/>
    <s v="Low Performance"/>
    <n v="4"/>
    <n v="80"/>
    <n v="1"/>
    <n v="15"/>
    <n v="2"/>
    <n v="3"/>
    <s v="Fair"/>
    <n v="15"/>
    <n v="10"/>
    <n v="4"/>
    <n v="12"/>
  </r>
  <r>
    <n v="1212693"/>
    <n v="52"/>
    <x v="1"/>
    <s v="No"/>
    <x v="0"/>
    <x v="0"/>
    <n v="994"/>
    <x v="1"/>
    <n v="7"/>
    <n v="4"/>
    <x v="0"/>
    <n v="1"/>
    <n v="2"/>
    <x v="1"/>
    <n v="87"/>
    <n v="3"/>
    <n v="3"/>
    <s v="Nurse"/>
    <n v="2"/>
    <s v="Poor"/>
    <x v="0"/>
    <n v="10445"/>
    <x v="0"/>
    <n v="15322"/>
    <n v="7"/>
    <s v="Y"/>
    <s v="No"/>
    <n v="19"/>
    <x v="0"/>
    <s v="Low Performance"/>
    <n v="4"/>
    <n v="80"/>
    <n v="0"/>
    <n v="18"/>
    <n v="4"/>
    <n v="3"/>
    <s v="Fair"/>
    <n v="8"/>
    <n v="6"/>
    <n v="4"/>
    <n v="0"/>
  </r>
  <r>
    <n v="1312769"/>
    <n v="38"/>
    <x v="0"/>
    <s v="No"/>
    <x v="0"/>
    <x v="0"/>
    <n v="770"/>
    <x v="0"/>
    <n v="10"/>
    <n v="4"/>
    <x v="3"/>
    <n v="1"/>
    <n v="3"/>
    <x v="1"/>
    <n v="73"/>
    <n v="2"/>
    <n v="3"/>
    <s v="Nurse"/>
    <n v="3"/>
    <s v="Fair"/>
    <x v="2"/>
    <n v="8740"/>
    <x v="0"/>
    <n v="5569"/>
    <n v="0"/>
    <s v="Y"/>
    <s v="Yes"/>
    <n v="14"/>
    <x v="0"/>
    <s v="Low Performance"/>
    <n v="2"/>
    <n v="80"/>
    <n v="2"/>
    <n v="9"/>
    <n v="2"/>
    <n v="3"/>
    <s v="Fair"/>
    <n v="8"/>
    <n v="7"/>
    <n v="2"/>
    <n v="7"/>
  </r>
  <r>
    <n v="1601148"/>
    <n v="29"/>
    <x v="2"/>
    <s v="No"/>
    <x v="0"/>
    <x v="0"/>
    <n v="1107"/>
    <x v="1"/>
    <n v="28"/>
    <n v="4"/>
    <x v="0"/>
    <n v="1"/>
    <n v="3"/>
    <x v="0"/>
    <n v="93"/>
    <n v="3"/>
    <n v="1"/>
    <s v="Other"/>
    <n v="4"/>
    <s v="Good"/>
    <x v="2"/>
    <n v="2514"/>
    <x v="1"/>
    <n v="26968"/>
    <n v="4"/>
    <s v="Y"/>
    <s v="No"/>
    <n v="22"/>
    <x v="1"/>
    <s v="High Performance"/>
    <n v="1"/>
    <n v="80"/>
    <n v="1"/>
    <n v="11"/>
    <n v="1"/>
    <n v="3"/>
    <s v="Fair"/>
    <n v="7"/>
    <n v="5"/>
    <n v="1"/>
    <n v="7"/>
  </r>
  <r>
    <n v="1133211"/>
    <n v="28"/>
    <x v="2"/>
    <s v="No"/>
    <x v="0"/>
    <x v="0"/>
    <n v="950"/>
    <x v="2"/>
    <n v="3"/>
    <n v="3"/>
    <x v="2"/>
    <n v="1"/>
    <n v="4"/>
    <x v="0"/>
    <n v="93"/>
    <n v="3"/>
    <n v="3"/>
    <s v="Therapist"/>
    <n v="2"/>
    <s v="Poor"/>
    <x v="2"/>
    <n v="7655"/>
    <x v="0"/>
    <n v="8039"/>
    <n v="0"/>
    <s v="Y"/>
    <s v="No"/>
    <n v="17"/>
    <x v="0"/>
    <s v="Low Performance"/>
    <n v="2"/>
    <n v="80"/>
    <n v="3"/>
    <n v="10"/>
    <n v="3"/>
    <n v="2"/>
    <s v="Poor"/>
    <n v="9"/>
    <n v="7"/>
    <n v="1"/>
    <n v="7"/>
  </r>
  <r>
    <n v="1856618"/>
    <n v="46"/>
    <x v="1"/>
    <s v="No"/>
    <x v="0"/>
    <x v="0"/>
    <n v="406"/>
    <x v="0"/>
    <n v="3"/>
    <n v="1"/>
    <x v="3"/>
    <n v="1"/>
    <n v="1"/>
    <x v="1"/>
    <n v="52"/>
    <n v="3"/>
    <n v="4"/>
    <s v="Administrative"/>
    <n v="3"/>
    <s v="Fair"/>
    <x v="1"/>
    <n v="17465"/>
    <x v="2"/>
    <n v="15596"/>
    <n v="3"/>
    <s v="Y"/>
    <s v="No"/>
    <n v="12"/>
    <x v="0"/>
    <s v="Low Performance"/>
    <n v="4"/>
    <n v="80"/>
    <n v="1"/>
    <n v="23"/>
    <n v="3"/>
    <n v="3"/>
    <s v="Fair"/>
    <n v="12"/>
    <n v="9"/>
    <n v="4"/>
    <n v="9"/>
  </r>
  <r>
    <n v="1042408"/>
    <n v="38"/>
    <x v="0"/>
    <s v="No"/>
    <x v="0"/>
    <x v="0"/>
    <n v="130"/>
    <x v="0"/>
    <n v="2"/>
    <n v="2"/>
    <x v="3"/>
    <n v="1"/>
    <n v="4"/>
    <x v="1"/>
    <n v="32"/>
    <n v="3"/>
    <n v="3"/>
    <s v="Nurse"/>
    <n v="2"/>
    <s v="Poor"/>
    <x v="0"/>
    <n v="7351"/>
    <x v="0"/>
    <n v="20619"/>
    <n v="7"/>
    <s v="Y"/>
    <s v="No"/>
    <n v="16"/>
    <x v="0"/>
    <s v="Low Performance"/>
    <n v="3"/>
    <n v="80"/>
    <n v="0"/>
    <n v="10"/>
    <n v="2"/>
    <n v="3"/>
    <s v="Fair"/>
    <n v="1"/>
    <n v="0"/>
    <n v="0"/>
    <n v="0"/>
  </r>
  <r>
    <n v="1789769"/>
    <n v="43"/>
    <x v="0"/>
    <s v="No"/>
    <x v="0"/>
    <x v="1"/>
    <n v="1082"/>
    <x v="1"/>
    <n v="27"/>
    <n v="3"/>
    <x v="0"/>
    <n v="1"/>
    <n v="3"/>
    <x v="0"/>
    <n v="83"/>
    <n v="3"/>
    <n v="3"/>
    <s v="Therapist"/>
    <n v="1"/>
    <s v="Poor"/>
    <x v="1"/>
    <n v="10820"/>
    <x v="0"/>
    <n v="11535"/>
    <n v="8"/>
    <s v="Y"/>
    <s v="No"/>
    <n v="11"/>
    <x v="0"/>
    <s v="Low Performance"/>
    <n v="3"/>
    <n v="80"/>
    <n v="1"/>
    <n v="18"/>
    <n v="1"/>
    <n v="3"/>
    <s v="Fair"/>
    <n v="8"/>
    <n v="7"/>
    <n v="0"/>
    <n v="1"/>
  </r>
  <r>
    <n v="1440393"/>
    <n v="39"/>
    <x v="0"/>
    <s v="No"/>
    <x v="0"/>
    <x v="1"/>
    <n v="203"/>
    <x v="1"/>
    <n v="2"/>
    <n v="3"/>
    <x v="0"/>
    <n v="1"/>
    <n v="1"/>
    <x v="1"/>
    <n v="84"/>
    <n v="3"/>
    <n v="4"/>
    <s v="Nurse"/>
    <n v="4"/>
    <s v="Good"/>
    <x v="2"/>
    <n v="12169"/>
    <x v="2"/>
    <n v="13547"/>
    <n v="7"/>
    <s v="Y"/>
    <s v="No"/>
    <n v="11"/>
    <x v="0"/>
    <s v="Low Performance"/>
    <n v="4"/>
    <n v="80"/>
    <n v="3"/>
    <n v="21"/>
    <n v="4"/>
    <n v="3"/>
    <s v="Fair"/>
    <n v="18"/>
    <n v="7"/>
    <n v="11"/>
    <n v="5"/>
  </r>
  <r>
    <n v="1091520"/>
    <n v="40"/>
    <x v="0"/>
    <s v="No"/>
    <x v="0"/>
    <x v="0"/>
    <n v="1308"/>
    <x v="1"/>
    <n v="14"/>
    <n v="3"/>
    <x v="2"/>
    <n v="1"/>
    <n v="3"/>
    <x v="1"/>
    <n v="44"/>
    <n v="2"/>
    <n v="5"/>
    <s v="Administrative"/>
    <n v="3"/>
    <s v="Fair"/>
    <x v="0"/>
    <n v="19626"/>
    <x v="2"/>
    <n v="17544"/>
    <n v="1"/>
    <s v="Y"/>
    <s v="No"/>
    <n v="14"/>
    <x v="0"/>
    <s v="Low Performance"/>
    <n v="1"/>
    <n v="80"/>
    <n v="0"/>
    <n v="21"/>
    <n v="2"/>
    <n v="4"/>
    <s v="Good"/>
    <n v="20"/>
    <n v="7"/>
    <n v="4"/>
    <n v="9"/>
  </r>
  <r>
    <n v="1818532"/>
    <n v="21"/>
    <x v="4"/>
    <s v="Yes"/>
    <x v="1"/>
    <x v="0"/>
    <n v="984"/>
    <x v="1"/>
    <n v="1"/>
    <n v="1"/>
    <x v="4"/>
    <n v="1"/>
    <n v="4"/>
    <x v="0"/>
    <n v="70"/>
    <n v="2"/>
    <n v="1"/>
    <s v="Other"/>
    <n v="2"/>
    <s v="Poor"/>
    <x v="0"/>
    <n v="2070"/>
    <x v="1"/>
    <n v="25326"/>
    <n v="1"/>
    <s v="Y"/>
    <s v="Yes"/>
    <n v="11"/>
    <x v="0"/>
    <s v="Low Performance"/>
    <n v="3"/>
    <n v="80"/>
    <n v="0"/>
    <n v="2"/>
    <n v="6"/>
    <n v="4"/>
    <s v="Good"/>
    <n v="2"/>
    <n v="2"/>
    <n v="2"/>
    <n v="2"/>
  </r>
  <r>
    <n v="1292995"/>
    <n v="39"/>
    <x v="0"/>
    <s v="No"/>
    <x v="0"/>
    <x v="2"/>
    <n v="439"/>
    <x v="1"/>
    <n v="9"/>
    <n v="3"/>
    <x v="0"/>
    <n v="1"/>
    <n v="3"/>
    <x v="1"/>
    <n v="70"/>
    <n v="3"/>
    <n v="2"/>
    <s v="Nurse"/>
    <n v="2"/>
    <s v="Poor"/>
    <x v="0"/>
    <n v="6782"/>
    <x v="0"/>
    <n v="8770"/>
    <n v="9"/>
    <s v="Y"/>
    <s v="No"/>
    <n v="15"/>
    <x v="0"/>
    <s v="Low Performance"/>
    <n v="3"/>
    <n v="80"/>
    <n v="0"/>
    <n v="9"/>
    <n v="2"/>
    <n v="2"/>
    <s v="Poor"/>
    <n v="5"/>
    <n v="4"/>
    <n v="0"/>
    <n v="3"/>
  </r>
  <r>
    <n v="1522372"/>
    <n v="36"/>
    <x v="0"/>
    <s v="No"/>
    <x v="0"/>
    <x v="2"/>
    <n v="217"/>
    <x v="1"/>
    <n v="18"/>
    <n v="4"/>
    <x v="0"/>
    <n v="1"/>
    <n v="1"/>
    <x v="1"/>
    <n v="78"/>
    <n v="3"/>
    <n v="2"/>
    <s v="Therapist"/>
    <n v="4"/>
    <s v="Good"/>
    <x v="0"/>
    <n v="7779"/>
    <x v="0"/>
    <n v="23238"/>
    <n v="2"/>
    <s v="Y"/>
    <s v="No"/>
    <n v="20"/>
    <x v="1"/>
    <s v="High Performance"/>
    <n v="1"/>
    <n v="80"/>
    <n v="0"/>
    <n v="18"/>
    <n v="0"/>
    <n v="3"/>
    <s v="Fair"/>
    <n v="11"/>
    <n v="9"/>
    <n v="0"/>
    <n v="9"/>
  </r>
  <r>
    <n v="1308397"/>
    <n v="31"/>
    <x v="2"/>
    <s v="No"/>
    <x v="0"/>
    <x v="1"/>
    <n v="793"/>
    <x v="0"/>
    <n v="20"/>
    <n v="3"/>
    <x v="0"/>
    <n v="1"/>
    <n v="3"/>
    <x v="1"/>
    <n v="67"/>
    <n v="4"/>
    <n v="1"/>
    <s v="Other"/>
    <n v="4"/>
    <s v="Good"/>
    <x v="1"/>
    <n v="2791"/>
    <x v="1"/>
    <n v="21981"/>
    <n v="0"/>
    <s v="Y"/>
    <s v="No"/>
    <n v="12"/>
    <x v="0"/>
    <s v="Low Performance"/>
    <n v="1"/>
    <n v="80"/>
    <n v="1"/>
    <n v="3"/>
    <n v="4"/>
    <n v="3"/>
    <s v="Fair"/>
    <n v="2"/>
    <n v="2"/>
    <n v="2"/>
    <n v="2"/>
  </r>
  <r>
    <n v="1138410"/>
    <n v="28"/>
    <x v="2"/>
    <s v="No"/>
    <x v="0"/>
    <x v="0"/>
    <n v="1451"/>
    <x v="1"/>
    <n v="2"/>
    <n v="1"/>
    <x v="0"/>
    <n v="1"/>
    <n v="1"/>
    <x v="1"/>
    <n v="67"/>
    <n v="2"/>
    <n v="1"/>
    <s v="Other"/>
    <n v="2"/>
    <s v="Poor"/>
    <x v="1"/>
    <n v="3201"/>
    <x v="1"/>
    <n v="19911"/>
    <n v="0"/>
    <s v="Y"/>
    <s v="No"/>
    <n v="17"/>
    <x v="0"/>
    <s v="Low Performance"/>
    <n v="1"/>
    <n v="80"/>
    <n v="0"/>
    <n v="6"/>
    <n v="2"/>
    <n v="1"/>
    <s v="Poor"/>
    <n v="5"/>
    <n v="3"/>
    <n v="0"/>
    <n v="4"/>
  </r>
  <r>
    <n v="1752889"/>
    <n v="35"/>
    <x v="2"/>
    <s v="No"/>
    <x v="0"/>
    <x v="1"/>
    <n v="1182"/>
    <x v="0"/>
    <n v="11"/>
    <n v="2"/>
    <x v="3"/>
    <n v="1"/>
    <n v="4"/>
    <x v="1"/>
    <n v="54"/>
    <n v="3"/>
    <n v="2"/>
    <s v="Nurse"/>
    <n v="4"/>
    <s v="Good"/>
    <x v="2"/>
    <n v="4968"/>
    <x v="1"/>
    <n v="18500"/>
    <n v="1"/>
    <s v="Y"/>
    <s v="No"/>
    <n v="11"/>
    <x v="0"/>
    <s v="Low Performance"/>
    <n v="4"/>
    <n v="80"/>
    <n v="1"/>
    <n v="5"/>
    <n v="3"/>
    <n v="3"/>
    <s v="Fair"/>
    <n v="5"/>
    <n v="2"/>
    <n v="0"/>
    <n v="2"/>
  </r>
  <r>
    <n v="1425897"/>
    <n v="49"/>
    <x v="1"/>
    <s v="No"/>
    <x v="0"/>
    <x v="0"/>
    <n v="174"/>
    <x v="0"/>
    <n v="8"/>
    <n v="4"/>
    <x v="4"/>
    <n v="1"/>
    <n v="4"/>
    <x v="1"/>
    <n v="56"/>
    <n v="2"/>
    <n v="4"/>
    <s v="Nurse"/>
    <n v="2"/>
    <s v="Poor"/>
    <x v="1"/>
    <n v="13120"/>
    <x v="2"/>
    <n v="11879"/>
    <n v="6"/>
    <s v="Y"/>
    <s v="No"/>
    <n v="17"/>
    <x v="0"/>
    <s v="Low Performance"/>
    <n v="2"/>
    <n v="80"/>
    <n v="1"/>
    <n v="22"/>
    <n v="3"/>
    <n v="3"/>
    <s v="Fair"/>
    <n v="9"/>
    <n v="8"/>
    <n v="2"/>
    <n v="3"/>
  </r>
  <r>
    <n v="1719792"/>
    <n v="34"/>
    <x v="2"/>
    <s v="No"/>
    <x v="0"/>
    <x v="1"/>
    <n v="1003"/>
    <x v="2"/>
    <n v="2"/>
    <n v="2"/>
    <x v="0"/>
    <n v="1"/>
    <n v="4"/>
    <x v="1"/>
    <n v="95"/>
    <n v="3"/>
    <n v="2"/>
    <s v="Therapist"/>
    <n v="3"/>
    <s v="Fair"/>
    <x v="0"/>
    <n v="4033"/>
    <x v="1"/>
    <n v="15834"/>
    <n v="2"/>
    <s v="Y"/>
    <s v="No"/>
    <n v="11"/>
    <x v="0"/>
    <s v="Low Performance"/>
    <n v="4"/>
    <n v="80"/>
    <n v="0"/>
    <n v="5"/>
    <n v="3"/>
    <n v="2"/>
    <s v="Poor"/>
    <n v="3"/>
    <n v="2"/>
    <n v="0"/>
    <n v="2"/>
  </r>
  <r>
    <n v="1377897"/>
    <n v="29"/>
    <x v="2"/>
    <s v="No"/>
    <x v="0"/>
    <x v="1"/>
    <n v="490"/>
    <x v="1"/>
    <n v="10"/>
    <n v="3"/>
    <x v="0"/>
    <n v="1"/>
    <n v="4"/>
    <x v="0"/>
    <n v="61"/>
    <n v="3"/>
    <n v="1"/>
    <s v="Other"/>
    <n v="2"/>
    <s v="Poor"/>
    <x v="2"/>
    <n v="3291"/>
    <x v="1"/>
    <n v="17940"/>
    <n v="0"/>
    <s v="Y"/>
    <s v="No"/>
    <n v="14"/>
    <x v="0"/>
    <s v="Low Performance"/>
    <n v="4"/>
    <n v="80"/>
    <n v="2"/>
    <n v="8"/>
    <n v="2"/>
    <n v="2"/>
    <s v="Poor"/>
    <n v="7"/>
    <n v="5"/>
    <n v="1"/>
    <n v="1"/>
  </r>
  <r>
    <n v="1692477"/>
    <n v="42"/>
    <x v="0"/>
    <s v="No"/>
    <x v="0"/>
    <x v="0"/>
    <n v="188"/>
    <x v="1"/>
    <n v="29"/>
    <n v="3"/>
    <x v="2"/>
    <n v="1"/>
    <n v="2"/>
    <x v="1"/>
    <n v="56"/>
    <n v="1"/>
    <n v="2"/>
    <s v="Nurse"/>
    <n v="4"/>
    <s v="Good"/>
    <x v="0"/>
    <n v="4272"/>
    <x v="1"/>
    <n v="9558"/>
    <n v="4"/>
    <s v="Y"/>
    <s v="No"/>
    <n v="19"/>
    <x v="0"/>
    <s v="Low Performance"/>
    <n v="1"/>
    <n v="80"/>
    <n v="0"/>
    <n v="16"/>
    <n v="3"/>
    <n v="3"/>
    <s v="Fair"/>
    <n v="1"/>
    <n v="0"/>
    <n v="0"/>
    <n v="0"/>
  </r>
  <r>
    <n v="1618530"/>
    <n v="29"/>
    <x v="2"/>
    <s v="No"/>
    <x v="0"/>
    <x v="0"/>
    <n v="718"/>
    <x v="1"/>
    <n v="8"/>
    <n v="1"/>
    <x v="2"/>
    <n v="1"/>
    <n v="2"/>
    <x v="1"/>
    <n v="79"/>
    <n v="2"/>
    <n v="2"/>
    <s v="Therapist"/>
    <n v="4"/>
    <s v="Good"/>
    <x v="1"/>
    <n v="5056"/>
    <x v="0"/>
    <n v="17689"/>
    <n v="1"/>
    <s v="Y"/>
    <s v="Yes"/>
    <n v="15"/>
    <x v="0"/>
    <s v="Low Performance"/>
    <n v="3"/>
    <n v="80"/>
    <n v="1"/>
    <n v="10"/>
    <n v="2"/>
    <n v="2"/>
    <s v="Poor"/>
    <n v="10"/>
    <n v="7"/>
    <n v="1"/>
    <n v="2"/>
  </r>
  <r>
    <n v="1619491"/>
    <n v="38"/>
    <x v="0"/>
    <s v="No"/>
    <x v="0"/>
    <x v="0"/>
    <n v="433"/>
    <x v="2"/>
    <n v="1"/>
    <n v="3"/>
    <x v="5"/>
    <n v="1"/>
    <n v="3"/>
    <x v="1"/>
    <n v="37"/>
    <n v="4"/>
    <n v="1"/>
    <s v="Other"/>
    <n v="3"/>
    <s v="Fair"/>
    <x v="1"/>
    <n v="2844"/>
    <x v="1"/>
    <n v="6004"/>
    <n v="1"/>
    <s v="Y"/>
    <s v="No"/>
    <n v="13"/>
    <x v="0"/>
    <s v="Low Performance"/>
    <n v="4"/>
    <n v="80"/>
    <n v="1"/>
    <n v="7"/>
    <n v="2"/>
    <n v="4"/>
    <s v="Good"/>
    <n v="7"/>
    <n v="6"/>
    <n v="5"/>
    <n v="0"/>
  </r>
  <r>
    <n v="1321732"/>
    <n v="28"/>
    <x v="2"/>
    <s v="No"/>
    <x v="0"/>
    <x v="1"/>
    <n v="773"/>
    <x v="1"/>
    <n v="6"/>
    <n v="3"/>
    <x v="0"/>
    <n v="1"/>
    <n v="3"/>
    <x v="1"/>
    <n v="39"/>
    <n v="2"/>
    <n v="1"/>
    <s v="Other"/>
    <n v="3"/>
    <s v="Fair"/>
    <x v="2"/>
    <n v="2703"/>
    <x v="1"/>
    <n v="22088"/>
    <n v="1"/>
    <s v="Y"/>
    <s v="Yes"/>
    <n v="14"/>
    <x v="0"/>
    <s v="Low Performance"/>
    <n v="4"/>
    <n v="80"/>
    <n v="1"/>
    <n v="3"/>
    <n v="2"/>
    <n v="3"/>
    <s v="Fair"/>
    <n v="3"/>
    <n v="1"/>
    <n v="0"/>
    <n v="2"/>
  </r>
  <r>
    <n v="1313694"/>
    <n v="18"/>
    <x v="4"/>
    <s v="Yes"/>
    <x v="1"/>
    <x v="2"/>
    <n v="247"/>
    <x v="1"/>
    <n v="8"/>
    <n v="1"/>
    <x v="2"/>
    <n v="1"/>
    <n v="3"/>
    <x v="1"/>
    <n v="80"/>
    <n v="3"/>
    <n v="1"/>
    <s v="Nurse"/>
    <n v="3"/>
    <s v="Fair"/>
    <x v="0"/>
    <n v="1904"/>
    <x v="1"/>
    <n v="13556"/>
    <n v="1"/>
    <s v="Y"/>
    <s v="No"/>
    <n v="12"/>
    <x v="0"/>
    <s v="Low Performance"/>
    <n v="4"/>
    <n v="80"/>
    <n v="0"/>
    <n v="0"/>
    <n v="0"/>
    <n v="3"/>
    <s v="Fair"/>
    <n v="0"/>
    <n v="0"/>
    <n v="0"/>
    <n v="0"/>
  </r>
  <r>
    <n v="1140608"/>
    <n v="33"/>
    <x v="2"/>
    <s v="Yes"/>
    <x v="1"/>
    <x v="0"/>
    <n v="603"/>
    <x v="0"/>
    <n v="9"/>
    <n v="4"/>
    <x v="3"/>
    <n v="1"/>
    <n v="1"/>
    <x v="0"/>
    <n v="77"/>
    <n v="3"/>
    <n v="2"/>
    <s v="Nurse"/>
    <n v="1"/>
    <s v="Poor"/>
    <x v="0"/>
    <n v="8224"/>
    <x v="0"/>
    <n v="18385"/>
    <n v="0"/>
    <s v="Y"/>
    <s v="Yes"/>
    <n v="17"/>
    <x v="0"/>
    <s v="Low Performance"/>
    <n v="1"/>
    <n v="80"/>
    <n v="0"/>
    <n v="6"/>
    <n v="3"/>
    <n v="3"/>
    <s v="Fair"/>
    <n v="5"/>
    <n v="2"/>
    <n v="0"/>
    <n v="3"/>
  </r>
  <r>
    <n v="1190899"/>
    <n v="41"/>
    <x v="0"/>
    <s v="No"/>
    <x v="0"/>
    <x v="0"/>
    <n v="167"/>
    <x v="1"/>
    <n v="12"/>
    <n v="4"/>
    <x v="0"/>
    <n v="1"/>
    <n v="2"/>
    <x v="1"/>
    <n v="46"/>
    <n v="3"/>
    <n v="1"/>
    <s v="Nurse"/>
    <n v="4"/>
    <s v="Good"/>
    <x v="1"/>
    <n v="4766"/>
    <x v="1"/>
    <n v="9051"/>
    <n v="3"/>
    <s v="Y"/>
    <s v="Yes"/>
    <n v="11"/>
    <x v="0"/>
    <s v="Low Performance"/>
    <n v="1"/>
    <n v="80"/>
    <n v="1"/>
    <n v="6"/>
    <n v="4"/>
    <n v="3"/>
    <s v="Fair"/>
    <n v="1"/>
    <n v="0"/>
    <n v="0"/>
    <n v="0"/>
  </r>
  <r>
    <n v="1131723"/>
    <n v="31"/>
    <x v="2"/>
    <s v="No"/>
    <x v="0"/>
    <x v="1"/>
    <n v="874"/>
    <x v="1"/>
    <n v="15"/>
    <n v="3"/>
    <x v="2"/>
    <n v="1"/>
    <n v="3"/>
    <x v="1"/>
    <n v="72"/>
    <n v="3"/>
    <n v="1"/>
    <s v="Nurse"/>
    <n v="3"/>
    <s v="Fair"/>
    <x v="1"/>
    <n v="2610"/>
    <x v="1"/>
    <n v="6233"/>
    <n v="1"/>
    <s v="Y"/>
    <s v="No"/>
    <n v="12"/>
    <x v="0"/>
    <s v="Low Performance"/>
    <n v="3"/>
    <n v="80"/>
    <n v="1"/>
    <n v="2"/>
    <n v="5"/>
    <n v="2"/>
    <s v="Poor"/>
    <n v="2"/>
    <n v="2"/>
    <n v="2"/>
    <n v="2"/>
  </r>
  <r>
    <n v="1066655"/>
    <n v="37"/>
    <x v="0"/>
    <s v="No"/>
    <x v="0"/>
    <x v="0"/>
    <n v="367"/>
    <x v="1"/>
    <n v="25"/>
    <n v="2"/>
    <x v="2"/>
    <n v="1"/>
    <n v="3"/>
    <x v="0"/>
    <n v="52"/>
    <n v="2"/>
    <n v="2"/>
    <s v="Nurse"/>
    <n v="4"/>
    <s v="Good"/>
    <x v="2"/>
    <n v="5731"/>
    <x v="0"/>
    <n v="17171"/>
    <n v="7"/>
    <s v="Y"/>
    <s v="No"/>
    <n v="13"/>
    <x v="0"/>
    <s v="Low Performance"/>
    <n v="3"/>
    <n v="80"/>
    <n v="2"/>
    <n v="9"/>
    <n v="2"/>
    <n v="3"/>
    <s v="Fair"/>
    <n v="6"/>
    <n v="2"/>
    <n v="1"/>
    <n v="3"/>
  </r>
  <r>
    <n v="1061785"/>
    <n v="27"/>
    <x v="2"/>
    <s v="No"/>
    <x v="0"/>
    <x v="0"/>
    <n v="199"/>
    <x v="1"/>
    <n v="6"/>
    <n v="3"/>
    <x v="0"/>
    <n v="1"/>
    <n v="4"/>
    <x v="1"/>
    <n v="55"/>
    <n v="2"/>
    <n v="1"/>
    <s v="Other"/>
    <n v="3"/>
    <s v="Fair"/>
    <x v="1"/>
    <n v="2539"/>
    <x v="1"/>
    <n v="7950"/>
    <n v="1"/>
    <s v="Y"/>
    <s v="No"/>
    <n v="13"/>
    <x v="0"/>
    <s v="Low Performance"/>
    <n v="3"/>
    <n v="80"/>
    <n v="1"/>
    <n v="4"/>
    <n v="0"/>
    <n v="3"/>
    <s v="Fair"/>
    <n v="4"/>
    <n v="2"/>
    <n v="2"/>
    <n v="2"/>
  </r>
  <r>
    <n v="1745568"/>
    <n v="34"/>
    <x v="2"/>
    <s v="No"/>
    <x v="0"/>
    <x v="0"/>
    <n v="1400"/>
    <x v="0"/>
    <n v="9"/>
    <n v="1"/>
    <x v="0"/>
    <n v="1"/>
    <n v="2"/>
    <x v="0"/>
    <n v="70"/>
    <n v="3"/>
    <n v="2"/>
    <s v="Nurse"/>
    <n v="3"/>
    <s v="Fair"/>
    <x v="1"/>
    <n v="5714"/>
    <x v="0"/>
    <n v="5829"/>
    <n v="1"/>
    <s v="Y"/>
    <s v="No"/>
    <n v="20"/>
    <x v="1"/>
    <s v="High Performance"/>
    <n v="1"/>
    <n v="80"/>
    <n v="0"/>
    <n v="6"/>
    <n v="3"/>
    <n v="2"/>
    <s v="Poor"/>
    <n v="6"/>
    <n v="5"/>
    <n v="1"/>
    <n v="3"/>
  </r>
  <r>
    <n v="1034814"/>
    <n v="35"/>
    <x v="2"/>
    <s v="No"/>
    <x v="0"/>
    <x v="0"/>
    <n v="528"/>
    <x v="2"/>
    <n v="8"/>
    <n v="4"/>
    <x v="4"/>
    <n v="1"/>
    <n v="3"/>
    <x v="1"/>
    <n v="100"/>
    <n v="3"/>
    <n v="1"/>
    <s v="Other"/>
    <n v="3"/>
    <s v="Fair"/>
    <x v="0"/>
    <n v="4323"/>
    <x v="1"/>
    <n v="7108"/>
    <n v="1"/>
    <s v="Y"/>
    <s v="No"/>
    <n v="17"/>
    <x v="0"/>
    <s v="Low Performance"/>
    <n v="2"/>
    <n v="80"/>
    <n v="0"/>
    <n v="6"/>
    <n v="2"/>
    <n v="1"/>
    <s v="Poor"/>
    <n v="5"/>
    <n v="4"/>
    <n v="1"/>
    <n v="4"/>
  </r>
  <r>
    <n v="1778989"/>
    <n v="29"/>
    <x v="2"/>
    <s v="Yes"/>
    <x v="1"/>
    <x v="0"/>
    <n v="408"/>
    <x v="0"/>
    <n v="23"/>
    <n v="1"/>
    <x v="0"/>
    <n v="1"/>
    <n v="4"/>
    <x v="0"/>
    <n v="45"/>
    <n v="2"/>
    <n v="3"/>
    <s v="Nurse"/>
    <n v="1"/>
    <s v="Poor"/>
    <x v="1"/>
    <n v="7336"/>
    <x v="0"/>
    <n v="11162"/>
    <n v="1"/>
    <s v="Y"/>
    <s v="No"/>
    <n v="13"/>
    <x v="0"/>
    <s v="Low Performance"/>
    <n v="1"/>
    <n v="80"/>
    <n v="1"/>
    <n v="11"/>
    <n v="3"/>
    <n v="1"/>
    <s v="Poor"/>
    <n v="11"/>
    <n v="8"/>
    <n v="3"/>
    <n v="10"/>
  </r>
  <r>
    <n v="1452385"/>
    <n v="40"/>
    <x v="0"/>
    <s v="No"/>
    <x v="0"/>
    <x v="1"/>
    <n v="593"/>
    <x v="1"/>
    <n v="9"/>
    <n v="4"/>
    <x v="2"/>
    <n v="1"/>
    <n v="2"/>
    <x v="0"/>
    <n v="88"/>
    <n v="3"/>
    <n v="3"/>
    <s v="Administrative"/>
    <n v="3"/>
    <s v="Fair"/>
    <x v="0"/>
    <n v="13499"/>
    <x v="2"/>
    <n v="13782"/>
    <n v="9"/>
    <s v="Y"/>
    <s v="No"/>
    <n v="17"/>
    <x v="0"/>
    <s v="Low Performance"/>
    <n v="3"/>
    <n v="80"/>
    <n v="0"/>
    <n v="20"/>
    <n v="3"/>
    <n v="2"/>
    <s v="Poor"/>
    <n v="18"/>
    <n v="7"/>
    <n v="2"/>
    <n v="13"/>
  </r>
  <r>
    <n v="1513386"/>
    <n v="42"/>
    <x v="0"/>
    <s v="No"/>
    <x v="0"/>
    <x v="1"/>
    <n v="481"/>
    <x v="0"/>
    <n v="12"/>
    <n v="3"/>
    <x v="0"/>
    <n v="1"/>
    <n v="3"/>
    <x v="1"/>
    <n v="44"/>
    <n v="3"/>
    <n v="4"/>
    <s v="Nurse"/>
    <n v="1"/>
    <s v="Poor"/>
    <x v="0"/>
    <n v="13758"/>
    <x v="2"/>
    <n v="2447"/>
    <n v="0"/>
    <s v="Y"/>
    <s v="Yes"/>
    <n v="12"/>
    <x v="0"/>
    <s v="Low Performance"/>
    <n v="2"/>
    <n v="80"/>
    <n v="0"/>
    <n v="22"/>
    <n v="2"/>
    <n v="2"/>
    <s v="Poor"/>
    <n v="21"/>
    <n v="9"/>
    <n v="13"/>
    <n v="14"/>
  </r>
  <r>
    <n v="1812528"/>
    <n v="42"/>
    <x v="0"/>
    <s v="No"/>
    <x v="0"/>
    <x v="0"/>
    <n v="647"/>
    <x v="0"/>
    <n v="4"/>
    <n v="4"/>
    <x v="3"/>
    <n v="1"/>
    <n v="2"/>
    <x v="1"/>
    <n v="45"/>
    <n v="3"/>
    <n v="2"/>
    <s v="Nurse"/>
    <n v="1"/>
    <s v="Poor"/>
    <x v="0"/>
    <n v="5155"/>
    <x v="0"/>
    <n v="2253"/>
    <n v="7"/>
    <s v="Y"/>
    <s v="No"/>
    <n v="13"/>
    <x v="0"/>
    <s v="Low Performance"/>
    <n v="4"/>
    <n v="80"/>
    <n v="0"/>
    <n v="9"/>
    <n v="3"/>
    <n v="4"/>
    <s v="Good"/>
    <n v="6"/>
    <n v="4"/>
    <n v="1"/>
    <n v="5"/>
  </r>
  <r>
    <n v="1479961"/>
    <n v="35"/>
    <x v="2"/>
    <s v="No"/>
    <x v="0"/>
    <x v="0"/>
    <n v="982"/>
    <x v="1"/>
    <n v="1"/>
    <n v="4"/>
    <x v="2"/>
    <n v="1"/>
    <n v="4"/>
    <x v="1"/>
    <n v="58"/>
    <n v="2"/>
    <n v="1"/>
    <s v="Nurse"/>
    <n v="3"/>
    <s v="Fair"/>
    <x v="1"/>
    <n v="2258"/>
    <x v="1"/>
    <n v="16340"/>
    <n v="6"/>
    <s v="Y"/>
    <s v="No"/>
    <n v="12"/>
    <x v="0"/>
    <s v="Low Performance"/>
    <n v="2"/>
    <n v="80"/>
    <n v="1"/>
    <n v="10"/>
    <n v="2"/>
    <n v="3"/>
    <s v="Fair"/>
    <n v="8"/>
    <n v="0"/>
    <n v="1"/>
    <n v="7"/>
  </r>
  <r>
    <n v="1446497"/>
    <n v="24"/>
    <x v="4"/>
    <s v="No"/>
    <x v="0"/>
    <x v="0"/>
    <n v="477"/>
    <x v="1"/>
    <n v="24"/>
    <n v="3"/>
    <x v="2"/>
    <n v="1"/>
    <n v="4"/>
    <x v="1"/>
    <n v="49"/>
    <n v="3"/>
    <n v="1"/>
    <s v="Nurse"/>
    <n v="2"/>
    <s v="Poor"/>
    <x v="0"/>
    <n v="3597"/>
    <x v="1"/>
    <n v="6409"/>
    <n v="8"/>
    <s v="Y"/>
    <s v="No"/>
    <n v="22"/>
    <x v="1"/>
    <s v="High Performance"/>
    <n v="4"/>
    <n v="80"/>
    <n v="0"/>
    <n v="6"/>
    <n v="2"/>
    <n v="3"/>
    <s v="Fair"/>
    <n v="4"/>
    <n v="3"/>
    <n v="1"/>
    <n v="2"/>
  </r>
  <r>
    <n v="1340549"/>
    <n v="28"/>
    <x v="2"/>
    <s v="Yes"/>
    <x v="1"/>
    <x v="0"/>
    <n v="1485"/>
    <x v="1"/>
    <n v="12"/>
    <n v="1"/>
    <x v="0"/>
    <n v="1"/>
    <n v="3"/>
    <x v="0"/>
    <n v="79"/>
    <n v="3"/>
    <n v="1"/>
    <s v="Nurse"/>
    <n v="4"/>
    <s v="Good"/>
    <x v="1"/>
    <n v="2515"/>
    <x v="1"/>
    <n v="22955"/>
    <n v="1"/>
    <s v="Y"/>
    <s v="Yes"/>
    <n v="11"/>
    <x v="0"/>
    <s v="Low Performance"/>
    <n v="4"/>
    <n v="80"/>
    <n v="0"/>
    <n v="1"/>
    <n v="4"/>
    <n v="2"/>
    <s v="Poor"/>
    <n v="1"/>
    <n v="1"/>
    <n v="0"/>
    <n v="0"/>
  </r>
  <r>
    <n v="1588632"/>
    <n v="26"/>
    <x v="2"/>
    <s v="No"/>
    <x v="0"/>
    <x v="0"/>
    <n v="1384"/>
    <x v="1"/>
    <n v="3"/>
    <n v="4"/>
    <x v="2"/>
    <n v="1"/>
    <n v="1"/>
    <x v="1"/>
    <n v="82"/>
    <n v="4"/>
    <n v="1"/>
    <s v="Nurse"/>
    <n v="4"/>
    <s v="Good"/>
    <x v="1"/>
    <n v="4420"/>
    <x v="1"/>
    <n v="13421"/>
    <n v="1"/>
    <s v="Y"/>
    <s v="No"/>
    <n v="22"/>
    <x v="1"/>
    <s v="High Performance"/>
    <n v="2"/>
    <n v="80"/>
    <n v="1"/>
    <n v="8"/>
    <n v="2"/>
    <n v="3"/>
    <s v="Fair"/>
    <n v="8"/>
    <n v="7"/>
    <n v="0"/>
    <n v="7"/>
  </r>
  <r>
    <n v="1499676"/>
    <n v="30"/>
    <x v="2"/>
    <s v="No"/>
    <x v="0"/>
    <x v="0"/>
    <n v="852"/>
    <x v="0"/>
    <n v="10"/>
    <n v="3"/>
    <x v="3"/>
    <n v="1"/>
    <n v="3"/>
    <x v="1"/>
    <n v="72"/>
    <n v="2"/>
    <n v="2"/>
    <s v="Nurse"/>
    <n v="3"/>
    <s v="Fair"/>
    <x v="1"/>
    <n v="6578"/>
    <x v="0"/>
    <n v="2706"/>
    <n v="1"/>
    <s v="Y"/>
    <s v="No"/>
    <n v="18"/>
    <x v="0"/>
    <s v="Low Performance"/>
    <n v="1"/>
    <n v="80"/>
    <n v="1"/>
    <n v="10"/>
    <n v="3"/>
    <n v="3"/>
    <s v="Fair"/>
    <n v="10"/>
    <n v="3"/>
    <n v="1"/>
    <n v="4"/>
  </r>
  <r>
    <n v="1849677"/>
    <n v="40"/>
    <x v="0"/>
    <s v="No"/>
    <x v="0"/>
    <x v="1"/>
    <n v="902"/>
    <x v="1"/>
    <n v="26"/>
    <n v="2"/>
    <x v="2"/>
    <n v="1"/>
    <n v="3"/>
    <x v="0"/>
    <n v="92"/>
    <n v="2"/>
    <n v="2"/>
    <s v="Other"/>
    <n v="4"/>
    <s v="Good"/>
    <x v="1"/>
    <n v="4422"/>
    <x v="1"/>
    <n v="21203"/>
    <n v="3"/>
    <s v="Y"/>
    <s v="Yes"/>
    <n v="13"/>
    <x v="0"/>
    <s v="Low Performance"/>
    <n v="4"/>
    <n v="80"/>
    <n v="1"/>
    <n v="16"/>
    <n v="3"/>
    <n v="1"/>
    <s v="Poor"/>
    <n v="1"/>
    <n v="1"/>
    <n v="0"/>
    <n v="0"/>
  </r>
  <r>
    <n v="1209446"/>
    <n v="35"/>
    <x v="2"/>
    <s v="No"/>
    <x v="0"/>
    <x v="0"/>
    <n v="819"/>
    <x v="2"/>
    <n v="2"/>
    <n v="3"/>
    <x v="0"/>
    <n v="1"/>
    <n v="3"/>
    <x v="1"/>
    <n v="44"/>
    <n v="2"/>
    <n v="3"/>
    <s v="Therapist"/>
    <n v="2"/>
    <s v="Poor"/>
    <x v="2"/>
    <n v="10274"/>
    <x v="0"/>
    <n v="19588"/>
    <n v="2"/>
    <s v="Y"/>
    <s v="No"/>
    <n v="18"/>
    <x v="0"/>
    <s v="Low Performance"/>
    <n v="2"/>
    <n v="80"/>
    <n v="1"/>
    <n v="15"/>
    <n v="2"/>
    <n v="4"/>
    <s v="Good"/>
    <n v="7"/>
    <n v="7"/>
    <n v="6"/>
    <n v="4"/>
  </r>
  <r>
    <n v="1098841"/>
    <n v="34"/>
    <x v="2"/>
    <s v="No"/>
    <x v="0"/>
    <x v="1"/>
    <n v="669"/>
    <x v="1"/>
    <n v="1"/>
    <n v="3"/>
    <x v="2"/>
    <n v="1"/>
    <n v="4"/>
    <x v="1"/>
    <n v="97"/>
    <n v="2"/>
    <n v="2"/>
    <s v="Nurse"/>
    <n v="1"/>
    <s v="Poor"/>
    <x v="0"/>
    <n v="5343"/>
    <x v="0"/>
    <n v="25755"/>
    <n v="0"/>
    <s v="Y"/>
    <s v="No"/>
    <n v="20"/>
    <x v="1"/>
    <s v="High Performance"/>
    <n v="3"/>
    <n v="80"/>
    <n v="0"/>
    <n v="14"/>
    <n v="3"/>
    <n v="3"/>
    <s v="Fair"/>
    <n v="13"/>
    <n v="9"/>
    <n v="4"/>
    <n v="9"/>
  </r>
  <r>
    <n v="1871555"/>
    <n v="35"/>
    <x v="2"/>
    <s v="No"/>
    <x v="0"/>
    <x v="1"/>
    <n v="636"/>
    <x v="1"/>
    <n v="4"/>
    <n v="4"/>
    <x v="1"/>
    <n v="1"/>
    <n v="4"/>
    <x v="1"/>
    <n v="47"/>
    <n v="2"/>
    <n v="1"/>
    <s v="Nurse"/>
    <n v="4"/>
    <s v="Good"/>
    <x v="1"/>
    <n v="2376"/>
    <x v="1"/>
    <n v="26537"/>
    <n v="1"/>
    <s v="Y"/>
    <s v="No"/>
    <n v="13"/>
    <x v="0"/>
    <s v="Low Performance"/>
    <n v="2"/>
    <n v="80"/>
    <n v="1"/>
    <n v="2"/>
    <n v="2"/>
    <n v="4"/>
    <s v="Good"/>
    <n v="2"/>
    <n v="2"/>
    <n v="2"/>
    <n v="2"/>
  </r>
  <r>
    <n v="1405213"/>
    <n v="43"/>
    <x v="0"/>
    <s v="Yes"/>
    <x v="1"/>
    <x v="0"/>
    <n v="1372"/>
    <x v="0"/>
    <n v="9"/>
    <n v="3"/>
    <x v="3"/>
    <n v="1"/>
    <n v="1"/>
    <x v="0"/>
    <n v="85"/>
    <n v="1"/>
    <n v="2"/>
    <s v="Nurse"/>
    <n v="3"/>
    <s v="Fair"/>
    <x v="0"/>
    <n v="5346"/>
    <x v="0"/>
    <n v="9489"/>
    <n v="8"/>
    <s v="Y"/>
    <s v="No"/>
    <n v="13"/>
    <x v="0"/>
    <s v="Low Performance"/>
    <n v="2"/>
    <n v="80"/>
    <n v="0"/>
    <n v="7"/>
    <n v="2"/>
    <n v="2"/>
    <s v="Poor"/>
    <n v="4"/>
    <n v="3"/>
    <n v="1"/>
    <n v="3"/>
  </r>
  <r>
    <n v="1089994"/>
    <n v="32"/>
    <x v="2"/>
    <s v="No"/>
    <x v="0"/>
    <x v="2"/>
    <n v="862"/>
    <x v="0"/>
    <n v="2"/>
    <n v="1"/>
    <x v="0"/>
    <n v="1"/>
    <n v="3"/>
    <x v="0"/>
    <n v="76"/>
    <n v="3"/>
    <n v="1"/>
    <s v="Other"/>
    <n v="1"/>
    <s v="Poor"/>
    <x v="2"/>
    <n v="2827"/>
    <x v="1"/>
    <n v="14947"/>
    <n v="1"/>
    <s v="Y"/>
    <s v="No"/>
    <n v="12"/>
    <x v="0"/>
    <s v="Low Performance"/>
    <n v="3"/>
    <n v="80"/>
    <n v="3"/>
    <n v="1"/>
    <n v="3"/>
    <n v="3"/>
    <s v="Fair"/>
    <n v="1"/>
    <n v="0"/>
    <n v="0"/>
    <n v="0"/>
  </r>
  <r>
    <n v="1710657"/>
    <n v="56"/>
    <x v="3"/>
    <s v="No"/>
    <x v="0"/>
    <x v="0"/>
    <n v="718"/>
    <x v="2"/>
    <n v="4"/>
    <n v="4"/>
    <x v="4"/>
    <n v="1"/>
    <n v="4"/>
    <x v="0"/>
    <n v="92"/>
    <n v="3"/>
    <n v="5"/>
    <s v="Other"/>
    <n v="1"/>
    <s v="Poor"/>
    <x v="2"/>
    <n v="19943"/>
    <x v="2"/>
    <n v="18575"/>
    <n v="4"/>
    <s v="Y"/>
    <s v="No"/>
    <n v="13"/>
    <x v="0"/>
    <s v="Low Performance"/>
    <n v="4"/>
    <n v="80"/>
    <n v="1"/>
    <n v="28"/>
    <n v="2"/>
    <n v="3"/>
    <s v="Fair"/>
    <n v="5"/>
    <n v="2"/>
    <n v="4"/>
    <n v="2"/>
  </r>
  <r>
    <n v="1511393"/>
    <n v="29"/>
    <x v="2"/>
    <s v="No"/>
    <x v="0"/>
    <x v="0"/>
    <n v="1401"/>
    <x v="1"/>
    <n v="6"/>
    <n v="1"/>
    <x v="2"/>
    <n v="1"/>
    <n v="2"/>
    <x v="0"/>
    <n v="54"/>
    <n v="3"/>
    <n v="1"/>
    <s v="Nurse"/>
    <n v="4"/>
    <s v="Good"/>
    <x v="1"/>
    <n v="3131"/>
    <x v="1"/>
    <n v="26342"/>
    <n v="1"/>
    <s v="Y"/>
    <s v="No"/>
    <n v="13"/>
    <x v="0"/>
    <s v="Low Performance"/>
    <n v="1"/>
    <n v="80"/>
    <n v="1"/>
    <n v="10"/>
    <n v="5"/>
    <n v="3"/>
    <s v="Fair"/>
    <n v="10"/>
    <n v="8"/>
    <n v="0"/>
    <n v="8"/>
  </r>
  <r>
    <n v="1542698"/>
    <n v="19"/>
    <x v="4"/>
    <s v="No"/>
    <x v="0"/>
    <x v="0"/>
    <n v="645"/>
    <x v="1"/>
    <n v="9"/>
    <n v="2"/>
    <x v="0"/>
    <n v="1"/>
    <n v="3"/>
    <x v="1"/>
    <n v="54"/>
    <n v="3"/>
    <n v="1"/>
    <s v="Other"/>
    <n v="1"/>
    <s v="Poor"/>
    <x v="0"/>
    <n v="2552"/>
    <x v="1"/>
    <n v="7172"/>
    <n v="1"/>
    <s v="Y"/>
    <s v="No"/>
    <n v="25"/>
    <x v="1"/>
    <s v="High Performance"/>
    <n v="3"/>
    <n v="80"/>
    <n v="0"/>
    <n v="1"/>
    <n v="4"/>
    <n v="3"/>
    <s v="Fair"/>
    <n v="1"/>
    <n v="1"/>
    <n v="0"/>
    <n v="0"/>
  </r>
  <r>
    <n v="1764148"/>
    <n v="45"/>
    <x v="0"/>
    <s v="No"/>
    <x v="0"/>
    <x v="0"/>
    <n v="1457"/>
    <x v="1"/>
    <n v="7"/>
    <n v="3"/>
    <x v="2"/>
    <n v="1"/>
    <n v="1"/>
    <x v="0"/>
    <n v="83"/>
    <n v="3"/>
    <n v="1"/>
    <s v="Other"/>
    <n v="3"/>
    <s v="Fair"/>
    <x v="1"/>
    <n v="4477"/>
    <x v="1"/>
    <n v="20100"/>
    <n v="4"/>
    <s v="Y"/>
    <s v="Yes"/>
    <n v="19"/>
    <x v="0"/>
    <s v="Low Performance"/>
    <n v="3"/>
    <n v="80"/>
    <n v="1"/>
    <n v="7"/>
    <n v="2"/>
    <n v="2"/>
    <s v="Poor"/>
    <n v="3"/>
    <n v="2"/>
    <n v="0"/>
    <n v="2"/>
  </r>
  <r>
    <n v="1334983"/>
    <n v="37"/>
    <x v="0"/>
    <s v="No"/>
    <x v="0"/>
    <x v="0"/>
    <n v="977"/>
    <x v="2"/>
    <n v="1"/>
    <n v="3"/>
    <x v="0"/>
    <n v="1"/>
    <n v="4"/>
    <x v="0"/>
    <n v="56"/>
    <n v="2"/>
    <n v="2"/>
    <s v="Therapist"/>
    <n v="4"/>
    <s v="Good"/>
    <x v="1"/>
    <n v="6474"/>
    <x v="0"/>
    <n v="9961"/>
    <n v="1"/>
    <s v="Y"/>
    <s v="No"/>
    <n v="13"/>
    <x v="0"/>
    <s v="Low Performance"/>
    <n v="2"/>
    <n v="80"/>
    <n v="1"/>
    <n v="14"/>
    <n v="2"/>
    <n v="2"/>
    <s v="Poor"/>
    <n v="14"/>
    <n v="8"/>
    <n v="3"/>
    <n v="11"/>
  </r>
  <r>
    <n v="1713700"/>
    <n v="20"/>
    <x v="4"/>
    <s v="Yes"/>
    <x v="1"/>
    <x v="0"/>
    <n v="805"/>
    <x v="1"/>
    <n v="3"/>
    <n v="3"/>
    <x v="0"/>
    <n v="1"/>
    <n v="1"/>
    <x v="1"/>
    <n v="87"/>
    <n v="2"/>
    <n v="1"/>
    <s v="Nurse"/>
    <n v="3"/>
    <s v="Fair"/>
    <x v="0"/>
    <n v="3033"/>
    <x v="1"/>
    <n v="12828"/>
    <n v="1"/>
    <s v="Y"/>
    <s v="No"/>
    <n v="12"/>
    <x v="0"/>
    <s v="Low Performance"/>
    <n v="1"/>
    <n v="80"/>
    <n v="0"/>
    <n v="2"/>
    <n v="2"/>
    <n v="2"/>
    <s v="Poor"/>
    <n v="2"/>
    <n v="2"/>
    <n v="1"/>
    <n v="2"/>
  </r>
  <r>
    <n v="1476340"/>
    <n v="44"/>
    <x v="0"/>
    <s v="Yes"/>
    <x v="1"/>
    <x v="0"/>
    <n v="1097"/>
    <x v="1"/>
    <n v="10"/>
    <n v="4"/>
    <x v="0"/>
    <n v="1"/>
    <n v="3"/>
    <x v="1"/>
    <n v="96"/>
    <n v="3"/>
    <n v="1"/>
    <s v="Other"/>
    <n v="3"/>
    <s v="Fair"/>
    <x v="0"/>
    <n v="2936"/>
    <x v="1"/>
    <n v="10826"/>
    <n v="1"/>
    <s v="Y"/>
    <s v="Yes"/>
    <n v="11"/>
    <x v="0"/>
    <s v="Low Performance"/>
    <n v="3"/>
    <n v="80"/>
    <n v="0"/>
    <n v="6"/>
    <n v="4"/>
    <n v="3"/>
    <s v="Fair"/>
    <n v="6"/>
    <n v="4"/>
    <n v="0"/>
    <n v="2"/>
  </r>
  <r>
    <n v="1795477"/>
    <n v="53"/>
    <x v="1"/>
    <s v="No"/>
    <x v="0"/>
    <x v="0"/>
    <n v="1223"/>
    <x v="2"/>
    <n v="7"/>
    <n v="2"/>
    <x v="2"/>
    <n v="1"/>
    <n v="4"/>
    <x v="0"/>
    <n v="50"/>
    <n v="3"/>
    <n v="5"/>
    <s v="Other"/>
    <n v="3"/>
    <s v="Fair"/>
    <x v="2"/>
    <n v="18606"/>
    <x v="2"/>
    <n v="18640"/>
    <n v="3"/>
    <s v="Y"/>
    <s v="No"/>
    <n v="18"/>
    <x v="0"/>
    <s v="Low Performance"/>
    <n v="2"/>
    <n v="80"/>
    <n v="1"/>
    <n v="26"/>
    <n v="6"/>
    <n v="3"/>
    <s v="Fair"/>
    <n v="7"/>
    <n v="7"/>
    <n v="4"/>
    <n v="7"/>
  </r>
  <r>
    <n v="1500784"/>
    <n v="29"/>
    <x v="2"/>
    <s v="Yes"/>
    <x v="1"/>
    <x v="0"/>
    <n v="942"/>
    <x v="1"/>
    <n v="15"/>
    <n v="1"/>
    <x v="0"/>
    <n v="1"/>
    <n v="2"/>
    <x v="0"/>
    <n v="69"/>
    <n v="1"/>
    <n v="1"/>
    <s v="Other"/>
    <n v="4"/>
    <s v="Good"/>
    <x v="1"/>
    <n v="2168"/>
    <x v="1"/>
    <n v="26933"/>
    <n v="0"/>
    <s v="Y"/>
    <s v="Yes"/>
    <n v="18"/>
    <x v="0"/>
    <s v="Low Performance"/>
    <n v="1"/>
    <n v="80"/>
    <n v="1"/>
    <n v="6"/>
    <n v="2"/>
    <n v="2"/>
    <s v="Poor"/>
    <n v="5"/>
    <n v="4"/>
    <n v="1"/>
    <n v="3"/>
  </r>
  <r>
    <n v="1455048"/>
    <n v="22"/>
    <x v="4"/>
    <s v="Yes"/>
    <x v="1"/>
    <x v="1"/>
    <n v="1256"/>
    <x v="1"/>
    <n v="3"/>
    <n v="4"/>
    <x v="0"/>
    <n v="1"/>
    <n v="3"/>
    <x v="1"/>
    <n v="48"/>
    <n v="2"/>
    <n v="1"/>
    <s v="Other"/>
    <n v="4"/>
    <s v="Good"/>
    <x v="1"/>
    <n v="2853"/>
    <x v="1"/>
    <n v="4223"/>
    <n v="0"/>
    <s v="Y"/>
    <s v="Yes"/>
    <n v="11"/>
    <x v="0"/>
    <s v="Low Performance"/>
    <n v="2"/>
    <n v="80"/>
    <n v="1"/>
    <n v="1"/>
    <n v="5"/>
    <n v="3"/>
    <s v="Fair"/>
    <n v="0"/>
    <n v="0"/>
    <n v="0"/>
    <n v="0"/>
  </r>
  <r>
    <n v="1123335"/>
    <n v="46"/>
    <x v="1"/>
    <s v="No"/>
    <x v="0"/>
    <x v="0"/>
    <n v="1402"/>
    <x v="0"/>
    <n v="2"/>
    <n v="3"/>
    <x v="3"/>
    <n v="1"/>
    <n v="3"/>
    <x v="0"/>
    <n v="69"/>
    <n v="3"/>
    <n v="4"/>
    <s v="Administrative"/>
    <n v="1"/>
    <s v="Poor"/>
    <x v="1"/>
    <n v="17048"/>
    <x v="2"/>
    <n v="24097"/>
    <n v="8"/>
    <s v="Y"/>
    <s v="No"/>
    <n v="23"/>
    <x v="1"/>
    <s v="High Performance"/>
    <n v="1"/>
    <n v="80"/>
    <n v="0"/>
    <n v="28"/>
    <n v="2"/>
    <n v="3"/>
    <s v="Fair"/>
    <n v="26"/>
    <n v="15"/>
    <n v="15"/>
    <n v="9"/>
  </r>
  <r>
    <n v="1285566"/>
    <n v="44"/>
    <x v="0"/>
    <s v="No"/>
    <x v="0"/>
    <x v="2"/>
    <n v="111"/>
    <x v="1"/>
    <n v="17"/>
    <n v="3"/>
    <x v="0"/>
    <n v="1"/>
    <n v="4"/>
    <x v="1"/>
    <n v="74"/>
    <n v="1"/>
    <n v="1"/>
    <s v="Other"/>
    <n v="3"/>
    <s v="Fair"/>
    <x v="0"/>
    <n v="2290"/>
    <x v="1"/>
    <n v="4279"/>
    <n v="2"/>
    <s v="Y"/>
    <s v="No"/>
    <n v="13"/>
    <x v="0"/>
    <s v="Low Performance"/>
    <n v="4"/>
    <n v="80"/>
    <n v="0"/>
    <n v="6"/>
    <n v="3"/>
    <n v="3"/>
    <s v="Fair"/>
    <n v="0"/>
    <n v="0"/>
    <n v="0"/>
    <n v="0"/>
  </r>
  <r>
    <n v="1279649"/>
    <n v="33"/>
    <x v="2"/>
    <s v="No"/>
    <x v="0"/>
    <x v="0"/>
    <n v="147"/>
    <x v="2"/>
    <n v="2"/>
    <n v="3"/>
    <x v="5"/>
    <n v="1"/>
    <n v="2"/>
    <x v="1"/>
    <n v="99"/>
    <n v="3"/>
    <n v="1"/>
    <s v="Other"/>
    <n v="3"/>
    <s v="Fair"/>
    <x v="1"/>
    <n v="3600"/>
    <x v="1"/>
    <n v="8429"/>
    <n v="1"/>
    <s v="Y"/>
    <s v="No"/>
    <n v="13"/>
    <x v="0"/>
    <s v="Low Performance"/>
    <n v="4"/>
    <n v="80"/>
    <n v="1"/>
    <n v="5"/>
    <n v="2"/>
    <n v="3"/>
    <s v="Fair"/>
    <n v="5"/>
    <n v="4"/>
    <n v="1"/>
    <n v="4"/>
  </r>
  <r>
    <n v="1754610"/>
    <n v="41"/>
    <x v="0"/>
    <s v="Yes"/>
    <x v="1"/>
    <x v="2"/>
    <n v="906"/>
    <x v="1"/>
    <n v="5"/>
    <n v="2"/>
    <x v="0"/>
    <n v="1"/>
    <n v="1"/>
    <x v="1"/>
    <n v="95"/>
    <n v="2"/>
    <n v="1"/>
    <s v="Other"/>
    <n v="1"/>
    <s v="Poor"/>
    <x v="2"/>
    <n v="2107"/>
    <x v="1"/>
    <n v="20293"/>
    <n v="6"/>
    <s v="Y"/>
    <s v="No"/>
    <n v="17"/>
    <x v="0"/>
    <s v="Low Performance"/>
    <n v="1"/>
    <n v="80"/>
    <n v="1"/>
    <n v="5"/>
    <n v="2"/>
    <n v="1"/>
    <s v="Poor"/>
    <n v="1"/>
    <n v="0"/>
    <n v="0"/>
    <n v="0"/>
  </r>
  <r>
    <n v="1260276"/>
    <n v="30"/>
    <x v="2"/>
    <s v="No"/>
    <x v="0"/>
    <x v="0"/>
    <n v="1329"/>
    <x v="0"/>
    <n v="29"/>
    <n v="4"/>
    <x v="0"/>
    <n v="1"/>
    <n v="3"/>
    <x v="1"/>
    <n v="61"/>
    <n v="3"/>
    <n v="2"/>
    <s v="Nurse"/>
    <n v="1"/>
    <s v="Poor"/>
    <x v="2"/>
    <n v="4115"/>
    <x v="1"/>
    <n v="13192"/>
    <n v="8"/>
    <s v="Y"/>
    <s v="No"/>
    <n v="19"/>
    <x v="0"/>
    <s v="Low Performance"/>
    <n v="3"/>
    <n v="80"/>
    <n v="3"/>
    <n v="8"/>
    <n v="3"/>
    <n v="3"/>
    <s v="Fair"/>
    <n v="4"/>
    <n v="3"/>
    <n v="0"/>
    <n v="3"/>
  </r>
  <r>
    <n v="1313206"/>
    <n v="40"/>
    <x v="0"/>
    <s v="No"/>
    <x v="0"/>
    <x v="1"/>
    <n v="1184"/>
    <x v="0"/>
    <n v="2"/>
    <n v="4"/>
    <x v="2"/>
    <n v="1"/>
    <n v="2"/>
    <x v="1"/>
    <n v="62"/>
    <n v="3"/>
    <n v="2"/>
    <s v="Nurse"/>
    <n v="2"/>
    <s v="Poor"/>
    <x v="1"/>
    <n v="4327"/>
    <x v="1"/>
    <n v="25440"/>
    <n v="5"/>
    <s v="Y"/>
    <s v="No"/>
    <n v="12"/>
    <x v="0"/>
    <s v="Low Performance"/>
    <n v="4"/>
    <n v="80"/>
    <n v="3"/>
    <n v="5"/>
    <n v="2"/>
    <n v="3"/>
    <s v="Fair"/>
    <n v="0"/>
    <n v="0"/>
    <n v="0"/>
    <n v="0"/>
  </r>
  <r>
    <n v="1562759"/>
    <n v="50"/>
    <x v="1"/>
    <s v="No"/>
    <x v="0"/>
    <x v="1"/>
    <n v="1421"/>
    <x v="2"/>
    <n v="2"/>
    <n v="3"/>
    <x v="2"/>
    <n v="1"/>
    <n v="4"/>
    <x v="0"/>
    <n v="30"/>
    <n v="3"/>
    <n v="4"/>
    <s v="Other"/>
    <n v="1"/>
    <s v="Poor"/>
    <x v="1"/>
    <n v="17856"/>
    <x v="2"/>
    <n v="9490"/>
    <n v="2"/>
    <s v="Y"/>
    <s v="No"/>
    <n v="22"/>
    <x v="1"/>
    <s v="High Performance"/>
    <n v="3"/>
    <n v="80"/>
    <n v="1"/>
    <n v="32"/>
    <n v="3"/>
    <n v="3"/>
    <s v="Fair"/>
    <n v="2"/>
    <n v="2"/>
    <n v="2"/>
    <n v="2"/>
  </r>
  <r>
    <n v="1818579"/>
    <n v="28"/>
    <x v="2"/>
    <s v="No"/>
    <x v="0"/>
    <x v="0"/>
    <n v="1179"/>
    <x v="1"/>
    <n v="19"/>
    <n v="4"/>
    <x v="2"/>
    <n v="1"/>
    <n v="4"/>
    <x v="1"/>
    <n v="78"/>
    <n v="2"/>
    <n v="1"/>
    <s v="Nurse"/>
    <n v="1"/>
    <s v="Poor"/>
    <x v="1"/>
    <n v="3196"/>
    <x v="1"/>
    <n v="12449"/>
    <n v="1"/>
    <s v="Y"/>
    <s v="No"/>
    <n v="12"/>
    <x v="0"/>
    <s v="Low Performance"/>
    <n v="3"/>
    <n v="80"/>
    <n v="3"/>
    <n v="6"/>
    <n v="2"/>
    <n v="3"/>
    <s v="Fair"/>
    <n v="6"/>
    <n v="5"/>
    <n v="3"/>
    <n v="3"/>
  </r>
  <r>
    <n v="1221210"/>
    <n v="46"/>
    <x v="1"/>
    <s v="No"/>
    <x v="0"/>
    <x v="0"/>
    <n v="1450"/>
    <x v="1"/>
    <n v="15"/>
    <n v="2"/>
    <x v="0"/>
    <n v="1"/>
    <n v="4"/>
    <x v="1"/>
    <n v="52"/>
    <n v="3"/>
    <n v="5"/>
    <s v="Administrative"/>
    <n v="2"/>
    <s v="Poor"/>
    <x v="1"/>
    <n v="19081"/>
    <x v="2"/>
    <n v="10849"/>
    <n v="5"/>
    <s v="Y"/>
    <s v="No"/>
    <n v="11"/>
    <x v="0"/>
    <s v="Low Performance"/>
    <n v="1"/>
    <n v="80"/>
    <n v="1"/>
    <n v="25"/>
    <n v="2"/>
    <n v="3"/>
    <s v="Fair"/>
    <n v="4"/>
    <n v="2"/>
    <n v="0"/>
    <n v="3"/>
  </r>
  <r>
    <n v="1285937"/>
    <n v="35"/>
    <x v="2"/>
    <s v="No"/>
    <x v="0"/>
    <x v="0"/>
    <n v="1361"/>
    <x v="0"/>
    <n v="17"/>
    <n v="4"/>
    <x v="0"/>
    <n v="1"/>
    <n v="3"/>
    <x v="1"/>
    <n v="94"/>
    <n v="3"/>
    <n v="2"/>
    <s v="Nurse"/>
    <n v="1"/>
    <s v="Poor"/>
    <x v="1"/>
    <n v="8966"/>
    <x v="0"/>
    <n v="21026"/>
    <n v="3"/>
    <s v="Y"/>
    <s v="Yes"/>
    <n v="15"/>
    <x v="0"/>
    <s v="Low Performance"/>
    <n v="4"/>
    <n v="80"/>
    <n v="3"/>
    <n v="15"/>
    <n v="2"/>
    <n v="3"/>
    <s v="Fair"/>
    <n v="7"/>
    <n v="7"/>
    <n v="1"/>
    <n v="7"/>
  </r>
  <r>
    <n v="1063216"/>
    <n v="24"/>
    <x v="4"/>
    <s v="Yes"/>
    <x v="1"/>
    <x v="0"/>
    <n v="984"/>
    <x v="1"/>
    <n v="17"/>
    <n v="2"/>
    <x v="0"/>
    <n v="1"/>
    <n v="4"/>
    <x v="0"/>
    <n v="97"/>
    <n v="3"/>
    <n v="1"/>
    <s v="Nurse"/>
    <n v="2"/>
    <s v="Poor"/>
    <x v="1"/>
    <n v="2210"/>
    <x v="1"/>
    <n v="3372"/>
    <n v="1"/>
    <s v="Y"/>
    <s v="No"/>
    <n v="13"/>
    <x v="0"/>
    <s v="Low Performance"/>
    <n v="1"/>
    <n v="80"/>
    <n v="1"/>
    <n v="1"/>
    <n v="3"/>
    <n v="1"/>
    <s v="Poor"/>
    <n v="1"/>
    <n v="0"/>
    <n v="0"/>
    <n v="0"/>
  </r>
  <r>
    <n v="1551282"/>
    <n v="33"/>
    <x v="2"/>
    <s v="No"/>
    <x v="0"/>
    <x v="1"/>
    <n v="1146"/>
    <x v="0"/>
    <n v="25"/>
    <n v="3"/>
    <x v="2"/>
    <n v="1"/>
    <n v="2"/>
    <x v="0"/>
    <n v="82"/>
    <n v="3"/>
    <n v="2"/>
    <s v="Nurse"/>
    <n v="3"/>
    <s v="Fair"/>
    <x v="1"/>
    <n v="4539"/>
    <x v="1"/>
    <n v="4905"/>
    <n v="1"/>
    <s v="Y"/>
    <s v="No"/>
    <n v="12"/>
    <x v="0"/>
    <s v="Low Performance"/>
    <n v="1"/>
    <n v="80"/>
    <n v="1"/>
    <n v="10"/>
    <n v="3"/>
    <n v="2"/>
    <s v="Poor"/>
    <n v="10"/>
    <n v="7"/>
    <n v="0"/>
    <n v="1"/>
  </r>
  <r>
    <n v="1310719"/>
    <n v="36"/>
    <x v="0"/>
    <s v="No"/>
    <x v="0"/>
    <x v="0"/>
    <n v="917"/>
    <x v="1"/>
    <n v="6"/>
    <n v="4"/>
    <x v="0"/>
    <n v="1"/>
    <n v="3"/>
    <x v="1"/>
    <n v="60"/>
    <n v="1"/>
    <n v="1"/>
    <s v="Nurse"/>
    <n v="3"/>
    <s v="Fair"/>
    <x v="2"/>
    <n v="2741"/>
    <x v="1"/>
    <n v="6865"/>
    <n v="1"/>
    <s v="Y"/>
    <s v="No"/>
    <n v="14"/>
    <x v="0"/>
    <s v="Low Performance"/>
    <n v="3"/>
    <n v="80"/>
    <n v="1"/>
    <n v="7"/>
    <n v="4"/>
    <n v="3"/>
    <s v="Fair"/>
    <n v="7"/>
    <n v="7"/>
    <n v="1"/>
    <n v="7"/>
  </r>
  <r>
    <n v="1544205"/>
    <n v="30"/>
    <x v="2"/>
    <s v="No"/>
    <x v="0"/>
    <x v="0"/>
    <n v="853"/>
    <x v="1"/>
    <n v="7"/>
    <n v="4"/>
    <x v="0"/>
    <n v="1"/>
    <n v="3"/>
    <x v="1"/>
    <n v="49"/>
    <n v="3"/>
    <n v="2"/>
    <s v="Nurse"/>
    <n v="3"/>
    <s v="Fair"/>
    <x v="2"/>
    <n v="3491"/>
    <x v="1"/>
    <n v="11309"/>
    <n v="1"/>
    <s v="Y"/>
    <s v="No"/>
    <n v="13"/>
    <x v="0"/>
    <s v="Low Performance"/>
    <n v="1"/>
    <n v="80"/>
    <n v="3"/>
    <n v="10"/>
    <n v="4"/>
    <n v="2"/>
    <s v="Poor"/>
    <n v="10"/>
    <n v="7"/>
    <n v="8"/>
    <n v="9"/>
  </r>
  <r>
    <n v="1503934"/>
    <n v="44"/>
    <x v="0"/>
    <s v="No"/>
    <x v="0"/>
    <x v="0"/>
    <n v="200"/>
    <x v="1"/>
    <n v="29"/>
    <n v="4"/>
    <x v="1"/>
    <n v="1"/>
    <n v="4"/>
    <x v="1"/>
    <n v="32"/>
    <n v="3"/>
    <n v="2"/>
    <s v="Other"/>
    <n v="4"/>
    <s v="Good"/>
    <x v="0"/>
    <n v="4541"/>
    <x v="1"/>
    <n v="7744"/>
    <n v="1"/>
    <s v="Y"/>
    <s v="No"/>
    <n v="25"/>
    <x v="1"/>
    <s v="High Performance"/>
    <n v="2"/>
    <n v="80"/>
    <n v="0"/>
    <n v="20"/>
    <n v="3"/>
    <n v="3"/>
    <s v="Fair"/>
    <n v="20"/>
    <n v="11"/>
    <n v="13"/>
    <n v="17"/>
  </r>
  <r>
    <n v="1531205"/>
    <n v="20"/>
    <x v="4"/>
    <s v="No"/>
    <x v="0"/>
    <x v="0"/>
    <n v="654"/>
    <x v="0"/>
    <n v="21"/>
    <n v="3"/>
    <x v="3"/>
    <n v="1"/>
    <n v="3"/>
    <x v="1"/>
    <n v="43"/>
    <n v="4"/>
    <n v="1"/>
    <s v="Other"/>
    <n v="4"/>
    <s v="Good"/>
    <x v="0"/>
    <n v="2678"/>
    <x v="1"/>
    <n v="5050"/>
    <n v="1"/>
    <s v="Y"/>
    <s v="No"/>
    <n v="17"/>
    <x v="0"/>
    <s v="Low Performance"/>
    <n v="4"/>
    <n v="80"/>
    <n v="0"/>
    <n v="2"/>
    <n v="2"/>
    <n v="3"/>
    <s v="Fair"/>
    <n v="2"/>
    <n v="1"/>
    <n v="2"/>
    <n v="2"/>
  </r>
  <r>
    <n v="1126413"/>
    <n v="46"/>
    <x v="1"/>
    <s v="No"/>
    <x v="0"/>
    <x v="0"/>
    <n v="150"/>
    <x v="2"/>
    <n v="2"/>
    <n v="4"/>
    <x v="4"/>
    <n v="1"/>
    <n v="4"/>
    <x v="1"/>
    <n v="60"/>
    <n v="3"/>
    <n v="2"/>
    <s v="Therapist"/>
    <n v="4"/>
    <s v="Good"/>
    <x v="2"/>
    <n v="7379"/>
    <x v="0"/>
    <n v="17433"/>
    <n v="2"/>
    <s v="Y"/>
    <s v="No"/>
    <n v="11"/>
    <x v="0"/>
    <s v="Low Performance"/>
    <n v="3"/>
    <n v="80"/>
    <n v="1"/>
    <n v="12"/>
    <n v="3"/>
    <n v="2"/>
    <s v="Poor"/>
    <n v="6"/>
    <n v="3"/>
    <n v="1"/>
    <n v="4"/>
  </r>
  <r>
    <n v="1170535"/>
    <n v="42"/>
    <x v="0"/>
    <s v="No"/>
    <x v="0"/>
    <x v="2"/>
    <n v="179"/>
    <x v="2"/>
    <n v="2"/>
    <n v="5"/>
    <x v="2"/>
    <n v="1"/>
    <n v="4"/>
    <x v="1"/>
    <n v="79"/>
    <n v="4"/>
    <n v="2"/>
    <s v="Other"/>
    <n v="1"/>
    <s v="Poor"/>
    <x v="1"/>
    <n v="6272"/>
    <x v="0"/>
    <n v="12858"/>
    <n v="7"/>
    <s v="Y"/>
    <s v="No"/>
    <n v="16"/>
    <x v="0"/>
    <s v="Low Performance"/>
    <n v="1"/>
    <n v="80"/>
    <n v="1"/>
    <n v="10"/>
    <n v="3"/>
    <n v="4"/>
    <s v="Good"/>
    <n v="4"/>
    <n v="3"/>
    <n v="0"/>
    <n v="3"/>
  </r>
  <r>
    <n v="1520995"/>
    <n v="60"/>
    <x v="3"/>
    <s v="No"/>
    <x v="0"/>
    <x v="0"/>
    <n v="696"/>
    <x v="0"/>
    <n v="7"/>
    <n v="4"/>
    <x v="3"/>
    <n v="1"/>
    <n v="2"/>
    <x v="1"/>
    <n v="52"/>
    <n v="4"/>
    <n v="2"/>
    <s v="Nurse"/>
    <n v="4"/>
    <s v="Good"/>
    <x v="2"/>
    <n v="5220"/>
    <x v="0"/>
    <n v="10893"/>
    <n v="0"/>
    <s v="Y"/>
    <s v="Yes"/>
    <n v="18"/>
    <x v="0"/>
    <s v="Low Performance"/>
    <n v="2"/>
    <n v="80"/>
    <n v="1"/>
    <n v="12"/>
    <n v="3"/>
    <n v="3"/>
    <s v="Fair"/>
    <n v="11"/>
    <n v="7"/>
    <n v="1"/>
    <n v="9"/>
  </r>
  <r>
    <n v="1229290"/>
    <n v="32"/>
    <x v="2"/>
    <s v="No"/>
    <x v="0"/>
    <x v="1"/>
    <n v="116"/>
    <x v="1"/>
    <n v="13"/>
    <n v="3"/>
    <x v="1"/>
    <n v="1"/>
    <n v="3"/>
    <x v="0"/>
    <n v="77"/>
    <n v="2"/>
    <n v="1"/>
    <s v="Nurse"/>
    <n v="2"/>
    <s v="Poor"/>
    <x v="1"/>
    <n v="2743"/>
    <x v="1"/>
    <n v="7331"/>
    <n v="1"/>
    <s v="Y"/>
    <s v="No"/>
    <n v="20"/>
    <x v="1"/>
    <s v="High Performance"/>
    <n v="3"/>
    <n v="80"/>
    <n v="1"/>
    <n v="2"/>
    <n v="2"/>
    <n v="3"/>
    <s v="Fair"/>
    <n v="2"/>
    <n v="2"/>
    <n v="2"/>
    <n v="2"/>
  </r>
  <r>
    <n v="1034448"/>
    <n v="32"/>
    <x v="2"/>
    <s v="No"/>
    <x v="0"/>
    <x v="1"/>
    <n v="1316"/>
    <x v="1"/>
    <n v="2"/>
    <n v="2"/>
    <x v="0"/>
    <n v="1"/>
    <n v="4"/>
    <x v="0"/>
    <n v="38"/>
    <n v="3"/>
    <n v="2"/>
    <s v="Other"/>
    <n v="3"/>
    <s v="Fair"/>
    <x v="0"/>
    <n v="4998"/>
    <x v="1"/>
    <n v="2338"/>
    <n v="4"/>
    <s v="Y"/>
    <s v="Yes"/>
    <n v="14"/>
    <x v="0"/>
    <s v="Low Performance"/>
    <n v="4"/>
    <n v="80"/>
    <n v="0"/>
    <n v="10"/>
    <n v="2"/>
    <n v="3"/>
    <s v="Fair"/>
    <n v="8"/>
    <n v="7"/>
    <n v="0"/>
    <n v="7"/>
  </r>
  <r>
    <n v="1516924"/>
    <n v="36"/>
    <x v="0"/>
    <s v="No"/>
    <x v="0"/>
    <x v="0"/>
    <n v="363"/>
    <x v="2"/>
    <n v="1"/>
    <n v="3"/>
    <x v="4"/>
    <n v="1"/>
    <n v="3"/>
    <x v="0"/>
    <n v="77"/>
    <n v="1"/>
    <n v="3"/>
    <s v="Therapist"/>
    <n v="1"/>
    <s v="Poor"/>
    <x v="2"/>
    <n v="10252"/>
    <x v="0"/>
    <n v="4235"/>
    <n v="2"/>
    <s v="Y"/>
    <s v="Yes"/>
    <n v="21"/>
    <x v="1"/>
    <s v="High Performance"/>
    <n v="3"/>
    <n v="80"/>
    <n v="1"/>
    <n v="17"/>
    <n v="2"/>
    <n v="3"/>
    <s v="Fair"/>
    <n v="7"/>
    <n v="7"/>
    <n v="7"/>
    <n v="7"/>
  </r>
  <r>
    <n v="1487583"/>
    <n v="33"/>
    <x v="2"/>
    <s v="No"/>
    <x v="0"/>
    <x v="0"/>
    <n v="117"/>
    <x v="1"/>
    <n v="9"/>
    <n v="3"/>
    <x v="2"/>
    <n v="1"/>
    <n v="1"/>
    <x v="1"/>
    <n v="60"/>
    <n v="3"/>
    <n v="1"/>
    <s v="Other"/>
    <n v="4"/>
    <s v="Good"/>
    <x v="1"/>
    <n v="2781"/>
    <x v="1"/>
    <n v="6311"/>
    <n v="0"/>
    <s v="Y"/>
    <s v="No"/>
    <n v="13"/>
    <x v="0"/>
    <s v="Low Performance"/>
    <n v="2"/>
    <n v="80"/>
    <n v="1"/>
    <n v="15"/>
    <n v="5"/>
    <n v="3"/>
    <s v="Fair"/>
    <n v="14"/>
    <n v="10"/>
    <n v="4"/>
    <n v="10"/>
  </r>
  <r>
    <n v="1516360"/>
    <n v="40"/>
    <x v="0"/>
    <s v="No"/>
    <x v="0"/>
    <x v="0"/>
    <n v="107"/>
    <x v="0"/>
    <n v="10"/>
    <n v="3"/>
    <x v="4"/>
    <n v="1"/>
    <n v="2"/>
    <x v="0"/>
    <n v="84"/>
    <n v="2"/>
    <n v="2"/>
    <s v="Nurse"/>
    <n v="2"/>
    <s v="Poor"/>
    <x v="2"/>
    <n v="6852"/>
    <x v="0"/>
    <n v="11591"/>
    <n v="7"/>
    <s v="Y"/>
    <s v="No"/>
    <n v="12"/>
    <x v="0"/>
    <s v="Low Performance"/>
    <n v="2"/>
    <n v="80"/>
    <n v="1"/>
    <n v="7"/>
    <n v="2"/>
    <n v="4"/>
    <s v="Good"/>
    <n v="5"/>
    <n v="1"/>
    <n v="1"/>
    <n v="3"/>
  </r>
  <r>
    <n v="1384279"/>
    <n v="25"/>
    <x v="4"/>
    <s v="No"/>
    <x v="0"/>
    <x v="0"/>
    <n v="1356"/>
    <x v="0"/>
    <n v="10"/>
    <n v="4"/>
    <x v="0"/>
    <n v="1"/>
    <n v="3"/>
    <x v="1"/>
    <n v="57"/>
    <n v="3"/>
    <n v="2"/>
    <s v="Nurse"/>
    <n v="4"/>
    <s v="Good"/>
    <x v="0"/>
    <n v="4950"/>
    <x v="1"/>
    <n v="20623"/>
    <n v="0"/>
    <s v="Y"/>
    <s v="No"/>
    <n v="14"/>
    <x v="0"/>
    <s v="Low Performance"/>
    <n v="2"/>
    <n v="80"/>
    <n v="0"/>
    <n v="5"/>
    <n v="4"/>
    <n v="3"/>
    <s v="Fair"/>
    <n v="4"/>
    <n v="3"/>
    <n v="1"/>
    <n v="1"/>
  </r>
  <r>
    <n v="1658193"/>
    <n v="30"/>
    <x v="2"/>
    <s v="No"/>
    <x v="0"/>
    <x v="0"/>
    <n v="1465"/>
    <x v="1"/>
    <n v="1"/>
    <n v="3"/>
    <x v="2"/>
    <n v="1"/>
    <n v="4"/>
    <x v="1"/>
    <n v="63"/>
    <n v="3"/>
    <n v="1"/>
    <s v="Other"/>
    <n v="2"/>
    <s v="Poor"/>
    <x v="1"/>
    <n v="3579"/>
    <x v="1"/>
    <n v="9369"/>
    <n v="0"/>
    <s v="Y"/>
    <s v="Yes"/>
    <n v="21"/>
    <x v="1"/>
    <s v="High Performance"/>
    <n v="1"/>
    <n v="80"/>
    <n v="1"/>
    <n v="12"/>
    <n v="2"/>
    <n v="3"/>
    <s v="Fair"/>
    <n v="11"/>
    <n v="9"/>
    <n v="5"/>
    <n v="7"/>
  </r>
  <r>
    <n v="1645050"/>
    <n v="42"/>
    <x v="0"/>
    <s v="No"/>
    <x v="0"/>
    <x v="1"/>
    <n v="458"/>
    <x v="1"/>
    <n v="26"/>
    <n v="5"/>
    <x v="2"/>
    <n v="1"/>
    <n v="1"/>
    <x v="0"/>
    <n v="60"/>
    <n v="3"/>
    <n v="3"/>
    <s v="Administrative"/>
    <n v="1"/>
    <s v="Poor"/>
    <x v="1"/>
    <n v="13191"/>
    <x v="2"/>
    <n v="23281"/>
    <n v="3"/>
    <s v="Y"/>
    <s v="Yes"/>
    <n v="17"/>
    <x v="0"/>
    <s v="Low Performance"/>
    <n v="3"/>
    <n v="80"/>
    <n v="0"/>
    <n v="20"/>
    <n v="6"/>
    <n v="3"/>
    <s v="Fair"/>
    <n v="1"/>
    <n v="0"/>
    <n v="0"/>
    <n v="0"/>
  </r>
  <r>
    <n v="1695470"/>
    <n v="35"/>
    <x v="2"/>
    <s v="No"/>
    <x v="0"/>
    <x v="2"/>
    <n v="1212"/>
    <x v="0"/>
    <n v="8"/>
    <n v="2"/>
    <x v="3"/>
    <n v="1"/>
    <n v="3"/>
    <x v="0"/>
    <n v="78"/>
    <n v="2"/>
    <n v="3"/>
    <s v="Nurse"/>
    <n v="4"/>
    <s v="Good"/>
    <x v="1"/>
    <n v="10377"/>
    <x v="0"/>
    <n v="13755"/>
    <n v="4"/>
    <s v="Y"/>
    <s v="Yes"/>
    <n v="11"/>
    <x v="0"/>
    <s v="Low Performance"/>
    <n v="2"/>
    <n v="80"/>
    <n v="1"/>
    <n v="16"/>
    <n v="6"/>
    <n v="2"/>
    <s v="Poor"/>
    <n v="13"/>
    <n v="2"/>
    <n v="4"/>
    <n v="12"/>
  </r>
  <r>
    <n v="1362336"/>
    <n v="27"/>
    <x v="2"/>
    <s v="No"/>
    <x v="0"/>
    <x v="0"/>
    <n v="1103"/>
    <x v="1"/>
    <n v="14"/>
    <n v="3"/>
    <x v="0"/>
    <n v="1"/>
    <n v="1"/>
    <x v="1"/>
    <n v="42"/>
    <n v="3"/>
    <n v="1"/>
    <s v="Other"/>
    <n v="1"/>
    <s v="Poor"/>
    <x v="1"/>
    <n v="2235"/>
    <x v="1"/>
    <n v="14377"/>
    <n v="1"/>
    <s v="Y"/>
    <s v="Yes"/>
    <n v="14"/>
    <x v="0"/>
    <s v="Low Performance"/>
    <n v="4"/>
    <n v="80"/>
    <n v="2"/>
    <n v="9"/>
    <n v="3"/>
    <n v="2"/>
    <s v="Poor"/>
    <n v="9"/>
    <n v="7"/>
    <n v="6"/>
    <n v="8"/>
  </r>
  <r>
    <n v="1442702"/>
    <n v="54"/>
    <x v="1"/>
    <s v="No"/>
    <x v="0"/>
    <x v="1"/>
    <n v="966"/>
    <x v="2"/>
    <n v="1"/>
    <n v="4"/>
    <x v="0"/>
    <n v="1"/>
    <n v="4"/>
    <x v="0"/>
    <n v="53"/>
    <n v="3"/>
    <n v="3"/>
    <s v="Therapist"/>
    <n v="3"/>
    <s v="Fair"/>
    <x v="2"/>
    <n v="10502"/>
    <x v="0"/>
    <n v="9659"/>
    <n v="7"/>
    <s v="Y"/>
    <s v="No"/>
    <n v="17"/>
    <x v="0"/>
    <s v="Low Performance"/>
    <n v="1"/>
    <n v="80"/>
    <n v="1"/>
    <n v="33"/>
    <n v="2"/>
    <n v="1"/>
    <s v="Poor"/>
    <n v="5"/>
    <n v="4"/>
    <n v="1"/>
    <n v="4"/>
  </r>
  <r>
    <n v="1226564"/>
    <n v="44"/>
    <x v="0"/>
    <s v="No"/>
    <x v="0"/>
    <x v="0"/>
    <n v="1117"/>
    <x v="1"/>
    <n v="2"/>
    <n v="1"/>
    <x v="0"/>
    <n v="1"/>
    <n v="1"/>
    <x v="0"/>
    <n v="72"/>
    <n v="4"/>
    <n v="1"/>
    <s v="Other"/>
    <n v="4"/>
    <s v="Good"/>
    <x v="1"/>
    <n v="2011"/>
    <x v="1"/>
    <n v="19982"/>
    <n v="1"/>
    <s v="Y"/>
    <s v="No"/>
    <n v="13"/>
    <x v="0"/>
    <s v="Low Performance"/>
    <n v="4"/>
    <n v="80"/>
    <n v="1"/>
    <n v="10"/>
    <n v="5"/>
    <n v="3"/>
    <s v="Fair"/>
    <n v="10"/>
    <n v="5"/>
    <n v="7"/>
    <n v="7"/>
  </r>
  <r>
    <n v="1245033"/>
    <n v="19"/>
    <x v="4"/>
    <s v="Yes"/>
    <x v="1"/>
    <x v="2"/>
    <n v="504"/>
    <x v="1"/>
    <n v="10"/>
    <n v="3"/>
    <x v="2"/>
    <n v="1"/>
    <n v="1"/>
    <x v="0"/>
    <n v="96"/>
    <n v="2"/>
    <n v="1"/>
    <s v="Other"/>
    <n v="2"/>
    <s v="Poor"/>
    <x v="0"/>
    <n v="1859"/>
    <x v="1"/>
    <n v="6148"/>
    <n v="1"/>
    <s v="Y"/>
    <s v="Yes"/>
    <n v="25"/>
    <x v="1"/>
    <s v="High Performance"/>
    <n v="2"/>
    <n v="80"/>
    <n v="0"/>
    <n v="1"/>
    <n v="2"/>
    <n v="4"/>
    <s v="Good"/>
    <n v="1"/>
    <n v="1"/>
    <n v="0"/>
    <n v="0"/>
  </r>
  <r>
    <n v="1856613"/>
    <n v="29"/>
    <x v="2"/>
    <s v="No"/>
    <x v="0"/>
    <x v="0"/>
    <n v="1010"/>
    <x v="1"/>
    <n v="1"/>
    <n v="3"/>
    <x v="0"/>
    <n v="1"/>
    <n v="1"/>
    <x v="0"/>
    <n v="97"/>
    <n v="3"/>
    <n v="1"/>
    <s v="Other"/>
    <n v="4"/>
    <s v="Good"/>
    <x v="2"/>
    <n v="3760"/>
    <x v="1"/>
    <n v="5598"/>
    <n v="1"/>
    <s v="Y"/>
    <s v="No"/>
    <n v="15"/>
    <x v="0"/>
    <s v="Low Performance"/>
    <n v="1"/>
    <n v="80"/>
    <n v="3"/>
    <n v="3"/>
    <n v="5"/>
    <n v="3"/>
    <s v="Fair"/>
    <n v="3"/>
    <n v="2"/>
    <n v="1"/>
    <n v="2"/>
  </r>
  <r>
    <n v="1559788"/>
    <n v="54"/>
    <x v="1"/>
    <s v="No"/>
    <x v="0"/>
    <x v="0"/>
    <n v="685"/>
    <x v="1"/>
    <n v="3"/>
    <n v="3"/>
    <x v="0"/>
    <n v="1"/>
    <n v="4"/>
    <x v="1"/>
    <n v="85"/>
    <n v="3"/>
    <n v="4"/>
    <s v="Administrative"/>
    <n v="4"/>
    <s v="Good"/>
    <x v="1"/>
    <n v="17779"/>
    <x v="2"/>
    <n v="23474"/>
    <n v="3"/>
    <s v="Y"/>
    <s v="No"/>
    <n v="14"/>
    <x v="0"/>
    <s v="Low Performance"/>
    <n v="1"/>
    <n v="80"/>
    <n v="0"/>
    <n v="36"/>
    <n v="2"/>
    <n v="3"/>
    <s v="Fair"/>
    <n v="10"/>
    <n v="9"/>
    <n v="0"/>
    <n v="9"/>
  </r>
  <r>
    <n v="1845153"/>
    <n v="31"/>
    <x v="2"/>
    <s v="No"/>
    <x v="0"/>
    <x v="0"/>
    <n v="1332"/>
    <x v="1"/>
    <n v="11"/>
    <n v="2"/>
    <x v="2"/>
    <n v="1"/>
    <n v="3"/>
    <x v="1"/>
    <n v="80"/>
    <n v="3"/>
    <n v="2"/>
    <s v="Nurse"/>
    <n v="1"/>
    <s v="Poor"/>
    <x v="1"/>
    <n v="6833"/>
    <x v="0"/>
    <n v="17089"/>
    <n v="1"/>
    <s v="Y"/>
    <s v="Yes"/>
    <n v="12"/>
    <x v="0"/>
    <s v="Low Performance"/>
    <n v="4"/>
    <n v="80"/>
    <n v="0"/>
    <n v="6"/>
    <n v="2"/>
    <n v="2"/>
    <s v="Poor"/>
    <n v="6"/>
    <n v="5"/>
    <n v="0"/>
    <n v="1"/>
  </r>
  <r>
    <n v="1216132"/>
    <n v="31"/>
    <x v="2"/>
    <s v="No"/>
    <x v="0"/>
    <x v="0"/>
    <n v="1062"/>
    <x v="1"/>
    <n v="24"/>
    <n v="3"/>
    <x v="2"/>
    <n v="1"/>
    <n v="3"/>
    <x v="0"/>
    <n v="96"/>
    <n v="2"/>
    <n v="2"/>
    <s v="Nurse"/>
    <n v="1"/>
    <s v="Poor"/>
    <x v="0"/>
    <n v="6812"/>
    <x v="0"/>
    <n v="17198"/>
    <n v="1"/>
    <s v="Y"/>
    <s v="No"/>
    <n v="19"/>
    <x v="0"/>
    <s v="Low Performance"/>
    <n v="2"/>
    <n v="80"/>
    <n v="0"/>
    <n v="10"/>
    <n v="2"/>
    <n v="3"/>
    <s v="Fair"/>
    <n v="10"/>
    <n v="9"/>
    <n v="1"/>
    <n v="8"/>
  </r>
  <r>
    <n v="1718896"/>
    <n v="59"/>
    <x v="3"/>
    <s v="No"/>
    <x v="0"/>
    <x v="0"/>
    <n v="326"/>
    <x v="0"/>
    <n v="3"/>
    <n v="3"/>
    <x v="0"/>
    <n v="1"/>
    <n v="3"/>
    <x v="0"/>
    <n v="48"/>
    <n v="2"/>
    <n v="2"/>
    <s v="Nurse"/>
    <n v="4"/>
    <s v="Good"/>
    <x v="0"/>
    <n v="5171"/>
    <x v="0"/>
    <n v="16490"/>
    <n v="5"/>
    <s v="Y"/>
    <s v="No"/>
    <n v="17"/>
    <x v="0"/>
    <s v="Low Performance"/>
    <n v="4"/>
    <n v="80"/>
    <n v="0"/>
    <n v="13"/>
    <n v="2"/>
    <n v="3"/>
    <s v="Fair"/>
    <n v="6"/>
    <n v="1"/>
    <n v="0"/>
    <n v="5"/>
  </r>
  <r>
    <n v="1659741"/>
    <n v="43"/>
    <x v="0"/>
    <s v="No"/>
    <x v="0"/>
    <x v="0"/>
    <n v="920"/>
    <x v="1"/>
    <n v="3"/>
    <n v="3"/>
    <x v="0"/>
    <n v="1"/>
    <n v="3"/>
    <x v="1"/>
    <n v="96"/>
    <n v="1"/>
    <n v="5"/>
    <s v="Administrative"/>
    <n v="4"/>
    <s v="Good"/>
    <x v="1"/>
    <n v="19740"/>
    <x v="2"/>
    <n v="18625"/>
    <n v="3"/>
    <s v="Y"/>
    <s v="No"/>
    <n v="14"/>
    <x v="0"/>
    <s v="Low Performance"/>
    <n v="2"/>
    <n v="80"/>
    <n v="1"/>
    <n v="25"/>
    <n v="2"/>
    <n v="3"/>
    <s v="Fair"/>
    <n v="8"/>
    <n v="7"/>
    <n v="0"/>
    <n v="7"/>
  </r>
  <r>
    <n v="1460231"/>
    <n v="49"/>
    <x v="1"/>
    <s v="No"/>
    <x v="0"/>
    <x v="0"/>
    <n v="1098"/>
    <x v="2"/>
    <n v="4"/>
    <n v="2"/>
    <x v="2"/>
    <n v="1"/>
    <n v="1"/>
    <x v="1"/>
    <n v="85"/>
    <n v="2"/>
    <n v="5"/>
    <s v="Other"/>
    <n v="3"/>
    <s v="Fair"/>
    <x v="1"/>
    <n v="18711"/>
    <x v="2"/>
    <n v="12124"/>
    <n v="2"/>
    <s v="Y"/>
    <s v="No"/>
    <n v="13"/>
    <x v="0"/>
    <s v="Low Performance"/>
    <n v="3"/>
    <n v="80"/>
    <n v="1"/>
    <n v="23"/>
    <n v="2"/>
    <n v="4"/>
    <s v="Good"/>
    <n v="1"/>
    <n v="0"/>
    <n v="0"/>
    <n v="0"/>
  </r>
  <r>
    <n v="1276743"/>
    <n v="36"/>
    <x v="0"/>
    <s v="No"/>
    <x v="0"/>
    <x v="1"/>
    <n v="469"/>
    <x v="1"/>
    <n v="3"/>
    <n v="3"/>
    <x v="4"/>
    <n v="1"/>
    <n v="3"/>
    <x v="1"/>
    <n v="46"/>
    <n v="3"/>
    <n v="1"/>
    <s v="Other"/>
    <n v="2"/>
    <s v="Poor"/>
    <x v="1"/>
    <n v="3692"/>
    <x v="1"/>
    <n v="9256"/>
    <n v="1"/>
    <s v="Y"/>
    <s v="No"/>
    <n v="12"/>
    <x v="0"/>
    <s v="Low Performance"/>
    <n v="3"/>
    <n v="80"/>
    <n v="0"/>
    <n v="12"/>
    <n v="2"/>
    <n v="2"/>
    <s v="Poor"/>
    <n v="11"/>
    <n v="10"/>
    <n v="0"/>
    <n v="7"/>
  </r>
  <r>
    <n v="1551418"/>
    <n v="48"/>
    <x v="1"/>
    <s v="No"/>
    <x v="0"/>
    <x v="0"/>
    <n v="969"/>
    <x v="1"/>
    <n v="2"/>
    <n v="2"/>
    <x v="4"/>
    <n v="1"/>
    <n v="4"/>
    <x v="1"/>
    <n v="76"/>
    <n v="4"/>
    <n v="1"/>
    <s v="Nurse"/>
    <n v="2"/>
    <s v="Poor"/>
    <x v="0"/>
    <n v="2559"/>
    <x v="1"/>
    <n v="16620"/>
    <n v="5"/>
    <s v="Y"/>
    <s v="No"/>
    <n v="11"/>
    <x v="0"/>
    <s v="Low Performance"/>
    <n v="3"/>
    <n v="80"/>
    <n v="0"/>
    <n v="7"/>
    <n v="4"/>
    <n v="2"/>
    <s v="Poor"/>
    <n v="1"/>
    <n v="0"/>
    <n v="0"/>
    <n v="0"/>
  </r>
  <r>
    <n v="1409781"/>
    <n v="27"/>
    <x v="2"/>
    <s v="No"/>
    <x v="0"/>
    <x v="0"/>
    <n v="1167"/>
    <x v="1"/>
    <n v="4"/>
    <n v="2"/>
    <x v="0"/>
    <n v="1"/>
    <n v="1"/>
    <x v="1"/>
    <n v="76"/>
    <n v="3"/>
    <n v="1"/>
    <s v="Other"/>
    <n v="3"/>
    <s v="Fair"/>
    <x v="2"/>
    <n v="2517"/>
    <x v="1"/>
    <n v="3208"/>
    <n v="1"/>
    <s v="Y"/>
    <s v="No"/>
    <n v="11"/>
    <x v="0"/>
    <s v="Low Performance"/>
    <n v="2"/>
    <n v="80"/>
    <n v="3"/>
    <n v="5"/>
    <n v="2"/>
    <n v="3"/>
    <s v="Fair"/>
    <n v="5"/>
    <n v="3"/>
    <n v="0"/>
    <n v="3"/>
  </r>
  <r>
    <n v="1429070"/>
    <n v="29"/>
    <x v="2"/>
    <s v="No"/>
    <x v="0"/>
    <x v="0"/>
    <n v="1329"/>
    <x v="1"/>
    <n v="7"/>
    <n v="3"/>
    <x v="0"/>
    <n v="1"/>
    <n v="3"/>
    <x v="1"/>
    <n v="82"/>
    <n v="3"/>
    <n v="2"/>
    <s v="Nurse"/>
    <n v="4"/>
    <s v="Good"/>
    <x v="2"/>
    <n v="6623"/>
    <x v="0"/>
    <n v="4204"/>
    <n v="1"/>
    <s v="Y"/>
    <s v="Yes"/>
    <n v="11"/>
    <x v="0"/>
    <s v="Low Performance"/>
    <n v="2"/>
    <n v="80"/>
    <n v="2"/>
    <n v="6"/>
    <n v="2"/>
    <n v="3"/>
    <s v="Fair"/>
    <n v="6"/>
    <n v="0"/>
    <n v="1"/>
    <n v="0"/>
  </r>
  <r>
    <n v="1149718"/>
    <n v="48"/>
    <x v="1"/>
    <s v="No"/>
    <x v="0"/>
    <x v="0"/>
    <n v="715"/>
    <x v="1"/>
    <n v="1"/>
    <n v="3"/>
    <x v="0"/>
    <n v="1"/>
    <n v="4"/>
    <x v="1"/>
    <n v="76"/>
    <n v="2"/>
    <n v="5"/>
    <s v="Administrative"/>
    <n v="4"/>
    <s v="Good"/>
    <x v="0"/>
    <n v="18265"/>
    <x v="2"/>
    <n v="8733"/>
    <n v="6"/>
    <s v="Y"/>
    <s v="No"/>
    <n v="12"/>
    <x v="0"/>
    <s v="Low Performance"/>
    <n v="3"/>
    <n v="80"/>
    <n v="0"/>
    <n v="25"/>
    <n v="3"/>
    <n v="4"/>
    <s v="Good"/>
    <n v="1"/>
    <n v="0"/>
    <n v="0"/>
    <n v="0"/>
  </r>
  <r>
    <n v="1593907"/>
    <n v="29"/>
    <x v="2"/>
    <s v="No"/>
    <x v="0"/>
    <x v="0"/>
    <n v="694"/>
    <x v="1"/>
    <n v="1"/>
    <n v="3"/>
    <x v="0"/>
    <n v="1"/>
    <n v="4"/>
    <x v="0"/>
    <n v="87"/>
    <n v="2"/>
    <n v="4"/>
    <s v="Administrative"/>
    <n v="4"/>
    <s v="Good"/>
    <x v="2"/>
    <n v="16124"/>
    <x v="2"/>
    <n v="3423"/>
    <n v="3"/>
    <s v="Y"/>
    <s v="No"/>
    <n v="14"/>
    <x v="0"/>
    <s v="Low Performance"/>
    <n v="2"/>
    <n v="80"/>
    <n v="2"/>
    <n v="9"/>
    <n v="2"/>
    <n v="2"/>
    <s v="Poor"/>
    <n v="7"/>
    <n v="7"/>
    <n v="1"/>
    <n v="7"/>
  </r>
  <r>
    <n v="1346366"/>
    <n v="34"/>
    <x v="2"/>
    <s v="No"/>
    <x v="0"/>
    <x v="0"/>
    <n v="1320"/>
    <x v="1"/>
    <n v="20"/>
    <n v="3"/>
    <x v="4"/>
    <n v="1"/>
    <n v="3"/>
    <x v="0"/>
    <n v="89"/>
    <n v="4"/>
    <n v="1"/>
    <s v="Other"/>
    <n v="3"/>
    <s v="Fair"/>
    <x v="1"/>
    <n v="2585"/>
    <x v="1"/>
    <n v="21643"/>
    <n v="0"/>
    <s v="Y"/>
    <s v="No"/>
    <n v="17"/>
    <x v="0"/>
    <s v="Low Performance"/>
    <n v="4"/>
    <n v="80"/>
    <n v="0"/>
    <n v="2"/>
    <n v="5"/>
    <n v="2"/>
    <s v="Poor"/>
    <n v="1"/>
    <n v="0"/>
    <n v="0"/>
    <n v="0"/>
  </r>
  <r>
    <n v="1471840"/>
    <n v="44"/>
    <x v="0"/>
    <s v="No"/>
    <x v="0"/>
    <x v="0"/>
    <n v="1099"/>
    <x v="0"/>
    <n v="5"/>
    <n v="3"/>
    <x v="3"/>
    <n v="1"/>
    <n v="2"/>
    <x v="1"/>
    <n v="88"/>
    <n v="3"/>
    <n v="5"/>
    <s v="Administrative"/>
    <n v="2"/>
    <s v="Poor"/>
    <x v="1"/>
    <n v="18213"/>
    <x v="2"/>
    <n v="8751"/>
    <n v="7"/>
    <s v="Y"/>
    <s v="No"/>
    <n v="11"/>
    <x v="0"/>
    <s v="Low Performance"/>
    <n v="3"/>
    <n v="80"/>
    <n v="1"/>
    <n v="26"/>
    <n v="5"/>
    <n v="3"/>
    <s v="Fair"/>
    <n v="22"/>
    <n v="9"/>
    <n v="3"/>
    <n v="10"/>
  </r>
  <r>
    <n v="1081187"/>
    <n v="33"/>
    <x v="2"/>
    <s v="No"/>
    <x v="0"/>
    <x v="0"/>
    <n v="536"/>
    <x v="0"/>
    <n v="10"/>
    <n v="5"/>
    <x v="3"/>
    <n v="1"/>
    <n v="4"/>
    <x v="1"/>
    <n v="82"/>
    <n v="4"/>
    <n v="3"/>
    <s v="Nurse"/>
    <n v="3"/>
    <s v="Fair"/>
    <x v="2"/>
    <n v="8380"/>
    <x v="0"/>
    <n v="21708"/>
    <n v="0"/>
    <s v="Y"/>
    <s v="Yes"/>
    <n v="14"/>
    <x v="0"/>
    <s v="Low Performance"/>
    <n v="4"/>
    <n v="80"/>
    <n v="2"/>
    <n v="10"/>
    <n v="3"/>
    <n v="3"/>
    <s v="Fair"/>
    <n v="9"/>
    <n v="8"/>
    <n v="0"/>
    <n v="8"/>
  </r>
  <r>
    <n v="1237363"/>
    <n v="19"/>
    <x v="4"/>
    <s v="No"/>
    <x v="0"/>
    <x v="0"/>
    <n v="265"/>
    <x v="1"/>
    <n v="25"/>
    <n v="3"/>
    <x v="0"/>
    <n v="1"/>
    <n v="2"/>
    <x v="0"/>
    <n v="57"/>
    <n v="4"/>
    <n v="1"/>
    <s v="Other"/>
    <n v="4"/>
    <s v="Good"/>
    <x v="0"/>
    <n v="2994"/>
    <x v="1"/>
    <n v="21221"/>
    <n v="1"/>
    <s v="Y"/>
    <s v="Yes"/>
    <n v="12"/>
    <x v="0"/>
    <s v="Low Performance"/>
    <n v="4"/>
    <n v="80"/>
    <n v="0"/>
    <n v="1"/>
    <n v="2"/>
    <n v="3"/>
    <s v="Fair"/>
    <n v="1"/>
    <n v="0"/>
    <n v="0"/>
    <n v="1"/>
  </r>
  <r>
    <n v="1473069"/>
    <n v="23"/>
    <x v="4"/>
    <s v="No"/>
    <x v="0"/>
    <x v="0"/>
    <n v="373"/>
    <x v="1"/>
    <n v="1"/>
    <n v="2"/>
    <x v="0"/>
    <n v="1"/>
    <n v="4"/>
    <x v="1"/>
    <n v="47"/>
    <n v="3"/>
    <n v="1"/>
    <s v="Other"/>
    <n v="3"/>
    <s v="Fair"/>
    <x v="1"/>
    <n v="1223"/>
    <x v="1"/>
    <n v="16901"/>
    <n v="1"/>
    <s v="Y"/>
    <s v="No"/>
    <n v="22"/>
    <x v="1"/>
    <s v="High Performance"/>
    <n v="4"/>
    <n v="80"/>
    <n v="1"/>
    <n v="1"/>
    <n v="2"/>
    <n v="3"/>
    <s v="Fair"/>
    <n v="1"/>
    <n v="0"/>
    <n v="0"/>
    <n v="1"/>
  </r>
  <r>
    <n v="1322371"/>
    <n v="25"/>
    <x v="4"/>
    <s v="Yes"/>
    <x v="1"/>
    <x v="1"/>
    <n v="599"/>
    <x v="0"/>
    <n v="24"/>
    <n v="1"/>
    <x v="0"/>
    <n v="1"/>
    <n v="3"/>
    <x v="1"/>
    <n v="73"/>
    <n v="1"/>
    <n v="1"/>
    <s v="Other"/>
    <n v="4"/>
    <s v="Good"/>
    <x v="0"/>
    <n v="1118"/>
    <x v="1"/>
    <n v="8040"/>
    <n v="1"/>
    <s v="Y"/>
    <s v="Yes"/>
    <n v="14"/>
    <x v="0"/>
    <s v="Low Performance"/>
    <n v="4"/>
    <n v="80"/>
    <n v="0"/>
    <n v="1"/>
    <n v="4"/>
    <n v="3"/>
    <s v="Fair"/>
    <n v="1"/>
    <n v="0"/>
    <n v="1"/>
    <n v="0"/>
  </r>
  <r>
    <n v="1574047"/>
    <n v="26"/>
    <x v="2"/>
    <s v="No"/>
    <x v="0"/>
    <x v="0"/>
    <n v="583"/>
    <x v="1"/>
    <n v="4"/>
    <n v="2"/>
    <x v="0"/>
    <n v="1"/>
    <n v="3"/>
    <x v="1"/>
    <n v="53"/>
    <n v="3"/>
    <n v="1"/>
    <s v="Other"/>
    <n v="4"/>
    <s v="Good"/>
    <x v="0"/>
    <n v="2875"/>
    <x v="1"/>
    <n v="9973"/>
    <n v="1"/>
    <s v="Y"/>
    <s v="Yes"/>
    <n v="20"/>
    <x v="1"/>
    <s v="High Performance"/>
    <n v="2"/>
    <n v="80"/>
    <n v="0"/>
    <n v="8"/>
    <n v="2"/>
    <n v="2"/>
    <s v="Poor"/>
    <n v="8"/>
    <n v="5"/>
    <n v="2"/>
    <n v="2"/>
  </r>
  <r>
    <n v="1588094"/>
    <n v="45"/>
    <x v="0"/>
    <s v="No"/>
    <x v="0"/>
    <x v="0"/>
    <n v="1449"/>
    <x v="0"/>
    <n v="2"/>
    <n v="3"/>
    <x v="3"/>
    <n v="1"/>
    <n v="1"/>
    <x v="0"/>
    <n v="94"/>
    <n v="1"/>
    <n v="5"/>
    <s v="Administrative"/>
    <n v="2"/>
    <s v="Poor"/>
    <x v="0"/>
    <n v="18824"/>
    <x v="2"/>
    <n v="2493"/>
    <n v="2"/>
    <s v="Y"/>
    <s v="Yes"/>
    <n v="16"/>
    <x v="0"/>
    <s v="Low Performance"/>
    <n v="1"/>
    <n v="80"/>
    <n v="0"/>
    <n v="26"/>
    <n v="2"/>
    <n v="3"/>
    <s v="Fair"/>
    <n v="24"/>
    <n v="10"/>
    <n v="1"/>
    <n v="11"/>
  </r>
  <r>
    <n v="1364438"/>
    <n v="55"/>
    <x v="1"/>
    <s v="No"/>
    <x v="0"/>
    <x v="2"/>
    <n v="177"/>
    <x v="1"/>
    <n v="8"/>
    <n v="1"/>
    <x v="2"/>
    <n v="1"/>
    <n v="4"/>
    <x v="1"/>
    <n v="37"/>
    <n v="2"/>
    <n v="4"/>
    <s v="Nurse"/>
    <n v="2"/>
    <s v="Poor"/>
    <x v="2"/>
    <n v="13577"/>
    <x v="2"/>
    <n v="25592"/>
    <n v="1"/>
    <s v="Y"/>
    <s v="Yes"/>
    <n v="15"/>
    <x v="0"/>
    <s v="Low Performance"/>
    <n v="4"/>
    <n v="80"/>
    <n v="1"/>
    <n v="34"/>
    <n v="3"/>
    <n v="3"/>
    <s v="Fair"/>
    <n v="33"/>
    <n v="9"/>
    <n v="15"/>
    <n v="0"/>
  </r>
  <r>
    <n v="1724855"/>
    <n v="21"/>
    <x v="4"/>
    <s v="Yes"/>
    <x v="1"/>
    <x v="1"/>
    <n v="251"/>
    <x v="1"/>
    <n v="10"/>
    <n v="2"/>
    <x v="0"/>
    <n v="1"/>
    <n v="1"/>
    <x v="0"/>
    <n v="45"/>
    <n v="2"/>
    <n v="1"/>
    <s v="Nurse"/>
    <n v="3"/>
    <s v="Fair"/>
    <x v="0"/>
    <n v="2625"/>
    <x v="1"/>
    <n v="25308"/>
    <n v="1"/>
    <s v="Y"/>
    <s v="No"/>
    <n v="20"/>
    <x v="1"/>
    <s v="High Performance"/>
    <n v="3"/>
    <n v="80"/>
    <n v="0"/>
    <n v="2"/>
    <n v="2"/>
    <n v="1"/>
    <s v="Poor"/>
    <n v="2"/>
    <n v="2"/>
    <n v="2"/>
    <n v="2"/>
  </r>
  <r>
    <n v="1032289"/>
    <n v="46"/>
    <x v="1"/>
    <s v="No"/>
    <x v="0"/>
    <x v="0"/>
    <n v="168"/>
    <x v="0"/>
    <n v="4"/>
    <n v="2"/>
    <x v="3"/>
    <n v="1"/>
    <n v="4"/>
    <x v="0"/>
    <n v="33"/>
    <n v="2"/>
    <n v="5"/>
    <s v="Administrative"/>
    <n v="2"/>
    <s v="Poor"/>
    <x v="1"/>
    <n v="18789"/>
    <x v="2"/>
    <n v="9946"/>
    <n v="2"/>
    <s v="Y"/>
    <s v="No"/>
    <n v="14"/>
    <x v="0"/>
    <s v="Low Performance"/>
    <n v="3"/>
    <n v="80"/>
    <n v="1"/>
    <n v="26"/>
    <n v="2"/>
    <n v="3"/>
    <s v="Fair"/>
    <n v="11"/>
    <n v="4"/>
    <n v="0"/>
    <n v="8"/>
  </r>
  <r>
    <n v="1826524"/>
    <n v="34"/>
    <x v="2"/>
    <s v="No"/>
    <x v="0"/>
    <x v="0"/>
    <n v="131"/>
    <x v="0"/>
    <n v="2"/>
    <n v="3"/>
    <x v="3"/>
    <n v="1"/>
    <n v="3"/>
    <x v="0"/>
    <n v="86"/>
    <n v="3"/>
    <n v="2"/>
    <s v="Nurse"/>
    <n v="1"/>
    <s v="Poor"/>
    <x v="0"/>
    <n v="4538"/>
    <x v="1"/>
    <n v="6039"/>
    <n v="0"/>
    <s v="Y"/>
    <s v="Yes"/>
    <n v="12"/>
    <x v="0"/>
    <s v="Low Performance"/>
    <n v="4"/>
    <n v="80"/>
    <n v="0"/>
    <n v="4"/>
    <n v="3"/>
    <n v="3"/>
    <s v="Fair"/>
    <n v="3"/>
    <n v="2"/>
    <n v="0"/>
    <n v="2"/>
  </r>
  <r>
    <n v="1426682"/>
    <n v="51"/>
    <x v="1"/>
    <s v="No"/>
    <x v="0"/>
    <x v="1"/>
    <n v="237"/>
    <x v="0"/>
    <n v="9"/>
    <n v="3"/>
    <x v="0"/>
    <n v="1"/>
    <n v="4"/>
    <x v="1"/>
    <n v="83"/>
    <n v="3"/>
    <n v="5"/>
    <s v="Administrative"/>
    <n v="2"/>
    <s v="Poor"/>
    <x v="2"/>
    <n v="19847"/>
    <x v="2"/>
    <n v="19196"/>
    <n v="4"/>
    <s v="Y"/>
    <s v="Yes"/>
    <n v="24"/>
    <x v="1"/>
    <s v="High Performance"/>
    <n v="1"/>
    <n v="80"/>
    <n v="1"/>
    <n v="31"/>
    <n v="5"/>
    <n v="2"/>
    <s v="Poor"/>
    <n v="29"/>
    <n v="10"/>
    <n v="11"/>
    <n v="10"/>
  </r>
  <r>
    <n v="1826449"/>
    <n v="59"/>
    <x v="3"/>
    <s v="No"/>
    <x v="0"/>
    <x v="0"/>
    <n v="1429"/>
    <x v="1"/>
    <n v="18"/>
    <n v="4"/>
    <x v="2"/>
    <n v="1"/>
    <n v="4"/>
    <x v="1"/>
    <n v="67"/>
    <n v="3"/>
    <n v="3"/>
    <s v="Therapist"/>
    <n v="4"/>
    <s v="Good"/>
    <x v="0"/>
    <n v="10512"/>
    <x v="0"/>
    <n v="20002"/>
    <n v="6"/>
    <s v="Y"/>
    <s v="No"/>
    <n v="12"/>
    <x v="0"/>
    <s v="Low Performance"/>
    <n v="4"/>
    <n v="80"/>
    <n v="0"/>
    <n v="25"/>
    <n v="6"/>
    <n v="2"/>
    <s v="Poor"/>
    <n v="9"/>
    <n v="7"/>
    <n v="5"/>
    <n v="4"/>
  </r>
  <r>
    <n v="1319702"/>
    <n v="34"/>
    <x v="2"/>
    <s v="No"/>
    <x v="0"/>
    <x v="1"/>
    <n v="135"/>
    <x v="1"/>
    <n v="19"/>
    <n v="3"/>
    <x v="2"/>
    <n v="1"/>
    <n v="3"/>
    <x v="0"/>
    <n v="46"/>
    <n v="3"/>
    <n v="2"/>
    <s v="Nurse"/>
    <n v="2"/>
    <s v="Poor"/>
    <x v="2"/>
    <n v="4444"/>
    <x v="1"/>
    <n v="22534"/>
    <n v="4"/>
    <s v="Y"/>
    <s v="No"/>
    <n v="13"/>
    <x v="0"/>
    <s v="Low Performance"/>
    <n v="3"/>
    <n v="80"/>
    <n v="2"/>
    <n v="15"/>
    <n v="2"/>
    <n v="4"/>
    <s v="Good"/>
    <n v="11"/>
    <n v="8"/>
    <n v="5"/>
    <n v="10"/>
  </r>
  <r>
    <n v="1668404"/>
    <n v="28"/>
    <x v="2"/>
    <s v="Yes"/>
    <x v="1"/>
    <x v="1"/>
    <n v="791"/>
    <x v="1"/>
    <n v="1"/>
    <n v="4"/>
    <x v="2"/>
    <n v="1"/>
    <n v="4"/>
    <x v="1"/>
    <n v="44"/>
    <n v="3"/>
    <n v="1"/>
    <s v="Nurse"/>
    <n v="3"/>
    <s v="Fair"/>
    <x v="0"/>
    <n v="2154"/>
    <x v="1"/>
    <n v="6842"/>
    <n v="0"/>
    <s v="Y"/>
    <s v="Yes"/>
    <n v="11"/>
    <x v="0"/>
    <s v="Low Performance"/>
    <n v="3"/>
    <n v="80"/>
    <n v="0"/>
    <n v="5"/>
    <n v="2"/>
    <n v="2"/>
    <s v="Poor"/>
    <n v="4"/>
    <n v="2"/>
    <n v="0"/>
    <n v="2"/>
  </r>
  <r>
    <n v="1459186"/>
    <n v="44"/>
    <x v="0"/>
    <s v="No"/>
    <x v="0"/>
    <x v="0"/>
    <n v="1199"/>
    <x v="2"/>
    <n v="4"/>
    <n v="2"/>
    <x v="0"/>
    <n v="1"/>
    <n v="3"/>
    <x v="1"/>
    <n v="92"/>
    <n v="4"/>
    <n v="5"/>
    <s v="Other"/>
    <n v="1"/>
    <s v="Poor"/>
    <x v="2"/>
    <n v="19190"/>
    <x v="2"/>
    <n v="17477"/>
    <n v="1"/>
    <s v="Y"/>
    <s v="No"/>
    <n v="14"/>
    <x v="0"/>
    <s v="Low Performance"/>
    <n v="4"/>
    <n v="80"/>
    <n v="2"/>
    <n v="26"/>
    <n v="4"/>
    <n v="2"/>
    <s v="Poor"/>
    <n v="25"/>
    <n v="9"/>
    <n v="14"/>
    <n v="13"/>
  </r>
  <r>
    <n v="1488640"/>
    <n v="34"/>
    <x v="2"/>
    <s v="No"/>
    <x v="0"/>
    <x v="1"/>
    <n v="648"/>
    <x v="2"/>
    <n v="11"/>
    <n v="3"/>
    <x v="0"/>
    <n v="1"/>
    <n v="3"/>
    <x v="1"/>
    <n v="56"/>
    <n v="2"/>
    <n v="2"/>
    <s v="Other"/>
    <n v="2"/>
    <s v="Poor"/>
    <x v="1"/>
    <n v="4490"/>
    <x v="1"/>
    <n v="21833"/>
    <n v="4"/>
    <s v="Y"/>
    <s v="No"/>
    <n v="11"/>
    <x v="0"/>
    <s v="Low Performance"/>
    <n v="4"/>
    <n v="80"/>
    <n v="2"/>
    <n v="14"/>
    <n v="5"/>
    <n v="4"/>
    <s v="Good"/>
    <n v="10"/>
    <n v="9"/>
    <n v="1"/>
    <n v="8"/>
  </r>
  <r>
    <n v="1711208"/>
    <n v="35"/>
    <x v="2"/>
    <s v="No"/>
    <x v="0"/>
    <x v="0"/>
    <n v="735"/>
    <x v="1"/>
    <n v="6"/>
    <n v="1"/>
    <x v="0"/>
    <n v="1"/>
    <n v="3"/>
    <x v="1"/>
    <n v="66"/>
    <n v="3"/>
    <n v="1"/>
    <s v="Other"/>
    <n v="3"/>
    <s v="Fair"/>
    <x v="1"/>
    <n v="3506"/>
    <x v="1"/>
    <n v="6020"/>
    <n v="0"/>
    <s v="Y"/>
    <s v="Yes"/>
    <n v="14"/>
    <x v="0"/>
    <s v="Low Performance"/>
    <n v="4"/>
    <n v="80"/>
    <n v="0"/>
    <n v="4"/>
    <n v="3"/>
    <n v="3"/>
    <s v="Fair"/>
    <n v="3"/>
    <n v="2"/>
    <n v="2"/>
    <n v="2"/>
  </r>
  <r>
    <n v="1619962"/>
    <n v="42"/>
    <x v="0"/>
    <s v="No"/>
    <x v="0"/>
    <x v="0"/>
    <n v="603"/>
    <x v="1"/>
    <n v="7"/>
    <n v="4"/>
    <x v="2"/>
    <n v="1"/>
    <n v="2"/>
    <x v="0"/>
    <n v="78"/>
    <n v="4"/>
    <n v="2"/>
    <s v="Other"/>
    <n v="2"/>
    <s v="Poor"/>
    <x v="1"/>
    <n v="2372"/>
    <x v="1"/>
    <n v="5628"/>
    <n v="6"/>
    <s v="Y"/>
    <s v="Yes"/>
    <n v="16"/>
    <x v="0"/>
    <s v="Low Performance"/>
    <n v="4"/>
    <n v="80"/>
    <n v="0"/>
    <n v="18"/>
    <n v="2"/>
    <n v="3"/>
    <s v="Fair"/>
    <n v="1"/>
    <n v="0"/>
    <n v="0"/>
    <n v="0"/>
  </r>
  <r>
    <n v="1411176"/>
    <n v="43"/>
    <x v="0"/>
    <s v="No"/>
    <x v="0"/>
    <x v="0"/>
    <n v="531"/>
    <x v="0"/>
    <n v="4"/>
    <n v="4"/>
    <x v="3"/>
    <n v="1"/>
    <n v="4"/>
    <x v="0"/>
    <n v="56"/>
    <n v="2"/>
    <n v="3"/>
    <s v="Nurse"/>
    <n v="4"/>
    <s v="Good"/>
    <x v="0"/>
    <n v="10231"/>
    <x v="0"/>
    <n v="20364"/>
    <n v="3"/>
    <s v="Y"/>
    <s v="No"/>
    <n v="14"/>
    <x v="0"/>
    <s v="Low Performance"/>
    <n v="4"/>
    <n v="80"/>
    <n v="0"/>
    <n v="23"/>
    <n v="3"/>
    <n v="4"/>
    <s v="Good"/>
    <n v="21"/>
    <n v="7"/>
    <n v="15"/>
    <n v="17"/>
  </r>
  <r>
    <n v="1702814"/>
    <n v="36"/>
    <x v="0"/>
    <s v="No"/>
    <x v="0"/>
    <x v="0"/>
    <n v="429"/>
    <x v="2"/>
    <n v="2"/>
    <n v="4"/>
    <x v="0"/>
    <n v="1"/>
    <n v="3"/>
    <x v="0"/>
    <n v="53"/>
    <n v="3"/>
    <n v="2"/>
    <s v="Therapist"/>
    <n v="2"/>
    <s v="Poor"/>
    <x v="0"/>
    <n v="5410"/>
    <x v="0"/>
    <n v="2323"/>
    <n v="9"/>
    <s v="Y"/>
    <s v="Yes"/>
    <n v="11"/>
    <x v="0"/>
    <s v="Low Performance"/>
    <n v="4"/>
    <n v="80"/>
    <n v="0"/>
    <n v="18"/>
    <n v="2"/>
    <n v="3"/>
    <s v="Fair"/>
    <n v="16"/>
    <n v="14"/>
    <n v="5"/>
    <n v="12"/>
  </r>
  <r>
    <n v="1059499"/>
    <n v="44"/>
    <x v="0"/>
    <s v="No"/>
    <x v="0"/>
    <x v="0"/>
    <n v="621"/>
    <x v="1"/>
    <n v="15"/>
    <n v="3"/>
    <x v="2"/>
    <n v="1"/>
    <n v="1"/>
    <x v="0"/>
    <n v="73"/>
    <n v="3"/>
    <n v="3"/>
    <s v="Nurse"/>
    <n v="4"/>
    <s v="Good"/>
    <x v="1"/>
    <n v="7978"/>
    <x v="0"/>
    <n v="14075"/>
    <n v="1"/>
    <s v="Y"/>
    <s v="No"/>
    <n v="11"/>
    <x v="0"/>
    <s v="Low Performance"/>
    <n v="4"/>
    <n v="80"/>
    <n v="1"/>
    <n v="10"/>
    <n v="2"/>
    <n v="3"/>
    <s v="Fair"/>
    <n v="10"/>
    <n v="7"/>
    <n v="0"/>
    <n v="5"/>
  </r>
  <r>
    <n v="1612685"/>
    <n v="28"/>
    <x v="2"/>
    <s v="No"/>
    <x v="0"/>
    <x v="1"/>
    <n v="193"/>
    <x v="1"/>
    <n v="2"/>
    <n v="3"/>
    <x v="0"/>
    <n v="1"/>
    <n v="4"/>
    <x v="1"/>
    <n v="52"/>
    <n v="2"/>
    <n v="1"/>
    <s v="Nurse"/>
    <n v="4"/>
    <s v="Good"/>
    <x v="1"/>
    <n v="3867"/>
    <x v="1"/>
    <n v="14222"/>
    <n v="1"/>
    <s v="Y"/>
    <s v="Yes"/>
    <n v="12"/>
    <x v="0"/>
    <s v="Low Performance"/>
    <n v="2"/>
    <n v="80"/>
    <n v="1"/>
    <n v="2"/>
    <n v="2"/>
    <n v="3"/>
    <s v="Fair"/>
    <n v="2"/>
    <n v="2"/>
    <n v="2"/>
    <n v="2"/>
  </r>
  <r>
    <n v="1744003"/>
    <n v="51"/>
    <x v="1"/>
    <s v="No"/>
    <x v="0"/>
    <x v="1"/>
    <n v="968"/>
    <x v="1"/>
    <n v="6"/>
    <n v="2"/>
    <x v="2"/>
    <n v="1"/>
    <n v="2"/>
    <x v="0"/>
    <n v="40"/>
    <n v="2"/>
    <n v="1"/>
    <s v="Nurse"/>
    <n v="3"/>
    <s v="Fair"/>
    <x v="0"/>
    <n v="2838"/>
    <x v="1"/>
    <n v="4257"/>
    <n v="0"/>
    <s v="Y"/>
    <s v="No"/>
    <n v="14"/>
    <x v="0"/>
    <s v="Low Performance"/>
    <n v="2"/>
    <n v="80"/>
    <n v="0"/>
    <n v="8"/>
    <n v="6"/>
    <n v="2"/>
    <s v="Poor"/>
    <n v="7"/>
    <n v="0"/>
    <n v="7"/>
    <n v="7"/>
  </r>
  <r>
    <n v="1825727"/>
    <n v="30"/>
    <x v="2"/>
    <s v="No"/>
    <x v="0"/>
    <x v="2"/>
    <n v="879"/>
    <x v="1"/>
    <n v="9"/>
    <n v="2"/>
    <x v="2"/>
    <n v="1"/>
    <n v="3"/>
    <x v="0"/>
    <n v="72"/>
    <n v="3"/>
    <n v="2"/>
    <s v="Therapist"/>
    <n v="3"/>
    <s v="Fair"/>
    <x v="0"/>
    <n v="4695"/>
    <x v="1"/>
    <n v="12858"/>
    <n v="7"/>
    <s v="Y"/>
    <s v="Yes"/>
    <n v="18"/>
    <x v="0"/>
    <s v="Low Performance"/>
    <n v="3"/>
    <n v="80"/>
    <n v="0"/>
    <n v="10"/>
    <n v="3"/>
    <n v="3"/>
    <s v="Fair"/>
    <n v="8"/>
    <n v="4"/>
    <n v="1"/>
    <n v="7"/>
  </r>
  <r>
    <n v="1100849"/>
    <n v="29"/>
    <x v="2"/>
    <s v="Yes"/>
    <x v="1"/>
    <x v="0"/>
    <n v="806"/>
    <x v="1"/>
    <n v="7"/>
    <n v="3"/>
    <x v="4"/>
    <n v="1"/>
    <n v="2"/>
    <x v="0"/>
    <n v="39"/>
    <n v="3"/>
    <n v="1"/>
    <s v="Nurse"/>
    <n v="3"/>
    <s v="Fair"/>
    <x v="2"/>
    <n v="3339"/>
    <x v="1"/>
    <n v="17285"/>
    <n v="3"/>
    <s v="Y"/>
    <s v="Yes"/>
    <n v="13"/>
    <x v="0"/>
    <s v="Low Performance"/>
    <n v="1"/>
    <n v="80"/>
    <n v="2"/>
    <n v="10"/>
    <n v="2"/>
    <n v="3"/>
    <s v="Fair"/>
    <n v="7"/>
    <n v="7"/>
    <n v="7"/>
    <n v="7"/>
  </r>
  <r>
    <n v="1165880"/>
    <n v="28"/>
    <x v="2"/>
    <s v="No"/>
    <x v="0"/>
    <x v="0"/>
    <n v="640"/>
    <x v="1"/>
    <n v="1"/>
    <n v="3"/>
    <x v="4"/>
    <n v="1"/>
    <n v="4"/>
    <x v="1"/>
    <n v="84"/>
    <n v="3"/>
    <n v="1"/>
    <s v="Other"/>
    <n v="1"/>
    <s v="Poor"/>
    <x v="0"/>
    <n v="2080"/>
    <x v="1"/>
    <n v="4732"/>
    <n v="2"/>
    <s v="Y"/>
    <s v="No"/>
    <n v="11"/>
    <x v="0"/>
    <s v="Low Performance"/>
    <n v="2"/>
    <n v="80"/>
    <n v="0"/>
    <n v="5"/>
    <n v="2"/>
    <n v="2"/>
    <s v="Poor"/>
    <n v="3"/>
    <n v="2"/>
    <n v="1"/>
    <n v="2"/>
  </r>
  <r>
    <n v="1386101"/>
    <n v="25"/>
    <x v="4"/>
    <s v="No"/>
    <x v="0"/>
    <x v="0"/>
    <n v="266"/>
    <x v="1"/>
    <n v="1"/>
    <n v="3"/>
    <x v="2"/>
    <n v="1"/>
    <n v="4"/>
    <x v="0"/>
    <n v="40"/>
    <n v="3"/>
    <n v="1"/>
    <s v="Other"/>
    <n v="2"/>
    <s v="Poor"/>
    <x v="0"/>
    <n v="2096"/>
    <x v="1"/>
    <n v="18830"/>
    <n v="1"/>
    <s v="Y"/>
    <s v="No"/>
    <n v="18"/>
    <x v="0"/>
    <s v="Low Performance"/>
    <n v="4"/>
    <n v="80"/>
    <n v="0"/>
    <n v="2"/>
    <n v="3"/>
    <n v="2"/>
    <s v="Poor"/>
    <n v="2"/>
    <n v="2"/>
    <n v="2"/>
    <n v="1"/>
  </r>
  <r>
    <n v="1053739"/>
    <n v="32"/>
    <x v="2"/>
    <s v="No"/>
    <x v="0"/>
    <x v="0"/>
    <n v="604"/>
    <x v="0"/>
    <n v="8"/>
    <n v="3"/>
    <x v="2"/>
    <n v="1"/>
    <n v="3"/>
    <x v="1"/>
    <n v="56"/>
    <n v="4"/>
    <n v="2"/>
    <s v="Nurse"/>
    <n v="4"/>
    <s v="Good"/>
    <x v="1"/>
    <n v="6209"/>
    <x v="0"/>
    <n v="11693"/>
    <n v="1"/>
    <s v="Y"/>
    <s v="No"/>
    <n v="15"/>
    <x v="0"/>
    <s v="Low Performance"/>
    <n v="3"/>
    <n v="80"/>
    <n v="2"/>
    <n v="10"/>
    <n v="4"/>
    <n v="4"/>
    <s v="Good"/>
    <n v="10"/>
    <n v="7"/>
    <n v="0"/>
    <n v="8"/>
  </r>
  <r>
    <n v="1259785"/>
    <n v="45"/>
    <x v="0"/>
    <s v="No"/>
    <x v="0"/>
    <x v="1"/>
    <n v="364"/>
    <x v="2"/>
    <n v="25"/>
    <n v="3"/>
    <x v="2"/>
    <n v="1"/>
    <n v="2"/>
    <x v="0"/>
    <n v="83"/>
    <n v="3"/>
    <n v="5"/>
    <s v="Other"/>
    <n v="2"/>
    <s v="Poor"/>
    <x v="0"/>
    <n v="18061"/>
    <x v="2"/>
    <n v="13035"/>
    <n v="3"/>
    <s v="Y"/>
    <s v="No"/>
    <n v="22"/>
    <x v="1"/>
    <s v="High Performance"/>
    <n v="3"/>
    <n v="80"/>
    <n v="0"/>
    <n v="22"/>
    <n v="4"/>
    <n v="3"/>
    <s v="Fair"/>
    <n v="0"/>
    <n v="0"/>
    <n v="0"/>
    <n v="0"/>
  </r>
  <r>
    <n v="1772045"/>
    <n v="39"/>
    <x v="0"/>
    <s v="No"/>
    <x v="0"/>
    <x v="0"/>
    <n v="412"/>
    <x v="2"/>
    <n v="13"/>
    <n v="4"/>
    <x v="2"/>
    <n v="1"/>
    <n v="3"/>
    <x v="0"/>
    <n v="94"/>
    <n v="2"/>
    <n v="4"/>
    <s v="Other"/>
    <n v="2"/>
    <s v="Poor"/>
    <x v="2"/>
    <n v="17123"/>
    <x v="2"/>
    <n v="17334"/>
    <n v="6"/>
    <s v="Y"/>
    <s v="Yes"/>
    <n v="13"/>
    <x v="0"/>
    <s v="Low Performance"/>
    <n v="4"/>
    <n v="80"/>
    <n v="2"/>
    <n v="21"/>
    <n v="4"/>
    <n v="3"/>
    <s v="Fair"/>
    <n v="19"/>
    <n v="9"/>
    <n v="15"/>
    <n v="2"/>
  </r>
  <r>
    <n v="1153402"/>
    <n v="58"/>
    <x v="3"/>
    <s v="No"/>
    <x v="0"/>
    <x v="0"/>
    <n v="848"/>
    <x v="1"/>
    <n v="23"/>
    <n v="4"/>
    <x v="0"/>
    <n v="1"/>
    <n v="1"/>
    <x v="1"/>
    <n v="88"/>
    <n v="3"/>
    <n v="1"/>
    <s v="Other"/>
    <n v="3"/>
    <s v="Fair"/>
    <x v="2"/>
    <n v="2372"/>
    <x v="1"/>
    <n v="26076"/>
    <n v="1"/>
    <s v="Y"/>
    <s v="No"/>
    <n v="12"/>
    <x v="0"/>
    <s v="Low Performance"/>
    <n v="4"/>
    <n v="80"/>
    <n v="2"/>
    <n v="2"/>
    <n v="3"/>
    <n v="3"/>
    <s v="Fair"/>
    <n v="2"/>
    <n v="2"/>
    <n v="2"/>
    <n v="2"/>
  </r>
  <r>
    <n v="1111156"/>
    <n v="32"/>
    <x v="2"/>
    <s v="No"/>
    <x v="0"/>
    <x v="0"/>
    <n v="1089"/>
    <x v="1"/>
    <n v="7"/>
    <n v="2"/>
    <x v="0"/>
    <n v="1"/>
    <n v="4"/>
    <x v="1"/>
    <n v="79"/>
    <n v="3"/>
    <n v="2"/>
    <s v="Nurse"/>
    <n v="3"/>
    <s v="Fair"/>
    <x v="1"/>
    <n v="4883"/>
    <x v="1"/>
    <n v="22845"/>
    <n v="1"/>
    <s v="Y"/>
    <s v="No"/>
    <n v="18"/>
    <x v="0"/>
    <s v="Low Performance"/>
    <n v="1"/>
    <n v="80"/>
    <n v="1"/>
    <n v="10"/>
    <n v="3"/>
    <n v="3"/>
    <s v="Fair"/>
    <n v="10"/>
    <n v="4"/>
    <n v="1"/>
    <n v="1"/>
  </r>
  <r>
    <n v="1191511"/>
    <n v="39"/>
    <x v="0"/>
    <s v="Yes"/>
    <x v="1"/>
    <x v="0"/>
    <n v="360"/>
    <x v="1"/>
    <n v="23"/>
    <n v="3"/>
    <x v="2"/>
    <n v="1"/>
    <n v="3"/>
    <x v="1"/>
    <n v="93"/>
    <n v="3"/>
    <n v="1"/>
    <s v="Other"/>
    <n v="1"/>
    <s v="Poor"/>
    <x v="0"/>
    <n v="3904"/>
    <x v="1"/>
    <n v="22154"/>
    <n v="0"/>
    <s v="Y"/>
    <s v="No"/>
    <n v="13"/>
    <x v="0"/>
    <s v="Low Performance"/>
    <n v="1"/>
    <n v="80"/>
    <n v="0"/>
    <n v="6"/>
    <n v="2"/>
    <n v="3"/>
    <s v="Fair"/>
    <n v="5"/>
    <n v="2"/>
    <n v="0"/>
    <n v="3"/>
  </r>
  <r>
    <n v="1391589"/>
    <n v="30"/>
    <x v="2"/>
    <s v="No"/>
    <x v="0"/>
    <x v="0"/>
    <n v="1138"/>
    <x v="1"/>
    <n v="6"/>
    <n v="3"/>
    <x v="4"/>
    <n v="1"/>
    <n v="1"/>
    <x v="0"/>
    <n v="48"/>
    <n v="2"/>
    <n v="2"/>
    <s v="Nurse"/>
    <n v="4"/>
    <s v="Good"/>
    <x v="1"/>
    <n v="4627"/>
    <x v="1"/>
    <n v="23631"/>
    <n v="0"/>
    <s v="Y"/>
    <s v="No"/>
    <n v="12"/>
    <x v="0"/>
    <s v="Low Performance"/>
    <n v="1"/>
    <n v="80"/>
    <n v="1"/>
    <n v="10"/>
    <n v="6"/>
    <n v="3"/>
    <s v="Fair"/>
    <n v="9"/>
    <n v="2"/>
    <n v="6"/>
    <n v="7"/>
  </r>
  <r>
    <n v="1474475"/>
    <n v="36"/>
    <x v="0"/>
    <s v="No"/>
    <x v="0"/>
    <x v="0"/>
    <n v="325"/>
    <x v="1"/>
    <n v="10"/>
    <n v="4"/>
    <x v="4"/>
    <n v="1"/>
    <n v="4"/>
    <x v="0"/>
    <n v="63"/>
    <n v="3"/>
    <n v="3"/>
    <s v="Nurse"/>
    <n v="3"/>
    <s v="Fair"/>
    <x v="1"/>
    <n v="7094"/>
    <x v="0"/>
    <n v="5747"/>
    <n v="3"/>
    <s v="Y"/>
    <s v="No"/>
    <n v="12"/>
    <x v="0"/>
    <s v="Low Performance"/>
    <n v="1"/>
    <n v="80"/>
    <n v="0"/>
    <n v="10"/>
    <n v="0"/>
    <n v="3"/>
    <s v="Fair"/>
    <n v="7"/>
    <n v="7"/>
    <n v="1"/>
    <n v="7"/>
  </r>
  <r>
    <n v="1211290"/>
    <n v="46"/>
    <x v="1"/>
    <s v="No"/>
    <x v="0"/>
    <x v="0"/>
    <n v="991"/>
    <x v="2"/>
    <n v="1"/>
    <n v="2"/>
    <x v="0"/>
    <n v="1"/>
    <n v="4"/>
    <x v="0"/>
    <n v="44"/>
    <n v="3"/>
    <n v="1"/>
    <s v="Other"/>
    <n v="1"/>
    <s v="Poor"/>
    <x v="0"/>
    <n v="3423"/>
    <x v="1"/>
    <n v="22957"/>
    <n v="6"/>
    <s v="Y"/>
    <s v="No"/>
    <n v="12"/>
    <x v="0"/>
    <s v="Low Performance"/>
    <n v="3"/>
    <n v="80"/>
    <n v="0"/>
    <n v="10"/>
    <n v="3"/>
    <n v="4"/>
    <s v="Good"/>
    <n v="7"/>
    <n v="6"/>
    <n v="5"/>
    <n v="7"/>
  </r>
  <r>
    <n v="1193428"/>
    <n v="28"/>
    <x v="2"/>
    <s v="No"/>
    <x v="0"/>
    <x v="2"/>
    <n v="1476"/>
    <x v="1"/>
    <n v="1"/>
    <n v="3"/>
    <x v="0"/>
    <n v="1"/>
    <n v="3"/>
    <x v="0"/>
    <n v="55"/>
    <n v="1"/>
    <n v="2"/>
    <s v="Nurse"/>
    <n v="4"/>
    <s v="Good"/>
    <x v="1"/>
    <n v="6674"/>
    <x v="0"/>
    <n v="16392"/>
    <n v="0"/>
    <s v="Y"/>
    <s v="No"/>
    <n v="11"/>
    <x v="0"/>
    <s v="Low Performance"/>
    <n v="1"/>
    <n v="80"/>
    <n v="3"/>
    <n v="10"/>
    <n v="6"/>
    <n v="3"/>
    <s v="Fair"/>
    <n v="9"/>
    <n v="8"/>
    <n v="7"/>
    <n v="5"/>
  </r>
  <r>
    <n v="1545703"/>
    <n v="50"/>
    <x v="1"/>
    <s v="No"/>
    <x v="0"/>
    <x v="0"/>
    <n v="1322"/>
    <x v="1"/>
    <n v="28"/>
    <n v="3"/>
    <x v="0"/>
    <n v="1"/>
    <n v="4"/>
    <x v="0"/>
    <n v="43"/>
    <n v="3"/>
    <n v="4"/>
    <s v="Administrative"/>
    <n v="1"/>
    <s v="Poor"/>
    <x v="1"/>
    <n v="16880"/>
    <x v="2"/>
    <n v="22422"/>
    <n v="4"/>
    <s v="Y"/>
    <s v="Yes"/>
    <n v="11"/>
    <x v="0"/>
    <s v="Low Performance"/>
    <n v="2"/>
    <n v="80"/>
    <n v="0"/>
    <n v="25"/>
    <n v="2"/>
    <n v="3"/>
    <s v="Fair"/>
    <n v="3"/>
    <n v="2"/>
    <n v="1"/>
    <n v="2"/>
  </r>
  <r>
    <n v="1202936"/>
    <n v="40"/>
    <x v="0"/>
    <s v="Yes"/>
    <x v="1"/>
    <x v="0"/>
    <n v="299"/>
    <x v="0"/>
    <n v="25"/>
    <n v="4"/>
    <x v="3"/>
    <n v="1"/>
    <n v="4"/>
    <x v="1"/>
    <n v="57"/>
    <n v="2"/>
    <n v="3"/>
    <s v="Nurse"/>
    <n v="2"/>
    <s v="Poor"/>
    <x v="0"/>
    <n v="9094"/>
    <x v="0"/>
    <n v="17235"/>
    <n v="2"/>
    <s v="Y"/>
    <s v="Yes"/>
    <n v="12"/>
    <x v="0"/>
    <s v="Low Performance"/>
    <n v="3"/>
    <n v="80"/>
    <n v="0"/>
    <n v="9"/>
    <n v="2"/>
    <n v="3"/>
    <s v="Fair"/>
    <n v="5"/>
    <n v="4"/>
    <n v="1"/>
    <n v="0"/>
  </r>
  <r>
    <n v="1171299"/>
    <n v="52"/>
    <x v="1"/>
    <s v="Yes"/>
    <x v="1"/>
    <x v="0"/>
    <n v="1030"/>
    <x v="0"/>
    <n v="5"/>
    <n v="3"/>
    <x v="0"/>
    <n v="1"/>
    <n v="2"/>
    <x v="1"/>
    <n v="64"/>
    <n v="3"/>
    <n v="3"/>
    <s v="Nurse"/>
    <n v="2"/>
    <s v="Poor"/>
    <x v="0"/>
    <n v="8446"/>
    <x v="0"/>
    <n v="21534"/>
    <n v="9"/>
    <s v="Y"/>
    <s v="Yes"/>
    <n v="19"/>
    <x v="0"/>
    <s v="Low Performance"/>
    <n v="3"/>
    <n v="80"/>
    <n v="0"/>
    <n v="10"/>
    <n v="2"/>
    <n v="2"/>
    <s v="Poor"/>
    <n v="8"/>
    <n v="7"/>
    <n v="7"/>
    <n v="7"/>
  </r>
  <r>
    <n v="1277861"/>
    <n v="30"/>
    <x v="2"/>
    <s v="No"/>
    <x v="0"/>
    <x v="0"/>
    <n v="634"/>
    <x v="2"/>
    <n v="17"/>
    <n v="4"/>
    <x v="2"/>
    <n v="1"/>
    <n v="2"/>
    <x v="0"/>
    <n v="95"/>
    <n v="3"/>
    <n v="3"/>
    <s v="Other"/>
    <n v="1"/>
    <s v="Poor"/>
    <x v="1"/>
    <n v="11916"/>
    <x v="0"/>
    <n v="25927"/>
    <n v="1"/>
    <s v="Y"/>
    <s v="Yes"/>
    <n v="23"/>
    <x v="1"/>
    <s v="High Performance"/>
    <n v="4"/>
    <n v="80"/>
    <n v="2"/>
    <n v="9"/>
    <n v="2"/>
    <n v="3"/>
    <s v="Fair"/>
    <n v="9"/>
    <n v="1"/>
    <n v="0"/>
    <n v="8"/>
  </r>
  <r>
    <n v="1622014"/>
    <n v="39"/>
    <x v="0"/>
    <s v="No"/>
    <x v="0"/>
    <x v="0"/>
    <n v="524"/>
    <x v="1"/>
    <n v="18"/>
    <n v="2"/>
    <x v="0"/>
    <n v="1"/>
    <n v="1"/>
    <x v="1"/>
    <n v="32"/>
    <n v="3"/>
    <n v="2"/>
    <s v="Therapist"/>
    <n v="3"/>
    <s v="Fair"/>
    <x v="0"/>
    <n v="4534"/>
    <x v="1"/>
    <n v="13352"/>
    <n v="0"/>
    <s v="Y"/>
    <s v="No"/>
    <n v="11"/>
    <x v="0"/>
    <s v="Low Performance"/>
    <n v="1"/>
    <n v="80"/>
    <n v="0"/>
    <n v="9"/>
    <n v="6"/>
    <n v="3"/>
    <s v="Fair"/>
    <n v="8"/>
    <n v="7"/>
    <n v="1"/>
    <n v="7"/>
  </r>
  <r>
    <n v="1379068"/>
    <n v="31"/>
    <x v="2"/>
    <s v="No"/>
    <x v="0"/>
    <x v="2"/>
    <n v="587"/>
    <x v="0"/>
    <n v="2"/>
    <n v="4"/>
    <x v="0"/>
    <n v="1"/>
    <n v="4"/>
    <x v="0"/>
    <n v="57"/>
    <n v="3"/>
    <n v="3"/>
    <s v="Nurse"/>
    <n v="3"/>
    <s v="Fair"/>
    <x v="2"/>
    <n v="9852"/>
    <x v="0"/>
    <n v="8935"/>
    <n v="1"/>
    <s v="Y"/>
    <s v="Yes"/>
    <n v="19"/>
    <x v="0"/>
    <s v="Low Performance"/>
    <n v="1"/>
    <n v="80"/>
    <n v="1"/>
    <n v="10"/>
    <n v="5"/>
    <n v="2"/>
    <s v="Poor"/>
    <n v="10"/>
    <n v="8"/>
    <n v="9"/>
    <n v="6"/>
  </r>
  <r>
    <n v="1546275"/>
    <n v="41"/>
    <x v="0"/>
    <s v="No"/>
    <x v="0"/>
    <x v="2"/>
    <n v="256"/>
    <x v="0"/>
    <n v="10"/>
    <n v="2"/>
    <x v="2"/>
    <n v="1"/>
    <n v="3"/>
    <x v="1"/>
    <n v="40"/>
    <n v="1"/>
    <n v="2"/>
    <s v="Nurse"/>
    <n v="2"/>
    <s v="Poor"/>
    <x v="0"/>
    <n v="6151"/>
    <x v="0"/>
    <n v="22074"/>
    <n v="1"/>
    <s v="Y"/>
    <s v="No"/>
    <n v="13"/>
    <x v="0"/>
    <s v="Low Performance"/>
    <n v="1"/>
    <n v="80"/>
    <n v="0"/>
    <n v="19"/>
    <n v="4"/>
    <n v="3"/>
    <s v="Fair"/>
    <n v="19"/>
    <n v="2"/>
    <n v="11"/>
    <n v="9"/>
  </r>
  <r>
    <n v="1288105"/>
    <n v="31"/>
    <x v="2"/>
    <s v="Yes"/>
    <x v="1"/>
    <x v="1"/>
    <n v="1060"/>
    <x v="0"/>
    <n v="1"/>
    <n v="3"/>
    <x v="0"/>
    <n v="1"/>
    <n v="4"/>
    <x v="0"/>
    <n v="54"/>
    <n v="3"/>
    <n v="1"/>
    <s v="Other"/>
    <n v="2"/>
    <s v="Poor"/>
    <x v="0"/>
    <n v="2302"/>
    <x v="1"/>
    <n v="8319"/>
    <n v="1"/>
    <s v="Y"/>
    <s v="Yes"/>
    <n v="11"/>
    <x v="0"/>
    <s v="Low Performance"/>
    <n v="1"/>
    <n v="80"/>
    <n v="0"/>
    <n v="3"/>
    <n v="2"/>
    <n v="4"/>
    <s v="Good"/>
    <n v="3"/>
    <n v="2"/>
    <n v="2"/>
    <n v="2"/>
  </r>
  <r>
    <n v="1518688"/>
    <n v="44"/>
    <x v="0"/>
    <s v="No"/>
    <x v="0"/>
    <x v="0"/>
    <n v="935"/>
    <x v="1"/>
    <n v="3"/>
    <n v="3"/>
    <x v="0"/>
    <n v="1"/>
    <n v="1"/>
    <x v="1"/>
    <n v="89"/>
    <n v="3"/>
    <n v="1"/>
    <s v="Nurse"/>
    <n v="1"/>
    <s v="Poor"/>
    <x v="1"/>
    <n v="2362"/>
    <x v="1"/>
    <n v="14669"/>
    <n v="4"/>
    <s v="Y"/>
    <s v="No"/>
    <n v="12"/>
    <x v="0"/>
    <s v="Low Performance"/>
    <n v="3"/>
    <n v="80"/>
    <n v="0"/>
    <n v="10"/>
    <n v="4"/>
    <n v="4"/>
    <s v="Good"/>
    <n v="3"/>
    <n v="2"/>
    <n v="1"/>
    <n v="2"/>
  </r>
  <r>
    <n v="1071499"/>
    <n v="42"/>
    <x v="0"/>
    <s v="No"/>
    <x v="0"/>
    <x v="2"/>
    <n v="495"/>
    <x v="2"/>
    <n v="2"/>
    <n v="1"/>
    <x v="0"/>
    <n v="1"/>
    <n v="3"/>
    <x v="1"/>
    <n v="37"/>
    <n v="3"/>
    <n v="4"/>
    <s v="Other"/>
    <n v="3"/>
    <s v="Fair"/>
    <x v="1"/>
    <n v="17861"/>
    <x v="2"/>
    <n v="26582"/>
    <n v="0"/>
    <s v="Y"/>
    <s v="Yes"/>
    <n v="13"/>
    <x v="0"/>
    <s v="Low Performance"/>
    <n v="4"/>
    <n v="80"/>
    <n v="0"/>
    <n v="21"/>
    <n v="3"/>
    <n v="2"/>
    <s v="Poor"/>
    <n v="20"/>
    <n v="8"/>
    <n v="2"/>
    <n v="10"/>
  </r>
  <r>
    <n v="1704652"/>
    <n v="55"/>
    <x v="1"/>
    <s v="No"/>
    <x v="0"/>
    <x v="0"/>
    <n v="282"/>
    <x v="2"/>
    <n v="2"/>
    <n v="2"/>
    <x v="2"/>
    <n v="1"/>
    <n v="4"/>
    <x v="0"/>
    <n v="58"/>
    <n v="1"/>
    <n v="5"/>
    <s v="Other"/>
    <n v="3"/>
    <s v="Fair"/>
    <x v="1"/>
    <n v="19187"/>
    <x v="2"/>
    <n v="6992"/>
    <n v="4"/>
    <s v="Y"/>
    <s v="No"/>
    <n v="14"/>
    <x v="0"/>
    <s v="Low Performance"/>
    <n v="4"/>
    <n v="80"/>
    <n v="1"/>
    <n v="23"/>
    <n v="5"/>
    <n v="3"/>
    <s v="Fair"/>
    <n v="19"/>
    <n v="9"/>
    <n v="9"/>
    <n v="11"/>
  </r>
  <r>
    <n v="1074172"/>
    <n v="56"/>
    <x v="3"/>
    <s v="No"/>
    <x v="0"/>
    <x v="0"/>
    <n v="206"/>
    <x v="2"/>
    <n v="8"/>
    <n v="4"/>
    <x v="0"/>
    <n v="1"/>
    <n v="4"/>
    <x v="1"/>
    <n v="99"/>
    <n v="3"/>
    <n v="5"/>
    <s v="Administrative"/>
    <n v="2"/>
    <s v="Poor"/>
    <x v="0"/>
    <n v="19717"/>
    <x v="2"/>
    <n v="4022"/>
    <n v="6"/>
    <s v="Y"/>
    <s v="No"/>
    <n v="14"/>
    <x v="0"/>
    <s v="Low Performance"/>
    <n v="1"/>
    <n v="80"/>
    <n v="0"/>
    <n v="36"/>
    <n v="4"/>
    <n v="3"/>
    <s v="Fair"/>
    <n v="7"/>
    <n v="3"/>
    <n v="7"/>
    <n v="7"/>
  </r>
  <r>
    <n v="1415953"/>
    <n v="40"/>
    <x v="0"/>
    <s v="No"/>
    <x v="0"/>
    <x v="2"/>
    <n v="458"/>
    <x v="1"/>
    <n v="16"/>
    <n v="2"/>
    <x v="0"/>
    <n v="1"/>
    <n v="3"/>
    <x v="1"/>
    <n v="74"/>
    <n v="3"/>
    <n v="1"/>
    <s v="Other"/>
    <n v="3"/>
    <s v="Fair"/>
    <x v="2"/>
    <n v="3544"/>
    <x v="1"/>
    <n v="8532"/>
    <n v="9"/>
    <s v="Y"/>
    <s v="No"/>
    <n v="16"/>
    <x v="0"/>
    <s v="Low Performance"/>
    <n v="2"/>
    <n v="80"/>
    <n v="1"/>
    <n v="6"/>
    <n v="0"/>
    <n v="3"/>
    <s v="Fair"/>
    <n v="4"/>
    <n v="2"/>
    <n v="0"/>
    <n v="0"/>
  </r>
  <r>
    <n v="1492244"/>
    <n v="34"/>
    <x v="2"/>
    <s v="No"/>
    <x v="0"/>
    <x v="0"/>
    <n v="943"/>
    <x v="1"/>
    <n v="9"/>
    <n v="3"/>
    <x v="0"/>
    <n v="1"/>
    <n v="4"/>
    <x v="1"/>
    <n v="86"/>
    <n v="3"/>
    <n v="3"/>
    <s v="Nurse"/>
    <n v="4"/>
    <s v="Good"/>
    <x v="2"/>
    <n v="8500"/>
    <x v="0"/>
    <n v="5494"/>
    <n v="0"/>
    <s v="Y"/>
    <s v="No"/>
    <n v="11"/>
    <x v="0"/>
    <s v="Low Performance"/>
    <n v="4"/>
    <n v="80"/>
    <n v="1"/>
    <n v="10"/>
    <n v="0"/>
    <n v="2"/>
    <s v="Poor"/>
    <n v="9"/>
    <n v="7"/>
    <n v="1"/>
    <n v="6"/>
  </r>
  <r>
    <n v="1510065"/>
    <n v="40"/>
    <x v="0"/>
    <s v="No"/>
    <x v="0"/>
    <x v="0"/>
    <n v="523"/>
    <x v="1"/>
    <n v="2"/>
    <n v="3"/>
    <x v="0"/>
    <n v="1"/>
    <n v="3"/>
    <x v="1"/>
    <n v="98"/>
    <n v="3"/>
    <n v="2"/>
    <s v="Other"/>
    <n v="4"/>
    <s v="Good"/>
    <x v="0"/>
    <n v="4661"/>
    <x v="1"/>
    <n v="22455"/>
    <n v="1"/>
    <s v="Y"/>
    <s v="No"/>
    <n v="13"/>
    <x v="0"/>
    <s v="Low Performance"/>
    <n v="3"/>
    <n v="80"/>
    <n v="0"/>
    <n v="9"/>
    <n v="4"/>
    <n v="3"/>
    <s v="Fair"/>
    <n v="9"/>
    <n v="8"/>
    <n v="8"/>
    <n v="8"/>
  </r>
  <r>
    <n v="1338493"/>
    <n v="41"/>
    <x v="0"/>
    <s v="No"/>
    <x v="0"/>
    <x v="1"/>
    <n v="1018"/>
    <x v="0"/>
    <n v="1"/>
    <n v="3"/>
    <x v="3"/>
    <n v="1"/>
    <n v="3"/>
    <x v="0"/>
    <n v="66"/>
    <n v="3"/>
    <n v="2"/>
    <s v="Nurse"/>
    <n v="1"/>
    <s v="Poor"/>
    <x v="2"/>
    <n v="4103"/>
    <x v="1"/>
    <n v="4297"/>
    <n v="0"/>
    <s v="Y"/>
    <s v="No"/>
    <n v="17"/>
    <x v="0"/>
    <s v="Low Performance"/>
    <n v="4"/>
    <n v="80"/>
    <n v="1"/>
    <n v="10"/>
    <n v="2"/>
    <n v="3"/>
    <s v="Fair"/>
    <n v="9"/>
    <n v="3"/>
    <n v="1"/>
    <n v="7"/>
  </r>
  <r>
    <n v="1451242"/>
    <n v="35"/>
    <x v="2"/>
    <s v="No"/>
    <x v="0"/>
    <x v="1"/>
    <n v="482"/>
    <x v="1"/>
    <n v="4"/>
    <n v="4"/>
    <x v="0"/>
    <n v="1"/>
    <n v="3"/>
    <x v="1"/>
    <n v="87"/>
    <n v="3"/>
    <n v="2"/>
    <s v="Other"/>
    <n v="3"/>
    <s v="Fair"/>
    <x v="0"/>
    <n v="4249"/>
    <x v="1"/>
    <n v="2690"/>
    <n v="1"/>
    <s v="Y"/>
    <s v="Yes"/>
    <n v="11"/>
    <x v="0"/>
    <s v="Low Performance"/>
    <n v="2"/>
    <n v="80"/>
    <n v="0"/>
    <n v="9"/>
    <n v="3"/>
    <n v="3"/>
    <s v="Fair"/>
    <n v="9"/>
    <n v="6"/>
    <n v="1"/>
    <n v="1"/>
  </r>
  <r>
    <n v="1265137"/>
    <n v="51"/>
    <x v="1"/>
    <s v="No"/>
    <x v="0"/>
    <x v="0"/>
    <n v="770"/>
    <x v="2"/>
    <n v="5"/>
    <n v="3"/>
    <x v="0"/>
    <n v="1"/>
    <n v="3"/>
    <x v="1"/>
    <n v="84"/>
    <n v="3"/>
    <n v="4"/>
    <s v="Administrative"/>
    <n v="2"/>
    <s v="Poor"/>
    <x v="2"/>
    <n v="14026"/>
    <x v="2"/>
    <n v="17588"/>
    <n v="1"/>
    <s v="Y"/>
    <s v="Yes"/>
    <n v="11"/>
    <x v="0"/>
    <s v="Low Performance"/>
    <n v="2"/>
    <n v="80"/>
    <n v="1"/>
    <n v="33"/>
    <n v="2"/>
    <n v="3"/>
    <s v="Fair"/>
    <n v="33"/>
    <n v="9"/>
    <n v="0"/>
    <n v="10"/>
  </r>
  <r>
    <n v="1465164"/>
    <n v="38"/>
    <x v="0"/>
    <s v="No"/>
    <x v="0"/>
    <x v="0"/>
    <n v="1009"/>
    <x v="0"/>
    <n v="2"/>
    <n v="2"/>
    <x v="0"/>
    <n v="1"/>
    <n v="2"/>
    <x v="0"/>
    <n v="31"/>
    <n v="3"/>
    <n v="2"/>
    <s v="Nurse"/>
    <n v="1"/>
    <s v="Poor"/>
    <x v="2"/>
    <n v="6893"/>
    <x v="0"/>
    <n v="19461"/>
    <n v="3"/>
    <s v="Y"/>
    <s v="No"/>
    <n v="15"/>
    <x v="0"/>
    <s v="Low Performance"/>
    <n v="4"/>
    <n v="80"/>
    <n v="1"/>
    <n v="11"/>
    <n v="3"/>
    <n v="3"/>
    <s v="Fair"/>
    <n v="7"/>
    <n v="7"/>
    <n v="1"/>
    <n v="7"/>
  </r>
  <r>
    <n v="1420569"/>
    <n v="34"/>
    <x v="2"/>
    <s v="No"/>
    <x v="0"/>
    <x v="0"/>
    <n v="507"/>
    <x v="0"/>
    <n v="15"/>
    <n v="2"/>
    <x v="2"/>
    <n v="1"/>
    <n v="3"/>
    <x v="0"/>
    <n v="66"/>
    <n v="3"/>
    <n v="2"/>
    <s v="Nurse"/>
    <n v="1"/>
    <s v="Poor"/>
    <x v="0"/>
    <n v="6125"/>
    <x v="0"/>
    <n v="23553"/>
    <n v="1"/>
    <s v="Y"/>
    <s v="No"/>
    <n v="12"/>
    <x v="0"/>
    <s v="Low Performance"/>
    <n v="4"/>
    <n v="80"/>
    <n v="0"/>
    <n v="10"/>
    <n v="6"/>
    <n v="4"/>
    <s v="Good"/>
    <n v="10"/>
    <n v="8"/>
    <n v="9"/>
    <n v="6"/>
  </r>
  <r>
    <n v="1796375"/>
    <n v="25"/>
    <x v="4"/>
    <s v="No"/>
    <x v="0"/>
    <x v="0"/>
    <n v="882"/>
    <x v="1"/>
    <n v="19"/>
    <n v="1"/>
    <x v="2"/>
    <n v="1"/>
    <n v="4"/>
    <x v="1"/>
    <n v="67"/>
    <n v="3"/>
    <n v="1"/>
    <s v="Nurse"/>
    <n v="4"/>
    <s v="Good"/>
    <x v="1"/>
    <n v="3669"/>
    <x v="1"/>
    <n v="9075"/>
    <n v="3"/>
    <s v="Y"/>
    <s v="No"/>
    <n v="11"/>
    <x v="0"/>
    <s v="Low Performance"/>
    <n v="3"/>
    <n v="80"/>
    <n v="3"/>
    <n v="7"/>
    <n v="6"/>
    <n v="2"/>
    <s v="Poor"/>
    <n v="3"/>
    <n v="2"/>
    <n v="1"/>
    <n v="2"/>
  </r>
  <r>
    <n v="1536328"/>
    <n v="58"/>
    <x v="3"/>
    <s v="Yes"/>
    <x v="1"/>
    <x v="0"/>
    <n v="601"/>
    <x v="0"/>
    <n v="7"/>
    <n v="4"/>
    <x v="2"/>
    <n v="1"/>
    <n v="3"/>
    <x v="0"/>
    <n v="53"/>
    <n v="2"/>
    <n v="3"/>
    <s v="Therapist"/>
    <n v="1"/>
    <s v="Poor"/>
    <x v="1"/>
    <n v="10008"/>
    <x v="0"/>
    <n v="12023"/>
    <n v="7"/>
    <s v="Y"/>
    <s v="Yes"/>
    <n v="14"/>
    <x v="0"/>
    <s v="Low Performance"/>
    <n v="4"/>
    <n v="80"/>
    <n v="0"/>
    <n v="31"/>
    <n v="0"/>
    <n v="2"/>
    <s v="Poor"/>
    <n v="10"/>
    <n v="9"/>
    <n v="5"/>
    <n v="9"/>
  </r>
  <r>
    <n v="1346672"/>
    <n v="40"/>
    <x v="0"/>
    <s v="No"/>
    <x v="0"/>
    <x v="0"/>
    <n v="329"/>
    <x v="1"/>
    <n v="1"/>
    <n v="4"/>
    <x v="0"/>
    <n v="1"/>
    <n v="2"/>
    <x v="1"/>
    <n v="88"/>
    <n v="3"/>
    <n v="1"/>
    <s v="Nurse"/>
    <n v="2"/>
    <s v="Poor"/>
    <x v="1"/>
    <n v="2387"/>
    <x v="1"/>
    <n v="6762"/>
    <n v="3"/>
    <s v="Y"/>
    <s v="No"/>
    <n v="22"/>
    <x v="1"/>
    <s v="High Performance"/>
    <n v="3"/>
    <n v="80"/>
    <n v="1"/>
    <n v="7"/>
    <n v="3"/>
    <n v="3"/>
    <s v="Fair"/>
    <n v="4"/>
    <n v="2"/>
    <n v="0"/>
    <n v="3"/>
  </r>
  <r>
    <n v="1408258"/>
    <n v="36"/>
    <x v="0"/>
    <s v="No"/>
    <x v="0"/>
    <x v="1"/>
    <n v="607"/>
    <x v="0"/>
    <n v="7"/>
    <n v="3"/>
    <x v="3"/>
    <n v="1"/>
    <n v="1"/>
    <x v="0"/>
    <n v="83"/>
    <n v="4"/>
    <n v="2"/>
    <s v="Nurse"/>
    <n v="1"/>
    <s v="Poor"/>
    <x v="1"/>
    <n v="4639"/>
    <x v="1"/>
    <n v="2261"/>
    <n v="2"/>
    <s v="Y"/>
    <s v="No"/>
    <n v="16"/>
    <x v="0"/>
    <s v="Low Performance"/>
    <n v="4"/>
    <n v="80"/>
    <n v="1"/>
    <n v="17"/>
    <n v="2"/>
    <n v="2"/>
    <s v="Poor"/>
    <n v="15"/>
    <n v="7"/>
    <n v="6"/>
    <n v="13"/>
  </r>
  <r>
    <n v="1172129"/>
    <n v="48"/>
    <x v="1"/>
    <s v="No"/>
    <x v="0"/>
    <x v="0"/>
    <n v="855"/>
    <x v="2"/>
    <n v="4"/>
    <n v="3"/>
    <x v="0"/>
    <n v="1"/>
    <n v="4"/>
    <x v="1"/>
    <n v="54"/>
    <n v="3"/>
    <n v="3"/>
    <s v="Therapist"/>
    <n v="4"/>
    <s v="Good"/>
    <x v="0"/>
    <n v="7898"/>
    <x v="0"/>
    <n v="18706"/>
    <n v="1"/>
    <s v="Y"/>
    <s v="No"/>
    <n v="11"/>
    <x v="0"/>
    <s v="Low Performance"/>
    <n v="3"/>
    <n v="80"/>
    <n v="0"/>
    <n v="11"/>
    <n v="2"/>
    <n v="3"/>
    <s v="Fair"/>
    <n v="10"/>
    <n v="9"/>
    <n v="0"/>
    <n v="8"/>
  </r>
  <r>
    <n v="1525335"/>
    <n v="27"/>
    <x v="2"/>
    <s v="No"/>
    <x v="0"/>
    <x v="0"/>
    <n v="1291"/>
    <x v="0"/>
    <n v="11"/>
    <n v="3"/>
    <x v="2"/>
    <n v="1"/>
    <n v="3"/>
    <x v="0"/>
    <n v="98"/>
    <n v="4"/>
    <n v="1"/>
    <s v="Other"/>
    <n v="4"/>
    <s v="Good"/>
    <x v="1"/>
    <n v="2534"/>
    <x v="1"/>
    <n v="6527"/>
    <n v="8"/>
    <s v="Y"/>
    <s v="No"/>
    <n v="14"/>
    <x v="0"/>
    <s v="Low Performance"/>
    <n v="2"/>
    <n v="80"/>
    <n v="1"/>
    <n v="5"/>
    <n v="4"/>
    <n v="3"/>
    <s v="Fair"/>
    <n v="1"/>
    <n v="0"/>
    <n v="0"/>
    <n v="0"/>
  </r>
  <r>
    <n v="1138505"/>
    <n v="51"/>
    <x v="1"/>
    <s v="No"/>
    <x v="0"/>
    <x v="0"/>
    <n v="1405"/>
    <x v="1"/>
    <n v="11"/>
    <n v="2"/>
    <x v="4"/>
    <n v="1"/>
    <n v="4"/>
    <x v="0"/>
    <n v="82"/>
    <n v="2"/>
    <n v="4"/>
    <s v="Therapist"/>
    <n v="2"/>
    <s v="Poor"/>
    <x v="0"/>
    <n v="13142"/>
    <x v="2"/>
    <n v="24439"/>
    <n v="3"/>
    <s v="Y"/>
    <s v="No"/>
    <n v="16"/>
    <x v="0"/>
    <s v="Low Performance"/>
    <n v="2"/>
    <n v="80"/>
    <n v="0"/>
    <n v="29"/>
    <n v="1"/>
    <n v="2"/>
    <s v="Poor"/>
    <n v="5"/>
    <n v="2"/>
    <n v="0"/>
    <n v="3"/>
  </r>
  <r>
    <n v="1792003"/>
    <n v="18"/>
    <x v="4"/>
    <s v="No"/>
    <x v="0"/>
    <x v="2"/>
    <n v="1124"/>
    <x v="1"/>
    <n v="1"/>
    <n v="3"/>
    <x v="0"/>
    <n v="1"/>
    <n v="4"/>
    <x v="0"/>
    <n v="97"/>
    <n v="3"/>
    <n v="1"/>
    <s v="Nurse"/>
    <n v="4"/>
    <s v="Good"/>
    <x v="0"/>
    <n v="1611"/>
    <x v="1"/>
    <n v="19305"/>
    <n v="1"/>
    <s v="Y"/>
    <s v="No"/>
    <n v="15"/>
    <x v="0"/>
    <s v="Low Performance"/>
    <n v="3"/>
    <n v="80"/>
    <n v="0"/>
    <n v="0"/>
    <n v="5"/>
    <n v="4"/>
    <s v="Good"/>
    <n v="0"/>
    <n v="0"/>
    <n v="0"/>
    <n v="0"/>
  </r>
  <r>
    <n v="1584366"/>
    <n v="35"/>
    <x v="2"/>
    <s v="No"/>
    <x v="0"/>
    <x v="0"/>
    <n v="817"/>
    <x v="1"/>
    <n v="1"/>
    <n v="3"/>
    <x v="2"/>
    <n v="1"/>
    <n v="4"/>
    <x v="0"/>
    <n v="60"/>
    <n v="2"/>
    <n v="2"/>
    <s v="Nurse"/>
    <n v="4"/>
    <s v="Good"/>
    <x v="1"/>
    <n v="5363"/>
    <x v="0"/>
    <n v="10846"/>
    <n v="0"/>
    <s v="Y"/>
    <s v="No"/>
    <n v="12"/>
    <x v="0"/>
    <s v="Low Performance"/>
    <n v="2"/>
    <n v="80"/>
    <n v="1"/>
    <n v="10"/>
    <n v="0"/>
    <n v="3"/>
    <s v="Fair"/>
    <n v="9"/>
    <n v="7"/>
    <n v="0"/>
    <n v="0"/>
  </r>
  <r>
    <n v="1224247"/>
    <n v="27"/>
    <x v="2"/>
    <s v="No"/>
    <x v="0"/>
    <x v="1"/>
    <n v="793"/>
    <x v="0"/>
    <n v="2"/>
    <n v="1"/>
    <x v="0"/>
    <n v="1"/>
    <n v="4"/>
    <x v="1"/>
    <n v="43"/>
    <n v="1"/>
    <n v="2"/>
    <s v="Nurse"/>
    <n v="4"/>
    <s v="Good"/>
    <x v="0"/>
    <n v="5071"/>
    <x v="0"/>
    <n v="20392"/>
    <n v="3"/>
    <s v="Y"/>
    <s v="No"/>
    <n v="20"/>
    <x v="1"/>
    <s v="High Performance"/>
    <n v="2"/>
    <n v="80"/>
    <n v="0"/>
    <n v="8"/>
    <n v="3"/>
    <n v="3"/>
    <s v="Fair"/>
    <n v="6"/>
    <n v="2"/>
    <n v="0"/>
    <n v="0"/>
  </r>
  <r>
    <n v="1081600"/>
    <n v="55"/>
    <x v="1"/>
    <s v="Yes"/>
    <x v="1"/>
    <x v="0"/>
    <n v="267"/>
    <x v="0"/>
    <n v="13"/>
    <n v="4"/>
    <x v="3"/>
    <n v="1"/>
    <n v="1"/>
    <x v="1"/>
    <n v="85"/>
    <n v="4"/>
    <n v="4"/>
    <s v="Nurse"/>
    <n v="3"/>
    <s v="Fair"/>
    <x v="0"/>
    <n v="13695"/>
    <x v="2"/>
    <n v="9277"/>
    <n v="6"/>
    <s v="Y"/>
    <s v="Yes"/>
    <n v="17"/>
    <x v="0"/>
    <s v="Low Performance"/>
    <n v="3"/>
    <n v="80"/>
    <n v="0"/>
    <n v="24"/>
    <n v="2"/>
    <n v="2"/>
    <s v="Poor"/>
    <n v="19"/>
    <n v="7"/>
    <n v="3"/>
    <n v="8"/>
  </r>
  <r>
    <n v="1665397"/>
    <n v="56"/>
    <x v="3"/>
    <s v="No"/>
    <x v="0"/>
    <x v="0"/>
    <n v="1369"/>
    <x v="1"/>
    <n v="23"/>
    <n v="3"/>
    <x v="0"/>
    <n v="1"/>
    <n v="4"/>
    <x v="1"/>
    <n v="68"/>
    <n v="3"/>
    <n v="4"/>
    <s v="Therapist"/>
    <n v="2"/>
    <s v="Poor"/>
    <x v="1"/>
    <n v="13402"/>
    <x v="2"/>
    <n v="18235"/>
    <n v="4"/>
    <s v="Y"/>
    <s v="Yes"/>
    <n v="12"/>
    <x v="0"/>
    <s v="Low Performance"/>
    <n v="1"/>
    <n v="80"/>
    <n v="1"/>
    <n v="33"/>
    <n v="0"/>
    <n v="3"/>
    <s v="Fair"/>
    <n v="19"/>
    <n v="16"/>
    <n v="15"/>
    <n v="9"/>
  </r>
  <r>
    <n v="1073438"/>
    <n v="34"/>
    <x v="2"/>
    <s v="No"/>
    <x v="0"/>
    <x v="2"/>
    <n v="999"/>
    <x v="1"/>
    <n v="26"/>
    <n v="1"/>
    <x v="4"/>
    <n v="1"/>
    <n v="1"/>
    <x v="0"/>
    <n v="92"/>
    <n v="2"/>
    <n v="1"/>
    <s v="Other"/>
    <n v="3"/>
    <s v="Fair"/>
    <x v="2"/>
    <n v="2029"/>
    <x v="1"/>
    <n v="15891"/>
    <n v="1"/>
    <s v="Y"/>
    <s v="No"/>
    <n v="20"/>
    <x v="1"/>
    <s v="High Performance"/>
    <n v="3"/>
    <n v="80"/>
    <n v="3"/>
    <n v="5"/>
    <n v="2"/>
    <n v="3"/>
    <s v="Fair"/>
    <n v="5"/>
    <n v="4"/>
    <n v="0"/>
    <n v="0"/>
  </r>
  <r>
    <n v="1858522"/>
    <n v="40"/>
    <x v="0"/>
    <s v="No"/>
    <x v="0"/>
    <x v="0"/>
    <n v="1202"/>
    <x v="1"/>
    <n v="2"/>
    <n v="1"/>
    <x v="2"/>
    <n v="1"/>
    <n v="2"/>
    <x v="0"/>
    <n v="89"/>
    <n v="4"/>
    <n v="2"/>
    <s v="Nurse"/>
    <n v="3"/>
    <s v="Fair"/>
    <x v="2"/>
    <n v="6377"/>
    <x v="0"/>
    <n v="13888"/>
    <n v="5"/>
    <s v="Y"/>
    <s v="No"/>
    <n v="20"/>
    <x v="1"/>
    <s v="High Performance"/>
    <n v="2"/>
    <n v="80"/>
    <n v="3"/>
    <n v="15"/>
    <n v="0"/>
    <n v="3"/>
    <s v="Fair"/>
    <n v="12"/>
    <n v="11"/>
    <n v="11"/>
    <n v="8"/>
  </r>
  <r>
    <n v="1528867"/>
    <n v="34"/>
    <x v="2"/>
    <s v="No"/>
    <x v="0"/>
    <x v="0"/>
    <n v="285"/>
    <x v="1"/>
    <n v="29"/>
    <n v="3"/>
    <x v="2"/>
    <n v="1"/>
    <n v="2"/>
    <x v="1"/>
    <n v="86"/>
    <n v="3"/>
    <n v="2"/>
    <s v="Nurse"/>
    <n v="3"/>
    <s v="Fair"/>
    <x v="1"/>
    <n v="5429"/>
    <x v="0"/>
    <n v="17491"/>
    <n v="4"/>
    <s v="Y"/>
    <s v="No"/>
    <n v="13"/>
    <x v="0"/>
    <s v="Low Performance"/>
    <n v="1"/>
    <n v="80"/>
    <n v="2"/>
    <n v="10"/>
    <n v="1"/>
    <n v="3"/>
    <s v="Fair"/>
    <n v="8"/>
    <n v="7"/>
    <n v="7"/>
    <n v="7"/>
  </r>
  <r>
    <n v="1648657"/>
    <n v="31"/>
    <x v="2"/>
    <s v="Yes"/>
    <x v="1"/>
    <x v="1"/>
    <n v="703"/>
    <x v="0"/>
    <n v="2"/>
    <n v="3"/>
    <x v="0"/>
    <n v="1"/>
    <n v="3"/>
    <x v="0"/>
    <n v="90"/>
    <n v="2"/>
    <n v="1"/>
    <s v="Other"/>
    <n v="4"/>
    <s v="Good"/>
    <x v="0"/>
    <n v="2785"/>
    <x v="1"/>
    <n v="11882"/>
    <n v="7"/>
    <s v="Y"/>
    <s v="No"/>
    <n v="14"/>
    <x v="0"/>
    <s v="Low Performance"/>
    <n v="3"/>
    <n v="80"/>
    <n v="0"/>
    <n v="3"/>
    <n v="3"/>
    <n v="4"/>
    <s v="Good"/>
    <n v="1"/>
    <n v="0"/>
    <n v="0"/>
    <n v="0"/>
  </r>
  <r>
    <n v="1805986"/>
    <n v="35"/>
    <x v="2"/>
    <s v="Yes"/>
    <x v="1"/>
    <x v="1"/>
    <n v="662"/>
    <x v="0"/>
    <n v="18"/>
    <n v="4"/>
    <x v="3"/>
    <n v="1"/>
    <n v="4"/>
    <x v="0"/>
    <n v="67"/>
    <n v="3"/>
    <n v="2"/>
    <s v="Nurse"/>
    <n v="3"/>
    <s v="Fair"/>
    <x v="1"/>
    <n v="4614"/>
    <x v="1"/>
    <n v="23288"/>
    <n v="0"/>
    <s v="Y"/>
    <s v="Yes"/>
    <n v="18"/>
    <x v="0"/>
    <s v="Low Performance"/>
    <n v="3"/>
    <n v="80"/>
    <n v="1"/>
    <n v="5"/>
    <n v="0"/>
    <n v="2"/>
    <s v="Poor"/>
    <n v="4"/>
    <n v="2"/>
    <n v="3"/>
    <n v="2"/>
  </r>
  <r>
    <n v="1272720"/>
    <n v="38"/>
    <x v="0"/>
    <s v="No"/>
    <x v="0"/>
    <x v="1"/>
    <n v="693"/>
    <x v="1"/>
    <n v="7"/>
    <n v="3"/>
    <x v="0"/>
    <n v="1"/>
    <n v="4"/>
    <x v="1"/>
    <n v="57"/>
    <n v="4"/>
    <n v="1"/>
    <s v="Other"/>
    <n v="3"/>
    <s v="Fair"/>
    <x v="2"/>
    <n v="2610"/>
    <x v="1"/>
    <n v="15748"/>
    <n v="1"/>
    <s v="Y"/>
    <s v="No"/>
    <n v="11"/>
    <x v="0"/>
    <s v="Low Performance"/>
    <n v="4"/>
    <n v="80"/>
    <n v="3"/>
    <n v="4"/>
    <n v="2"/>
    <n v="3"/>
    <s v="Fair"/>
    <n v="4"/>
    <n v="2"/>
    <n v="0"/>
    <n v="3"/>
  </r>
  <r>
    <n v="1415194"/>
    <n v="34"/>
    <x v="2"/>
    <s v="No"/>
    <x v="0"/>
    <x v="0"/>
    <n v="404"/>
    <x v="1"/>
    <n v="2"/>
    <n v="4"/>
    <x v="4"/>
    <n v="1"/>
    <n v="3"/>
    <x v="0"/>
    <n v="98"/>
    <n v="3"/>
    <n v="2"/>
    <s v="Nurse"/>
    <n v="4"/>
    <s v="Good"/>
    <x v="0"/>
    <n v="6687"/>
    <x v="0"/>
    <n v="6163"/>
    <n v="1"/>
    <s v="Y"/>
    <s v="No"/>
    <n v="11"/>
    <x v="0"/>
    <s v="Low Performance"/>
    <n v="4"/>
    <n v="80"/>
    <n v="0"/>
    <n v="14"/>
    <n v="2"/>
    <n v="4"/>
    <s v="Good"/>
    <n v="14"/>
    <n v="11"/>
    <n v="4"/>
    <n v="11"/>
  </r>
  <r>
    <n v="1176516"/>
    <n v="28"/>
    <x v="2"/>
    <s v="No"/>
    <x v="0"/>
    <x v="0"/>
    <n v="736"/>
    <x v="0"/>
    <n v="26"/>
    <n v="3"/>
    <x v="0"/>
    <n v="1"/>
    <n v="3"/>
    <x v="1"/>
    <n v="48"/>
    <n v="2"/>
    <n v="2"/>
    <s v="Nurse"/>
    <n v="1"/>
    <s v="Poor"/>
    <x v="1"/>
    <n v="4724"/>
    <x v="1"/>
    <n v="24232"/>
    <n v="1"/>
    <s v="Y"/>
    <s v="No"/>
    <n v="11"/>
    <x v="0"/>
    <s v="Low Performance"/>
    <n v="3"/>
    <n v="80"/>
    <n v="1"/>
    <n v="5"/>
    <n v="0"/>
    <n v="3"/>
    <s v="Fair"/>
    <n v="5"/>
    <n v="3"/>
    <n v="0"/>
    <n v="4"/>
  </r>
  <r>
    <n v="1542102"/>
    <n v="31"/>
    <x v="2"/>
    <s v="Yes"/>
    <x v="1"/>
    <x v="0"/>
    <n v="330"/>
    <x v="1"/>
    <n v="22"/>
    <n v="4"/>
    <x v="2"/>
    <n v="1"/>
    <n v="4"/>
    <x v="1"/>
    <n v="98"/>
    <n v="3"/>
    <n v="2"/>
    <s v="Therapist"/>
    <n v="3"/>
    <s v="Fair"/>
    <x v="1"/>
    <n v="6179"/>
    <x v="0"/>
    <n v="21057"/>
    <n v="1"/>
    <s v="Y"/>
    <s v="Yes"/>
    <n v="15"/>
    <x v="0"/>
    <s v="Low Performance"/>
    <n v="4"/>
    <n v="80"/>
    <n v="2"/>
    <n v="10"/>
    <n v="3"/>
    <n v="2"/>
    <s v="Poor"/>
    <n v="10"/>
    <n v="2"/>
    <n v="6"/>
    <n v="7"/>
  </r>
  <r>
    <n v="1872881"/>
    <n v="39"/>
    <x v="0"/>
    <s v="No"/>
    <x v="0"/>
    <x v="0"/>
    <n v="1498"/>
    <x v="0"/>
    <n v="21"/>
    <n v="4"/>
    <x v="0"/>
    <n v="1"/>
    <n v="1"/>
    <x v="1"/>
    <n v="44"/>
    <n v="2"/>
    <n v="2"/>
    <s v="Nurse"/>
    <n v="4"/>
    <s v="Good"/>
    <x v="1"/>
    <n v="6120"/>
    <x v="0"/>
    <n v="3567"/>
    <n v="3"/>
    <s v="Y"/>
    <s v="Yes"/>
    <n v="12"/>
    <x v="0"/>
    <s v="Low Performance"/>
    <n v="4"/>
    <n v="80"/>
    <n v="2"/>
    <n v="8"/>
    <n v="2"/>
    <n v="4"/>
    <s v="Good"/>
    <n v="5"/>
    <n v="4"/>
    <n v="1"/>
    <n v="4"/>
  </r>
  <r>
    <n v="1588882"/>
    <n v="51"/>
    <x v="1"/>
    <s v="No"/>
    <x v="0"/>
    <x v="1"/>
    <n v="541"/>
    <x v="0"/>
    <n v="2"/>
    <n v="3"/>
    <x v="3"/>
    <n v="1"/>
    <n v="2"/>
    <x v="1"/>
    <n v="52"/>
    <n v="3"/>
    <n v="3"/>
    <s v="Nurse"/>
    <n v="2"/>
    <s v="Poor"/>
    <x v="1"/>
    <n v="10596"/>
    <x v="0"/>
    <n v="15395"/>
    <n v="2"/>
    <s v="Y"/>
    <s v="No"/>
    <n v="11"/>
    <x v="0"/>
    <s v="Low Performance"/>
    <n v="2"/>
    <n v="80"/>
    <n v="0"/>
    <n v="14"/>
    <n v="5"/>
    <n v="3"/>
    <s v="Fair"/>
    <n v="4"/>
    <n v="2"/>
    <n v="3"/>
    <n v="2"/>
  </r>
  <r>
    <n v="1278061"/>
    <n v="41"/>
    <x v="0"/>
    <s v="No"/>
    <x v="0"/>
    <x v="1"/>
    <n v="1200"/>
    <x v="1"/>
    <n v="22"/>
    <n v="3"/>
    <x v="0"/>
    <n v="1"/>
    <n v="4"/>
    <x v="0"/>
    <n v="75"/>
    <n v="3"/>
    <n v="2"/>
    <s v="Other"/>
    <n v="4"/>
    <s v="Good"/>
    <x v="2"/>
    <n v="5467"/>
    <x v="0"/>
    <n v="13953"/>
    <n v="3"/>
    <s v="Y"/>
    <s v="Yes"/>
    <n v="14"/>
    <x v="0"/>
    <s v="Low Performance"/>
    <n v="1"/>
    <n v="80"/>
    <n v="2"/>
    <n v="12"/>
    <n v="4"/>
    <n v="2"/>
    <s v="Poor"/>
    <n v="6"/>
    <n v="2"/>
    <n v="3"/>
    <n v="3"/>
  </r>
  <r>
    <n v="1220976"/>
    <n v="37"/>
    <x v="0"/>
    <s v="No"/>
    <x v="0"/>
    <x v="0"/>
    <n v="1439"/>
    <x v="1"/>
    <n v="4"/>
    <n v="1"/>
    <x v="0"/>
    <n v="1"/>
    <n v="3"/>
    <x v="1"/>
    <n v="54"/>
    <n v="3"/>
    <n v="1"/>
    <s v="Other"/>
    <n v="3"/>
    <s v="Fair"/>
    <x v="1"/>
    <n v="2996"/>
    <x v="1"/>
    <n v="5182"/>
    <n v="7"/>
    <s v="Y"/>
    <s v="Yes"/>
    <n v="15"/>
    <x v="0"/>
    <s v="Low Performance"/>
    <n v="4"/>
    <n v="80"/>
    <n v="0"/>
    <n v="8"/>
    <n v="2"/>
    <n v="3"/>
    <s v="Fair"/>
    <n v="6"/>
    <n v="4"/>
    <n v="1"/>
    <n v="3"/>
  </r>
  <r>
    <n v="1068192"/>
    <n v="33"/>
    <x v="2"/>
    <s v="No"/>
    <x v="0"/>
    <x v="1"/>
    <n v="1111"/>
    <x v="0"/>
    <n v="5"/>
    <n v="1"/>
    <x v="0"/>
    <n v="1"/>
    <n v="2"/>
    <x v="1"/>
    <n v="61"/>
    <n v="3"/>
    <n v="2"/>
    <s v="Nurse"/>
    <n v="4"/>
    <s v="Good"/>
    <x v="1"/>
    <n v="9998"/>
    <x v="0"/>
    <n v="19293"/>
    <n v="6"/>
    <s v="Y"/>
    <s v="No"/>
    <n v="13"/>
    <x v="0"/>
    <s v="Low Performance"/>
    <n v="1"/>
    <n v="80"/>
    <n v="0"/>
    <n v="8"/>
    <n v="2"/>
    <n v="4"/>
    <s v="Good"/>
    <n v="5"/>
    <n v="4"/>
    <n v="1"/>
    <n v="2"/>
  </r>
  <r>
    <n v="1633178"/>
    <n v="32"/>
    <x v="2"/>
    <s v="No"/>
    <x v="0"/>
    <x v="0"/>
    <n v="499"/>
    <x v="0"/>
    <n v="2"/>
    <n v="1"/>
    <x v="3"/>
    <n v="1"/>
    <n v="3"/>
    <x v="1"/>
    <n v="36"/>
    <n v="3"/>
    <n v="2"/>
    <s v="Nurse"/>
    <n v="2"/>
    <s v="Poor"/>
    <x v="1"/>
    <n v="4078"/>
    <x v="1"/>
    <n v="20497"/>
    <n v="0"/>
    <s v="Y"/>
    <s v="Yes"/>
    <n v="13"/>
    <x v="0"/>
    <s v="Low Performance"/>
    <n v="1"/>
    <n v="80"/>
    <n v="3"/>
    <n v="4"/>
    <n v="3"/>
    <n v="2"/>
    <s v="Poor"/>
    <n v="3"/>
    <n v="2"/>
    <n v="1"/>
    <n v="2"/>
  </r>
  <r>
    <n v="1432591"/>
    <n v="39"/>
    <x v="0"/>
    <s v="No"/>
    <x v="0"/>
    <x v="2"/>
    <n v="1485"/>
    <x v="1"/>
    <n v="25"/>
    <n v="2"/>
    <x v="0"/>
    <n v="1"/>
    <n v="3"/>
    <x v="1"/>
    <n v="71"/>
    <n v="3"/>
    <n v="3"/>
    <s v="Nurse"/>
    <n v="3"/>
    <s v="Fair"/>
    <x v="1"/>
    <n v="10920"/>
    <x v="0"/>
    <n v="3449"/>
    <n v="3"/>
    <s v="Y"/>
    <s v="No"/>
    <n v="21"/>
    <x v="1"/>
    <s v="High Performance"/>
    <n v="2"/>
    <n v="80"/>
    <n v="1"/>
    <n v="13"/>
    <n v="2"/>
    <n v="3"/>
    <s v="Fair"/>
    <n v="6"/>
    <n v="4"/>
    <n v="0"/>
    <n v="5"/>
  </r>
  <r>
    <n v="1844995"/>
    <n v="25"/>
    <x v="4"/>
    <s v="No"/>
    <x v="0"/>
    <x v="0"/>
    <n v="1372"/>
    <x v="0"/>
    <n v="18"/>
    <n v="1"/>
    <x v="0"/>
    <n v="1"/>
    <n v="1"/>
    <x v="1"/>
    <n v="93"/>
    <n v="4"/>
    <n v="2"/>
    <s v="Nurse"/>
    <n v="3"/>
    <s v="Fair"/>
    <x v="1"/>
    <n v="6232"/>
    <x v="0"/>
    <n v="12477"/>
    <n v="2"/>
    <s v="Y"/>
    <s v="No"/>
    <n v="11"/>
    <x v="0"/>
    <s v="Low Performance"/>
    <n v="2"/>
    <n v="80"/>
    <n v="0"/>
    <n v="6"/>
    <n v="3"/>
    <n v="2"/>
    <s v="Poor"/>
    <n v="3"/>
    <n v="2"/>
    <n v="1"/>
    <n v="2"/>
  </r>
  <r>
    <n v="1162157"/>
    <n v="52"/>
    <x v="1"/>
    <s v="No"/>
    <x v="0"/>
    <x v="1"/>
    <n v="322"/>
    <x v="1"/>
    <n v="28"/>
    <n v="2"/>
    <x v="2"/>
    <n v="1"/>
    <n v="4"/>
    <x v="0"/>
    <n v="59"/>
    <n v="4"/>
    <n v="4"/>
    <s v="Therapist"/>
    <n v="3"/>
    <s v="Fair"/>
    <x v="1"/>
    <n v="13247"/>
    <x v="2"/>
    <n v="9731"/>
    <n v="2"/>
    <s v="Y"/>
    <s v="Yes"/>
    <n v="11"/>
    <x v="0"/>
    <s v="Low Performance"/>
    <n v="2"/>
    <n v="80"/>
    <n v="1"/>
    <n v="24"/>
    <n v="3"/>
    <n v="2"/>
    <s v="Poor"/>
    <n v="5"/>
    <n v="3"/>
    <n v="0"/>
    <n v="2"/>
  </r>
  <r>
    <n v="1084924"/>
    <n v="43"/>
    <x v="0"/>
    <s v="No"/>
    <x v="0"/>
    <x v="0"/>
    <n v="930"/>
    <x v="1"/>
    <n v="6"/>
    <n v="3"/>
    <x v="2"/>
    <n v="1"/>
    <n v="1"/>
    <x v="0"/>
    <n v="73"/>
    <n v="2"/>
    <n v="2"/>
    <s v="Other"/>
    <n v="3"/>
    <s v="Fair"/>
    <x v="0"/>
    <n v="4081"/>
    <x v="1"/>
    <n v="20003"/>
    <n v="1"/>
    <s v="Y"/>
    <s v="Yes"/>
    <n v="14"/>
    <x v="0"/>
    <s v="Low Performance"/>
    <n v="1"/>
    <n v="80"/>
    <n v="0"/>
    <n v="20"/>
    <n v="3"/>
    <n v="1"/>
    <s v="Poor"/>
    <n v="20"/>
    <n v="7"/>
    <n v="1"/>
    <n v="8"/>
  </r>
  <r>
    <n v="1229066"/>
    <n v="27"/>
    <x v="2"/>
    <s v="No"/>
    <x v="0"/>
    <x v="0"/>
    <n v="205"/>
    <x v="0"/>
    <n v="10"/>
    <n v="3"/>
    <x v="3"/>
    <n v="1"/>
    <n v="4"/>
    <x v="0"/>
    <n v="98"/>
    <n v="2"/>
    <n v="2"/>
    <s v="Nurse"/>
    <n v="4"/>
    <s v="Good"/>
    <x v="1"/>
    <n v="5769"/>
    <x v="0"/>
    <n v="7100"/>
    <n v="1"/>
    <s v="Y"/>
    <s v="Yes"/>
    <n v="11"/>
    <x v="0"/>
    <s v="Low Performance"/>
    <n v="4"/>
    <n v="80"/>
    <n v="0"/>
    <n v="6"/>
    <n v="3"/>
    <n v="3"/>
    <s v="Fair"/>
    <n v="6"/>
    <n v="2"/>
    <n v="4"/>
    <n v="4"/>
  </r>
  <r>
    <n v="1526314"/>
    <n v="27"/>
    <x v="2"/>
    <s v="Yes"/>
    <x v="1"/>
    <x v="0"/>
    <n v="135"/>
    <x v="1"/>
    <n v="17"/>
    <n v="4"/>
    <x v="0"/>
    <n v="1"/>
    <n v="4"/>
    <x v="0"/>
    <n v="51"/>
    <n v="3"/>
    <n v="1"/>
    <s v="Other"/>
    <n v="3"/>
    <s v="Fair"/>
    <x v="0"/>
    <n v="2394"/>
    <x v="1"/>
    <n v="25681"/>
    <n v="1"/>
    <s v="Y"/>
    <s v="Yes"/>
    <n v="13"/>
    <x v="0"/>
    <s v="Low Performance"/>
    <n v="4"/>
    <n v="80"/>
    <n v="0"/>
    <n v="8"/>
    <n v="2"/>
    <n v="3"/>
    <s v="Fair"/>
    <n v="8"/>
    <n v="2"/>
    <n v="7"/>
    <n v="7"/>
  </r>
  <r>
    <n v="1339537"/>
    <n v="26"/>
    <x v="2"/>
    <s v="No"/>
    <x v="0"/>
    <x v="0"/>
    <n v="683"/>
    <x v="1"/>
    <n v="2"/>
    <n v="1"/>
    <x v="2"/>
    <n v="1"/>
    <n v="1"/>
    <x v="1"/>
    <n v="36"/>
    <n v="2"/>
    <n v="1"/>
    <s v="Other"/>
    <n v="4"/>
    <s v="Good"/>
    <x v="0"/>
    <n v="3904"/>
    <x v="1"/>
    <n v="4050"/>
    <n v="0"/>
    <s v="Y"/>
    <s v="No"/>
    <n v="12"/>
    <x v="0"/>
    <s v="Low Performance"/>
    <n v="4"/>
    <n v="80"/>
    <n v="0"/>
    <n v="5"/>
    <n v="2"/>
    <n v="3"/>
    <s v="Fair"/>
    <n v="4"/>
    <n v="3"/>
    <n v="1"/>
    <n v="1"/>
  </r>
  <r>
    <n v="1112703"/>
    <n v="42"/>
    <x v="0"/>
    <s v="No"/>
    <x v="0"/>
    <x v="0"/>
    <n v="1147"/>
    <x v="2"/>
    <n v="10"/>
    <n v="3"/>
    <x v="5"/>
    <n v="1"/>
    <n v="3"/>
    <x v="0"/>
    <n v="31"/>
    <n v="3"/>
    <n v="4"/>
    <s v="Administrative"/>
    <n v="1"/>
    <s v="Poor"/>
    <x v="1"/>
    <n v="16799"/>
    <x v="2"/>
    <n v="16616"/>
    <n v="0"/>
    <s v="Y"/>
    <s v="No"/>
    <n v="14"/>
    <x v="0"/>
    <s v="Low Performance"/>
    <n v="3"/>
    <n v="80"/>
    <n v="1"/>
    <n v="21"/>
    <n v="5"/>
    <n v="3"/>
    <s v="Fair"/>
    <n v="20"/>
    <n v="7"/>
    <n v="0"/>
    <n v="9"/>
  </r>
  <r>
    <n v="1768835"/>
    <n v="52"/>
    <x v="1"/>
    <s v="No"/>
    <x v="0"/>
    <x v="0"/>
    <n v="258"/>
    <x v="1"/>
    <n v="8"/>
    <n v="4"/>
    <x v="1"/>
    <n v="1"/>
    <n v="3"/>
    <x v="0"/>
    <n v="54"/>
    <n v="3"/>
    <n v="1"/>
    <s v="Nurse"/>
    <n v="1"/>
    <s v="Poor"/>
    <x v="1"/>
    <n v="2950"/>
    <x v="1"/>
    <n v="17363"/>
    <n v="9"/>
    <s v="Y"/>
    <s v="No"/>
    <n v="13"/>
    <x v="0"/>
    <s v="Low Performance"/>
    <n v="3"/>
    <n v="80"/>
    <n v="0"/>
    <n v="12"/>
    <n v="2"/>
    <n v="1"/>
    <s v="Poor"/>
    <n v="5"/>
    <n v="4"/>
    <n v="0"/>
    <n v="4"/>
  </r>
  <r>
    <n v="1742081"/>
    <n v="37"/>
    <x v="0"/>
    <s v="No"/>
    <x v="0"/>
    <x v="0"/>
    <n v="1462"/>
    <x v="1"/>
    <n v="11"/>
    <n v="3"/>
    <x v="2"/>
    <n v="1"/>
    <n v="1"/>
    <x v="0"/>
    <n v="94"/>
    <n v="3"/>
    <n v="1"/>
    <s v="Nurse"/>
    <n v="3"/>
    <s v="Fair"/>
    <x v="0"/>
    <n v="3629"/>
    <x v="1"/>
    <n v="19106"/>
    <n v="4"/>
    <s v="Y"/>
    <s v="No"/>
    <n v="18"/>
    <x v="0"/>
    <s v="Low Performance"/>
    <n v="1"/>
    <n v="80"/>
    <n v="0"/>
    <n v="8"/>
    <n v="6"/>
    <n v="3"/>
    <s v="Fair"/>
    <n v="3"/>
    <n v="2"/>
    <n v="0"/>
    <n v="2"/>
  </r>
  <r>
    <n v="1729034"/>
    <n v="35"/>
    <x v="2"/>
    <s v="No"/>
    <x v="0"/>
    <x v="1"/>
    <n v="200"/>
    <x v="1"/>
    <n v="18"/>
    <n v="2"/>
    <x v="0"/>
    <n v="1"/>
    <n v="3"/>
    <x v="1"/>
    <n v="60"/>
    <n v="3"/>
    <n v="3"/>
    <s v="Therapist"/>
    <n v="4"/>
    <s v="Good"/>
    <x v="0"/>
    <n v="9362"/>
    <x v="0"/>
    <n v="19944"/>
    <n v="2"/>
    <s v="Y"/>
    <s v="No"/>
    <n v="11"/>
    <x v="0"/>
    <s v="Low Performance"/>
    <n v="3"/>
    <n v="80"/>
    <n v="0"/>
    <n v="10"/>
    <n v="2"/>
    <n v="3"/>
    <s v="Fair"/>
    <n v="2"/>
    <n v="2"/>
    <n v="2"/>
    <n v="2"/>
  </r>
  <r>
    <n v="1141939"/>
    <n v="25"/>
    <x v="4"/>
    <s v="No"/>
    <x v="0"/>
    <x v="0"/>
    <n v="949"/>
    <x v="1"/>
    <n v="1"/>
    <n v="3"/>
    <x v="4"/>
    <n v="1"/>
    <n v="1"/>
    <x v="1"/>
    <n v="81"/>
    <n v="3"/>
    <n v="1"/>
    <s v="Nurse"/>
    <n v="4"/>
    <s v="Good"/>
    <x v="1"/>
    <n v="3229"/>
    <x v="1"/>
    <n v="4910"/>
    <n v="4"/>
    <s v="Y"/>
    <s v="No"/>
    <n v="11"/>
    <x v="0"/>
    <s v="Low Performance"/>
    <n v="2"/>
    <n v="80"/>
    <n v="1"/>
    <n v="7"/>
    <n v="2"/>
    <n v="2"/>
    <s v="Poor"/>
    <n v="3"/>
    <n v="2"/>
    <n v="0"/>
    <n v="2"/>
  </r>
  <r>
    <n v="1115350"/>
    <n v="26"/>
    <x v="2"/>
    <s v="No"/>
    <x v="0"/>
    <x v="0"/>
    <n v="652"/>
    <x v="1"/>
    <n v="7"/>
    <n v="3"/>
    <x v="1"/>
    <n v="1"/>
    <n v="3"/>
    <x v="1"/>
    <n v="100"/>
    <n v="4"/>
    <n v="1"/>
    <s v="Nurse"/>
    <n v="1"/>
    <s v="Poor"/>
    <x v="0"/>
    <n v="3578"/>
    <x v="1"/>
    <n v="23577"/>
    <n v="0"/>
    <s v="Y"/>
    <s v="No"/>
    <n v="12"/>
    <x v="0"/>
    <s v="Low Performance"/>
    <n v="4"/>
    <n v="80"/>
    <n v="0"/>
    <n v="8"/>
    <n v="2"/>
    <n v="3"/>
    <s v="Fair"/>
    <n v="7"/>
    <n v="7"/>
    <n v="0"/>
    <n v="7"/>
  </r>
  <r>
    <n v="1218088"/>
    <n v="29"/>
    <x v="2"/>
    <s v="No"/>
    <x v="0"/>
    <x v="0"/>
    <n v="332"/>
    <x v="2"/>
    <n v="17"/>
    <n v="3"/>
    <x v="1"/>
    <n v="1"/>
    <n v="2"/>
    <x v="1"/>
    <n v="51"/>
    <n v="2"/>
    <n v="3"/>
    <s v="Other"/>
    <n v="1"/>
    <s v="Poor"/>
    <x v="0"/>
    <n v="7988"/>
    <x v="0"/>
    <n v="9769"/>
    <n v="1"/>
    <s v="Y"/>
    <s v="No"/>
    <n v="13"/>
    <x v="0"/>
    <s v="Low Performance"/>
    <n v="1"/>
    <n v="80"/>
    <n v="0"/>
    <n v="10"/>
    <n v="3"/>
    <n v="2"/>
    <s v="Poor"/>
    <n v="10"/>
    <n v="9"/>
    <n v="0"/>
    <n v="9"/>
  </r>
  <r>
    <n v="1246982"/>
    <n v="49"/>
    <x v="1"/>
    <s v="No"/>
    <x v="0"/>
    <x v="1"/>
    <n v="1475"/>
    <x v="1"/>
    <n v="28"/>
    <n v="2"/>
    <x v="0"/>
    <n v="1"/>
    <n v="1"/>
    <x v="1"/>
    <n v="97"/>
    <n v="2"/>
    <n v="2"/>
    <s v="Nurse"/>
    <n v="1"/>
    <s v="Poor"/>
    <x v="0"/>
    <n v="4284"/>
    <x v="1"/>
    <n v="22710"/>
    <n v="3"/>
    <s v="Y"/>
    <s v="No"/>
    <n v="20"/>
    <x v="1"/>
    <s v="High Performance"/>
    <n v="1"/>
    <n v="80"/>
    <n v="0"/>
    <n v="20"/>
    <n v="2"/>
    <n v="3"/>
    <s v="Fair"/>
    <n v="4"/>
    <n v="3"/>
    <n v="1"/>
    <n v="3"/>
  </r>
  <r>
    <n v="1458822"/>
    <n v="29"/>
    <x v="2"/>
    <s v="Yes"/>
    <x v="1"/>
    <x v="1"/>
    <n v="337"/>
    <x v="1"/>
    <n v="14"/>
    <n v="1"/>
    <x v="1"/>
    <n v="1"/>
    <n v="3"/>
    <x v="0"/>
    <n v="84"/>
    <n v="3"/>
    <n v="3"/>
    <s v="Nurse"/>
    <n v="4"/>
    <s v="Good"/>
    <x v="0"/>
    <n v="7553"/>
    <x v="0"/>
    <n v="22930"/>
    <n v="0"/>
    <s v="Y"/>
    <s v="Yes"/>
    <n v="12"/>
    <x v="0"/>
    <s v="Low Performance"/>
    <n v="1"/>
    <n v="80"/>
    <n v="0"/>
    <n v="9"/>
    <n v="1"/>
    <n v="3"/>
    <s v="Fair"/>
    <n v="8"/>
    <n v="7"/>
    <n v="7"/>
    <n v="7"/>
  </r>
  <r>
    <n v="1699413"/>
    <n v="54"/>
    <x v="1"/>
    <s v="No"/>
    <x v="0"/>
    <x v="0"/>
    <n v="971"/>
    <x v="1"/>
    <n v="1"/>
    <n v="3"/>
    <x v="2"/>
    <n v="1"/>
    <n v="4"/>
    <x v="0"/>
    <n v="54"/>
    <n v="3"/>
    <n v="4"/>
    <s v="Administrative"/>
    <n v="4"/>
    <s v="Good"/>
    <x v="0"/>
    <n v="17328"/>
    <x v="2"/>
    <n v="5652"/>
    <n v="6"/>
    <s v="Y"/>
    <s v="No"/>
    <n v="19"/>
    <x v="0"/>
    <s v="Low Performance"/>
    <n v="4"/>
    <n v="80"/>
    <n v="0"/>
    <n v="29"/>
    <n v="3"/>
    <n v="2"/>
    <s v="Poor"/>
    <n v="20"/>
    <n v="7"/>
    <n v="12"/>
    <n v="7"/>
  </r>
  <r>
    <n v="1620973"/>
    <n v="58"/>
    <x v="3"/>
    <s v="No"/>
    <x v="0"/>
    <x v="0"/>
    <n v="1055"/>
    <x v="1"/>
    <n v="1"/>
    <n v="3"/>
    <x v="2"/>
    <n v="1"/>
    <n v="4"/>
    <x v="0"/>
    <n v="76"/>
    <n v="3"/>
    <n v="5"/>
    <s v="Administrative"/>
    <n v="1"/>
    <s v="Poor"/>
    <x v="1"/>
    <n v="19701"/>
    <x v="2"/>
    <n v="22456"/>
    <n v="3"/>
    <s v="Y"/>
    <s v="Yes"/>
    <n v="21"/>
    <x v="1"/>
    <s v="High Performance"/>
    <n v="3"/>
    <n v="80"/>
    <n v="1"/>
    <n v="32"/>
    <n v="3"/>
    <n v="3"/>
    <s v="Fair"/>
    <n v="9"/>
    <n v="8"/>
    <n v="1"/>
    <n v="5"/>
  </r>
  <r>
    <n v="1793695"/>
    <n v="55"/>
    <x v="1"/>
    <s v="No"/>
    <x v="0"/>
    <x v="0"/>
    <n v="1136"/>
    <x v="1"/>
    <n v="1"/>
    <n v="4"/>
    <x v="2"/>
    <n v="1"/>
    <n v="2"/>
    <x v="1"/>
    <n v="81"/>
    <n v="4"/>
    <n v="4"/>
    <s v="Administrative"/>
    <n v="4"/>
    <s v="Good"/>
    <x v="2"/>
    <n v="14732"/>
    <x v="2"/>
    <n v="12414"/>
    <n v="2"/>
    <s v="Y"/>
    <s v="No"/>
    <n v="13"/>
    <x v="0"/>
    <s v="Low Performance"/>
    <n v="4"/>
    <n v="80"/>
    <n v="2"/>
    <n v="31"/>
    <n v="4"/>
    <n v="4"/>
    <s v="Good"/>
    <n v="7"/>
    <n v="7"/>
    <n v="0"/>
    <n v="0"/>
  </r>
  <r>
    <n v="1583611"/>
    <n v="36"/>
    <x v="0"/>
    <s v="No"/>
    <x v="0"/>
    <x v="0"/>
    <n v="1174"/>
    <x v="0"/>
    <n v="3"/>
    <n v="4"/>
    <x v="3"/>
    <n v="1"/>
    <n v="1"/>
    <x v="0"/>
    <n v="99"/>
    <n v="3"/>
    <n v="2"/>
    <s v="Nurse"/>
    <n v="2"/>
    <s v="Poor"/>
    <x v="0"/>
    <n v="9278"/>
    <x v="0"/>
    <n v="20763"/>
    <n v="3"/>
    <s v="Y"/>
    <s v="Yes"/>
    <n v="16"/>
    <x v="0"/>
    <s v="Low Performance"/>
    <n v="4"/>
    <n v="80"/>
    <n v="0"/>
    <n v="15"/>
    <n v="3"/>
    <n v="3"/>
    <s v="Fair"/>
    <n v="5"/>
    <n v="4"/>
    <n v="0"/>
    <n v="1"/>
  </r>
  <r>
    <n v="1792620"/>
    <n v="31"/>
    <x v="2"/>
    <s v="Yes"/>
    <x v="1"/>
    <x v="1"/>
    <n v="667"/>
    <x v="0"/>
    <n v="1"/>
    <n v="4"/>
    <x v="0"/>
    <n v="1"/>
    <n v="2"/>
    <x v="0"/>
    <n v="50"/>
    <n v="1"/>
    <n v="1"/>
    <s v="Other"/>
    <n v="3"/>
    <s v="Fair"/>
    <x v="0"/>
    <n v="1359"/>
    <x v="1"/>
    <n v="16154"/>
    <n v="1"/>
    <s v="Y"/>
    <s v="No"/>
    <n v="12"/>
    <x v="0"/>
    <s v="Low Performance"/>
    <n v="2"/>
    <n v="80"/>
    <n v="0"/>
    <n v="1"/>
    <n v="3"/>
    <n v="3"/>
    <s v="Fair"/>
    <n v="1"/>
    <n v="0"/>
    <n v="0"/>
    <n v="0"/>
  </r>
  <r>
    <n v="1225271"/>
    <n v="30"/>
    <x v="2"/>
    <s v="No"/>
    <x v="0"/>
    <x v="0"/>
    <n v="855"/>
    <x v="0"/>
    <n v="7"/>
    <n v="4"/>
    <x v="3"/>
    <n v="1"/>
    <n v="4"/>
    <x v="0"/>
    <n v="73"/>
    <n v="3"/>
    <n v="2"/>
    <s v="Nurse"/>
    <n v="1"/>
    <s v="Poor"/>
    <x v="2"/>
    <n v="4779"/>
    <x v="1"/>
    <n v="12761"/>
    <n v="7"/>
    <s v="Y"/>
    <s v="No"/>
    <n v="14"/>
    <x v="0"/>
    <s v="Low Performance"/>
    <n v="2"/>
    <n v="80"/>
    <n v="2"/>
    <n v="8"/>
    <n v="3"/>
    <n v="3"/>
    <s v="Fair"/>
    <n v="3"/>
    <n v="2"/>
    <n v="0"/>
    <n v="2"/>
  </r>
  <r>
    <n v="1703058"/>
    <n v="31"/>
    <x v="2"/>
    <s v="No"/>
    <x v="0"/>
    <x v="0"/>
    <n v="182"/>
    <x v="1"/>
    <n v="8"/>
    <n v="5"/>
    <x v="0"/>
    <n v="1"/>
    <n v="1"/>
    <x v="0"/>
    <n v="93"/>
    <n v="3"/>
    <n v="4"/>
    <s v="Administrative"/>
    <n v="2"/>
    <s v="Poor"/>
    <x v="0"/>
    <n v="16422"/>
    <x v="2"/>
    <n v="8847"/>
    <n v="3"/>
    <s v="Y"/>
    <s v="No"/>
    <n v="11"/>
    <x v="0"/>
    <s v="Low Performance"/>
    <n v="3"/>
    <n v="80"/>
    <n v="0"/>
    <n v="9"/>
    <n v="3"/>
    <n v="4"/>
    <s v="Good"/>
    <n v="3"/>
    <n v="2"/>
    <n v="1"/>
    <n v="0"/>
  </r>
  <r>
    <n v="1613258"/>
    <n v="34"/>
    <x v="2"/>
    <s v="No"/>
    <x v="0"/>
    <x v="1"/>
    <n v="560"/>
    <x v="1"/>
    <n v="1"/>
    <n v="4"/>
    <x v="1"/>
    <n v="1"/>
    <n v="4"/>
    <x v="1"/>
    <n v="91"/>
    <n v="3"/>
    <n v="1"/>
    <s v="Other"/>
    <n v="1"/>
    <s v="Poor"/>
    <x v="2"/>
    <n v="2996"/>
    <x v="1"/>
    <n v="20284"/>
    <n v="5"/>
    <s v="Y"/>
    <s v="No"/>
    <n v="14"/>
    <x v="0"/>
    <s v="Low Performance"/>
    <n v="3"/>
    <n v="80"/>
    <n v="2"/>
    <n v="10"/>
    <n v="2"/>
    <n v="3"/>
    <s v="Fair"/>
    <n v="4"/>
    <n v="3"/>
    <n v="1"/>
    <n v="3"/>
  </r>
  <r>
    <n v="1611839"/>
    <n v="31"/>
    <x v="2"/>
    <s v="Yes"/>
    <x v="1"/>
    <x v="0"/>
    <n v="202"/>
    <x v="1"/>
    <n v="8"/>
    <n v="3"/>
    <x v="0"/>
    <n v="1"/>
    <n v="1"/>
    <x v="0"/>
    <n v="34"/>
    <n v="2"/>
    <n v="1"/>
    <s v="Other"/>
    <n v="2"/>
    <s v="Poor"/>
    <x v="0"/>
    <n v="1261"/>
    <x v="1"/>
    <n v="22262"/>
    <n v="1"/>
    <s v="Y"/>
    <s v="No"/>
    <n v="12"/>
    <x v="0"/>
    <s v="Low Performance"/>
    <n v="3"/>
    <n v="80"/>
    <n v="0"/>
    <n v="1"/>
    <n v="3"/>
    <n v="4"/>
    <s v="Good"/>
    <n v="1"/>
    <n v="0"/>
    <n v="0"/>
    <n v="0"/>
  </r>
  <r>
    <n v="1434118"/>
    <n v="27"/>
    <x v="2"/>
    <s v="No"/>
    <x v="0"/>
    <x v="0"/>
    <n v="1377"/>
    <x v="1"/>
    <n v="11"/>
    <n v="1"/>
    <x v="0"/>
    <n v="1"/>
    <n v="2"/>
    <x v="1"/>
    <n v="91"/>
    <n v="3"/>
    <n v="1"/>
    <s v="Nurse"/>
    <n v="1"/>
    <s v="Poor"/>
    <x v="1"/>
    <n v="2099"/>
    <x v="1"/>
    <n v="7679"/>
    <n v="0"/>
    <s v="Y"/>
    <s v="No"/>
    <n v="14"/>
    <x v="0"/>
    <s v="Low Performance"/>
    <n v="2"/>
    <n v="80"/>
    <n v="0"/>
    <n v="6"/>
    <n v="3"/>
    <n v="4"/>
    <s v="Good"/>
    <n v="5"/>
    <n v="0"/>
    <n v="1"/>
    <n v="4"/>
  </r>
  <r>
    <n v="1577542"/>
    <n v="36"/>
    <x v="0"/>
    <s v="No"/>
    <x v="0"/>
    <x v="0"/>
    <n v="172"/>
    <x v="1"/>
    <n v="4"/>
    <n v="4"/>
    <x v="0"/>
    <n v="1"/>
    <n v="1"/>
    <x v="1"/>
    <n v="37"/>
    <n v="2"/>
    <n v="2"/>
    <s v="Nurse"/>
    <n v="4"/>
    <s v="Good"/>
    <x v="0"/>
    <n v="5810"/>
    <x v="0"/>
    <n v="22604"/>
    <n v="1"/>
    <s v="Y"/>
    <s v="No"/>
    <n v="16"/>
    <x v="0"/>
    <s v="Low Performance"/>
    <n v="3"/>
    <n v="80"/>
    <n v="0"/>
    <n v="10"/>
    <n v="2"/>
    <n v="2"/>
    <s v="Poor"/>
    <n v="10"/>
    <n v="4"/>
    <n v="1"/>
    <n v="8"/>
  </r>
  <r>
    <n v="1537620"/>
    <n v="36"/>
    <x v="0"/>
    <s v="No"/>
    <x v="0"/>
    <x v="0"/>
    <n v="329"/>
    <x v="0"/>
    <n v="16"/>
    <n v="4"/>
    <x v="3"/>
    <n v="1"/>
    <n v="3"/>
    <x v="0"/>
    <n v="98"/>
    <n v="2"/>
    <n v="2"/>
    <s v="Nurse"/>
    <n v="1"/>
    <s v="Poor"/>
    <x v="1"/>
    <n v="5647"/>
    <x v="0"/>
    <n v="13494"/>
    <n v="4"/>
    <s v="Y"/>
    <s v="No"/>
    <n v="13"/>
    <x v="0"/>
    <s v="Low Performance"/>
    <n v="1"/>
    <n v="80"/>
    <n v="2"/>
    <n v="11"/>
    <n v="3"/>
    <n v="2"/>
    <s v="Poor"/>
    <n v="3"/>
    <n v="2"/>
    <n v="0"/>
    <n v="2"/>
  </r>
  <r>
    <n v="1827650"/>
    <n v="47"/>
    <x v="1"/>
    <s v="No"/>
    <x v="0"/>
    <x v="0"/>
    <n v="465"/>
    <x v="1"/>
    <n v="1"/>
    <n v="3"/>
    <x v="4"/>
    <n v="1"/>
    <n v="1"/>
    <x v="1"/>
    <n v="74"/>
    <n v="3"/>
    <n v="1"/>
    <s v="Other"/>
    <n v="4"/>
    <s v="Good"/>
    <x v="1"/>
    <n v="3420"/>
    <x v="1"/>
    <n v="10205"/>
    <n v="7"/>
    <s v="Y"/>
    <s v="No"/>
    <n v="12"/>
    <x v="0"/>
    <s v="Low Performance"/>
    <n v="3"/>
    <n v="80"/>
    <n v="1"/>
    <n v="17"/>
    <n v="2"/>
    <n v="2"/>
    <s v="Poor"/>
    <n v="6"/>
    <n v="5"/>
    <n v="1"/>
    <n v="2"/>
  </r>
  <r>
    <n v="1533398"/>
    <n v="25"/>
    <x v="4"/>
    <s v="Yes"/>
    <x v="1"/>
    <x v="0"/>
    <n v="383"/>
    <x v="0"/>
    <n v="9"/>
    <n v="2"/>
    <x v="0"/>
    <n v="1"/>
    <n v="1"/>
    <x v="1"/>
    <n v="68"/>
    <n v="2"/>
    <n v="1"/>
    <s v="Other"/>
    <n v="1"/>
    <s v="Poor"/>
    <x v="1"/>
    <n v="4400"/>
    <x v="1"/>
    <n v="15182"/>
    <n v="3"/>
    <s v="Y"/>
    <s v="No"/>
    <n v="12"/>
    <x v="0"/>
    <s v="Low Performance"/>
    <n v="1"/>
    <n v="80"/>
    <n v="0"/>
    <n v="6"/>
    <n v="2"/>
    <n v="3"/>
    <s v="Fair"/>
    <n v="3"/>
    <n v="2"/>
    <n v="2"/>
    <n v="2"/>
  </r>
  <r>
    <n v="1469983"/>
    <n v="37"/>
    <x v="0"/>
    <s v="No"/>
    <x v="0"/>
    <x v="2"/>
    <n v="1413"/>
    <x v="1"/>
    <n v="5"/>
    <n v="2"/>
    <x v="4"/>
    <n v="1"/>
    <n v="3"/>
    <x v="1"/>
    <n v="84"/>
    <n v="4"/>
    <n v="1"/>
    <s v="Nurse"/>
    <n v="3"/>
    <s v="Fair"/>
    <x v="0"/>
    <n v="3500"/>
    <x v="1"/>
    <n v="25470"/>
    <n v="0"/>
    <s v="Y"/>
    <s v="No"/>
    <n v="14"/>
    <x v="0"/>
    <s v="Low Performance"/>
    <n v="1"/>
    <n v="80"/>
    <n v="0"/>
    <n v="7"/>
    <n v="2"/>
    <n v="1"/>
    <s v="Poor"/>
    <n v="6"/>
    <n v="5"/>
    <n v="1"/>
    <n v="3"/>
  </r>
  <r>
    <n v="1272818"/>
    <n v="56"/>
    <x v="3"/>
    <s v="No"/>
    <x v="0"/>
    <x v="0"/>
    <n v="1255"/>
    <x v="1"/>
    <n v="1"/>
    <n v="2"/>
    <x v="0"/>
    <n v="1"/>
    <n v="1"/>
    <x v="0"/>
    <n v="90"/>
    <n v="3"/>
    <n v="1"/>
    <s v="Other"/>
    <n v="1"/>
    <s v="Poor"/>
    <x v="1"/>
    <n v="2066"/>
    <x v="1"/>
    <n v="10494"/>
    <n v="2"/>
    <s v="Y"/>
    <s v="No"/>
    <n v="22"/>
    <x v="1"/>
    <s v="High Performance"/>
    <n v="4"/>
    <n v="80"/>
    <n v="1"/>
    <n v="5"/>
    <n v="3"/>
    <n v="4"/>
    <s v="Good"/>
    <n v="3"/>
    <n v="2"/>
    <n v="1"/>
    <n v="0"/>
  </r>
  <r>
    <n v="1174986"/>
    <n v="47"/>
    <x v="1"/>
    <s v="No"/>
    <x v="0"/>
    <x v="0"/>
    <n v="359"/>
    <x v="1"/>
    <n v="2"/>
    <n v="4"/>
    <x v="2"/>
    <n v="1"/>
    <n v="1"/>
    <x v="0"/>
    <n v="82"/>
    <n v="3"/>
    <n v="4"/>
    <s v="Administrative"/>
    <n v="3"/>
    <s v="Fair"/>
    <x v="1"/>
    <n v="17169"/>
    <x v="2"/>
    <n v="26703"/>
    <n v="3"/>
    <s v="Y"/>
    <s v="No"/>
    <n v="19"/>
    <x v="0"/>
    <s v="Low Performance"/>
    <n v="2"/>
    <n v="80"/>
    <n v="2"/>
    <n v="26"/>
    <n v="2"/>
    <n v="4"/>
    <s v="Good"/>
    <n v="20"/>
    <n v="17"/>
    <n v="5"/>
    <n v="6"/>
  </r>
  <r>
    <n v="1259120"/>
    <n v="24"/>
    <x v="4"/>
    <s v="No"/>
    <x v="0"/>
    <x v="0"/>
    <n v="1476"/>
    <x v="0"/>
    <n v="4"/>
    <n v="1"/>
    <x v="2"/>
    <n v="1"/>
    <n v="4"/>
    <x v="0"/>
    <n v="42"/>
    <n v="3"/>
    <n v="2"/>
    <s v="Nurse"/>
    <n v="3"/>
    <s v="Fair"/>
    <x v="1"/>
    <n v="4162"/>
    <x v="1"/>
    <n v="15211"/>
    <n v="1"/>
    <s v="Y"/>
    <s v="Yes"/>
    <n v="12"/>
    <x v="0"/>
    <s v="Low Performance"/>
    <n v="3"/>
    <n v="80"/>
    <n v="2"/>
    <n v="5"/>
    <n v="3"/>
    <n v="3"/>
    <s v="Fair"/>
    <n v="5"/>
    <n v="4"/>
    <n v="0"/>
    <n v="3"/>
  </r>
  <r>
    <n v="1236111"/>
    <n v="32"/>
    <x v="2"/>
    <s v="No"/>
    <x v="0"/>
    <x v="0"/>
    <n v="601"/>
    <x v="0"/>
    <n v="7"/>
    <n v="5"/>
    <x v="3"/>
    <n v="1"/>
    <n v="4"/>
    <x v="1"/>
    <n v="97"/>
    <n v="3"/>
    <n v="2"/>
    <s v="Nurse"/>
    <n v="4"/>
    <s v="Good"/>
    <x v="1"/>
    <n v="9204"/>
    <x v="0"/>
    <n v="23343"/>
    <n v="4"/>
    <s v="Y"/>
    <s v="No"/>
    <n v="12"/>
    <x v="0"/>
    <s v="Low Performance"/>
    <n v="3"/>
    <n v="80"/>
    <n v="1"/>
    <n v="7"/>
    <n v="3"/>
    <n v="2"/>
    <s v="Poor"/>
    <n v="4"/>
    <n v="3"/>
    <n v="0"/>
    <n v="3"/>
  </r>
  <r>
    <n v="1625621"/>
    <n v="34"/>
    <x v="2"/>
    <s v="No"/>
    <x v="0"/>
    <x v="0"/>
    <n v="401"/>
    <x v="1"/>
    <n v="1"/>
    <n v="3"/>
    <x v="0"/>
    <n v="1"/>
    <n v="4"/>
    <x v="0"/>
    <n v="86"/>
    <n v="2"/>
    <n v="1"/>
    <s v="Nurse"/>
    <n v="2"/>
    <s v="Poor"/>
    <x v="1"/>
    <n v="3294"/>
    <x v="1"/>
    <n v="3708"/>
    <n v="5"/>
    <s v="Y"/>
    <s v="No"/>
    <n v="17"/>
    <x v="0"/>
    <s v="Low Performance"/>
    <n v="1"/>
    <n v="80"/>
    <n v="1"/>
    <n v="7"/>
    <n v="2"/>
    <n v="2"/>
    <s v="Poor"/>
    <n v="5"/>
    <n v="4"/>
    <n v="0"/>
    <n v="2"/>
  </r>
  <r>
    <n v="1743607"/>
    <n v="41"/>
    <x v="0"/>
    <s v="No"/>
    <x v="0"/>
    <x v="0"/>
    <n v="1283"/>
    <x v="1"/>
    <n v="5"/>
    <n v="5"/>
    <x v="2"/>
    <n v="1"/>
    <n v="2"/>
    <x v="1"/>
    <n v="90"/>
    <n v="4"/>
    <n v="1"/>
    <s v="Other"/>
    <n v="3"/>
    <s v="Fair"/>
    <x v="1"/>
    <n v="2127"/>
    <x v="1"/>
    <n v="5561"/>
    <n v="2"/>
    <s v="Y"/>
    <s v="Yes"/>
    <n v="12"/>
    <x v="0"/>
    <s v="Low Performance"/>
    <n v="1"/>
    <n v="80"/>
    <n v="0"/>
    <n v="7"/>
    <n v="5"/>
    <n v="2"/>
    <s v="Poor"/>
    <n v="4"/>
    <n v="2"/>
    <n v="0"/>
    <n v="3"/>
  </r>
  <r>
    <n v="1115072"/>
    <n v="40"/>
    <x v="0"/>
    <s v="No"/>
    <x v="0"/>
    <x v="2"/>
    <n v="663"/>
    <x v="1"/>
    <n v="9"/>
    <n v="4"/>
    <x v="1"/>
    <n v="1"/>
    <n v="3"/>
    <x v="1"/>
    <n v="81"/>
    <n v="3"/>
    <n v="2"/>
    <s v="Nurse"/>
    <n v="3"/>
    <s v="Fair"/>
    <x v="2"/>
    <n v="3975"/>
    <x v="1"/>
    <n v="23099"/>
    <n v="3"/>
    <s v="Y"/>
    <s v="No"/>
    <n v="11"/>
    <x v="0"/>
    <s v="Low Performance"/>
    <n v="3"/>
    <n v="80"/>
    <n v="2"/>
    <n v="11"/>
    <n v="2"/>
    <n v="4"/>
    <s v="Good"/>
    <n v="8"/>
    <n v="7"/>
    <n v="0"/>
    <n v="7"/>
  </r>
  <r>
    <n v="1497203"/>
    <n v="31"/>
    <x v="2"/>
    <s v="No"/>
    <x v="0"/>
    <x v="0"/>
    <n v="326"/>
    <x v="0"/>
    <n v="8"/>
    <n v="2"/>
    <x v="0"/>
    <n v="1"/>
    <n v="1"/>
    <x v="1"/>
    <n v="31"/>
    <n v="3"/>
    <n v="3"/>
    <s v="Nurse"/>
    <n v="4"/>
    <s v="Good"/>
    <x v="2"/>
    <n v="10793"/>
    <x v="0"/>
    <n v="8386"/>
    <n v="1"/>
    <s v="Y"/>
    <s v="No"/>
    <n v="18"/>
    <x v="0"/>
    <s v="Low Performance"/>
    <n v="1"/>
    <n v="80"/>
    <n v="1"/>
    <n v="13"/>
    <n v="5"/>
    <n v="3"/>
    <s v="Fair"/>
    <n v="13"/>
    <n v="7"/>
    <n v="9"/>
    <n v="9"/>
  </r>
  <r>
    <n v="1821156"/>
    <n v="46"/>
    <x v="1"/>
    <s v="No"/>
    <x v="0"/>
    <x v="0"/>
    <n v="377"/>
    <x v="0"/>
    <n v="9"/>
    <n v="3"/>
    <x v="3"/>
    <n v="1"/>
    <n v="1"/>
    <x v="1"/>
    <n v="52"/>
    <n v="3"/>
    <n v="3"/>
    <s v="Nurse"/>
    <n v="4"/>
    <s v="Good"/>
    <x v="2"/>
    <n v="10096"/>
    <x v="0"/>
    <n v="15986"/>
    <n v="4"/>
    <s v="Y"/>
    <s v="No"/>
    <n v="11"/>
    <x v="0"/>
    <s v="Low Performance"/>
    <n v="1"/>
    <n v="80"/>
    <n v="1"/>
    <n v="28"/>
    <n v="1"/>
    <n v="4"/>
    <s v="Good"/>
    <n v="7"/>
    <n v="7"/>
    <n v="4"/>
    <n v="3"/>
  </r>
  <r>
    <n v="1853035"/>
    <n v="39"/>
    <x v="0"/>
    <s v="Yes"/>
    <x v="1"/>
    <x v="2"/>
    <n v="592"/>
    <x v="1"/>
    <n v="2"/>
    <n v="3"/>
    <x v="0"/>
    <n v="1"/>
    <n v="1"/>
    <x v="0"/>
    <n v="54"/>
    <n v="2"/>
    <n v="1"/>
    <s v="Nurse"/>
    <n v="1"/>
    <s v="Poor"/>
    <x v="0"/>
    <n v="3646"/>
    <x v="1"/>
    <n v="17181"/>
    <n v="2"/>
    <s v="Y"/>
    <s v="Yes"/>
    <n v="23"/>
    <x v="1"/>
    <s v="High Performance"/>
    <n v="2"/>
    <n v="80"/>
    <n v="0"/>
    <n v="11"/>
    <n v="2"/>
    <n v="4"/>
    <s v="Good"/>
    <n v="1"/>
    <n v="0"/>
    <n v="0"/>
    <n v="0"/>
  </r>
  <r>
    <n v="1549232"/>
    <n v="31"/>
    <x v="2"/>
    <s v="No"/>
    <x v="0"/>
    <x v="1"/>
    <n v="1445"/>
    <x v="2"/>
    <n v="1"/>
    <n v="5"/>
    <x v="0"/>
    <n v="1"/>
    <n v="3"/>
    <x v="0"/>
    <n v="100"/>
    <n v="4"/>
    <n v="3"/>
    <s v="Therapist"/>
    <n v="2"/>
    <s v="Poor"/>
    <x v="0"/>
    <n v="7446"/>
    <x v="0"/>
    <n v="8931"/>
    <n v="1"/>
    <s v="Y"/>
    <s v="No"/>
    <n v="11"/>
    <x v="0"/>
    <s v="Low Performance"/>
    <n v="1"/>
    <n v="80"/>
    <n v="0"/>
    <n v="10"/>
    <n v="2"/>
    <n v="3"/>
    <s v="Fair"/>
    <n v="10"/>
    <n v="8"/>
    <n v="4"/>
    <n v="7"/>
  </r>
  <r>
    <n v="1211666"/>
    <n v="45"/>
    <x v="0"/>
    <s v="No"/>
    <x v="0"/>
    <x v="0"/>
    <n v="1038"/>
    <x v="1"/>
    <n v="20"/>
    <n v="3"/>
    <x v="2"/>
    <n v="1"/>
    <n v="2"/>
    <x v="1"/>
    <n v="95"/>
    <n v="1"/>
    <n v="3"/>
    <s v="Nurse"/>
    <n v="1"/>
    <s v="Poor"/>
    <x v="2"/>
    <n v="10851"/>
    <x v="0"/>
    <n v="19863"/>
    <n v="2"/>
    <s v="Y"/>
    <s v="Yes"/>
    <n v="18"/>
    <x v="0"/>
    <s v="Low Performance"/>
    <n v="2"/>
    <n v="80"/>
    <n v="1"/>
    <n v="24"/>
    <n v="2"/>
    <n v="3"/>
    <s v="Fair"/>
    <n v="7"/>
    <n v="7"/>
    <n v="0"/>
    <n v="7"/>
  </r>
  <r>
    <n v="1214806"/>
    <n v="31"/>
    <x v="2"/>
    <s v="No"/>
    <x v="0"/>
    <x v="0"/>
    <n v="1398"/>
    <x v="2"/>
    <n v="8"/>
    <n v="2"/>
    <x v="2"/>
    <n v="1"/>
    <n v="4"/>
    <x v="0"/>
    <n v="96"/>
    <n v="4"/>
    <n v="1"/>
    <s v="Other"/>
    <n v="2"/>
    <s v="Poor"/>
    <x v="0"/>
    <n v="2109"/>
    <x v="1"/>
    <n v="24609"/>
    <n v="9"/>
    <s v="Y"/>
    <s v="No"/>
    <n v="18"/>
    <x v="0"/>
    <s v="Low Performance"/>
    <n v="4"/>
    <n v="80"/>
    <n v="0"/>
    <n v="8"/>
    <n v="3"/>
    <n v="3"/>
    <s v="Fair"/>
    <n v="3"/>
    <n v="2"/>
    <n v="0"/>
    <n v="2"/>
  </r>
  <r>
    <n v="1355585"/>
    <n v="31"/>
    <x v="2"/>
    <s v="Yes"/>
    <x v="1"/>
    <x v="1"/>
    <n v="523"/>
    <x v="1"/>
    <n v="2"/>
    <n v="3"/>
    <x v="0"/>
    <n v="1"/>
    <n v="2"/>
    <x v="1"/>
    <n v="94"/>
    <n v="3"/>
    <n v="1"/>
    <s v="Nurse"/>
    <n v="4"/>
    <s v="Good"/>
    <x v="1"/>
    <n v="3722"/>
    <x v="1"/>
    <n v="21081"/>
    <n v="6"/>
    <s v="Y"/>
    <s v="Yes"/>
    <n v="13"/>
    <x v="0"/>
    <s v="Low Performance"/>
    <n v="3"/>
    <n v="80"/>
    <n v="1"/>
    <n v="7"/>
    <n v="2"/>
    <n v="1"/>
    <s v="Poor"/>
    <n v="2"/>
    <n v="2"/>
    <n v="2"/>
    <n v="2"/>
  </r>
  <r>
    <n v="1341233"/>
    <n v="45"/>
    <x v="0"/>
    <s v="No"/>
    <x v="0"/>
    <x v="0"/>
    <n v="1448"/>
    <x v="1"/>
    <n v="29"/>
    <n v="3"/>
    <x v="4"/>
    <n v="1"/>
    <n v="2"/>
    <x v="1"/>
    <n v="55"/>
    <n v="3"/>
    <n v="3"/>
    <s v="Therapist"/>
    <n v="4"/>
    <s v="Good"/>
    <x v="1"/>
    <n v="9380"/>
    <x v="0"/>
    <n v="14720"/>
    <n v="4"/>
    <s v="Y"/>
    <s v="Yes"/>
    <n v="18"/>
    <x v="0"/>
    <s v="Low Performance"/>
    <n v="4"/>
    <n v="80"/>
    <n v="2"/>
    <n v="10"/>
    <n v="4"/>
    <n v="4"/>
    <s v="Good"/>
    <n v="3"/>
    <n v="1"/>
    <n v="1"/>
    <n v="2"/>
  </r>
  <r>
    <n v="1203781"/>
    <n v="48"/>
    <x v="1"/>
    <s v="No"/>
    <x v="0"/>
    <x v="0"/>
    <n v="1221"/>
    <x v="0"/>
    <n v="7"/>
    <n v="3"/>
    <x v="3"/>
    <n v="1"/>
    <n v="3"/>
    <x v="1"/>
    <n v="96"/>
    <n v="3"/>
    <n v="2"/>
    <s v="Nurse"/>
    <n v="1"/>
    <s v="Poor"/>
    <x v="2"/>
    <n v="5486"/>
    <x v="0"/>
    <n v="24795"/>
    <n v="4"/>
    <s v="Y"/>
    <s v="No"/>
    <n v="11"/>
    <x v="0"/>
    <s v="Low Performance"/>
    <n v="1"/>
    <n v="80"/>
    <n v="3"/>
    <n v="15"/>
    <n v="3"/>
    <n v="3"/>
    <s v="Fair"/>
    <n v="2"/>
    <n v="2"/>
    <n v="2"/>
    <n v="2"/>
  </r>
  <r>
    <n v="1234542"/>
    <n v="34"/>
    <x v="2"/>
    <s v="No"/>
    <x v="0"/>
    <x v="0"/>
    <n v="1107"/>
    <x v="2"/>
    <n v="9"/>
    <n v="4"/>
    <x v="4"/>
    <n v="1"/>
    <n v="1"/>
    <x v="0"/>
    <n v="52"/>
    <n v="3"/>
    <n v="1"/>
    <s v="Other"/>
    <n v="3"/>
    <s v="Fair"/>
    <x v="1"/>
    <n v="2742"/>
    <x v="1"/>
    <n v="3072"/>
    <n v="1"/>
    <s v="Y"/>
    <s v="No"/>
    <n v="15"/>
    <x v="0"/>
    <s v="Low Performance"/>
    <n v="4"/>
    <n v="80"/>
    <n v="0"/>
    <n v="2"/>
    <n v="0"/>
    <n v="3"/>
    <s v="Fair"/>
    <n v="2"/>
    <n v="2"/>
    <n v="2"/>
    <n v="2"/>
  </r>
  <r>
    <n v="1282478"/>
    <n v="40"/>
    <x v="0"/>
    <s v="No"/>
    <x v="0"/>
    <x v="2"/>
    <n v="218"/>
    <x v="1"/>
    <n v="8"/>
    <n v="1"/>
    <x v="2"/>
    <n v="1"/>
    <n v="4"/>
    <x v="1"/>
    <n v="55"/>
    <n v="2"/>
    <n v="3"/>
    <s v="Administrative"/>
    <n v="2"/>
    <s v="Poor"/>
    <x v="2"/>
    <n v="13757"/>
    <x v="2"/>
    <n v="25178"/>
    <n v="2"/>
    <s v="Y"/>
    <s v="No"/>
    <n v="11"/>
    <x v="0"/>
    <s v="Low Performance"/>
    <n v="3"/>
    <n v="80"/>
    <n v="1"/>
    <n v="16"/>
    <n v="5"/>
    <n v="3"/>
    <s v="Fair"/>
    <n v="9"/>
    <n v="8"/>
    <n v="4"/>
    <n v="8"/>
  </r>
  <r>
    <n v="1488687"/>
    <n v="28"/>
    <x v="2"/>
    <s v="No"/>
    <x v="0"/>
    <x v="0"/>
    <n v="866"/>
    <x v="0"/>
    <n v="5"/>
    <n v="3"/>
    <x v="2"/>
    <n v="1"/>
    <n v="4"/>
    <x v="1"/>
    <n v="84"/>
    <n v="3"/>
    <n v="2"/>
    <s v="Nurse"/>
    <n v="1"/>
    <s v="Poor"/>
    <x v="0"/>
    <n v="8463"/>
    <x v="0"/>
    <n v="23490"/>
    <n v="0"/>
    <s v="Y"/>
    <s v="No"/>
    <n v="18"/>
    <x v="0"/>
    <s v="Low Performance"/>
    <n v="4"/>
    <n v="80"/>
    <n v="0"/>
    <n v="6"/>
    <n v="4"/>
    <n v="3"/>
    <s v="Fair"/>
    <n v="5"/>
    <n v="4"/>
    <n v="1"/>
    <n v="3"/>
  </r>
  <r>
    <n v="1520049"/>
    <n v="44"/>
    <x v="0"/>
    <s v="No"/>
    <x v="0"/>
    <x v="2"/>
    <n v="981"/>
    <x v="1"/>
    <n v="5"/>
    <n v="3"/>
    <x v="0"/>
    <n v="1"/>
    <n v="3"/>
    <x v="1"/>
    <n v="90"/>
    <n v="2"/>
    <n v="1"/>
    <s v="Nurse"/>
    <n v="3"/>
    <s v="Fair"/>
    <x v="0"/>
    <n v="3162"/>
    <x v="1"/>
    <n v="7973"/>
    <n v="3"/>
    <s v="Y"/>
    <s v="No"/>
    <n v="14"/>
    <x v="0"/>
    <s v="Low Performance"/>
    <n v="4"/>
    <n v="80"/>
    <n v="0"/>
    <n v="7"/>
    <n v="5"/>
    <n v="3"/>
    <s v="Fair"/>
    <n v="5"/>
    <n v="2"/>
    <n v="0"/>
    <n v="3"/>
  </r>
  <r>
    <n v="1811254"/>
    <n v="53"/>
    <x v="1"/>
    <s v="No"/>
    <x v="0"/>
    <x v="0"/>
    <n v="447"/>
    <x v="1"/>
    <n v="2"/>
    <n v="3"/>
    <x v="2"/>
    <n v="1"/>
    <n v="4"/>
    <x v="1"/>
    <n v="39"/>
    <n v="4"/>
    <n v="4"/>
    <s v="Administrative"/>
    <n v="2"/>
    <s v="Poor"/>
    <x v="0"/>
    <n v="16598"/>
    <x v="2"/>
    <n v="19764"/>
    <n v="4"/>
    <s v="Y"/>
    <s v="No"/>
    <n v="12"/>
    <x v="0"/>
    <s v="Low Performance"/>
    <n v="2"/>
    <n v="80"/>
    <n v="0"/>
    <n v="35"/>
    <n v="2"/>
    <n v="2"/>
    <s v="Poor"/>
    <n v="9"/>
    <n v="8"/>
    <n v="8"/>
    <n v="8"/>
  </r>
  <r>
    <n v="1028391"/>
    <n v="49"/>
    <x v="1"/>
    <s v="No"/>
    <x v="0"/>
    <x v="0"/>
    <n v="1495"/>
    <x v="1"/>
    <n v="5"/>
    <n v="4"/>
    <x v="4"/>
    <n v="1"/>
    <n v="1"/>
    <x v="1"/>
    <n v="96"/>
    <n v="3"/>
    <n v="2"/>
    <s v="Nurse"/>
    <n v="3"/>
    <s v="Fair"/>
    <x v="1"/>
    <n v="6651"/>
    <x v="0"/>
    <n v="21534"/>
    <n v="2"/>
    <s v="Y"/>
    <s v="No"/>
    <n v="14"/>
    <x v="0"/>
    <s v="Low Performance"/>
    <n v="2"/>
    <n v="80"/>
    <n v="1"/>
    <n v="20"/>
    <n v="0"/>
    <n v="2"/>
    <s v="Poor"/>
    <n v="3"/>
    <n v="2"/>
    <n v="1"/>
    <n v="2"/>
  </r>
  <r>
    <n v="1759045"/>
    <n v="40"/>
    <x v="0"/>
    <s v="No"/>
    <x v="0"/>
    <x v="0"/>
    <n v="896"/>
    <x v="1"/>
    <n v="2"/>
    <n v="3"/>
    <x v="2"/>
    <n v="1"/>
    <n v="3"/>
    <x v="1"/>
    <n v="68"/>
    <n v="3"/>
    <n v="1"/>
    <s v="Other"/>
    <n v="3"/>
    <s v="Fair"/>
    <x v="2"/>
    <n v="2345"/>
    <x v="1"/>
    <n v="8045"/>
    <n v="2"/>
    <s v="Y"/>
    <s v="No"/>
    <n v="14"/>
    <x v="0"/>
    <s v="Low Performance"/>
    <n v="3"/>
    <n v="80"/>
    <n v="1"/>
    <n v="8"/>
    <n v="3"/>
    <n v="4"/>
    <s v="Good"/>
    <n v="3"/>
    <n v="1"/>
    <n v="1"/>
    <n v="2"/>
  </r>
  <r>
    <n v="1613858"/>
    <n v="44"/>
    <x v="0"/>
    <s v="No"/>
    <x v="0"/>
    <x v="0"/>
    <n v="1467"/>
    <x v="1"/>
    <n v="20"/>
    <n v="3"/>
    <x v="0"/>
    <n v="1"/>
    <n v="4"/>
    <x v="1"/>
    <n v="49"/>
    <n v="3"/>
    <n v="1"/>
    <s v="Other"/>
    <n v="2"/>
    <s v="Poor"/>
    <x v="0"/>
    <n v="3420"/>
    <x v="1"/>
    <n v="21158"/>
    <n v="1"/>
    <s v="Y"/>
    <s v="No"/>
    <n v="13"/>
    <x v="0"/>
    <s v="Low Performance"/>
    <n v="3"/>
    <n v="80"/>
    <n v="0"/>
    <n v="6"/>
    <n v="3"/>
    <n v="2"/>
    <s v="Poor"/>
    <n v="5"/>
    <n v="2"/>
    <n v="1"/>
    <n v="3"/>
  </r>
  <r>
    <n v="1317016"/>
    <n v="33"/>
    <x v="2"/>
    <s v="No"/>
    <x v="0"/>
    <x v="1"/>
    <n v="430"/>
    <x v="0"/>
    <n v="7"/>
    <n v="3"/>
    <x v="2"/>
    <n v="1"/>
    <n v="4"/>
    <x v="1"/>
    <n v="54"/>
    <n v="3"/>
    <n v="2"/>
    <s v="Nurse"/>
    <n v="1"/>
    <s v="Poor"/>
    <x v="1"/>
    <n v="4373"/>
    <x v="1"/>
    <n v="17456"/>
    <n v="0"/>
    <s v="Y"/>
    <s v="No"/>
    <n v="14"/>
    <x v="0"/>
    <s v="Low Performance"/>
    <n v="1"/>
    <n v="80"/>
    <n v="2"/>
    <n v="5"/>
    <n v="2"/>
    <n v="3"/>
    <s v="Fair"/>
    <n v="4"/>
    <n v="3"/>
    <n v="0"/>
    <n v="3"/>
  </r>
  <r>
    <n v="1364493"/>
    <n v="34"/>
    <x v="2"/>
    <s v="No"/>
    <x v="0"/>
    <x v="0"/>
    <n v="1326"/>
    <x v="0"/>
    <n v="3"/>
    <n v="3"/>
    <x v="1"/>
    <n v="1"/>
    <n v="4"/>
    <x v="1"/>
    <n v="81"/>
    <n v="1"/>
    <n v="2"/>
    <s v="Nurse"/>
    <n v="1"/>
    <s v="Poor"/>
    <x v="0"/>
    <n v="4759"/>
    <x v="1"/>
    <n v="15891"/>
    <n v="3"/>
    <s v="Y"/>
    <s v="No"/>
    <n v="18"/>
    <x v="0"/>
    <s v="Low Performance"/>
    <n v="4"/>
    <n v="80"/>
    <n v="0"/>
    <n v="15"/>
    <n v="2"/>
    <n v="3"/>
    <s v="Fair"/>
    <n v="13"/>
    <n v="9"/>
    <n v="3"/>
    <n v="12"/>
  </r>
  <r>
    <n v="1477875"/>
    <n v="30"/>
    <x v="2"/>
    <s v="No"/>
    <x v="0"/>
    <x v="0"/>
    <n v="1358"/>
    <x v="0"/>
    <n v="16"/>
    <n v="1"/>
    <x v="0"/>
    <n v="1"/>
    <n v="4"/>
    <x v="1"/>
    <n v="96"/>
    <n v="3"/>
    <n v="2"/>
    <s v="Nurse"/>
    <n v="3"/>
    <s v="Fair"/>
    <x v="1"/>
    <n v="5301"/>
    <x v="0"/>
    <n v="2939"/>
    <n v="8"/>
    <s v="Y"/>
    <s v="No"/>
    <n v="15"/>
    <x v="0"/>
    <s v="Low Performance"/>
    <n v="3"/>
    <n v="80"/>
    <n v="2"/>
    <n v="4"/>
    <n v="2"/>
    <n v="2"/>
    <s v="Poor"/>
    <n v="2"/>
    <n v="1"/>
    <n v="2"/>
    <n v="2"/>
  </r>
  <r>
    <n v="1439547"/>
    <n v="42"/>
    <x v="0"/>
    <s v="No"/>
    <x v="0"/>
    <x v="1"/>
    <n v="748"/>
    <x v="1"/>
    <n v="9"/>
    <n v="2"/>
    <x v="2"/>
    <n v="1"/>
    <n v="1"/>
    <x v="0"/>
    <n v="74"/>
    <n v="3"/>
    <n v="1"/>
    <s v="Nurse"/>
    <n v="4"/>
    <s v="Good"/>
    <x v="0"/>
    <n v="3673"/>
    <x v="1"/>
    <n v="16458"/>
    <n v="1"/>
    <s v="Y"/>
    <s v="No"/>
    <n v="13"/>
    <x v="0"/>
    <s v="Low Performance"/>
    <n v="3"/>
    <n v="80"/>
    <n v="0"/>
    <n v="12"/>
    <n v="3"/>
    <n v="3"/>
    <s v="Fair"/>
    <n v="12"/>
    <n v="9"/>
    <n v="5"/>
    <n v="8"/>
  </r>
  <r>
    <n v="1869891"/>
    <n v="44"/>
    <x v="0"/>
    <s v="No"/>
    <x v="0"/>
    <x v="1"/>
    <n v="383"/>
    <x v="0"/>
    <n v="1"/>
    <n v="5"/>
    <x v="3"/>
    <n v="1"/>
    <n v="1"/>
    <x v="0"/>
    <n v="79"/>
    <n v="3"/>
    <n v="2"/>
    <s v="Nurse"/>
    <n v="3"/>
    <s v="Fair"/>
    <x v="1"/>
    <n v="4768"/>
    <x v="1"/>
    <n v="9282"/>
    <n v="7"/>
    <s v="Y"/>
    <s v="No"/>
    <n v="12"/>
    <x v="0"/>
    <s v="Low Performance"/>
    <n v="3"/>
    <n v="80"/>
    <n v="1"/>
    <n v="11"/>
    <n v="4"/>
    <n v="2"/>
    <s v="Poor"/>
    <n v="1"/>
    <n v="0"/>
    <n v="0"/>
    <n v="0"/>
  </r>
  <r>
    <n v="1800991"/>
    <n v="30"/>
    <x v="2"/>
    <s v="No"/>
    <x v="0"/>
    <x v="2"/>
    <n v="990"/>
    <x v="1"/>
    <n v="7"/>
    <n v="3"/>
    <x v="4"/>
    <n v="1"/>
    <n v="3"/>
    <x v="1"/>
    <n v="64"/>
    <n v="3"/>
    <n v="1"/>
    <s v="Other"/>
    <n v="3"/>
    <s v="Fair"/>
    <x v="2"/>
    <n v="1274"/>
    <x v="1"/>
    <n v="7152"/>
    <n v="1"/>
    <s v="Y"/>
    <s v="No"/>
    <n v="13"/>
    <x v="0"/>
    <s v="Low Performance"/>
    <n v="2"/>
    <n v="80"/>
    <n v="2"/>
    <n v="1"/>
    <n v="2"/>
    <n v="2"/>
    <s v="Poor"/>
    <n v="1"/>
    <n v="0"/>
    <n v="0"/>
    <n v="0"/>
  </r>
  <r>
    <n v="1081412"/>
    <n v="57"/>
    <x v="3"/>
    <s v="No"/>
    <x v="0"/>
    <x v="0"/>
    <n v="405"/>
    <x v="1"/>
    <n v="1"/>
    <n v="2"/>
    <x v="0"/>
    <n v="1"/>
    <n v="2"/>
    <x v="1"/>
    <n v="93"/>
    <n v="4"/>
    <n v="2"/>
    <s v="Other"/>
    <n v="3"/>
    <s v="Fair"/>
    <x v="1"/>
    <n v="4900"/>
    <x v="1"/>
    <n v="2721"/>
    <n v="0"/>
    <s v="Y"/>
    <s v="No"/>
    <n v="24"/>
    <x v="1"/>
    <s v="High Performance"/>
    <n v="1"/>
    <n v="80"/>
    <n v="1"/>
    <n v="13"/>
    <n v="2"/>
    <n v="2"/>
    <s v="Poor"/>
    <n v="12"/>
    <n v="9"/>
    <n v="2"/>
    <n v="8"/>
  </r>
  <r>
    <n v="1705514"/>
    <n v="49"/>
    <x v="1"/>
    <s v="No"/>
    <x v="0"/>
    <x v="0"/>
    <n v="1490"/>
    <x v="1"/>
    <n v="7"/>
    <n v="4"/>
    <x v="0"/>
    <n v="1"/>
    <n v="3"/>
    <x v="1"/>
    <n v="35"/>
    <n v="3"/>
    <n v="3"/>
    <s v="Nurse"/>
    <n v="2"/>
    <s v="Poor"/>
    <x v="2"/>
    <n v="10466"/>
    <x v="0"/>
    <n v="20948"/>
    <n v="3"/>
    <s v="Y"/>
    <s v="No"/>
    <n v="14"/>
    <x v="0"/>
    <s v="Low Performance"/>
    <n v="2"/>
    <n v="80"/>
    <n v="2"/>
    <n v="29"/>
    <n v="3"/>
    <n v="3"/>
    <s v="Fair"/>
    <n v="8"/>
    <n v="7"/>
    <n v="0"/>
    <n v="7"/>
  </r>
  <r>
    <n v="1769488"/>
    <n v="34"/>
    <x v="2"/>
    <s v="No"/>
    <x v="0"/>
    <x v="1"/>
    <n v="829"/>
    <x v="1"/>
    <n v="15"/>
    <n v="3"/>
    <x v="2"/>
    <n v="1"/>
    <n v="2"/>
    <x v="1"/>
    <n v="71"/>
    <n v="3"/>
    <n v="4"/>
    <s v="Administrative"/>
    <n v="1"/>
    <s v="Poor"/>
    <x v="2"/>
    <n v="17007"/>
    <x v="2"/>
    <n v="11929"/>
    <n v="7"/>
    <s v="Y"/>
    <s v="No"/>
    <n v="14"/>
    <x v="0"/>
    <s v="Low Performance"/>
    <n v="4"/>
    <n v="80"/>
    <n v="2"/>
    <n v="16"/>
    <n v="3"/>
    <n v="2"/>
    <s v="Poor"/>
    <n v="14"/>
    <n v="8"/>
    <n v="6"/>
    <n v="9"/>
  </r>
  <r>
    <n v="1678672"/>
    <n v="28"/>
    <x v="2"/>
    <s v="No"/>
    <x v="0"/>
    <x v="1"/>
    <n v="1496"/>
    <x v="0"/>
    <n v="1"/>
    <n v="3"/>
    <x v="4"/>
    <n v="1"/>
    <n v="1"/>
    <x v="1"/>
    <n v="92"/>
    <n v="3"/>
    <n v="1"/>
    <s v="Other"/>
    <n v="3"/>
    <s v="Fair"/>
    <x v="1"/>
    <n v="2909"/>
    <x v="1"/>
    <n v="15747"/>
    <n v="3"/>
    <s v="Y"/>
    <s v="No"/>
    <n v="15"/>
    <x v="0"/>
    <s v="Low Performance"/>
    <n v="4"/>
    <n v="80"/>
    <n v="1"/>
    <n v="5"/>
    <n v="3"/>
    <n v="4"/>
    <s v="Good"/>
    <n v="3"/>
    <n v="2"/>
    <n v="1"/>
    <n v="2"/>
  </r>
  <r>
    <n v="1472943"/>
    <n v="29"/>
    <x v="2"/>
    <s v="Yes"/>
    <x v="1"/>
    <x v="1"/>
    <n v="115"/>
    <x v="0"/>
    <n v="13"/>
    <n v="3"/>
    <x v="4"/>
    <n v="1"/>
    <n v="1"/>
    <x v="0"/>
    <n v="51"/>
    <n v="3"/>
    <n v="2"/>
    <s v="Nurse"/>
    <n v="2"/>
    <s v="Poor"/>
    <x v="0"/>
    <n v="5765"/>
    <x v="0"/>
    <n v="17485"/>
    <n v="5"/>
    <s v="Y"/>
    <s v="No"/>
    <n v="11"/>
    <x v="0"/>
    <s v="Low Performance"/>
    <n v="1"/>
    <n v="80"/>
    <n v="0"/>
    <n v="7"/>
    <n v="4"/>
    <n v="1"/>
    <s v="Poor"/>
    <n v="5"/>
    <n v="3"/>
    <n v="0"/>
    <n v="0"/>
  </r>
  <r>
    <n v="1817745"/>
    <n v="34"/>
    <x v="2"/>
    <s v="Yes"/>
    <x v="1"/>
    <x v="0"/>
    <n v="790"/>
    <x v="0"/>
    <n v="24"/>
    <n v="4"/>
    <x v="2"/>
    <n v="1"/>
    <n v="1"/>
    <x v="0"/>
    <n v="40"/>
    <n v="2"/>
    <n v="2"/>
    <s v="Nurse"/>
    <n v="2"/>
    <s v="Poor"/>
    <x v="0"/>
    <n v="4599"/>
    <x v="1"/>
    <n v="7815"/>
    <n v="0"/>
    <s v="Y"/>
    <s v="Yes"/>
    <n v="23"/>
    <x v="1"/>
    <s v="High Performance"/>
    <n v="3"/>
    <n v="80"/>
    <n v="0"/>
    <n v="16"/>
    <n v="2"/>
    <n v="4"/>
    <s v="Good"/>
    <n v="15"/>
    <n v="9"/>
    <n v="10"/>
    <n v="10"/>
  </r>
  <r>
    <n v="1218204"/>
    <n v="35"/>
    <x v="2"/>
    <s v="No"/>
    <x v="0"/>
    <x v="0"/>
    <n v="660"/>
    <x v="0"/>
    <n v="7"/>
    <n v="1"/>
    <x v="0"/>
    <n v="1"/>
    <n v="4"/>
    <x v="1"/>
    <n v="76"/>
    <n v="3"/>
    <n v="1"/>
    <s v="Other"/>
    <n v="3"/>
    <s v="Fair"/>
    <x v="1"/>
    <n v="2404"/>
    <x v="1"/>
    <n v="16192"/>
    <n v="1"/>
    <s v="Y"/>
    <s v="No"/>
    <n v="13"/>
    <x v="0"/>
    <s v="Low Performance"/>
    <n v="1"/>
    <n v="80"/>
    <n v="1"/>
    <n v="1"/>
    <n v="3"/>
    <n v="3"/>
    <s v="Fair"/>
    <n v="1"/>
    <n v="0"/>
    <n v="0"/>
    <n v="0"/>
  </r>
  <r>
    <n v="1812838"/>
    <n v="24"/>
    <x v="4"/>
    <s v="Yes"/>
    <x v="1"/>
    <x v="1"/>
    <n v="381"/>
    <x v="1"/>
    <n v="9"/>
    <n v="3"/>
    <x v="2"/>
    <n v="1"/>
    <n v="2"/>
    <x v="1"/>
    <n v="89"/>
    <n v="3"/>
    <n v="1"/>
    <s v="Nurse"/>
    <n v="1"/>
    <s v="Poor"/>
    <x v="0"/>
    <n v="3172"/>
    <x v="1"/>
    <n v="16998"/>
    <n v="2"/>
    <s v="Y"/>
    <s v="Yes"/>
    <n v="11"/>
    <x v="0"/>
    <s v="Low Performance"/>
    <n v="3"/>
    <n v="80"/>
    <n v="0"/>
    <n v="4"/>
    <n v="2"/>
    <n v="2"/>
    <s v="Poor"/>
    <n v="0"/>
    <n v="0"/>
    <n v="0"/>
    <n v="0"/>
  </r>
  <r>
    <n v="1384737"/>
    <n v="24"/>
    <x v="4"/>
    <s v="No"/>
    <x v="0"/>
    <x v="2"/>
    <n v="830"/>
    <x v="0"/>
    <n v="13"/>
    <n v="2"/>
    <x v="0"/>
    <n v="1"/>
    <n v="4"/>
    <x v="0"/>
    <n v="78"/>
    <n v="3"/>
    <n v="1"/>
    <s v="Other"/>
    <n v="2"/>
    <s v="Poor"/>
    <x v="1"/>
    <n v="2033"/>
    <x v="1"/>
    <n v="7103"/>
    <n v="1"/>
    <s v="Y"/>
    <s v="No"/>
    <n v="13"/>
    <x v="0"/>
    <s v="Low Performance"/>
    <n v="3"/>
    <n v="80"/>
    <n v="1"/>
    <n v="1"/>
    <n v="2"/>
    <n v="3"/>
    <s v="Fair"/>
    <n v="1"/>
    <n v="0"/>
    <n v="0"/>
    <n v="0"/>
  </r>
  <r>
    <n v="1456798"/>
    <n v="44"/>
    <x v="0"/>
    <s v="No"/>
    <x v="0"/>
    <x v="1"/>
    <n v="1193"/>
    <x v="2"/>
    <n v="2"/>
    <n v="1"/>
    <x v="2"/>
    <n v="1"/>
    <n v="2"/>
    <x v="1"/>
    <n v="86"/>
    <n v="3"/>
    <n v="3"/>
    <s v="Therapist"/>
    <n v="3"/>
    <s v="Fair"/>
    <x v="0"/>
    <n v="10209"/>
    <x v="0"/>
    <n v="19719"/>
    <n v="5"/>
    <s v="Y"/>
    <s v="Yes"/>
    <n v="18"/>
    <x v="0"/>
    <s v="Low Performance"/>
    <n v="2"/>
    <n v="80"/>
    <n v="0"/>
    <n v="16"/>
    <n v="2"/>
    <n v="2"/>
    <s v="Poor"/>
    <n v="2"/>
    <n v="2"/>
    <n v="2"/>
    <n v="2"/>
  </r>
  <r>
    <n v="1075494"/>
    <n v="29"/>
    <x v="2"/>
    <s v="No"/>
    <x v="0"/>
    <x v="0"/>
    <n v="1246"/>
    <x v="0"/>
    <n v="19"/>
    <n v="3"/>
    <x v="0"/>
    <n v="1"/>
    <n v="3"/>
    <x v="1"/>
    <n v="77"/>
    <n v="2"/>
    <n v="2"/>
    <s v="Nurse"/>
    <n v="3"/>
    <s v="Fair"/>
    <x v="2"/>
    <n v="8620"/>
    <x v="0"/>
    <n v="23757"/>
    <n v="1"/>
    <s v="Y"/>
    <s v="No"/>
    <n v="14"/>
    <x v="0"/>
    <s v="Low Performance"/>
    <n v="3"/>
    <n v="80"/>
    <n v="2"/>
    <n v="10"/>
    <n v="3"/>
    <n v="3"/>
    <s v="Fair"/>
    <n v="10"/>
    <n v="7"/>
    <n v="0"/>
    <n v="4"/>
  </r>
  <r>
    <n v="1557335"/>
    <n v="30"/>
    <x v="2"/>
    <s v="No"/>
    <x v="0"/>
    <x v="0"/>
    <n v="330"/>
    <x v="2"/>
    <n v="1"/>
    <n v="3"/>
    <x v="0"/>
    <n v="1"/>
    <n v="3"/>
    <x v="1"/>
    <n v="46"/>
    <n v="3"/>
    <n v="1"/>
    <s v="Other"/>
    <n v="3"/>
    <s v="Fair"/>
    <x v="2"/>
    <n v="2064"/>
    <x v="1"/>
    <n v="15428"/>
    <n v="0"/>
    <s v="Y"/>
    <s v="No"/>
    <n v="21"/>
    <x v="1"/>
    <s v="High Performance"/>
    <n v="1"/>
    <n v="80"/>
    <n v="1"/>
    <n v="6"/>
    <n v="3"/>
    <n v="4"/>
    <s v="Good"/>
    <n v="5"/>
    <n v="3"/>
    <n v="1"/>
    <n v="3"/>
  </r>
  <r>
    <n v="1498617"/>
    <n v="55"/>
    <x v="1"/>
    <s v="No"/>
    <x v="0"/>
    <x v="0"/>
    <n v="1229"/>
    <x v="1"/>
    <n v="4"/>
    <n v="4"/>
    <x v="0"/>
    <n v="1"/>
    <n v="4"/>
    <x v="1"/>
    <n v="30"/>
    <n v="3"/>
    <n v="2"/>
    <s v="Nurse"/>
    <n v="3"/>
    <s v="Fair"/>
    <x v="1"/>
    <n v="4035"/>
    <x v="1"/>
    <n v="16143"/>
    <n v="0"/>
    <s v="Y"/>
    <s v="Yes"/>
    <n v="16"/>
    <x v="0"/>
    <s v="Low Performance"/>
    <n v="2"/>
    <n v="80"/>
    <n v="0"/>
    <n v="4"/>
    <n v="2"/>
    <n v="3"/>
    <s v="Fair"/>
    <n v="3"/>
    <n v="2"/>
    <n v="1"/>
    <n v="2"/>
  </r>
  <r>
    <n v="1732917"/>
    <n v="33"/>
    <x v="2"/>
    <s v="No"/>
    <x v="0"/>
    <x v="0"/>
    <n v="1099"/>
    <x v="1"/>
    <n v="4"/>
    <n v="4"/>
    <x v="2"/>
    <n v="1"/>
    <n v="1"/>
    <x v="0"/>
    <n v="82"/>
    <n v="2"/>
    <n v="1"/>
    <s v="Nurse"/>
    <n v="2"/>
    <s v="Poor"/>
    <x v="1"/>
    <n v="3838"/>
    <x v="1"/>
    <n v="8192"/>
    <n v="8"/>
    <s v="Y"/>
    <s v="No"/>
    <n v="11"/>
    <x v="0"/>
    <s v="Low Performance"/>
    <n v="4"/>
    <n v="80"/>
    <n v="0"/>
    <n v="8"/>
    <n v="5"/>
    <n v="3"/>
    <s v="Fair"/>
    <n v="5"/>
    <n v="4"/>
    <n v="0"/>
    <n v="2"/>
  </r>
  <r>
    <n v="1235079"/>
    <n v="47"/>
    <x v="1"/>
    <s v="No"/>
    <x v="0"/>
    <x v="0"/>
    <n v="571"/>
    <x v="0"/>
    <n v="14"/>
    <n v="3"/>
    <x v="2"/>
    <n v="1"/>
    <n v="3"/>
    <x v="0"/>
    <n v="78"/>
    <n v="3"/>
    <n v="2"/>
    <s v="Nurse"/>
    <n v="3"/>
    <s v="Fair"/>
    <x v="1"/>
    <n v="4591"/>
    <x v="1"/>
    <n v="24200"/>
    <n v="3"/>
    <s v="Y"/>
    <s v="Yes"/>
    <n v="17"/>
    <x v="0"/>
    <s v="Low Performance"/>
    <n v="3"/>
    <n v="80"/>
    <n v="1"/>
    <n v="11"/>
    <n v="4"/>
    <n v="2"/>
    <s v="Poor"/>
    <n v="5"/>
    <n v="4"/>
    <n v="1"/>
    <n v="2"/>
  </r>
  <r>
    <n v="1473545"/>
    <n v="28"/>
    <x v="2"/>
    <s v="Yes"/>
    <x v="1"/>
    <x v="1"/>
    <n v="289"/>
    <x v="1"/>
    <n v="2"/>
    <n v="2"/>
    <x v="2"/>
    <n v="1"/>
    <n v="3"/>
    <x v="1"/>
    <n v="38"/>
    <n v="2"/>
    <n v="1"/>
    <s v="Nurse"/>
    <n v="1"/>
    <s v="Poor"/>
    <x v="0"/>
    <n v="2561"/>
    <x v="1"/>
    <n v="5355"/>
    <n v="7"/>
    <s v="Y"/>
    <s v="No"/>
    <n v="11"/>
    <x v="0"/>
    <s v="Low Performance"/>
    <n v="3"/>
    <n v="80"/>
    <n v="0"/>
    <n v="8"/>
    <n v="2"/>
    <n v="2"/>
    <s v="Poor"/>
    <n v="0"/>
    <n v="0"/>
    <n v="0"/>
    <n v="0"/>
  </r>
  <r>
    <n v="1608433"/>
    <n v="28"/>
    <x v="2"/>
    <s v="No"/>
    <x v="0"/>
    <x v="0"/>
    <n v="1423"/>
    <x v="1"/>
    <n v="1"/>
    <n v="3"/>
    <x v="0"/>
    <n v="1"/>
    <n v="1"/>
    <x v="1"/>
    <n v="72"/>
    <n v="2"/>
    <n v="1"/>
    <s v="Other"/>
    <n v="3"/>
    <s v="Fair"/>
    <x v="2"/>
    <n v="1563"/>
    <x v="1"/>
    <n v="12530"/>
    <n v="1"/>
    <s v="Y"/>
    <s v="No"/>
    <n v="14"/>
    <x v="0"/>
    <s v="Low Performance"/>
    <n v="4"/>
    <n v="80"/>
    <n v="1"/>
    <n v="1"/>
    <n v="2"/>
    <n v="1"/>
    <s v="Poor"/>
    <n v="1"/>
    <n v="0"/>
    <n v="0"/>
    <n v="0"/>
  </r>
  <r>
    <n v="1768732"/>
    <n v="28"/>
    <x v="2"/>
    <s v="No"/>
    <x v="0"/>
    <x v="1"/>
    <n v="467"/>
    <x v="0"/>
    <n v="7"/>
    <n v="3"/>
    <x v="0"/>
    <n v="1"/>
    <n v="3"/>
    <x v="1"/>
    <n v="55"/>
    <n v="3"/>
    <n v="2"/>
    <s v="Nurse"/>
    <n v="1"/>
    <s v="Poor"/>
    <x v="0"/>
    <n v="4898"/>
    <x v="1"/>
    <n v="11827"/>
    <n v="0"/>
    <s v="Y"/>
    <s v="No"/>
    <n v="14"/>
    <x v="0"/>
    <s v="Low Performance"/>
    <n v="4"/>
    <n v="80"/>
    <n v="0"/>
    <n v="5"/>
    <n v="5"/>
    <n v="3"/>
    <s v="Fair"/>
    <n v="4"/>
    <n v="2"/>
    <n v="1"/>
    <n v="3"/>
  </r>
  <r>
    <n v="1255286"/>
    <n v="49"/>
    <x v="1"/>
    <s v="No"/>
    <x v="0"/>
    <x v="0"/>
    <n v="271"/>
    <x v="1"/>
    <n v="3"/>
    <n v="2"/>
    <x v="2"/>
    <n v="1"/>
    <n v="3"/>
    <x v="0"/>
    <n v="43"/>
    <n v="2"/>
    <n v="2"/>
    <s v="Nurse"/>
    <n v="1"/>
    <s v="Poor"/>
    <x v="1"/>
    <n v="4789"/>
    <x v="1"/>
    <n v="23070"/>
    <n v="4"/>
    <s v="Y"/>
    <s v="No"/>
    <n v="25"/>
    <x v="1"/>
    <s v="High Performance"/>
    <n v="1"/>
    <n v="80"/>
    <n v="1"/>
    <n v="10"/>
    <n v="3"/>
    <n v="3"/>
    <s v="Fair"/>
    <n v="3"/>
    <n v="2"/>
    <n v="1"/>
    <n v="2"/>
  </r>
  <r>
    <n v="1476766"/>
    <n v="29"/>
    <x v="2"/>
    <s v="No"/>
    <x v="0"/>
    <x v="1"/>
    <n v="410"/>
    <x v="1"/>
    <n v="2"/>
    <n v="1"/>
    <x v="0"/>
    <n v="1"/>
    <n v="4"/>
    <x v="0"/>
    <n v="97"/>
    <n v="3"/>
    <n v="1"/>
    <s v="Nurse"/>
    <n v="2"/>
    <s v="Poor"/>
    <x v="1"/>
    <n v="3180"/>
    <x v="1"/>
    <n v="4668"/>
    <n v="0"/>
    <s v="Y"/>
    <s v="No"/>
    <n v="13"/>
    <x v="0"/>
    <s v="Low Performance"/>
    <n v="3"/>
    <n v="80"/>
    <n v="3"/>
    <n v="4"/>
    <n v="3"/>
    <n v="3"/>
    <s v="Fair"/>
    <n v="3"/>
    <n v="2"/>
    <n v="0"/>
    <n v="2"/>
  </r>
  <r>
    <n v="1503842"/>
    <n v="28"/>
    <x v="2"/>
    <s v="No"/>
    <x v="0"/>
    <x v="0"/>
    <n v="1083"/>
    <x v="1"/>
    <n v="29"/>
    <n v="1"/>
    <x v="0"/>
    <n v="1"/>
    <n v="3"/>
    <x v="1"/>
    <n v="96"/>
    <n v="1"/>
    <n v="2"/>
    <s v="Therapist"/>
    <n v="2"/>
    <s v="Poor"/>
    <x v="1"/>
    <n v="6549"/>
    <x v="0"/>
    <n v="3173"/>
    <n v="1"/>
    <s v="Y"/>
    <s v="No"/>
    <n v="14"/>
    <x v="0"/>
    <s v="Low Performance"/>
    <n v="2"/>
    <n v="80"/>
    <n v="2"/>
    <n v="8"/>
    <n v="2"/>
    <n v="2"/>
    <s v="Poor"/>
    <n v="8"/>
    <n v="6"/>
    <n v="1"/>
    <n v="7"/>
  </r>
  <r>
    <n v="1285005"/>
    <n v="33"/>
    <x v="2"/>
    <s v="No"/>
    <x v="0"/>
    <x v="0"/>
    <n v="516"/>
    <x v="1"/>
    <n v="8"/>
    <n v="5"/>
    <x v="0"/>
    <n v="1"/>
    <n v="4"/>
    <x v="1"/>
    <n v="69"/>
    <n v="3"/>
    <n v="2"/>
    <s v="Nurse"/>
    <n v="3"/>
    <s v="Fair"/>
    <x v="0"/>
    <n v="6388"/>
    <x v="0"/>
    <n v="22049"/>
    <n v="2"/>
    <s v="Y"/>
    <s v="Yes"/>
    <n v="17"/>
    <x v="0"/>
    <s v="Low Performance"/>
    <n v="1"/>
    <n v="80"/>
    <n v="0"/>
    <n v="14"/>
    <n v="6"/>
    <n v="3"/>
    <s v="Fair"/>
    <n v="0"/>
    <n v="0"/>
    <n v="0"/>
    <n v="0"/>
  </r>
  <r>
    <n v="1700420"/>
    <n v="32"/>
    <x v="2"/>
    <s v="No"/>
    <x v="0"/>
    <x v="0"/>
    <n v="495"/>
    <x v="2"/>
    <n v="10"/>
    <n v="3"/>
    <x v="2"/>
    <n v="1"/>
    <n v="3"/>
    <x v="1"/>
    <n v="64"/>
    <n v="3"/>
    <n v="3"/>
    <s v="Other"/>
    <n v="4"/>
    <s v="Good"/>
    <x v="0"/>
    <n v="11244"/>
    <x v="0"/>
    <n v="21072"/>
    <n v="2"/>
    <s v="Y"/>
    <s v="No"/>
    <n v="25"/>
    <x v="1"/>
    <s v="High Performance"/>
    <n v="2"/>
    <n v="80"/>
    <n v="0"/>
    <n v="10"/>
    <n v="5"/>
    <n v="4"/>
    <s v="Good"/>
    <n v="5"/>
    <n v="2"/>
    <n v="0"/>
    <n v="0"/>
  </r>
  <r>
    <n v="1787068"/>
    <n v="54"/>
    <x v="1"/>
    <s v="No"/>
    <x v="0"/>
    <x v="1"/>
    <n v="1050"/>
    <x v="2"/>
    <n v="11"/>
    <n v="4"/>
    <x v="2"/>
    <n v="1"/>
    <n v="2"/>
    <x v="0"/>
    <n v="87"/>
    <n v="3"/>
    <n v="4"/>
    <s v="Other"/>
    <n v="4"/>
    <s v="Good"/>
    <x v="2"/>
    <n v="16032"/>
    <x v="2"/>
    <n v="24456"/>
    <n v="3"/>
    <s v="Y"/>
    <s v="No"/>
    <n v="20"/>
    <x v="1"/>
    <s v="High Performance"/>
    <n v="1"/>
    <n v="80"/>
    <n v="1"/>
    <n v="26"/>
    <n v="2"/>
    <n v="3"/>
    <s v="Fair"/>
    <n v="14"/>
    <n v="9"/>
    <n v="1"/>
    <n v="12"/>
  </r>
  <r>
    <n v="1512296"/>
    <n v="29"/>
    <x v="2"/>
    <s v="Yes"/>
    <x v="1"/>
    <x v="0"/>
    <n v="224"/>
    <x v="1"/>
    <n v="1"/>
    <n v="4"/>
    <x v="4"/>
    <n v="1"/>
    <n v="1"/>
    <x v="1"/>
    <n v="100"/>
    <n v="2"/>
    <n v="1"/>
    <s v="Other"/>
    <n v="1"/>
    <s v="Poor"/>
    <x v="0"/>
    <n v="2362"/>
    <x v="1"/>
    <n v="7568"/>
    <n v="6"/>
    <s v="Y"/>
    <s v="No"/>
    <n v="13"/>
    <x v="0"/>
    <s v="Low Performance"/>
    <n v="3"/>
    <n v="80"/>
    <n v="0"/>
    <n v="11"/>
    <n v="2"/>
    <n v="1"/>
    <s v="Poor"/>
    <n v="9"/>
    <n v="7"/>
    <n v="0"/>
    <n v="7"/>
  </r>
  <r>
    <n v="1225168"/>
    <n v="44"/>
    <x v="0"/>
    <s v="No"/>
    <x v="0"/>
    <x v="0"/>
    <n v="136"/>
    <x v="1"/>
    <n v="28"/>
    <n v="3"/>
    <x v="0"/>
    <n v="1"/>
    <n v="4"/>
    <x v="1"/>
    <n v="32"/>
    <n v="3"/>
    <n v="4"/>
    <s v="Administrative"/>
    <n v="1"/>
    <s v="Poor"/>
    <x v="1"/>
    <n v="16328"/>
    <x v="2"/>
    <n v="22074"/>
    <n v="3"/>
    <s v="Y"/>
    <s v="No"/>
    <n v="13"/>
    <x v="0"/>
    <s v="Low Performance"/>
    <n v="3"/>
    <n v="80"/>
    <n v="1"/>
    <n v="24"/>
    <n v="1"/>
    <n v="4"/>
    <s v="Good"/>
    <n v="20"/>
    <n v="6"/>
    <n v="14"/>
    <n v="17"/>
  </r>
  <r>
    <n v="1185178"/>
    <n v="39"/>
    <x v="0"/>
    <s v="No"/>
    <x v="0"/>
    <x v="0"/>
    <n v="1089"/>
    <x v="2"/>
    <n v="6"/>
    <n v="3"/>
    <x v="0"/>
    <n v="1"/>
    <n v="2"/>
    <x v="0"/>
    <n v="32"/>
    <n v="3"/>
    <n v="3"/>
    <s v="Therapist"/>
    <n v="2"/>
    <s v="Poor"/>
    <x v="0"/>
    <n v="8376"/>
    <x v="0"/>
    <n v="9150"/>
    <n v="4"/>
    <s v="Y"/>
    <s v="No"/>
    <n v="18"/>
    <x v="0"/>
    <s v="Low Performance"/>
    <n v="4"/>
    <n v="80"/>
    <n v="0"/>
    <n v="9"/>
    <n v="3"/>
    <n v="3"/>
    <s v="Fair"/>
    <n v="2"/>
    <n v="0"/>
    <n v="2"/>
    <n v="2"/>
  </r>
  <r>
    <n v="1791733"/>
    <n v="46"/>
    <x v="1"/>
    <s v="No"/>
    <x v="0"/>
    <x v="0"/>
    <n v="228"/>
    <x v="0"/>
    <n v="3"/>
    <n v="3"/>
    <x v="0"/>
    <n v="1"/>
    <n v="3"/>
    <x v="0"/>
    <n v="51"/>
    <n v="3"/>
    <n v="4"/>
    <s v="Administrative"/>
    <n v="2"/>
    <s v="Poor"/>
    <x v="1"/>
    <n v="16606"/>
    <x v="2"/>
    <n v="11380"/>
    <n v="8"/>
    <s v="Y"/>
    <s v="No"/>
    <n v="12"/>
    <x v="0"/>
    <s v="Low Performance"/>
    <n v="4"/>
    <n v="80"/>
    <n v="1"/>
    <n v="23"/>
    <n v="2"/>
    <n v="4"/>
    <s v="Good"/>
    <n v="13"/>
    <n v="12"/>
    <n v="5"/>
    <n v="1"/>
  </r>
  <r>
    <n v="1445455"/>
    <n v="35"/>
    <x v="2"/>
    <s v="No"/>
    <x v="0"/>
    <x v="0"/>
    <n v="1029"/>
    <x v="1"/>
    <n v="16"/>
    <n v="3"/>
    <x v="0"/>
    <n v="1"/>
    <n v="4"/>
    <x v="0"/>
    <n v="91"/>
    <n v="2"/>
    <n v="3"/>
    <s v="Nurse"/>
    <n v="2"/>
    <s v="Poor"/>
    <x v="0"/>
    <n v="8606"/>
    <x v="0"/>
    <n v="21195"/>
    <n v="1"/>
    <s v="Y"/>
    <s v="No"/>
    <n v="19"/>
    <x v="0"/>
    <s v="Low Performance"/>
    <n v="4"/>
    <n v="80"/>
    <n v="0"/>
    <n v="11"/>
    <n v="3"/>
    <n v="1"/>
    <s v="Poor"/>
    <n v="11"/>
    <n v="8"/>
    <n v="3"/>
    <n v="3"/>
  </r>
  <r>
    <n v="1225098"/>
    <n v="23"/>
    <x v="4"/>
    <s v="No"/>
    <x v="0"/>
    <x v="0"/>
    <n v="507"/>
    <x v="1"/>
    <n v="20"/>
    <n v="1"/>
    <x v="0"/>
    <n v="1"/>
    <n v="1"/>
    <x v="1"/>
    <n v="97"/>
    <n v="3"/>
    <n v="2"/>
    <s v="Nurse"/>
    <n v="3"/>
    <s v="Fair"/>
    <x v="0"/>
    <n v="2272"/>
    <x v="1"/>
    <n v="24812"/>
    <n v="0"/>
    <s v="Y"/>
    <s v="No"/>
    <n v="14"/>
    <x v="0"/>
    <s v="Low Performance"/>
    <n v="2"/>
    <n v="80"/>
    <n v="0"/>
    <n v="5"/>
    <n v="2"/>
    <n v="3"/>
    <s v="Fair"/>
    <n v="4"/>
    <n v="3"/>
    <n v="1"/>
    <n v="2"/>
  </r>
  <r>
    <n v="1161882"/>
    <n v="40"/>
    <x v="0"/>
    <s v="Yes"/>
    <x v="1"/>
    <x v="0"/>
    <n v="676"/>
    <x v="1"/>
    <n v="9"/>
    <n v="4"/>
    <x v="0"/>
    <n v="1"/>
    <n v="4"/>
    <x v="1"/>
    <n v="86"/>
    <n v="3"/>
    <n v="1"/>
    <s v="Nurse"/>
    <n v="1"/>
    <s v="Poor"/>
    <x v="0"/>
    <n v="2018"/>
    <x v="1"/>
    <n v="21831"/>
    <n v="3"/>
    <s v="Y"/>
    <s v="No"/>
    <n v="14"/>
    <x v="0"/>
    <s v="Low Performance"/>
    <n v="2"/>
    <n v="80"/>
    <n v="0"/>
    <n v="15"/>
    <n v="3"/>
    <n v="1"/>
    <s v="Poor"/>
    <n v="5"/>
    <n v="4"/>
    <n v="1"/>
    <n v="0"/>
  </r>
  <r>
    <n v="1130650"/>
    <n v="34"/>
    <x v="2"/>
    <s v="No"/>
    <x v="0"/>
    <x v="0"/>
    <n v="971"/>
    <x v="0"/>
    <n v="1"/>
    <n v="3"/>
    <x v="4"/>
    <n v="1"/>
    <n v="4"/>
    <x v="1"/>
    <n v="64"/>
    <n v="2"/>
    <n v="3"/>
    <s v="Nurse"/>
    <n v="3"/>
    <s v="Fair"/>
    <x v="1"/>
    <n v="7083"/>
    <x v="0"/>
    <n v="12288"/>
    <n v="1"/>
    <s v="Y"/>
    <s v="Yes"/>
    <n v="14"/>
    <x v="0"/>
    <s v="Low Performance"/>
    <n v="4"/>
    <n v="80"/>
    <n v="0"/>
    <n v="10"/>
    <n v="3"/>
    <n v="3"/>
    <s v="Fair"/>
    <n v="10"/>
    <n v="9"/>
    <n v="8"/>
    <n v="6"/>
  </r>
  <r>
    <n v="1827679"/>
    <n v="31"/>
    <x v="2"/>
    <s v="Yes"/>
    <x v="1"/>
    <x v="1"/>
    <n v="561"/>
    <x v="1"/>
    <n v="3"/>
    <n v="3"/>
    <x v="0"/>
    <n v="1"/>
    <n v="4"/>
    <x v="0"/>
    <n v="33"/>
    <n v="3"/>
    <n v="1"/>
    <s v="Other"/>
    <n v="3"/>
    <s v="Fair"/>
    <x v="0"/>
    <n v="4084"/>
    <x v="1"/>
    <n v="4156"/>
    <n v="1"/>
    <s v="Y"/>
    <s v="No"/>
    <n v="12"/>
    <x v="0"/>
    <s v="Low Performance"/>
    <n v="1"/>
    <n v="80"/>
    <n v="0"/>
    <n v="7"/>
    <n v="2"/>
    <n v="1"/>
    <s v="Poor"/>
    <n v="7"/>
    <n v="2"/>
    <n v="7"/>
    <n v="7"/>
  </r>
  <r>
    <n v="1385384"/>
    <n v="50"/>
    <x v="1"/>
    <s v="No"/>
    <x v="0"/>
    <x v="1"/>
    <n v="333"/>
    <x v="1"/>
    <n v="22"/>
    <n v="5"/>
    <x v="2"/>
    <n v="1"/>
    <n v="3"/>
    <x v="1"/>
    <n v="88"/>
    <n v="1"/>
    <n v="4"/>
    <s v="Administrative"/>
    <n v="4"/>
    <s v="Good"/>
    <x v="0"/>
    <n v="14411"/>
    <x v="2"/>
    <n v="24450"/>
    <n v="1"/>
    <s v="Y"/>
    <s v="Yes"/>
    <n v="13"/>
    <x v="0"/>
    <s v="Low Performance"/>
    <n v="4"/>
    <n v="80"/>
    <n v="0"/>
    <n v="32"/>
    <n v="2"/>
    <n v="3"/>
    <s v="Fair"/>
    <n v="32"/>
    <n v="6"/>
    <n v="13"/>
    <n v="9"/>
  </r>
  <r>
    <n v="1489531"/>
    <n v="34"/>
    <x v="2"/>
    <s v="No"/>
    <x v="0"/>
    <x v="0"/>
    <n v="1440"/>
    <x v="0"/>
    <n v="7"/>
    <n v="2"/>
    <x v="4"/>
    <n v="1"/>
    <n v="2"/>
    <x v="1"/>
    <n v="55"/>
    <n v="3"/>
    <n v="1"/>
    <s v="Other"/>
    <n v="3"/>
    <s v="Fair"/>
    <x v="1"/>
    <n v="2308"/>
    <x v="1"/>
    <n v="4944"/>
    <n v="0"/>
    <s v="Y"/>
    <s v="Yes"/>
    <n v="25"/>
    <x v="1"/>
    <s v="High Performance"/>
    <n v="2"/>
    <n v="80"/>
    <n v="1"/>
    <n v="12"/>
    <n v="4"/>
    <n v="3"/>
    <s v="Fair"/>
    <n v="11"/>
    <n v="10"/>
    <n v="5"/>
    <n v="7"/>
  </r>
  <r>
    <n v="1879823"/>
    <n v="42"/>
    <x v="0"/>
    <s v="No"/>
    <x v="0"/>
    <x v="0"/>
    <n v="1210"/>
    <x v="1"/>
    <n v="2"/>
    <n v="3"/>
    <x v="2"/>
    <n v="1"/>
    <n v="3"/>
    <x v="1"/>
    <n v="68"/>
    <n v="2"/>
    <n v="1"/>
    <s v="Nurse"/>
    <n v="2"/>
    <s v="Poor"/>
    <x v="1"/>
    <n v="4841"/>
    <x v="1"/>
    <n v="24052"/>
    <n v="4"/>
    <s v="Y"/>
    <s v="No"/>
    <n v="14"/>
    <x v="0"/>
    <s v="Low Performance"/>
    <n v="2"/>
    <n v="80"/>
    <n v="1"/>
    <n v="4"/>
    <n v="3"/>
    <n v="3"/>
    <s v="Fair"/>
    <n v="1"/>
    <n v="0"/>
    <n v="0"/>
    <n v="0"/>
  </r>
  <r>
    <n v="1072437"/>
    <n v="37"/>
    <x v="0"/>
    <s v="No"/>
    <x v="0"/>
    <x v="0"/>
    <n v="674"/>
    <x v="1"/>
    <n v="13"/>
    <n v="3"/>
    <x v="2"/>
    <n v="1"/>
    <n v="1"/>
    <x v="1"/>
    <n v="47"/>
    <n v="3"/>
    <n v="2"/>
    <s v="Other"/>
    <n v="4"/>
    <s v="Good"/>
    <x v="1"/>
    <n v="4285"/>
    <x v="1"/>
    <n v="3031"/>
    <n v="1"/>
    <s v="Y"/>
    <s v="No"/>
    <n v="17"/>
    <x v="0"/>
    <s v="Low Performance"/>
    <n v="1"/>
    <n v="80"/>
    <n v="0"/>
    <n v="10"/>
    <n v="2"/>
    <n v="3"/>
    <s v="Fair"/>
    <n v="10"/>
    <n v="8"/>
    <n v="3"/>
    <n v="7"/>
  </r>
  <r>
    <n v="1685917"/>
    <n v="29"/>
    <x v="2"/>
    <s v="No"/>
    <x v="0"/>
    <x v="0"/>
    <n v="441"/>
    <x v="1"/>
    <n v="8"/>
    <n v="1"/>
    <x v="1"/>
    <n v="1"/>
    <n v="3"/>
    <x v="0"/>
    <n v="39"/>
    <n v="1"/>
    <n v="2"/>
    <s v="Nurse"/>
    <n v="1"/>
    <s v="Poor"/>
    <x v="1"/>
    <n v="9715"/>
    <x v="0"/>
    <n v="7288"/>
    <n v="3"/>
    <s v="Y"/>
    <s v="No"/>
    <n v="13"/>
    <x v="0"/>
    <s v="Low Performance"/>
    <n v="3"/>
    <n v="80"/>
    <n v="1"/>
    <n v="9"/>
    <n v="3"/>
    <n v="3"/>
    <s v="Fair"/>
    <n v="7"/>
    <n v="7"/>
    <n v="0"/>
    <n v="7"/>
  </r>
  <r>
    <n v="1144941"/>
    <n v="33"/>
    <x v="2"/>
    <s v="No"/>
    <x v="0"/>
    <x v="0"/>
    <n v="575"/>
    <x v="1"/>
    <n v="25"/>
    <n v="3"/>
    <x v="0"/>
    <n v="1"/>
    <n v="4"/>
    <x v="1"/>
    <n v="44"/>
    <n v="2"/>
    <n v="2"/>
    <s v="Therapist"/>
    <n v="2"/>
    <s v="Poor"/>
    <x v="0"/>
    <n v="4320"/>
    <x v="1"/>
    <n v="24152"/>
    <n v="1"/>
    <s v="Y"/>
    <s v="No"/>
    <n v="13"/>
    <x v="0"/>
    <s v="Low Performance"/>
    <n v="4"/>
    <n v="80"/>
    <n v="0"/>
    <n v="5"/>
    <n v="2"/>
    <n v="3"/>
    <s v="Fair"/>
    <n v="5"/>
    <n v="3"/>
    <n v="0"/>
    <n v="2"/>
  </r>
  <r>
    <n v="1520707"/>
    <n v="45"/>
    <x v="0"/>
    <s v="No"/>
    <x v="0"/>
    <x v="0"/>
    <n v="950"/>
    <x v="1"/>
    <n v="28"/>
    <n v="3"/>
    <x v="4"/>
    <n v="1"/>
    <n v="4"/>
    <x v="1"/>
    <n v="97"/>
    <n v="3"/>
    <n v="1"/>
    <s v="Other"/>
    <n v="4"/>
    <s v="Good"/>
    <x v="1"/>
    <n v="2132"/>
    <x v="1"/>
    <n v="4585"/>
    <n v="4"/>
    <s v="Y"/>
    <s v="No"/>
    <n v="20"/>
    <x v="1"/>
    <s v="High Performance"/>
    <n v="4"/>
    <n v="80"/>
    <n v="1"/>
    <n v="8"/>
    <n v="3"/>
    <n v="3"/>
    <s v="Fair"/>
    <n v="5"/>
    <n v="4"/>
    <n v="0"/>
    <n v="3"/>
  </r>
  <r>
    <n v="1655596"/>
    <n v="42"/>
    <x v="0"/>
    <s v="No"/>
    <x v="0"/>
    <x v="1"/>
    <n v="288"/>
    <x v="1"/>
    <n v="2"/>
    <n v="3"/>
    <x v="0"/>
    <n v="1"/>
    <n v="4"/>
    <x v="1"/>
    <n v="40"/>
    <n v="3"/>
    <n v="3"/>
    <s v="Nurse"/>
    <n v="4"/>
    <s v="Good"/>
    <x v="1"/>
    <n v="10124"/>
    <x v="0"/>
    <n v="18611"/>
    <n v="2"/>
    <s v="Y"/>
    <s v="Yes"/>
    <n v="14"/>
    <x v="0"/>
    <s v="Low Performance"/>
    <n v="3"/>
    <n v="80"/>
    <n v="1"/>
    <n v="24"/>
    <n v="3"/>
    <n v="1"/>
    <s v="Poor"/>
    <n v="20"/>
    <n v="8"/>
    <n v="13"/>
    <n v="9"/>
  </r>
  <r>
    <n v="1582511"/>
    <n v="40"/>
    <x v="0"/>
    <s v="No"/>
    <x v="0"/>
    <x v="0"/>
    <n v="1342"/>
    <x v="0"/>
    <n v="9"/>
    <n v="2"/>
    <x v="2"/>
    <n v="1"/>
    <n v="1"/>
    <x v="1"/>
    <n v="47"/>
    <n v="3"/>
    <n v="2"/>
    <s v="Nurse"/>
    <n v="1"/>
    <s v="Poor"/>
    <x v="1"/>
    <n v="5473"/>
    <x v="0"/>
    <n v="19345"/>
    <n v="0"/>
    <s v="Y"/>
    <s v="No"/>
    <n v="12"/>
    <x v="0"/>
    <s v="Low Performance"/>
    <n v="4"/>
    <n v="80"/>
    <n v="0"/>
    <n v="9"/>
    <n v="5"/>
    <n v="4"/>
    <s v="Good"/>
    <n v="8"/>
    <n v="4"/>
    <n v="7"/>
    <n v="1"/>
  </r>
  <r>
    <n v="1040101"/>
    <n v="33"/>
    <x v="2"/>
    <s v="No"/>
    <x v="0"/>
    <x v="0"/>
    <n v="589"/>
    <x v="1"/>
    <n v="28"/>
    <n v="4"/>
    <x v="0"/>
    <n v="1"/>
    <n v="2"/>
    <x v="1"/>
    <n v="79"/>
    <n v="3"/>
    <n v="2"/>
    <s v="Nurse"/>
    <n v="3"/>
    <s v="Fair"/>
    <x v="1"/>
    <n v="5207"/>
    <x v="0"/>
    <n v="22949"/>
    <n v="1"/>
    <s v="Y"/>
    <s v="Yes"/>
    <n v="12"/>
    <x v="0"/>
    <s v="Low Performance"/>
    <n v="2"/>
    <n v="80"/>
    <n v="1"/>
    <n v="15"/>
    <n v="3"/>
    <n v="3"/>
    <s v="Fair"/>
    <n v="15"/>
    <n v="14"/>
    <n v="5"/>
    <n v="7"/>
  </r>
  <r>
    <n v="1795482"/>
    <n v="40"/>
    <x v="0"/>
    <s v="No"/>
    <x v="0"/>
    <x v="0"/>
    <n v="898"/>
    <x v="2"/>
    <n v="6"/>
    <n v="2"/>
    <x v="2"/>
    <n v="1"/>
    <n v="3"/>
    <x v="1"/>
    <n v="38"/>
    <n v="3"/>
    <n v="4"/>
    <s v="Administrative"/>
    <n v="4"/>
    <s v="Good"/>
    <x v="0"/>
    <n v="16437"/>
    <x v="2"/>
    <n v="17381"/>
    <n v="1"/>
    <s v="Y"/>
    <s v="Yes"/>
    <n v="21"/>
    <x v="1"/>
    <s v="High Performance"/>
    <n v="4"/>
    <n v="80"/>
    <n v="0"/>
    <n v="21"/>
    <n v="2"/>
    <n v="3"/>
    <s v="Fair"/>
    <n v="21"/>
    <n v="7"/>
    <n v="7"/>
    <n v="7"/>
  </r>
  <r>
    <n v="1487869"/>
    <n v="24"/>
    <x v="4"/>
    <s v="No"/>
    <x v="0"/>
    <x v="0"/>
    <n v="350"/>
    <x v="1"/>
    <n v="21"/>
    <n v="2"/>
    <x v="4"/>
    <n v="1"/>
    <n v="3"/>
    <x v="1"/>
    <n v="57"/>
    <n v="2"/>
    <n v="1"/>
    <s v="Nurse"/>
    <n v="1"/>
    <s v="Poor"/>
    <x v="2"/>
    <n v="2296"/>
    <x v="1"/>
    <n v="10036"/>
    <n v="0"/>
    <s v="Y"/>
    <s v="No"/>
    <n v="14"/>
    <x v="0"/>
    <s v="Low Performance"/>
    <n v="2"/>
    <n v="80"/>
    <n v="3"/>
    <n v="2"/>
    <n v="3"/>
    <n v="3"/>
    <s v="Fair"/>
    <n v="1"/>
    <n v="1"/>
    <n v="0"/>
    <n v="0"/>
  </r>
  <r>
    <n v="1757748"/>
    <n v="40"/>
    <x v="0"/>
    <s v="No"/>
    <x v="0"/>
    <x v="2"/>
    <n v="1142"/>
    <x v="1"/>
    <n v="8"/>
    <n v="2"/>
    <x v="0"/>
    <n v="1"/>
    <n v="4"/>
    <x v="1"/>
    <n v="72"/>
    <n v="3"/>
    <n v="2"/>
    <s v="Nurse"/>
    <n v="4"/>
    <s v="Good"/>
    <x v="2"/>
    <n v="4069"/>
    <x v="1"/>
    <n v="8841"/>
    <n v="3"/>
    <s v="Y"/>
    <s v="Yes"/>
    <n v="18"/>
    <x v="0"/>
    <s v="Low Performance"/>
    <n v="3"/>
    <n v="80"/>
    <n v="0"/>
    <n v="8"/>
    <n v="2"/>
    <n v="3"/>
    <s v="Fair"/>
    <n v="2"/>
    <n v="2"/>
    <n v="2"/>
    <n v="2"/>
  </r>
  <r>
    <n v="1044155"/>
    <n v="45"/>
    <x v="0"/>
    <s v="No"/>
    <x v="0"/>
    <x v="0"/>
    <n v="538"/>
    <x v="1"/>
    <n v="1"/>
    <n v="4"/>
    <x v="4"/>
    <n v="1"/>
    <n v="1"/>
    <x v="1"/>
    <n v="66"/>
    <n v="3"/>
    <n v="3"/>
    <s v="Nurse"/>
    <n v="2"/>
    <s v="Poor"/>
    <x v="2"/>
    <n v="7441"/>
    <x v="0"/>
    <n v="20933"/>
    <n v="1"/>
    <s v="Y"/>
    <s v="No"/>
    <n v="12"/>
    <x v="0"/>
    <s v="Low Performance"/>
    <n v="1"/>
    <n v="80"/>
    <n v="3"/>
    <n v="10"/>
    <n v="4"/>
    <n v="3"/>
    <s v="Fair"/>
    <n v="10"/>
    <n v="8"/>
    <n v="7"/>
    <n v="7"/>
  </r>
  <r>
    <n v="1751058"/>
    <n v="35"/>
    <x v="2"/>
    <s v="No"/>
    <x v="0"/>
    <x v="0"/>
    <n v="1402"/>
    <x v="0"/>
    <n v="28"/>
    <n v="4"/>
    <x v="0"/>
    <n v="1"/>
    <n v="2"/>
    <x v="0"/>
    <n v="98"/>
    <n v="2"/>
    <n v="1"/>
    <s v="Other"/>
    <n v="3"/>
    <s v="Fair"/>
    <x v="1"/>
    <n v="2430"/>
    <x v="1"/>
    <n v="26204"/>
    <n v="0"/>
    <s v="Y"/>
    <s v="No"/>
    <n v="23"/>
    <x v="1"/>
    <s v="High Performance"/>
    <n v="1"/>
    <n v="80"/>
    <n v="2"/>
    <n v="6"/>
    <n v="5"/>
    <n v="3"/>
    <s v="Fair"/>
    <n v="5"/>
    <n v="3"/>
    <n v="4"/>
    <n v="2"/>
  </r>
  <r>
    <n v="1800789"/>
    <n v="32"/>
    <x v="2"/>
    <s v="No"/>
    <x v="0"/>
    <x v="0"/>
    <n v="824"/>
    <x v="1"/>
    <n v="5"/>
    <n v="2"/>
    <x v="0"/>
    <n v="1"/>
    <n v="4"/>
    <x v="0"/>
    <n v="67"/>
    <n v="2"/>
    <n v="2"/>
    <s v="Other"/>
    <n v="2"/>
    <s v="Poor"/>
    <x v="1"/>
    <n v="5878"/>
    <x v="0"/>
    <n v="15624"/>
    <n v="3"/>
    <s v="Y"/>
    <s v="No"/>
    <n v="12"/>
    <x v="0"/>
    <s v="Low Performance"/>
    <n v="1"/>
    <n v="80"/>
    <n v="1"/>
    <n v="12"/>
    <n v="2"/>
    <n v="3"/>
    <s v="Fair"/>
    <n v="7"/>
    <n v="1"/>
    <n v="2"/>
    <n v="5"/>
  </r>
  <r>
    <n v="1258148"/>
    <n v="36"/>
    <x v="0"/>
    <s v="No"/>
    <x v="0"/>
    <x v="0"/>
    <n v="1157"/>
    <x v="0"/>
    <n v="2"/>
    <n v="4"/>
    <x v="0"/>
    <n v="1"/>
    <n v="3"/>
    <x v="1"/>
    <n v="70"/>
    <n v="3"/>
    <n v="1"/>
    <s v="Other"/>
    <n v="4"/>
    <s v="Good"/>
    <x v="0"/>
    <n v="2644"/>
    <x v="1"/>
    <n v="17001"/>
    <n v="3"/>
    <s v="Y"/>
    <s v="Yes"/>
    <n v="21"/>
    <x v="1"/>
    <s v="High Performance"/>
    <n v="4"/>
    <n v="80"/>
    <n v="0"/>
    <n v="7"/>
    <n v="3"/>
    <n v="2"/>
    <s v="Poor"/>
    <n v="3"/>
    <n v="2"/>
    <n v="1"/>
    <n v="2"/>
  </r>
  <r>
    <n v="1120429"/>
    <n v="48"/>
    <x v="1"/>
    <s v="No"/>
    <x v="0"/>
    <x v="0"/>
    <n v="492"/>
    <x v="0"/>
    <n v="16"/>
    <n v="4"/>
    <x v="0"/>
    <n v="1"/>
    <n v="3"/>
    <x v="0"/>
    <n v="96"/>
    <n v="3"/>
    <n v="2"/>
    <s v="Nurse"/>
    <n v="3"/>
    <s v="Fair"/>
    <x v="2"/>
    <n v="6439"/>
    <x v="0"/>
    <n v="13693"/>
    <n v="8"/>
    <s v="Y"/>
    <s v="No"/>
    <n v="14"/>
    <x v="0"/>
    <s v="Low Performance"/>
    <n v="3"/>
    <n v="80"/>
    <n v="1"/>
    <n v="18"/>
    <n v="2"/>
    <n v="3"/>
    <s v="Fair"/>
    <n v="8"/>
    <n v="7"/>
    <n v="7"/>
    <n v="7"/>
  </r>
  <r>
    <n v="1604996"/>
    <n v="29"/>
    <x v="2"/>
    <s v="No"/>
    <x v="0"/>
    <x v="0"/>
    <n v="598"/>
    <x v="1"/>
    <n v="9"/>
    <n v="3"/>
    <x v="0"/>
    <n v="1"/>
    <n v="3"/>
    <x v="1"/>
    <n v="91"/>
    <n v="4"/>
    <n v="1"/>
    <s v="Other"/>
    <n v="3"/>
    <s v="Fair"/>
    <x v="1"/>
    <n v="2451"/>
    <x v="1"/>
    <n v="22376"/>
    <n v="6"/>
    <s v="Y"/>
    <s v="No"/>
    <n v="18"/>
    <x v="0"/>
    <s v="Low Performance"/>
    <n v="1"/>
    <n v="80"/>
    <n v="2"/>
    <n v="5"/>
    <n v="2"/>
    <n v="2"/>
    <s v="Poor"/>
    <n v="1"/>
    <n v="0"/>
    <n v="0"/>
    <n v="0"/>
  </r>
  <r>
    <n v="1152504"/>
    <n v="33"/>
    <x v="2"/>
    <s v="No"/>
    <x v="0"/>
    <x v="0"/>
    <n v="1242"/>
    <x v="0"/>
    <n v="8"/>
    <n v="4"/>
    <x v="0"/>
    <n v="1"/>
    <n v="1"/>
    <x v="1"/>
    <n v="46"/>
    <n v="3"/>
    <n v="2"/>
    <s v="Nurse"/>
    <n v="1"/>
    <s v="Poor"/>
    <x v="1"/>
    <n v="6392"/>
    <x v="0"/>
    <n v="10589"/>
    <n v="2"/>
    <s v="Y"/>
    <s v="No"/>
    <n v="13"/>
    <x v="0"/>
    <s v="Low Performance"/>
    <n v="4"/>
    <n v="80"/>
    <n v="1"/>
    <n v="8"/>
    <n v="6"/>
    <n v="1"/>
    <s v="Poor"/>
    <n v="2"/>
    <n v="2"/>
    <n v="2"/>
    <n v="2"/>
  </r>
  <r>
    <n v="1093589"/>
    <n v="30"/>
    <x v="2"/>
    <s v="No"/>
    <x v="0"/>
    <x v="0"/>
    <n v="740"/>
    <x v="0"/>
    <n v="1"/>
    <n v="3"/>
    <x v="0"/>
    <n v="1"/>
    <n v="2"/>
    <x v="1"/>
    <n v="64"/>
    <n v="2"/>
    <n v="2"/>
    <s v="Nurse"/>
    <n v="1"/>
    <s v="Poor"/>
    <x v="1"/>
    <n v="9714"/>
    <x v="0"/>
    <n v="5323"/>
    <n v="1"/>
    <s v="Y"/>
    <s v="No"/>
    <n v="11"/>
    <x v="0"/>
    <s v="Low Performance"/>
    <n v="4"/>
    <n v="80"/>
    <n v="1"/>
    <n v="10"/>
    <n v="4"/>
    <n v="3"/>
    <s v="Fair"/>
    <n v="10"/>
    <n v="8"/>
    <n v="6"/>
    <n v="7"/>
  </r>
  <r>
    <n v="1152723"/>
    <n v="38"/>
    <x v="0"/>
    <s v="No"/>
    <x v="0"/>
    <x v="1"/>
    <n v="888"/>
    <x v="2"/>
    <n v="10"/>
    <n v="4"/>
    <x v="5"/>
    <n v="1"/>
    <n v="3"/>
    <x v="1"/>
    <n v="71"/>
    <n v="3"/>
    <n v="2"/>
    <s v="Other"/>
    <n v="3"/>
    <s v="Fair"/>
    <x v="1"/>
    <n v="6077"/>
    <x v="0"/>
    <n v="14814"/>
    <n v="3"/>
    <s v="Y"/>
    <s v="No"/>
    <n v="11"/>
    <x v="0"/>
    <s v="Low Performance"/>
    <n v="3"/>
    <n v="80"/>
    <n v="0"/>
    <n v="10"/>
    <n v="2"/>
    <n v="3"/>
    <s v="Fair"/>
    <n v="6"/>
    <n v="3"/>
    <n v="1"/>
    <n v="2"/>
  </r>
  <r>
    <n v="1561423"/>
    <n v="35"/>
    <x v="2"/>
    <s v="No"/>
    <x v="0"/>
    <x v="0"/>
    <n v="992"/>
    <x v="1"/>
    <n v="1"/>
    <n v="3"/>
    <x v="2"/>
    <n v="1"/>
    <n v="4"/>
    <x v="1"/>
    <n v="68"/>
    <n v="2"/>
    <n v="1"/>
    <s v="Nurse"/>
    <n v="1"/>
    <s v="Poor"/>
    <x v="0"/>
    <n v="2450"/>
    <x v="1"/>
    <n v="21731"/>
    <n v="1"/>
    <s v="Y"/>
    <s v="No"/>
    <n v="19"/>
    <x v="0"/>
    <s v="Low Performance"/>
    <n v="2"/>
    <n v="80"/>
    <n v="0"/>
    <n v="3"/>
    <n v="3"/>
    <n v="3"/>
    <s v="Fair"/>
    <n v="3"/>
    <n v="0"/>
    <n v="1"/>
    <n v="2"/>
  </r>
  <r>
    <n v="1603233"/>
    <n v="30"/>
    <x v="2"/>
    <s v="No"/>
    <x v="0"/>
    <x v="0"/>
    <n v="1288"/>
    <x v="0"/>
    <n v="29"/>
    <n v="4"/>
    <x v="4"/>
    <n v="1"/>
    <n v="3"/>
    <x v="1"/>
    <n v="33"/>
    <n v="3"/>
    <n v="3"/>
    <s v="Nurse"/>
    <n v="2"/>
    <s v="Poor"/>
    <x v="1"/>
    <n v="9250"/>
    <x v="0"/>
    <n v="17799"/>
    <n v="3"/>
    <s v="Y"/>
    <s v="No"/>
    <n v="12"/>
    <x v="0"/>
    <s v="Low Performance"/>
    <n v="2"/>
    <n v="80"/>
    <n v="1"/>
    <n v="9"/>
    <n v="3"/>
    <n v="3"/>
    <s v="Fair"/>
    <n v="4"/>
    <n v="2"/>
    <n v="1"/>
    <n v="3"/>
  </r>
  <r>
    <n v="1286513"/>
    <n v="35"/>
    <x v="2"/>
    <s v="Yes"/>
    <x v="1"/>
    <x v="0"/>
    <n v="104"/>
    <x v="1"/>
    <n v="2"/>
    <n v="3"/>
    <x v="0"/>
    <n v="1"/>
    <n v="1"/>
    <x v="0"/>
    <n v="69"/>
    <n v="3"/>
    <n v="1"/>
    <s v="Nurse"/>
    <n v="1"/>
    <s v="Poor"/>
    <x v="2"/>
    <n v="2074"/>
    <x v="1"/>
    <n v="26619"/>
    <n v="1"/>
    <s v="Y"/>
    <s v="Yes"/>
    <n v="12"/>
    <x v="0"/>
    <s v="Low Performance"/>
    <n v="4"/>
    <n v="80"/>
    <n v="1"/>
    <n v="1"/>
    <n v="2"/>
    <n v="3"/>
    <s v="Fair"/>
    <n v="1"/>
    <n v="0"/>
    <n v="0"/>
    <n v="0"/>
  </r>
  <r>
    <n v="1313838"/>
    <n v="53"/>
    <x v="1"/>
    <s v="No"/>
    <x v="0"/>
    <x v="0"/>
    <n v="607"/>
    <x v="2"/>
    <n v="2"/>
    <n v="5"/>
    <x v="4"/>
    <n v="1"/>
    <n v="3"/>
    <x v="0"/>
    <n v="78"/>
    <n v="2"/>
    <n v="3"/>
    <s v="Therapist"/>
    <n v="4"/>
    <s v="Good"/>
    <x v="1"/>
    <n v="10169"/>
    <x v="0"/>
    <n v="14618"/>
    <n v="0"/>
    <s v="Y"/>
    <s v="No"/>
    <n v="16"/>
    <x v="0"/>
    <s v="Low Performance"/>
    <n v="2"/>
    <n v="80"/>
    <n v="1"/>
    <n v="34"/>
    <n v="4"/>
    <n v="3"/>
    <s v="Fair"/>
    <n v="33"/>
    <n v="7"/>
    <n v="1"/>
    <n v="9"/>
  </r>
  <r>
    <n v="1819647"/>
    <n v="38"/>
    <x v="0"/>
    <s v="No"/>
    <x v="0"/>
    <x v="0"/>
    <n v="903"/>
    <x v="2"/>
    <n v="2"/>
    <n v="3"/>
    <x v="2"/>
    <n v="1"/>
    <n v="3"/>
    <x v="1"/>
    <n v="81"/>
    <n v="3"/>
    <n v="2"/>
    <s v="Therapist"/>
    <n v="2"/>
    <s v="Poor"/>
    <x v="1"/>
    <n v="4855"/>
    <x v="1"/>
    <n v="7653"/>
    <n v="4"/>
    <s v="Y"/>
    <s v="No"/>
    <n v="11"/>
    <x v="0"/>
    <s v="Low Performance"/>
    <n v="1"/>
    <n v="80"/>
    <n v="2"/>
    <n v="7"/>
    <n v="2"/>
    <n v="3"/>
    <s v="Fair"/>
    <n v="5"/>
    <n v="2"/>
    <n v="1"/>
    <n v="4"/>
  </r>
  <r>
    <n v="1316836"/>
    <n v="32"/>
    <x v="2"/>
    <s v="No"/>
    <x v="0"/>
    <x v="2"/>
    <n v="1200"/>
    <x v="1"/>
    <n v="1"/>
    <n v="4"/>
    <x v="4"/>
    <n v="1"/>
    <n v="4"/>
    <x v="1"/>
    <n v="62"/>
    <n v="3"/>
    <n v="2"/>
    <s v="Other"/>
    <n v="1"/>
    <s v="Poor"/>
    <x v="1"/>
    <n v="4087"/>
    <x v="1"/>
    <n v="25174"/>
    <n v="4"/>
    <s v="Y"/>
    <s v="No"/>
    <n v="14"/>
    <x v="0"/>
    <s v="Low Performance"/>
    <n v="2"/>
    <n v="80"/>
    <n v="1"/>
    <n v="9"/>
    <n v="3"/>
    <n v="2"/>
    <s v="Poor"/>
    <n v="6"/>
    <n v="5"/>
    <n v="1"/>
    <n v="2"/>
  </r>
  <r>
    <n v="1595159"/>
    <n v="48"/>
    <x v="1"/>
    <s v="No"/>
    <x v="0"/>
    <x v="0"/>
    <n v="1108"/>
    <x v="1"/>
    <n v="15"/>
    <n v="4"/>
    <x v="1"/>
    <n v="1"/>
    <n v="3"/>
    <x v="0"/>
    <n v="65"/>
    <n v="3"/>
    <n v="1"/>
    <s v="Other"/>
    <n v="1"/>
    <s v="Poor"/>
    <x v="1"/>
    <n v="2367"/>
    <x v="1"/>
    <n v="16530"/>
    <n v="8"/>
    <s v="Y"/>
    <s v="No"/>
    <n v="12"/>
    <x v="0"/>
    <s v="Low Performance"/>
    <n v="4"/>
    <n v="80"/>
    <n v="1"/>
    <n v="10"/>
    <n v="3"/>
    <n v="2"/>
    <s v="Poor"/>
    <n v="8"/>
    <n v="2"/>
    <n v="7"/>
    <n v="6"/>
  </r>
  <r>
    <n v="1679356"/>
    <n v="34"/>
    <x v="2"/>
    <s v="No"/>
    <x v="0"/>
    <x v="0"/>
    <n v="479"/>
    <x v="1"/>
    <n v="7"/>
    <n v="4"/>
    <x v="2"/>
    <n v="1"/>
    <n v="1"/>
    <x v="1"/>
    <n v="35"/>
    <n v="3"/>
    <n v="1"/>
    <s v="Other"/>
    <n v="4"/>
    <s v="Good"/>
    <x v="0"/>
    <n v="2972"/>
    <x v="1"/>
    <n v="22061"/>
    <n v="1"/>
    <s v="Y"/>
    <s v="No"/>
    <n v="13"/>
    <x v="0"/>
    <s v="Low Performance"/>
    <n v="3"/>
    <n v="80"/>
    <n v="0"/>
    <n v="1"/>
    <n v="4"/>
    <n v="1"/>
    <s v="Poor"/>
    <n v="1"/>
    <n v="0"/>
    <n v="0"/>
    <n v="0"/>
  </r>
  <r>
    <n v="1729981"/>
    <n v="55"/>
    <x v="1"/>
    <s v="No"/>
    <x v="0"/>
    <x v="0"/>
    <n v="685"/>
    <x v="0"/>
    <n v="26"/>
    <n v="5"/>
    <x v="3"/>
    <n v="1"/>
    <n v="3"/>
    <x v="1"/>
    <n v="60"/>
    <n v="2"/>
    <n v="5"/>
    <s v="Administrative"/>
    <n v="4"/>
    <s v="Good"/>
    <x v="1"/>
    <n v="19586"/>
    <x v="2"/>
    <n v="23037"/>
    <n v="1"/>
    <s v="Y"/>
    <s v="No"/>
    <n v="21"/>
    <x v="1"/>
    <s v="High Performance"/>
    <n v="3"/>
    <n v="80"/>
    <n v="1"/>
    <n v="36"/>
    <n v="3"/>
    <n v="3"/>
    <s v="Fair"/>
    <n v="36"/>
    <n v="6"/>
    <n v="2"/>
    <n v="13"/>
  </r>
  <r>
    <n v="1597323"/>
    <n v="34"/>
    <x v="2"/>
    <s v="No"/>
    <x v="0"/>
    <x v="0"/>
    <n v="1351"/>
    <x v="1"/>
    <n v="1"/>
    <n v="4"/>
    <x v="0"/>
    <n v="1"/>
    <n v="2"/>
    <x v="1"/>
    <n v="45"/>
    <n v="3"/>
    <n v="2"/>
    <s v="Other"/>
    <n v="4"/>
    <s v="Good"/>
    <x v="1"/>
    <n v="5484"/>
    <x v="0"/>
    <n v="13008"/>
    <n v="9"/>
    <s v="Y"/>
    <s v="No"/>
    <n v="17"/>
    <x v="0"/>
    <s v="Low Performance"/>
    <n v="2"/>
    <n v="80"/>
    <n v="1"/>
    <n v="9"/>
    <n v="3"/>
    <n v="2"/>
    <s v="Poor"/>
    <n v="2"/>
    <n v="2"/>
    <n v="2"/>
    <n v="1"/>
  </r>
  <r>
    <n v="1765716"/>
    <n v="26"/>
    <x v="2"/>
    <s v="No"/>
    <x v="0"/>
    <x v="0"/>
    <n v="474"/>
    <x v="1"/>
    <n v="3"/>
    <n v="3"/>
    <x v="0"/>
    <n v="1"/>
    <n v="1"/>
    <x v="0"/>
    <n v="89"/>
    <n v="3"/>
    <n v="1"/>
    <s v="Other"/>
    <n v="4"/>
    <s v="Good"/>
    <x v="1"/>
    <n v="2061"/>
    <x v="1"/>
    <n v="11133"/>
    <n v="1"/>
    <s v="Y"/>
    <s v="No"/>
    <n v="21"/>
    <x v="1"/>
    <s v="High Performance"/>
    <n v="1"/>
    <n v="80"/>
    <n v="0"/>
    <n v="1"/>
    <n v="5"/>
    <n v="3"/>
    <s v="Fair"/>
    <n v="1"/>
    <n v="0"/>
    <n v="0"/>
    <n v="0"/>
  </r>
  <r>
    <n v="1573518"/>
    <n v="38"/>
    <x v="0"/>
    <s v="No"/>
    <x v="0"/>
    <x v="0"/>
    <n v="1245"/>
    <x v="0"/>
    <n v="14"/>
    <n v="3"/>
    <x v="0"/>
    <n v="1"/>
    <n v="3"/>
    <x v="1"/>
    <n v="80"/>
    <n v="3"/>
    <n v="2"/>
    <s v="Nurse"/>
    <n v="2"/>
    <s v="Poor"/>
    <x v="1"/>
    <n v="9924"/>
    <x v="0"/>
    <n v="12355"/>
    <n v="0"/>
    <s v="Y"/>
    <s v="No"/>
    <n v="11"/>
    <x v="0"/>
    <s v="Low Performance"/>
    <n v="4"/>
    <n v="80"/>
    <n v="1"/>
    <n v="10"/>
    <n v="3"/>
    <n v="3"/>
    <s v="Fair"/>
    <n v="9"/>
    <n v="8"/>
    <n v="7"/>
    <n v="7"/>
  </r>
  <r>
    <n v="1755222"/>
    <n v="38"/>
    <x v="0"/>
    <s v="No"/>
    <x v="0"/>
    <x v="0"/>
    <n v="437"/>
    <x v="0"/>
    <n v="16"/>
    <n v="3"/>
    <x v="0"/>
    <n v="1"/>
    <n v="2"/>
    <x v="0"/>
    <n v="90"/>
    <n v="3"/>
    <n v="2"/>
    <s v="Nurse"/>
    <n v="2"/>
    <s v="Poor"/>
    <x v="0"/>
    <n v="4198"/>
    <x v="1"/>
    <n v="16379"/>
    <n v="2"/>
    <s v="Y"/>
    <s v="No"/>
    <n v="12"/>
    <x v="0"/>
    <s v="Low Performance"/>
    <n v="2"/>
    <n v="80"/>
    <n v="0"/>
    <n v="8"/>
    <n v="5"/>
    <n v="4"/>
    <s v="Good"/>
    <n v="3"/>
    <n v="2"/>
    <n v="1"/>
    <n v="2"/>
  </r>
  <r>
    <n v="1689960"/>
    <n v="36"/>
    <x v="0"/>
    <s v="No"/>
    <x v="0"/>
    <x v="0"/>
    <n v="884"/>
    <x v="0"/>
    <n v="1"/>
    <n v="4"/>
    <x v="0"/>
    <n v="1"/>
    <n v="2"/>
    <x v="0"/>
    <n v="73"/>
    <n v="3"/>
    <n v="2"/>
    <s v="Nurse"/>
    <n v="3"/>
    <s v="Fair"/>
    <x v="0"/>
    <n v="6815"/>
    <x v="0"/>
    <n v="21447"/>
    <n v="6"/>
    <s v="Y"/>
    <s v="No"/>
    <n v="13"/>
    <x v="0"/>
    <s v="Low Performance"/>
    <n v="1"/>
    <n v="80"/>
    <n v="0"/>
    <n v="15"/>
    <n v="5"/>
    <n v="3"/>
    <s v="Fair"/>
    <n v="1"/>
    <n v="0"/>
    <n v="0"/>
    <n v="0"/>
  </r>
  <r>
    <n v="1321308"/>
    <n v="29"/>
    <x v="2"/>
    <s v="No"/>
    <x v="0"/>
    <x v="0"/>
    <n v="1370"/>
    <x v="1"/>
    <n v="3"/>
    <n v="1"/>
    <x v="2"/>
    <n v="1"/>
    <n v="2"/>
    <x v="1"/>
    <n v="87"/>
    <n v="3"/>
    <n v="1"/>
    <s v="Nurse"/>
    <n v="1"/>
    <s v="Poor"/>
    <x v="0"/>
    <n v="4723"/>
    <x v="1"/>
    <n v="16213"/>
    <n v="1"/>
    <s v="Y"/>
    <s v="Yes"/>
    <n v="18"/>
    <x v="0"/>
    <s v="Low Performance"/>
    <n v="4"/>
    <n v="80"/>
    <n v="0"/>
    <n v="10"/>
    <n v="3"/>
    <n v="3"/>
    <s v="Fair"/>
    <n v="10"/>
    <n v="9"/>
    <n v="1"/>
    <n v="5"/>
  </r>
  <r>
    <n v="1261502"/>
    <n v="35"/>
    <x v="2"/>
    <s v="No"/>
    <x v="0"/>
    <x v="0"/>
    <n v="670"/>
    <x v="1"/>
    <n v="10"/>
    <n v="4"/>
    <x v="2"/>
    <n v="1"/>
    <n v="1"/>
    <x v="0"/>
    <n v="51"/>
    <n v="3"/>
    <n v="2"/>
    <s v="Nurse"/>
    <n v="3"/>
    <s v="Fair"/>
    <x v="0"/>
    <n v="6142"/>
    <x v="0"/>
    <n v="4223"/>
    <n v="3"/>
    <s v="Y"/>
    <s v="Yes"/>
    <n v="16"/>
    <x v="0"/>
    <s v="Low Performance"/>
    <n v="3"/>
    <n v="80"/>
    <n v="0"/>
    <n v="10"/>
    <n v="4"/>
    <n v="3"/>
    <s v="Fair"/>
    <n v="5"/>
    <n v="2"/>
    <n v="0"/>
    <n v="4"/>
  </r>
  <r>
    <n v="1041532"/>
    <n v="39"/>
    <x v="0"/>
    <s v="No"/>
    <x v="0"/>
    <x v="0"/>
    <n v="1462"/>
    <x v="0"/>
    <n v="6"/>
    <n v="3"/>
    <x v="2"/>
    <n v="1"/>
    <n v="4"/>
    <x v="1"/>
    <n v="38"/>
    <n v="4"/>
    <n v="3"/>
    <s v="Nurse"/>
    <n v="3"/>
    <s v="Fair"/>
    <x v="1"/>
    <n v="8237"/>
    <x v="0"/>
    <n v="4658"/>
    <n v="2"/>
    <s v="Y"/>
    <s v="No"/>
    <n v="11"/>
    <x v="0"/>
    <s v="Low Performance"/>
    <n v="1"/>
    <n v="80"/>
    <n v="1"/>
    <n v="11"/>
    <n v="3"/>
    <n v="3"/>
    <s v="Fair"/>
    <n v="7"/>
    <n v="6"/>
    <n v="7"/>
    <n v="6"/>
  </r>
  <r>
    <n v="1828789"/>
    <n v="29"/>
    <x v="2"/>
    <s v="No"/>
    <x v="0"/>
    <x v="1"/>
    <n v="995"/>
    <x v="1"/>
    <n v="2"/>
    <n v="1"/>
    <x v="0"/>
    <n v="1"/>
    <n v="1"/>
    <x v="1"/>
    <n v="87"/>
    <n v="3"/>
    <n v="2"/>
    <s v="Nurse"/>
    <n v="4"/>
    <s v="Good"/>
    <x v="2"/>
    <n v="8853"/>
    <x v="0"/>
    <n v="24483"/>
    <n v="1"/>
    <s v="Y"/>
    <s v="No"/>
    <n v="19"/>
    <x v="0"/>
    <s v="Low Performance"/>
    <n v="4"/>
    <n v="80"/>
    <n v="1"/>
    <n v="6"/>
    <n v="0"/>
    <n v="4"/>
    <s v="Good"/>
    <n v="6"/>
    <n v="4"/>
    <n v="1"/>
    <n v="3"/>
  </r>
  <r>
    <n v="1638427"/>
    <n v="50"/>
    <x v="1"/>
    <s v="No"/>
    <x v="0"/>
    <x v="0"/>
    <n v="264"/>
    <x v="0"/>
    <n v="9"/>
    <n v="3"/>
    <x v="3"/>
    <n v="1"/>
    <n v="3"/>
    <x v="1"/>
    <n v="59"/>
    <n v="3"/>
    <n v="5"/>
    <s v="Administrative"/>
    <n v="3"/>
    <s v="Fair"/>
    <x v="1"/>
    <n v="19331"/>
    <x v="2"/>
    <n v="19519"/>
    <n v="4"/>
    <s v="Y"/>
    <s v="Yes"/>
    <n v="16"/>
    <x v="0"/>
    <s v="Low Performance"/>
    <n v="3"/>
    <n v="80"/>
    <n v="1"/>
    <n v="27"/>
    <n v="2"/>
    <n v="3"/>
    <s v="Fair"/>
    <n v="1"/>
    <n v="0"/>
    <n v="0"/>
    <n v="0"/>
  </r>
  <r>
    <n v="1788553"/>
    <n v="23"/>
    <x v="4"/>
    <s v="No"/>
    <x v="0"/>
    <x v="0"/>
    <n v="977"/>
    <x v="1"/>
    <n v="10"/>
    <n v="3"/>
    <x v="4"/>
    <n v="1"/>
    <n v="4"/>
    <x v="1"/>
    <n v="45"/>
    <n v="4"/>
    <n v="1"/>
    <s v="Other"/>
    <n v="3"/>
    <s v="Fair"/>
    <x v="1"/>
    <n v="2073"/>
    <x v="1"/>
    <n v="12826"/>
    <n v="2"/>
    <s v="Y"/>
    <s v="No"/>
    <n v="16"/>
    <x v="0"/>
    <s v="Low Performance"/>
    <n v="4"/>
    <n v="80"/>
    <n v="1"/>
    <n v="4"/>
    <n v="2"/>
    <n v="3"/>
    <s v="Fair"/>
    <n v="2"/>
    <n v="2"/>
    <n v="2"/>
    <n v="2"/>
  </r>
  <r>
    <n v="1599847"/>
    <n v="36"/>
    <x v="0"/>
    <s v="No"/>
    <x v="0"/>
    <x v="1"/>
    <n v="1302"/>
    <x v="1"/>
    <n v="6"/>
    <n v="4"/>
    <x v="0"/>
    <n v="1"/>
    <n v="1"/>
    <x v="1"/>
    <n v="80"/>
    <n v="4"/>
    <n v="2"/>
    <s v="Nurse"/>
    <n v="1"/>
    <s v="Poor"/>
    <x v="1"/>
    <n v="5562"/>
    <x v="0"/>
    <n v="19711"/>
    <n v="3"/>
    <s v="Y"/>
    <s v="Yes"/>
    <n v="13"/>
    <x v="0"/>
    <s v="Low Performance"/>
    <n v="4"/>
    <n v="80"/>
    <n v="1"/>
    <n v="9"/>
    <n v="3"/>
    <n v="3"/>
    <s v="Fair"/>
    <n v="3"/>
    <n v="2"/>
    <n v="0"/>
    <n v="2"/>
  </r>
  <r>
    <n v="1856176"/>
    <n v="42"/>
    <x v="0"/>
    <s v="No"/>
    <x v="0"/>
    <x v="0"/>
    <n v="1059"/>
    <x v="2"/>
    <n v="9"/>
    <n v="2"/>
    <x v="1"/>
    <n v="1"/>
    <n v="4"/>
    <x v="1"/>
    <n v="93"/>
    <n v="2"/>
    <n v="5"/>
    <s v="Other"/>
    <n v="4"/>
    <s v="Good"/>
    <x v="0"/>
    <n v="19613"/>
    <x v="2"/>
    <n v="26362"/>
    <n v="8"/>
    <s v="Y"/>
    <s v="No"/>
    <n v="22"/>
    <x v="1"/>
    <s v="High Performance"/>
    <n v="4"/>
    <n v="80"/>
    <n v="0"/>
    <n v="24"/>
    <n v="2"/>
    <n v="3"/>
    <s v="Fair"/>
    <n v="1"/>
    <n v="0"/>
    <n v="0"/>
    <n v="1"/>
  </r>
  <r>
    <n v="1106946"/>
    <n v="35"/>
    <x v="2"/>
    <s v="No"/>
    <x v="0"/>
    <x v="0"/>
    <n v="750"/>
    <x v="1"/>
    <n v="28"/>
    <n v="3"/>
    <x v="0"/>
    <n v="1"/>
    <n v="2"/>
    <x v="1"/>
    <n v="46"/>
    <n v="4"/>
    <n v="2"/>
    <s v="Nurse"/>
    <n v="3"/>
    <s v="Fair"/>
    <x v="1"/>
    <n v="3407"/>
    <x v="1"/>
    <n v="25348"/>
    <n v="1"/>
    <s v="Y"/>
    <s v="No"/>
    <n v="17"/>
    <x v="0"/>
    <s v="Low Performance"/>
    <n v="4"/>
    <n v="80"/>
    <n v="2"/>
    <n v="10"/>
    <n v="3"/>
    <n v="2"/>
    <s v="Poor"/>
    <n v="10"/>
    <n v="9"/>
    <n v="6"/>
    <n v="8"/>
  </r>
  <r>
    <n v="1866800"/>
    <n v="34"/>
    <x v="2"/>
    <s v="No"/>
    <x v="0"/>
    <x v="1"/>
    <n v="653"/>
    <x v="1"/>
    <n v="10"/>
    <n v="4"/>
    <x v="4"/>
    <n v="1"/>
    <n v="4"/>
    <x v="1"/>
    <n v="92"/>
    <n v="2"/>
    <n v="2"/>
    <s v="Nurse"/>
    <n v="3"/>
    <s v="Fair"/>
    <x v="1"/>
    <n v="5063"/>
    <x v="0"/>
    <n v="15332"/>
    <n v="1"/>
    <s v="Y"/>
    <s v="No"/>
    <n v="14"/>
    <x v="0"/>
    <s v="Low Performance"/>
    <n v="2"/>
    <n v="80"/>
    <n v="1"/>
    <n v="8"/>
    <n v="3"/>
    <n v="2"/>
    <s v="Poor"/>
    <n v="8"/>
    <n v="2"/>
    <n v="7"/>
    <n v="7"/>
  </r>
  <r>
    <n v="1492385"/>
    <n v="40"/>
    <x v="0"/>
    <s v="No"/>
    <x v="0"/>
    <x v="0"/>
    <n v="118"/>
    <x v="0"/>
    <n v="14"/>
    <n v="2"/>
    <x v="0"/>
    <n v="1"/>
    <n v="4"/>
    <x v="0"/>
    <n v="84"/>
    <n v="3"/>
    <n v="2"/>
    <s v="Nurse"/>
    <n v="1"/>
    <s v="Poor"/>
    <x v="1"/>
    <n v="4639"/>
    <x v="1"/>
    <n v="11262"/>
    <n v="1"/>
    <s v="Y"/>
    <s v="No"/>
    <n v="15"/>
    <x v="0"/>
    <s v="Low Performance"/>
    <n v="3"/>
    <n v="80"/>
    <n v="1"/>
    <n v="5"/>
    <n v="2"/>
    <n v="3"/>
    <s v="Fair"/>
    <n v="5"/>
    <n v="4"/>
    <n v="1"/>
    <n v="2"/>
  </r>
  <r>
    <n v="1463621"/>
    <n v="43"/>
    <x v="0"/>
    <s v="No"/>
    <x v="0"/>
    <x v="0"/>
    <n v="990"/>
    <x v="1"/>
    <n v="27"/>
    <n v="3"/>
    <x v="4"/>
    <n v="1"/>
    <n v="4"/>
    <x v="1"/>
    <n v="87"/>
    <n v="4"/>
    <n v="1"/>
    <s v="Nurse"/>
    <n v="2"/>
    <s v="Poor"/>
    <x v="2"/>
    <n v="4876"/>
    <x v="1"/>
    <n v="5855"/>
    <n v="5"/>
    <s v="Y"/>
    <s v="No"/>
    <n v="12"/>
    <x v="0"/>
    <s v="Low Performance"/>
    <n v="3"/>
    <n v="80"/>
    <n v="1"/>
    <n v="8"/>
    <n v="0"/>
    <n v="3"/>
    <s v="Fair"/>
    <n v="6"/>
    <n v="4"/>
    <n v="0"/>
    <n v="2"/>
  </r>
  <r>
    <n v="1562191"/>
    <n v="35"/>
    <x v="2"/>
    <s v="No"/>
    <x v="0"/>
    <x v="0"/>
    <n v="1349"/>
    <x v="1"/>
    <n v="7"/>
    <n v="2"/>
    <x v="0"/>
    <n v="1"/>
    <n v="3"/>
    <x v="1"/>
    <n v="63"/>
    <n v="2"/>
    <n v="1"/>
    <s v="Nurse"/>
    <n v="4"/>
    <s v="Good"/>
    <x v="1"/>
    <n v="2690"/>
    <x v="1"/>
    <n v="7713"/>
    <n v="1"/>
    <s v="Y"/>
    <s v="No"/>
    <n v="18"/>
    <x v="0"/>
    <s v="Low Performance"/>
    <n v="4"/>
    <n v="80"/>
    <n v="1"/>
    <n v="1"/>
    <n v="5"/>
    <n v="2"/>
    <s v="Poor"/>
    <n v="1"/>
    <n v="0"/>
    <n v="0"/>
    <n v="1"/>
  </r>
  <r>
    <n v="1801915"/>
    <n v="46"/>
    <x v="1"/>
    <s v="No"/>
    <x v="0"/>
    <x v="0"/>
    <n v="563"/>
    <x v="0"/>
    <n v="1"/>
    <n v="4"/>
    <x v="0"/>
    <n v="1"/>
    <n v="4"/>
    <x v="1"/>
    <n v="56"/>
    <n v="4"/>
    <n v="4"/>
    <s v="Administrative"/>
    <n v="1"/>
    <s v="Poor"/>
    <x v="0"/>
    <n v="17567"/>
    <x v="2"/>
    <n v="3156"/>
    <n v="1"/>
    <s v="Y"/>
    <s v="No"/>
    <n v="15"/>
    <x v="0"/>
    <s v="Low Performance"/>
    <n v="2"/>
    <n v="80"/>
    <n v="0"/>
    <n v="27"/>
    <n v="5"/>
    <n v="1"/>
    <s v="Poor"/>
    <n v="26"/>
    <n v="0"/>
    <n v="0"/>
    <n v="12"/>
  </r>
  <r>
    <n v="1064286"/>
    <n v="28"/>
    <x v="2"/>
    <s v="Yes"/>
    <x v="1"/>
    <x v="0"/>
    <n v="329"/>
    <x v="1"/>
    <n v="24"/>
    <n v="3"/>
    <x v="2"/>
    <n v="1"/>
    <n v="3"/>
    <x v="1"/>
    <n v="51"/>
    <n v="3"/>
    <n v="1"/>
    <s v="Nurse"/>
    <n v="2"/>
    <s v="Poor"/>
    <x v="1"/>
    <n v="2408"/>
    <x v="1"/>
    <n v="7324"/>
    <n v="1"/>
    <s v="Y"/>
    <s v="Yes"/>
    <n v="17"/>
    <x v="0"/>
    <s v="Low Performance"/>
    <n v="3"/>
    <n v="80"/>
    <n v="3"/>
    <n v="1"/>
    <n v="3"/>
    <n v="3"/>
    <s v="Fair"/>
    <n v="1"/>
    <n v="1"/>
    <n v="0"/>
    <n v="0"/>
  </r>
  <r>
    <n v="1494533"/>
    <n v="22"/>
    <x v="4"/>
    <s v="Yes"/>
    <x v="1"/>
    <x v="2"/>
    <n v="457"/>
    <x v="1"/>
    <n v="26"/>
    <n v="2"/>
    <x v="1"/>
    <n v="1"/>
    <n v="2"/>
    <x v="0"/>
    <n v="85"/>
    <n v="2"/>
    <n v="1"/>
    <s v="Other"/>
    <n v="3"/>
    <s v="Fair"/>
    <x v="1"/>
    <n v="2814"/>
    <x v="1"/>
    <n v="10293"/>
    <n v="1"/>
    <s v="Y"/>
    <s v="Yes"/>
    <n v="14"/>
    <x v="0"/>
    <s v="Low Performance"/>
    <n v="2"/>
    <n v="80"/>
    <n v="0"/>
    <n v="4"/>
    <n v="2"/>
    <n v="2"/>
    <s v="Poor"/>
    <n v="4"/>
    <n v="2"/>
    <n v="1"/>
    <n v="3"/>
  </r>
  <r>
    <n v="1618456"/>
    <n v="50"/>
    <x v="1"/>
    <s v="No"/>
    <x v="0"/>
    <x v="1"/>
    <n v="1234"/>
    <x v="1"/>
    <n v="20"/>
    <n v="5"/>
    <x v="2"/>
    <n v="1"/>
    <n v="2"/>
    <x v="1"/>
    <n v="41"/>
    <n v="3"/>
    <n v="4"/>
    <s v="Nurse"/>
    <n v="3"/>
    <s v="Fair"/>
    <x v="1"/>
    <n v="11245"/>
    <x v="0"/>
    <n v="20689"/>
    <n v="2"/>
    <s v="Y"/>
    <s v="Yes"/>
    <n v="15"/>
    <x v="0"/>
    <s v="Low Performance"/>
    <n v="3"/>
    <n v="80"/>
    <n v="1"/>
    <n v="32"/>
    <n v="3"/>
    <n v="3"/>
    <s v="Fair"/>
    <n v="30"/>
    <n v="8"/>
    <n v="12"/>
    <n v="13"/>
  </r>
  <r>
    <n v="1072876"/>
    <n v="32"/>
    <x v="2"/>
    <s v="No"/>
    <x v="0"/>
    <x v="0"/>
    <n v="634"/>
    <x v="1"/>
    <n v="5"/>
    <n v="4"/>
    <x v="1"/>
    <n v="1"/>
    <n v="2"/>
    <x v="0"/>
    <n v="35"/>
    <n v="4"/>
    <n v="1"/>
    <s v="Other"/>
    <n v="4"/>
    <s v="Good"/>
    <x v="1"/>
    <n v="3312"/>
    <x v="1"/>
    <n v="18783"/>
    <n v="3"/>
    <s v="Y"/>
    <s v="No"/>
    <n v="17"/>
    <x v="0"/>
    <s v="Low Performance"/>
    <n v="4"/>
    <n v="80"/>
    <n v="2"/>
    <n v="6"/>
    <n v="3"/>
    <n v="3"/>
    <s v="Fair"/>
    <n v="3"/>
    <n v="2"/>
    <n v="0"/>
    <n v="2"/>
  </r>
  <r>
    <n v="1393835"/>
    <n v="44"/>
    <x v="0"/>
    <s v="No"/>
    <x v="0"/>
    <x v="0"/>
    <n v="1313"/>
    <x v="1"/>
    <n v="7"/>
    <n v="3"/>
    <x v="2"/>
    <n v="1"/>
    <n v="2"/>
    <x v="0"/>
    <n v="31"/>
    <n v="3"/>
    <n v="5"/>
    <s v="Administrative"/>
    <n v="4"/>
    <s v="Good"/>
    <x v="2"/>
    <n v="19049"/>
    <x v="2"/>
    <n v="3549"/>
    <n v="0"/>
    <s v="Y"/>
    <s v="Yes"/>
    <n v="14"/>
    <x v="0"/>
    <s v="Low Performance"/>
    <n v="4"/>
    <n v="80"/>
    <n v="1"/>
    <n v="23"/>
    <n v="4"/>
    <n v="2"/>
    <s v="Poor"/>
    <n v="22"/>
    <n v="7"/>
    <n v="1"/>
    <n v="10"/>
  </r>
  <r>
    <n v="1466602"/>
    <n v="30"/>
    <x v="2"/>
    <s v="No"/>
    <x v="0"/>
    <x v="0"/>
    <n v="241"/>
    <x v="1"/>
    <n v="7"/>
    <n v="3"/>
    <x v="2"/>
    <n v="1"/>
    <n v="2"/>
    <x v="1"/>
    <n v="48"/>
    <n v="2"/>
    <n v="1"/>
    <s v="Other"/>
    <n v="2"/>
    <s v="Poor"/>
    <x v="1"/>
    <n v="2141"/>
    <x v="1"/>
    <n v="5348"/>
    <n v="1"/>
    <s v="Y"/>
    <s v="No"/>
    <n v="12"/>
    <x v="0"/>
    <s v="Low Performance"/>
    <n v="2"/>
    <n v="80"/>
    <n v="1"/>
    <n v="6"/>
    <n v="3"/>
    <n v="2"/>
    <s v="Poor"/>
    <n v="6"/>
    <n v="4"/>
    <n v="1"/>
    <n v="1"/>
  </r>
  <r>
    <n v="1135463"/>
    <n v="45"/>
    <x v="0"/>
    <s v="No"/>
    <x v="0"/>
    <x v="0"/>
    <n v="1015"/>
    <x v="1"/>
    <n v="5"/>
    <n v="5"/>
    <x v="2"/>
    <n v="1"/>
    <n v="3"/>
    <x v="0"/>
    <n v="50"/>
    <n v="1"/>
    <n v="2"/>
    <s v="Nurse"/>
    <n v="1"/>
    <s v="Poor"/>
    <x v="0"/>
    <n v="5769"/>
    <x v="0"/>
    <n v="23447"/>
    <n v="1"/>
    <s v="Y"/>
    <s v="Yes"/>
    <n v="14"/>
    <x v="0"/>
    <s v="Low Performance"/>
    <n v="1"/>
    <n v="80"/>
    <n v="0"/>
    <n v="10"/>
    <n v="3"/>
    <n v="3"/>
    <s v="Fair"/>
    <n v="10"/>
    <n v="7"/>
    <n v="1"/>
    <n v="4"/>
  </r>
  <r>
    <n v="1792202"/>
    <n v="45"/>
    <x v="0"/>
    <s v="No"/>
    <x v="0"/>
    <x v="2"/>
    <n v="336"/>
    <x v="0"/>
    <n v="26"/>
    <n v="3"/>
    <x v="3"/>
    <n v="1"/>
    <n v="1"/>
    <x v="1"/>
    <n v="52"/>
    <n v="2"/>
    <n v="2"/>
    <s v="Nurse"/>
    <n v="1"/>
    <s v="Poor"/>
    <x v="1"/>
    <n v="4385"/>
    <x v="1"/>
    <n v="24162"/>
    <n v="1"/>
    <s v="Y"/>
    <s v="No"/>
    <n v="15"/>
    <x v="0"/>
    <s v="Low Performance"/>
    <n v="1"/>
    <n v="80"/>
    <n v="1"/>
    <n v="10"/>
    <n v="2"/>
    <n v="3"/>
    <s v="Fair"/>
    <n v="10"/>
    <n v="7"/>
    <n v="4"/>
    <n v="5"/>
  </r>
  <r>
    <n v="1428612"/>
    <n v="31"/>
    <x v="2"/>
    <s v="No"/>
    <x v="0"/>
    <x v="1"/>
    <n v="715"/>
    <x v="0"/>
    <n v="2"/>
    <n v="4"/>
    <x v="1"/>
    <n v="1"/>
    <n v="4"/>
    <x v="1"/>
    <n v="54"/>
    <n v="3"/>
    <n v="2"/>
    <s v="Nurse"/>
    <n v="1"/>
    <s v="Poor"/>
    <x v="0"/>
    <n v="5332"/>
    <x v="0"/>
    <n v="21602"/>
    <n v="7"/>
    <s v="Y"/>
    <s v="No"/>
    <n v="13"/>
    <x v="0"/>
    <s v="Low Performance"/>
    <n v="4"/>
    <n v="80"/>
    <n v="0"/>
    <n v="10"/>
    <n v="3"/>
    <n v="3"/>
    <s v="Fair"/>
    <n v="5"/>
    <n v="2"/>
    <n v="0"/>
    <n v="3"/>
  </r>
  <r>
    <n v="1831818"/>
    <n v="36"/>
    <x v="0"/>
    <s v="No"/>
    <x v="0"/>
    <x v="0"/>
    <n v="559"/>
    <x v="1"/>
    <n v="12"/>
    <n v="4"/>
    <x v="0"/>
    <n v="1"/>
    <n v="3"/>
    <x v="0"/>
    <n v="76"/>
    <n v="3"/>
    <n v="2"/>
    <s v="Therapist"/>
    <n v="3"/>
    <s v="Fair"/>
    <x v="1"/>
    <n v="4663"/>
    <x v="1"/>
    <n v="12421"/>
    <n v="9"/>
    <s v="Y"/>
    <s v="Yes"/>
    <n v="12"/>
    <x v="0"/>
    <s v="Low Performance"/>
    <n v="2"/>
    <n v="80"/>
    <n v="2"/>
    <n v="7"/>
    <n v="2"/>
    <n v="3"/>
    <s v="Fair"/>
    <n v="3"/>
    <n v="2"/>
    <n v="1"/>
    <n v="1"/>
  </r>
  <r>
    <n v="1624104"/>
    <n v="34"/>
    <x v="2"/>
    <s v="No"/>
    <x v="0"/>
    <x v="1"/>
    <n v="426"/>
    <x v="1"/>
    <n v="10"/>
    <n v="4"/>
    <x v="0"/>
    <n v="1"/>
    <n v="3"/>
    <x v="1"/>
    <n v="42"/>
    <n v="4"/>
    <n v="2"/>
    <s v="Therapist"/>
    <n v="4"/>
    <s v="Good"/>
    <x v="2"/>
    <n v="4724"/>
    <x v="1"/>
    <n v="17000"/>
    <n v="1"/>
    <s v="Y"/>
    <s v="No"/>
    <n v="13"/>
    <x v="0"/>
    <s v="Low Performance"/>
    <n v="1"/>
    <n v="80"/>
    <n v="1"/>
    <n v="9"/>
    <n v="3"/>
    <n v="3"/>
    <s v="Fair"/>
    <n v="9"/>
    <n v="7"/>
    <n v="7"/>
    <n v="2"/>
  </r>
  <r>
    <n v="1594457"/>
    <n v="49"/>
    <x v="1"/>
    <s v="No"/>
    <x v="0"/>
    <x v="0"/>
    <n v="722"/>
    <x v="1"/>
    <n v="25"/>
    <n v="4"/>
    <x v="0"/>
    <n v="1"/>
    <n v="3"/>
    <x v="0"/>
    <n v="84"/>
    <n v="3"/>
    <n v="1"/>
    <s v="Nurse"/>
    <n v="1"/>
    <s v="Poor"/>
    <x v="1"/>
    <n v="3211"/>
    <x v="1"/>
    <n v="22102"/>
    <n v="1"/>
    <s v="Y"/>
    <s v="No"/>
    <n v="14"/>
    <x v="0"/>
    <s v="Low Performance"/>
    <n v="4"/>
    <n v="80"/>
    <n v="1"/>
    <n v="10"/>
    <n v="3"/>
    <n v="2"/>
    <s v="Poor"/>
    <n v="9"/>
    <n v="6"/>
    <n v="1"/>
    <n v="4"/>
  </r>
  <r>
    <n v="1871083"/>
    <n v="39"/>
    <x v="0"/>
    <s v="No"/>
    <x v="0"/>
    <x v="0"/>
    <n v="1387"/>
    <x v="1"/>
    <n v="10"/>
    <n v="5"/>
    <x v="2"/>
    <n v="1"/>
    <n v="2"/>
    <x v="1"/>
    <n v="76"/>
    <n v="3"/>
    <n v="2"/>
    <s v="Therapist"/>
    <n v="1"/>
    <s v="Poor"/>
    <x v="1"/>
    <n v="5377"/>
    <x v="0"/>
    <n v="3835"/>
    <n v="2"/>
    <s v="Y"/>
    <s v="No"/>
    <n v="13"/>
    <x v="0"/>
    <s v="Low Performance"/>
    <n v="4"/>
    <n v="80"/>
    <n v="3"/>
    <n v="10"/>
    <n v="3"/>
    <n v="3"/>
    <s v="Fair"/>
    <n v="7"/>
    <n v="7"/>
    <n v="7"/>
    <n v="7"/>
  </r>
  <r>
    <n v="1448152"/>
    <n v="27"/>
    <x v="2"/>
    <s v="No"/>
    <x v="0"/>
    <x v="0"/>
    <n v="1302"/>
    <x v="1"/>
    <n v="19"/>
    <n v="3"/>
    <x v="1"/>
    <n v="1"/>
    <n v="4"/>
    <x v="1"/>
    <n v="67"/>
    <n v="2"/>
    <n v="1"/>
    <s v="Nurse"/>
    <n v="1"/>
    <s v="Poor"/>
    <x v="2"/>
    <n v="4066"/>
    <x v="1"/>
    <n v="16290"/>
    <n v="1"/>
    <s v="Y"/>
    <s v="No"/>
    <n v="11"/>
    <x v="0"/>
    <s v="Low Performance"/>
    <n v="1"/>
    <n v="80"/>
    <n v="2"/>
    <n v="7"/>
    <n v="3"/>
    <n v="3"/>
    <s v="Fair"/>
    <n v="7"/>
    <n v="7"/>
    <n v="0"/>
    <n v="7"/>
  </r>
  <r>
    <n v="1577752"/>
    <n v="35"/>
    <x v="2"/>
    <s v="No"/>
    <x v="0"/>
    <x v="0"/>
    <n v="819"/>
    <x v="1"/>
    <n v="18"/>
    <n v="5"/>
    <x v="0"/>
    <n v="1"/>
    <n v="2"/>
    <x v="1"/>
    <n v="48"/>
    <n v="4"/>
    <n v="2"/>
    <s v="Other"/>
    <n v="1"/>
    <s v="Poor"/>
    <x v="1"/>
    <n v="5208"/>
    <x v="0"/>
    <n v="26312"/>
    <n v="1"/>
    <s v="Y"/>
    <s v="No"/>
    <n v="11"/>
    <x v="0"/>
    <s v="Low Performance"/>
    <n v="4"/>
    <n v="80"/>
    <n v="0"/>
    <n v="16"/>
    <n v="2"/>
    <n v="3"/>
    <s v="Fair"/>
    <n v="16"/>
    <n v="15"/>
    <n v="1"/>
    <n v="10"/>
  </r>
  <r>
    <n v="1475967"/>
    <n v="28"/>
    <x v="2"/>
    <s v="No"/>
    <x v="0"/>
    <x v="0"/>
    <n v="580"/>
    <x v="1"/>
    <n v="27"/>
    <n v="3"/>
    <x v="2"/>
    <n v="1"/>
    <n v="2"/>
    <x v="0"/>
    <n v="39"/>
    <n v="1"/>
    <n v="2"/>
    <s v="Therapist"/>
    <n v="1"/>
    <s v="Poor"/>
    <x v="2"/>
    <n v="4877"/>
    <x v="1"/>
    <n v="20460"/>
    <n v="0"/>
    <s v="Y"/>
    <s v="No"/>
    <n v="21"/>
    <x v="1"/>
    <s v="High Performance"/>
    <n v="2"/>
    <n v="80"/>
    <n v="1"/>
    <n v="6"/>
    <n v="5"/>
    <n v="2"/>
    <s v="Poor"/>
    <n v="5"/>
    <n v="3"/>
    <n v="0"/>
    <n v="0"/>
  </r>
  <r>
    <n v="1797790"/>
    <n v="21"/>
    <x v="4"/>
    <s v="No"/>
    <x v="0"/>
    <x v="0"/>
    <n v="546"/>
    <x v="1"/>
    <n v="5"/>
    <n v="1"/>
    <x v="2"/>
    <n v="1"/>
    <n v="3"/>
    <x v="1"/>
    <n v="97"/>
    <n v="3"/>
    <n v="1"/>
    <s v="Other"/>
    <n v="4"/>
    <s v="Good"/>
    <x v="0"/>
    <n v="3117"/>
    <x v="1"/>
    <n v="26009"/>
    <n v="1"/>
    <s v="Y"/>
    <s v="No"/>
    <n v="18"/>
    <x v="0"/>
    <s v="Low Performance"/>
    <n v="3"/>
    <n v="80"/>
    <n v="0"/>
    <n v="3"/>
    <n v="2"/>
    <n v="3"/>
    <s v="Fair"/>
    <n v="2"/>
    <n v="2"/>
    <n v="2"/>
    <n v="2"/>
  </r>
  <r>
    <n v="1741354"/>
    <n v="18"/>
    <x v="4"/>
    <s v="Yes"/>
    <x v="1"/>
    <x v="1"/>
    <n v="544"/>
    <x v="0"/>
    <n v="3"/>
    <n v="2"/>
    <x v="2"/>
    <n v="1"/>
    <n v="2"/>
    <x v="0"/>
    <n v="70"/>
    <n v="3"/>
    <n v="1"/>
    <s v="Other"/>
    <n v="4"/>
    <s v="Good"/>
    <x v="0"/>
    <n v="1569"/>
    <x v="1"/>
    <n v="18420"/>
    <n v="1"/>
    <s v="Y"/>
    <s v="Yes"/>
    <n v="12"/>
    <x v="0"/>
    <s v="Low Performance"/>
    <n v="3"/>
    <n v="80"/>
    <n v="0"/>
    <n v="0"/>
    <n v="2"/>
    <n v="4"/>
    <s v="Good"/>
    <n v="0"/>
    <n v="0"/>
    <n v="0"/>
    <n v="0"/>
  </r>
  <r>
    <n v="1665873"/>
    <n v="47"/>
    <x v="1"/>
    <s v="No"/>
    <x v="0"/>
    <x v="0"/>
    <n v="1176"/>
    <x v="2"/>
    <n v="26"/>
    <n v="4"/>
    <x v="0"/>
    <n v="1"/>
    <n v="4"/>
    <x v="0"/>
    <n v="98"/>
    <n v="3"/>
    <n v="5"/>
    <s v="Administrative"/>
    <n v="3"/>
    <s v="Fair"/>
    <x v="1"/>
    <n v="19658"/>
    <x v="2"/>
    <n v="5220"/>
    <n v="3"/>
    <s v="Y"/>
    <s v="No"/>
    <n v="11"/>
    <x v="0"/>
    <s v="Low Performance"/>
    <n v="3"/>
    <n v="80"/>
    <n v="1"/>
    <n v="27"/>
    <n v="2"/>
    <n v="3"/>
    <s v="Fair"/>
    <n v="5"/>
    <n v="2"/>
    <n v="1"/>
    <n v="0"/>
  </r>
  <r>
    <n v="1604086"/>
    <n v="39"/>
    <x v="0"/>
    <s v="No"/>
    <x v="0"/>
    <x v="0"/>
    <n v="170"/>
    <x v="1"/>
    <n v="3"/>
    <n v="2"/>
    <x v="2"/>
    <n v="1"/>
    <n v="3"/>
    <x v="1"/>
    <n v="76"/>
    <n v="2"/>
    <n v="2"/>
    <s v="Nurse"/>
    <n v="3"/>
    <s v="Fair"/>
    <x v="2"/>
    <n v="3069"/>
    <x v="1"/>
    <n v="10302"/>
    <n v="0"/>
    <s v="Y"/>
    <s v="No"/>
    <n v="15"/>
    <x v="0"/>
    <s v="Low Performance"/>
    <n v="4"/>
    <n v="80"/>
    <n v="1"/>
    <n v="11"/>
    <n v="3"/>
    <n v="3"/>
    <s v="Fair"/>
    <n v="10"/>
    <n v="8"/>
    <n v="0"/>
    <n v="7"/>
  </r>
  <r>
    <n v="1687357"/>
    <n v="40"/>
    <x v="0"/>
    <s v="No"/>
    <x v="0"/>
    <x v="0"/>
    <n v="884"/>
    <x v="1"/>
    <n v="15"/>
    <n v="3"/>
    <x v="0"/>
    <n v="1"/>
    <n v="1"/>
    <x v="0"/>
    <n v="80"/>
    <n v="2"/>
    <n v="3"/>
    <s v="Therapist"/>
    <n v="3"/>
    <s v="Fair"/>
    <x v="1"/>
    <n v="10435"/>
    <x v="0"/>
    <n v="25800"/>
    <n v="1"/>
    <s v="Y"/>
    <s v="No"/>
    <n v="13"/>
    <x v="0"/>
    <s v="Low Performance"/>
    <n v="4"/>
    <n v="80"/>
    <n v="2"/>
    <n v="18"/>
    <n v="2"/>
    <n v="3"/>
    <s v="Fair"/>
    <n v="18"/>
    <n v="15"/>
    <n v="14"/>
    <n v="12"/>
  </r>
  <r>
    <n v="1645854"/>
    <n v="35"/>
    <x v="2"/>
    <s v="No"/>
    <x v="0"/>
    <x v="2"/>
    <n v="208"/>
    <x v="1"/>
    <n v="8"/>
    <n v="4"/>
    <x v="0"/>
    <n v="1"/>
    <n v="3"/>
    <x v="0"/>
    <n v="52"/>
    <n v="3"/>
    <n v="2"/>
    <s v="Nurse"/>
    <n v="3"/>
    <s v="Fair"/>
    <x v="1"/>
    <n v="4148"/>
    <x v="1"/>
    <n v="12250"/>
    <n v="1"/>
    <s v="Y"/>
    <s v="No"/>
    <n v="12"/>
    <x v="0"/>
    <s v="Low Performance"/>
    <n v="4"/>
    <n v="80"/>
    <n v="1"/>
    <n v="15"/>
    <n v="5"/>
    <n v="3"/>
    <s v="Fair"/>
    <n v="14"/>
    <n v="11"/>
    <n v="2"/>
    <n v="9"/>
  </r>
  <r>
    <n v="1693873"/>
    <n v="37"/>
    <x v="0"/>
    <s v="No"/>
    <x v="0"/>
    <x v="0"/>
    <n v="671"/>
    <x v="1"/>
    <n v="19"/>
    <n v="3"/>
    <x v="0"/>
    <n v="1"/>
    <n v="3"/>
    <x v="1"/>
    <n v="85"/>
    <n v="3"/>
    <n v="2"/>
    <s v="Therapist"/>
    <n v="3"/>
    <s v="Fair"/>
    <x v="1"/>
    <n v="5768"/>
    <x v="0"/>
    <n v="26493"/>
    <n v="3"/>
    <s v="Y"/>
    <s v="No"/>
    <n v="17"/>
    <x v="0"/>
    <s v="Low Performance"/>
    <n v="1"/>
    <n v="80"/>
    <n v="3"/>
    <n v="9"/>
    <n v="2"/>
    <n v="2"/>
    <s v="Poor"/>
    <n v="4"/>
    <n v="3"/>
    <n v="0"/>
    <n v="2"/>
  </r>
  <r>
    <n v="1032199"/>
    <n v="39"/>
    <x v="0"/>
    <s v="No"/>
    <x v="0"/>
    <x v="1"/>
    <n v="711"/>
    <x v="2"/>
    <n v="4"/>
    <n v="3"/>
    <x v="2"/>
    <n v="1"/>
    <n v="1"/>
    <x v="0"/>
    <n v="81"/>
    <n v="3"/>
    <n v="2"/>
    <s v="Therapist"/>
    <n v="3"/>
    <s v="Fair"/>
    <x v="0"/>
    <n v="5042"/>
    <x v="0"/>
    <n v="3140"/>
    <n v="0"/>
    <s v="Y"/>
    <s v="No"/>
    <n v="13"/>
    <x v="0"/>
    <s v="Low Performance"/>
    <n v="4"/>
    <n v="80"/>
    <n v="0"/>
    <n v="10"/>
    <n v="2"/>
    <n v="1"/>
    <s v="Poor"/>
    <n v="9"/>
    <n v="2"/>
    <n v="3"/>
    <n v="8"/>
  </r>
  <r>
    <n v="1646893"/>
    <n v="45"/>
    <x v="0"/>
    <s v="No"/>
    <x v="0"/>
    <x v="0"/>
    <n v="1329"/>
    <x v="2"/>
    <n v="2"/>
    <n v="2"/>
    <x v="1"/>
    <n v="1"/>
    <n v="4"/>
    <x v="0"/>
    <n v="59"/>
    <n v="2"/>
    <n v="2"/>
    <s v="Therapist"/>
    <n v="4"/>
    <s v="Good"/>
    <x v="2"/>
    <n v="5770"/>
    <x v="0"/>
    <n v="5388"/>
    <n v="1"/>
    <s v="Y"/>
    <s v="No"/>
    <n v="19"/>
    <x v="0"/>
    <s v="Low Performance"/>
    <n v="1"/>
    <n v="80"/>
    <n v="2"/>
    <n v="10"/>
    <n v="3"/>
    <n v="3"/>
    <s v="Fair"/>
    <n v="10"/>
    <n v="7"/>
    <n v="3"/>
    <n v="9"/>
  </r>
  <r>
    <n v="1641732"/>
    <n v="38"/>
    <x v="0"/>
    <s v="No"/>
    <x v="0"/>
    <x v="0"/>
    <n v="397"/>
    <x v="2"/>
    <n v="2"/>
    <n v="2"/>
    <x v="2"/>
    <n v="1"/>
    <n v="4"/>
    <x v="0"/>
    <n v="54"/>
    <n v="2"/>
    <n v="3"/>
    <s v="Therapist"/>
    <n v="3"/>
    <s v="Fair"/>
    <x v="1"/>
    <n v="7756"/>
    <x v="0"/>
    <n v="14199"/>
    <n v="3"/>
    <s v="Y"/>
    <s v="Yes"/>
    <n v="19"/>
    <x v="0"/>
    <s v="Low Performance"/>
    <n v="4"/>
    <n v="80"/>
    <n v="1"/>
    <n v="10"/>
    <n v="6"/>
    <n v="4"/>
    <s v="Good"/>
    <n v="5"/>
    <n v="4"/>
    <n v="0"/>
    <n v="2"/>
  </r>
  <r>
    <n v="1626748"/>
    <n v="35"/>
    <x v="2"/>
    <s v="No"/>
    <x v="0"/>
    <x v="0"/>
    <n v="737"/>
    <x v="0"/>
    <n v="10"/>
    <n v="3"/>
    <x v="2"/>
    <n v="1"/>
    <n v="4"/>
    <x v="1"/>
    <n v="55"/>
    <n v="2"/>
    <n v="3"/>
    <s v="Nurse"/>
    <n v="1"/>
    <s v="Poor"/>
    <x v="1"/>
    <n v="10306"/>
    <x v="0"/>
    <n v="21530"/>
    <n v="9"/>
    <s v="Y"/>
    <s v="No"/>
    <n v="17"/>
    <x v="0"/>
    <s v="Low Performance"/>
    <n v="3"/>
    <n v="80"/>
    <n v="0"/>
    <n v="15"/>
    <n v="3"/>
    <n v="3"/>
    <s v="Fair"/>
    <n v="13"/>
    <n v="12"/>
    <n v="6"/>
    <n v="0"/>
  </r>
  <r>
    <n v="1552731"/>
    <n v="37"/>
    <x v="0"/>
    <s v="No"/>
    <x v="0"/>
    <x v="0"/>
    <n v="1470"/>
    <x v="1"/>
    <n v="10"/>
    <n v="3"/>
    <x v="2"/>
    <n v="1"/>
    <n v="2"/>
    <x v="0"/>
    <n v="71"/>
    <n v="3"/>
    <n v="1"/>
    <s v="Other"/>
    <n v="2"/>
    <s v="Poor"/>
    <x v="1"/>
    <n v="3936"/>
    <x v="1"/>
    <n v="9953"/>
    <n v="1"/>
    <s v="Y"/>
    <s v="No"/>
    <n v="11"/>
    <x v="0"/>
    <s v="Low Performance"/>
    <n v="1"/>
    <n v="80"/>
    <n v="1"/>
    <n v="8"/>
    <n v="2"/>
    <n v="1"/>
    <s v="Poor"/>
    <n v="8"/>
    <n v="4"/>
    <n v="7"/>
    <n v="7"/>
  </r>
  <r>
    <n v="1294986"/>
    <n v="40"/>
    <x v="0"/>
    <s v="No"/>
    <x v="0"/>
    <x v="0"/>
    <n v="448"/>
    <x v="1"/>
    <n v="16"/>
    <n v="3"/>
    <x v="0"/>
    <n v="1"/>
    <n v="3"/>
    <x v="0"/>
    <n v="84"/>
    <n v="3"/>
    <n v="3"/>
    <s v="Therapist"/>
    <n v="4"/>
    <s v="Good"/>
    <x v="0"/>
    <n v="7945"/>
    <x v="0"/>
    <n v="19948"/>
    <n v="6"/>
    <s v="Y"/>
    <s v="Yes"/>
    <n v="15"/>
    <x v="0"/>
    <s v="Low Performance"/>
    <n v="4"/>
    <n v="80"/>
    <n v="0"/>
    <n v="18"/>
    <n v="2"/>
    <n v="2"/>
    <s v="Poor"/>
    <n v="4"/>
    <n v="2"/>
    <n v="3"/>
    <n v="3"/>
  </r>
  <r>
    <n v="1219188"/>
    <n v="44"/>
    <x v="0"/>
    <s v="No"/>
    <x v="0"/>
    <x v="1"/>
    <n v="602"/>
    <x v="2"/>
    <n v="1"/>
    <n v="5"/>
    <x v="5"/>
    <n v="1"/>
    <n v="1"/>
    <x v="1"/>
    <n v="37"/>
    <n v="3"/>
    <n v="2"/>
    <s v="Other"/>
    <n v="4"/>
    <s v="Good"/>
    <x v="1"/>
    <n v="5743"/>
    <x v="0"/>
    <n v="10503"/>
    <n v="4"/>
    <s v="Y"/>
    <s v="Yes"/>
    <n v="11"/>
    <x v="0"/>
    <s v="Low Performance"/>
    <n v="3"/>
    <n v="80"/>
    <n v="0"/>
    <n v="14"/>
    <n v="3"/>
    <n v="3"/>
    <s v="Fair"/>
    <n v="10"/>
    <n v="7"/>
    <n v="0"/>
    <n v="2"/>
  </r>
  <r>
    <n v="1533221"/>
    <n v="48"/>
    <x v="1"/>
    <s v="No"/>
    <x v="0"/>
    <x v="1"/>
    <n v="365"/>
    <x v="2"/>
    <n v="4"/>
    <n v="5"/>
    <x v="2"/>
    <n v="1"/>
    <n v="3"/>
    <x v="1"/>
    <n v="89"/>
    <n v="2"/>
    <n v="4"/>
    <s v="Other"/>
    <n v="4"/>
    <s v="Good"/>
    <x v="1"/>
    <n v="15202"/>
    <x v="2"/>
    <n v="5602"/>
    <n v="2"/>
    <s v="Y"/>
    <s v="No"/>
    <n v="25"/>
    <x v="1"/>
    <s v="High Performance"/>
    <n v="2"/>
    <n v="80"/>
    <n v="1"/>
    <n v="23"/>
    <n v="3"/>
    <n v="3"/>
    <s v="Fair"/>
    <n v="2"/>
    <n v="2"/>
    <n v="2"/>
    <n v="2"/>
  </r>
  <r>
    <n v="1107055"/>
    <n v="35"/>
    <x v="2"/>
    <s v="Yes"/>
    <x v="1"/>
    <x v="0"/>
    <n v="763"/>
    <x v="0"/>
    <n v="15"/>
    <n v="2"/>
    <x v="2"/>
    <n v="1"/>
    <n v="1"/>
    <x v="1"/>
    <n v="59"/>
    <n v="1"/>
    <n v="2"/>
    <s v="Nurse"/>
    <n v="4"/>
    <s v="Good"/>
    <x v="2"/>
    <n v="5440"/>
    <x v="0"/>
    <n v="22098"/>
    <n v="6"/>
    <s v="Y"/>
    <s v="Yes"/>
    <n v="14"/>
    <x v="0"/>
    <s v="Low Performance"/>
    <n v="4"/>
    <n v="80"/>
    <n v="2"/>
    <n v="7"/>
    <n v="2"/>
    <n v="2"/>
    <s v="Poor"/>
    <n v="2"/>
    <n v="2"/>
    <n v="2"/>
    <n v="2"/>
  </r>
  <r>
    <n v="1644021"/>
    <n v="24"/>
    <x v="4"/>
    <s v="Yes"/>
    <x v="1"/>
    <x v="1"/>
    <n v="567"/>
    <x v="1"/>
    <n v="2"/>
    <n v="1"/>
    <x v="4"/>
    <n v="1"/>
    <n v="1"/>
    <x v="0"/>
    <n v="32"/>
    <n v="3"/>
    <n v="1"/>
    <s v="Other"/>
    <n v="4"/>
    <s v="Good"/>
    <x v="0"/>
    <n v="3760"/>
    <x v="1"/>
    <n v="17218"/>
    <n v="1"/>
    <s v="Y"/>
    <s v="Yes"/>
    <n v="13"/>
    <x v="0"/>
    <s v="Low Performance"/>
    <n v="3"/>
    <n v="80"/>
    <n v="0"/>
    <n v="6"/>
    <n v="2"/>
    <n v="3"/>
    <s v="Fair"/>
    <n v="6"/>
    <n v="3"/>
    <n v="1"/>
    <n v="3"/>
  </r>
  <r>
    <n v="1236753"/>
    <n v="27"/>
    <x v="2"/>
    <s v="No"/>
    <x v="0"/>
    <x v="0"/>
    <n v="486"/>
    <x v="1"/>
    <n v="8"/>
    <n v="3"/>
    <x v="2"/>
    <n v="1"/>
    <n v="2"/>
    <x v="0"/>
    <n v="86"/>
    <n v="4"/>
    <n v="1"/>
    <s v="Other"/>
    <n v="3"/>
    <s v="Fair"/>
    <x v="1"/>
    <n v="3517"/>
    <x v="1"/>
    <n v="22490"/>
    <n v="7"/>
    <s v="Y"/>
    <s v="No"/>
    <n v="17"/>
    <x v="0"/>
    <s v="Low Performance"/>
    <n v="1"/>
    <n v="80"/>
    <n v="0"/>
    <n v="5"/>
    <n v="0"/>
    <n v="3"/>
    <s v="Fair"/>
    <n v="3"/>
    <n v="2"/>
    <n v="0"/>
    <n v="2"/>
  </r>
  <r>
    <n v="1731640"/>
    <n v="27"/>
    <x v="2"/>
    <s v="No"/>
    <x v="0"/>
    <x v="1"/>
    <n v="591"/>
    <x v="1"/>
    <n v="2"/>
    <n v="3"/>
    <x v="2"/>
    <n v="1"/>
    <n v="4"/>
    <x v="1"/>
    <n v="87"/>
    <n v="3"/>
    <n v="1"/>
    <s v="Other"/>
    <n v="4"/>
    <s v="Good"/>
    <x v="0"/>
    <n v="2580"/>
    <x v="1"/>
    <n v="6297"/>
    <n v="2"/>
    <s v="Y"/>
    <s v="No"/>
    <n v="13"/>
    <x v="0"/>
    <s v="Low Performance"/>
    <n v="3"/>
    <n v="80"/>
    <n v="0"/>
    <n v="6"/>
    <n v="0"/>
    <n v="2"/>
    <s v="Poor"/>
    <n v="4"/>
    <n v="2"/>
    <n v="1"/>
    <n v="2"/>
  </r>
  <r>
    <n v="1883424"/>
    <n v="40"/>
    <x v="0"/>
    <s v="Yes"/>
    <x v="1"/>
    <x v="0"/>
    <n v="1329"/>
    <x v="1"/>
    <n v="7"/>
    <n v="3"/>
    <x v="0"/>
    <n v="1"/>
    <n v="1"/>
    <x v="1"/>
    <n v="73"/>
    <n v="3"/>
    <n v="1"/>
    <s v="Nurse"/>
    <n v="1"/>
    <s v="Poor"/>
    <x v="0"/>
    <n v="2166"/>
    <x v="1"/>
    <n v="3339"/>
    <n v="3"/>
    <s v="Y"/>
    <s v="Yes"/>
    <n v="14"/>
    <x v="0"/>
    <s v="Low Performance"/>
    <n v="2"/>
    <n v="80"/>
    <n v="0"/>
    <n v="10"/>
    <n v="3"/>
    <n v="1"/>
    <s v="Poor"/>
    <n v="4"/>
    <n v="2"/>
    <n v="0"/>
    <n v="3"/>
  </r>
  <r>
    <n v="1202416"/>
    <n v="29"/>
    <x v="2"/>
    <s v="No"/>
    <x v="0"/>
    <x v="0"/>
    <n v="469"/>
    <x v="0"/>
    <n v="10"/>
    <n v="3"/>
    <x v="2"/>
    <n v="1"/>
    <n v="3"/>
    <x v="1"/>
    <n v="42"/>
    <n v="2"/>
    <n v="2"/>
    <s v="Nurse"/>
    <n v="3"/>
    <s v="Fair"/>
    <x v="0"/>
    <n v="5869"/>
    <x v="0"/>
    <n v="23413"/>
    <n v="9"/>
    <s v="Y"/>
    <s v="No"/>
    <n v="11"/>
    <x v="0"/>
    <s v="Low Performance"/>
    <n v="3"/>
    <n v="80"/>
    <n v="0"/>
    <n v="8"/>
    <n v="2"/>
    <n v="3"/>
    <s v="Fair"/>
    <n v="5"/>
    <n v="2"/>
    <n v="1"/>
    <n v="4"/>
  </r>
  <r>
    <n v="1088912"/>
    <n v="36"/>
    <x v="0"/>
    <s v="No"/>
    <x v="0"/>
    <x v="0"/>
    <n v="711"/>
    <x v="1"/>
    <n v="5"/>
    <n v="4"/>
    <x v="0"/>
    <n v="1"/>
    <n v="2"/>
    <x v="0"/>
    <n v="42"/>
    <n v="3"/>
    <n v="3"/>
    <s v="Nurse"/>
    <n v="1"/>
    <s v="Poor"/>
    <x v="1"/>
    <n v="8008"/>
    <x v="0"/>
    <n v="22792"/>
    <n v="4"/>
    <s v="Y"/>
    <s v="No"/>
    <n v="12"/>
    <x v="0"/>
    <s v="Low Performance"/>
    <n v="3"/>
    <n v="80"/>
    <n v="2"/>
    <n v="9"/>
    <n v="6"/>
    <n v="3"/>
    <s v="Fair"/>
    <n v="3"/>
    <n v="2"/>
    <n v="0"/>
    <n v="2"/>
  </r>
  <r>
    <n v="1605956"/>
    <n v="25"/>
    <x v="4"/>
    <s v="No"/>
    <x v="0"/>
    <x v="1"/>
    <n v="772"/>
    <x v="2"/>
    <n v="2"/>
    <n v="1"/>
    <x v="0"/>
    <n v="1"/>
    <n v="4"/>
    <x v="1"/>
    <n v="77"/>
    <n v="4"/>
    <n v="2"/>
    <s v="Therapist"/>
    <n v="3"/>
    <s v="Fair"/>
    <x v="2"/>
    <n v="5206"/>
    <x v="0"/>
    <n v="4973"/>
    <n v="1"/>
    <s v="Y"/>
    <s v="No"/>
    <n v="17"/>
    <x v="0"/>
    <s v="Low Performance"/>
    <n v="3"/>
    <n v="80"/>
    <n v="2"/>
    <n v="7"/>
    <n v="6"/>
    <n v="3"/>
    <s v="Fair"/>
    <n v="7"/>
    <n v="7"/>
    <n v="0"/>
    <n v="7"/>
  </r>
  <r>
    <n v="1505937"/>
    <n v="39"/>
    <x v="0"/>
    <s v="No"/>
    <x v="0"/>
    <x v="0"/>
    <n v="492"/>
    <x v="1"/>
    <n v="12"/>
    <n v="3"/>
    <x v="2"/>
    <n v="1"/>
    <n v="4"/>
    <x v="1"/>
    <n v="66"/>
    <n v="3"/>
    <n v="2"/>
    <s v="Therapist"/>
    <n v="2"/>
    <s v="Poor"/>
    <x v="1"/>
    <n v="5295"/>
    <x v="0"/>
    <n v="7693"/>
    <n v="4"/>
    <s v="Y"/>
    <s v="No"/>
    <n v="21"/>
    <x v="1"/>
    <s v="High Performance"/>
    <n v="3"/>
    <n v="80"/>
    <n v="0"/>
    <n v="7"/>
    <n v="3"/>
    <n v="3"/>
    <s v="Fair"/>
    <n v="5"/>
    <n v="4"/>
    <n v="1"/>
    <n v="0"/>
  </r>
  <r>
    <n v="1399370"/>
    <n v="49"/>
    <x v="1"/>
    <s v="No"/>
    <x v="0"/>
    <x v="0"/>
    <n v="301"/>
    <x v="1"/>
    <n v="22"/>
    <n v="4"/>
    <x v="1"/>
    <n v="1"/>
    <n v="1"/>
    <x v="0"/>
    <n v="72"/>
    <n v="3"/>
    <n v="4"/>
    <s v="Administrative"/>
    <n v="2"/>
    <s v="Poor"/>
    <x v="1"/>
    <n v="16413"/>
    <x v="2"/>
    <n v="3498"/>
    <n v="3"/>
    <s v="Y"/>
    <s v="No"/>
    <n v="16"/>
    <x v="0"/>
    <s v="Low Performance"/>
    <n v="2"/>
    <n v="80"/>
    <n v="2"/>
    <n v="27"/>
    <n v="2"/>
    <n v="3"/>
    <s v="Fair"/>
    <n v="4"/>
    <n v="2"/>
    <n v="1"/>
    <n v="2"/>
  </r>
  <r>
    <n v="1761884"/>
    <n v="50"/>
    <x v="1"/>
    <s v="No"/>
    <x v="0"/>
    <x v="0"/>
    <n v="813"/>
    <x v="1"/>
    <n v="17"/>
    <n v="5"/>
    <x v="0"/>
    <n v="1"/>
    <n v="4"/>
    <x v="0"/>
    <n v="50"/>
    <n v="2"/>
    <n v="3"/>
    <s v="Administrative"/>
    <n v="1"/>
    <s v="Poor"/>
    <x v="2"/>
    <n v="13269"/>
    <x v="2"/>
    <n v="21981"/>
    <n v="5"/>
    <s v="Y"/>
    <s v="No"/>
    <n v="15"/>
    <x v="0"/>
    <s v="Low Performance"/>
    <n v="3"/>
    <n v="80"/>
    <n v="3"/>
    <n v="19"/>
    <n v="3"/>
    <n v="3"/>
    <s v="Fair"/>
    <n v="14"/>
    <n v="11"/>
    <n v="1"/>
    <n v="11"/>
  </r>
  <r>
    <n v="1769167"/>
    <n v="20"/>
    <x v="4"/>
    <s v="No"/>
    <x v="0"/>
    <x v="0"/>
    <n v="1141"/>
    <x v="0"/>
    <n v="2"/>
    <n v="3"/>
    <x v="2"/>
    <n v="1"/>
    <n v="3"/>
    <x v="0"/>
    <n v="31"/>
    <n v="3"/>
    <n v="1"/>
    <s v="Other"/>
    <n v="3"/>
    <s v="Fair"/>
    <x v="0"/>
    <n v="2783"/>
    <x v="1"/>
    <n v="13251"/>
    <n v="1"/>
    <s v="Y"/>
    <s v="No"/>
    <n v="19"/>
    <x v="0"/>
    <s v="Low Performance"/>
    <n v="1"/>
    <n v="80"/>
    <n v="0"/>
    <n v="2"/>
    <n v="3"/>
    <n v="3"/>
    <s v="Fair"/>
    <n v="2"/>
    <n v="2"/>
    <n v="2"/>
    <n v="2"/>
  </r>
  <r>
    <n v="1547090"/>
    <n v="34"/>
    <x v="2"/>
    <s v="No"/>
    <x v="0"/>
    <x v="0"/>
    <n v="1130"/>
    <x v="1"/>
    <n v="3"/>
    <n v="3"/>
    <x v="0"/>
    <n v="1"/>
    <n v="4"/>
    <x v="0"/>
    <n v="66"/>
    <n v="3"/>
    <n v="2"/>
    <s v="Other"/>
    <n v="2"/>
    <s v="Poor"/>
    <x v="2"/>
    <n v="5433"/>
    <x v="0"/>
    <n v="19332"/>
    <n v="1"/>
    <s v="Y"/>
    <s v="No"/>
    <n v="12"/>
    <x v="0"/>
    <s v="Low Performance"/>
    <n v="3"/>
    <n v="80"/>
    <n v="1"/>
    <n v="11"/>
    <n v="2"/>
    <n v="3"/>
    <s v="Fair"/>
    <n v="11"/>
    <n v="8"/>
    <n v="7"/>
    <n v="9"/>
  </r>
  <r>
    <n v="1246015"/>
    <n v="36"/>
    <x v="0"/>
    <s v="No"/>
    <x v="0"/>
    <x v="0"/>
    <n v="311"/>
    <x v="1"/>
    <n v="7"/>
    <n v="3"/>
    <x v="0"/>
    <n v="1"/>
    <n v="1"/>
    <x v="1"/>
    <n v="77"/>
    <n v="3"/>
    <n v="1"/>
    <s v="Nurse"/>
    <n v="2"/>
    <s v="Poor"/>
    <x v="0"/>
    <n v="2013"/>
    <x v="1"/>
    <n v="10950"/>
    <n v="2"/>
    <s v="Y"/>
    <s v="No"/>
    <n v="11"/>
    <x v="0"/>
    <s v="Low Performance"/>
    <n v="3"/>
    <n v="80"/>
    <n v="0"/>
    <n v="15"/>
    <n v="4"/>
    <n v="3"/>
    <s v="Fair"/>
    <n v="4"/>
    <n v="3"/>
    <n v="1"/>
    <n v="3"/>
  </r>
  <r>
    <n v="1254079"/>
    <n v="49"/>
    <x v="1"/>
    <s v="No"/>
    <x v="0"/>
    <x v="0"/>
    <n v="465"/>
    <x v="1"/>
    <n v="6"/>
    <n v="1"/>
    <x v="0"/>
    <n v="1"/>
    <n v="3"/>
    <x v="0"/>
    <n v="41"/>
    <n v="2"/>
    <n v="4"/>
    <s v="Nurse"/>
    <n v="3"/>
    <s v="Fair"/>
    <x v="1"/>
    <n v="13966"/>
    <x v="2"/>
    <n v="11652"/>
    <n v="2"/>
    <s v="Y"/>
    <s v="Yes"/>
    <n v="19"/>
    <x v="0"/>
    <s v="Low Performance"/>
    <n v="2"/>
    <n v="80"/>
    <n v="1"/>
    <n v="30"/>
    <n v="3"/>
    <n v="3"/>
    <s v="Fair"/>
    <n v="15"/>
    <n v="11"/>
    <n v="2"/>
    <n v="12"/>
  </r>
  <r>
    <n v="1860095"/>
    <n v="36"/>
    <x v="0"/>
    <s v="No"/>
    <x v="0"/>
    <x v="2"/>
    <n v="894"/>
    <x v="2"/>
    <n v="1"/>
    <n v="4"/>
    <x v="2"/>
    <n v="1"/>
    <n v="4"/>
    <x v="0"/>
    <n v="33"/>
    <n v="2"/>
    <n v="2"/>
    <s v="Therapist"/>
    <n v="3"/>
    <s v="Fair"/>
    <x v="1"/>
    <n v="4374"/>
    <x v="1"/>
    <n v="15411"/>
    <n v="0"/>
    <s v="Y"/>
    <s v="No"/>
    <n v="15"/>
    <x v="0"/>
    <s v="Low Performance"/>
    <n v="3"/>
    <n v="80"/>
    <n v="0"/>
    <n v="4"/>
    <n v="6"/>
    <n v="3"/>
    <s v="Fair"/>
    <n v="3"/>
    <n v="2"/>
    <n v="1"/>
    <n v="2"/>
  </r>
  <r>
    <n v="1602610"/>
    <n v="36"/>
    <x v="0"/>
    <s v="No"/>
    <x v="0"/>
    <x v="0"/>
    <n v="1040"/>
    <x v="1"/>
    <n v="3"/>
    <n v="2"/>
    <x v="0"/>
    <n v="1"/>
    <n v="4"/>
    <x v="1"/>
    <n v="79"/>
    <n v="4"/>
    <n v="2"/>
    <s v="Nurse"/>
    <n v="1"/>
    <s v="Poor"/>
    <x v="2"/>
    <n v="6842"/>
    <x v="0"/>
    <n v="26308"/>
    <n v="6"/>
    <s v="Y"/>
    <s v="No"/>
    <n v="20"/>
    <x v="1"/>
    <s v="High Performance"/>
    <n v="1"/>
    <n v="80"/>
    <n v="1"/>
    <n v="13"/>
    <n v="3"/>
    <n v="3"/>
    <s v="Fair"/>
    <n v="5"/>
    <n v="4"/>
    <n v="0"/>
    <n v="4"/>
  </r>
  <r>
    <n v="1364047"/>
    <n v="54"/>
    <x v="1"/>
    <s v="No"/>
    <x v="0"/>
    <x v="0"/>
    <n v="584"/>
    <x v="2"/>
    <n v="22"/>
    <n v="5"/>
    <x v="2"/>
    <n v="1"/>
    <n v="2"/>
    <x v="0"/>
    <n v="91"/>
    <n v="3"/>
    <n v="4"/>
    <s v="Other"/>
    <n v="3"/>
    <s v="Fair"/>
    <x v="1"/>
    <n v="17426"/>
    <x v="2"/>
    <n v="18685"/>
    <n v="3"/>
    <s v="Y"/>
    <s v="No"/>
    <n v="25"/>
    <x v="1"/>
    <s v="High Performance"/>
    <n v="3"/>
    <n v="80"/>
    <n v="1"/>
    <n v="36"/>
    <n v="6"/>
    <n v="3"/>
    <s v="Fair"/>
    <n v="10"/>
    <n v="8"/>
    <n v="4"/>
    <n v="7"/>
  </r>
  <r>
    <n v="1872403"/>
    <n v="43"/>
    <x v="0"/>
    <s v="No"/>
    <x v="0"/>
    <x v="0"/>
    <n v="1291"/>
    <x v="1"/>
    <n v="15"/>
    <n v="2"/>
    <x v="0"/>
    <n v="1"/>
    <n v="3"/>
    <x v="1"/>
    <n v="65"/>
    <n v="2"/>
    <n v="4"/>
    <s v="Administrative"/>
    <n v="3"/>
    <s v="Fair"/>
    <x v="1"/>
    <n v="17603"/>
    <x v="2"/>
    <n v="3525"/>
    <n v="1"/>
    <s v="Y"/>
    <s v="No"/>
    <n v="24"/>
    <x v="1"/>
    <s v="High Performance"/>
    <n v="1"/>
    <n v="80"/>
    <n v="1"/>
    <n v="14"/>
    <n v="3"/>
    <n v="3"/>
    <s v="Fair"/>
    <n v="14"/>
    <n v="10"/>
    <n v="6"/>
    <n v="11"/>
  </r>
  <r>
    <n v="1705436"/>
    <n v="35"/>
    <x v="2"/>
    <s v="No"/>
    <x v="0"/>
    <x v="1"/>
    <n v="880"/>
    <x v="0"/>
    <n v="12"/>
    <n v="4"/>
    <x v="1"/>
    <n v="1"/>
    <n v="4"/>
    <x v="1"/>
    <n v="36"/>
    <n v="3"/>
    <n v="2"/>
    <s v="Nurse"/>
    <n v="4"/>
    <s v="Good"/>
    <x v="0"/>
    <n v="4581"/>
    <x v="1"/>
    <n v="10414"/>
    <n v="3"/>
    <s v="Y"/>
    <s v="Yes"/>
    <n v="24"/>
    <x v="1"/>
    <s v="High Performance"/>
    <n v="1"/>
    <n v="80"/>
    <n v="0"/>
    <n v="13"/>
    <n v="2"/>
    <n v="4"/>
    <s v="Good"/>
    <n v="11"/>
    <n v="9"/>
    <n v="6"/>
    <n v="7"/>
  </r>
  <r>
    <n v="1607161"/>
    <n v="38"/>
    <x v="0"/>
    <s v="No"/>
    <x v="0"/>
    <x v="1"/>
    <n v="1189"/>
    <x v="1"/>
    <n v="1"/>
    <n v="3"/>
    <x v="0"/>
    <n v="1"/>
    <n v="4"/>
    <x v="1"/>
    <n v="90"/>
    <n v="3"/>
    <n v="2"/>
    <s v="Other"/>
    <n v="4"/>
    <s v="Good"/>
    <x v="1"/>
    <n v="4735"/>
    <x v="1"/>
    <n v="9867"/>
    <n v="7"/>
    <s v="Y"/>
    <s v="No"/>
    <n v="15"/>
    <x v="0"/>
    <s v="Low Performance"/>
    <n v="4"/>
    <n v="80"/>
    <n v="2"/>
    <n v="19"/>
    <n v="4"/>
    <n v="4"/>
    <s v="Good"/>
    <n v="13"/>
    <n v="11"/>
    <n v="2"/>
    <n v="9"/>
  </r>
  <r>
    <n v="1706059"/>
    <n v="29"/>
    <x v="2"/>
    <s v="No"/>
    <x v="0"/>
    <x v="0"/>
    <n v="991"/>
    <x v="0"/>
    <n v="5"/>
    <n v="3"/>
    <x v="2"/>
    <n v="1"/>
    <n v="1"/>
    <x v="1"/>
    <n v="43"/>
    <n v="2"/>
    <n v="2"/>
    <s v="Nurse"/>
    <n v="2"/>
    <s v="Poor"/>
    <x v="2"/>
    <n v="4187"/>
    <x v="1"/>
    <n v="3356"/>
    <n v="1"/>
    <s v="Y"/>
    <s v="Yes"/>
    <n v="13"/>
    <x v="0"/>
    <s v="Low Performance"/>
    <n v="2"/>
    <n v="80"/>
    <n v="1"/>
    <n v="10"/>
    <n v="3"/>
    <n v="2"/>
    <s v="Poor"/>
    <n v="10"/>
    <n v="0"/>
    <n v="0"/>
    <n v="9"/>
  </r>
  <r>
    <n v="1574111"/>
    <n v="33"/>
    <x v="2"/>
    <s v="No"/>
    <x v="0"/>
    <x v="0"/>
    <n v="392"/>
    <x v="0"/>
    <n v="2"/>
    <n v="4"/>
    <x v="2"/>
    <n v="1"/>
    <n v="4"/>
    <x v="1"/>
    <n v="93"/>
    <n v="3"/>
    <n v="2"/>
    <s v="Nurse"/>
    <n v="4"/>
    <s v="Good"/>
    <x v="2"/>
    <n v="5505"/>
    <x v="0"/>
    <n v="3921"/>
    <n v="1"/>
    <s v="Y"/>
    <s v="No"/>
    <n v="14"/>
    <x v="0"/>
    <s v="Low Performance"/>
    <n v="3"/>
    <n v="80"/>
    <n v="2"/>
    <n v="6"/>
    <n v="5"/>
    <n v="3"/>
    <s v="Fair"/>
    <n v="6"/>
    <n v="2"/>
    <n v="0"/>
    <n v="4"/>
  </r>
  <r>
    <n v="1200755"/>
    <n v="32"/>
    <x v="2"/>
    <s v="No"/>
    <x v="0"/>
    <x v="0"/>
    <n v="977"/>
    <x v="1"/>
    <n v="2"/>
    <n v="3"/>
    <x v="2"/>
    <n v="1"/>
    <n v="4"/>
    <x v="1"/>
    <n v="45"/>
    <n v="3"/>
    <n v="2"/>
    <s v="Other"/>
    <n v="2"/>
    <s v="Poor"/>
    <x v="2"/>
    <n v="5470"/>
    <x v="0"/>
    <n v="25518"/>
    <n v="0"/>
    <s v="Y"/>
    <s v="No"/>
    <n v="13"/>
    <x v="0"/>
    <s v="Low Performance"/>
    <n v="3"/>
    <n v="80"/>
    <n v="2"/>
    <n v="10"/>
    <n v="4"/>
    <n v="2"/>
    <s v="Poor"/>
    <n v="9"/>
    <n v="5"/>
    <n v="1"/>
    <n v="6"/>
  </r>
  <r>
    <n v="1068460"/>
    <n v="31"/>
    <x v="2"/>
    <s v="No"/>
    <x v="0"/>
    <x v="0"/>
    <n v="1112"/>
    <x v="0"/>
    <n v="5"/>
    <n v="4"/>
    <x v="0"/>
    <n v="1"/>
    <n v="1"/>
    <x v="0"/>
    <n v="67"/>
    <n v="3"/>
    <n v="2"/>
    <s v="Nurse"/>
    <n v="4"/>
    <s v="Good"/>
    <x v="1"/>
    <n v="5476"/>
    <x v="0"/>
    <n v="22589"/>
    <n v="1"/>
    <s v="Y"/>
    <s v="No"/>
    <n v="11"/>
    <x v="0"/>
    <s v="Low Performance"/>
    <n v="1"/>
    <n v="80"/>
    <n v="2"/>
    <n v="10"/>
    <n v="2"/>
    <n v="3"/>
    <s v="Fair"/>
    <n v="10"/>
    <n v="0"/>
    <n v="0"/>
    <n v="2"/>
  </r>
  <r>
    <n v="1796122"/>
    <n v="49"/>
    <x v="1"/>
    <s v="No"/>
    <x v="0"/>
    <x v="0"/>
    <n v="464"/>
    <x v="1"/>
    <n v="16"/>
    <n v="3"/>
    <x v="2"/>
    <n v="1"/>
    <n v="4"/>
    <x v="0"/>
    <n v="74"/>
    <n v="3"/>
    <n v="1"/>
    <s v="Nurse"/>
    <n v="1"/>
    <s v="Poor"/>
    <x v="2"/>
    <n v="2587"/>
    <x v="1"/>
    <n v="24941"/>
    <n v="4"/>
    <s v="Y"/>
    <s v="Yes"/>
    <n v="16"/>
    <x v="0"/>
    <s v="Low Performance"/>
    <n v="2"/>
    <n v="80"/>
    <n v="1"/>
    <n v="17"/>
    <n v="2"/>
    <n v="2"/>
    <s v="Poor"/>
    <n v="2"/>
    <n v="2"/>
    <n v="2"/>
    <n v="2"/>
  </r>
  <r>
    <n v="1728347"/>
    <n v="38"/>
    <x v="0"/>
    <s v="No"/>
    <x v="0"/>
    <x v="1"/>
    <n v="148"/>
    <x v="1"/>
    <n v="2"/>
    <n v="3"/>
    <x v="2"/>
    <n v="1"/>
    <n v="4"/>
    <x v="0"/>
    <n v="42"/>
    <n v="2"/>
    <n v="1"/>
    <s v="Nurse"/>
    <n v="2"/>
    <s v="Poor"/>
    <x v="0"/>
    <n v="2440"/>
    <x v="1"/>
    <n v="23826"/>
    <n v="1"/>
    <s v="Y"/>
    <s v="No"/>
    <n v="22"/>
    <x v="1"/>
    <s v="High Performance"/>
    <n v="2"/>
    <n v="80"/>
    <n v="0"/>
    <n v="4"/>
    <n v="3"/>
    <n v="3"/>
    <s v="Fair"/>
    <n v="4"/>
    <n v="3"/>
    <n v="3"/>
    <n v="3"/>
  </r>
  <r>
    <n v="1817017"/>
    <n v="47"/>
    <x v="1"/>
    <s v="No"/>
    <x v="0"/>
    <x v="0"/>
    <n v="1225"/>
    <x v="0"/>
    <n v="2"/>
    <n v="4"/>
    <x v="0"/>
    <n v="1"/>
    <n v="2"/>
    <x v="0"/>
    <n v="47"/>
    <n v="4"/>
    <n v="4"/>
    <s v="Administrative"/>
    <n v="2"/>
    <s v="Poor"/>
    <x v="2"/>
    <n v="15972"/>
    <x v="2"/>
    <n v="21086"/>
    <n v="6"/>
    <s v="Y"/>
    <s v="No"/>
    <n v="14"/>
    <x v="0"/>
    <s v="Low Performance"/>
    <n v="3"/>
    <n v="80"/>
    <n v="3"/>
    <n v="29"/>
    <n v="2"/>
    <n v="3"/>
    <s v="Fair"/>
    <n v="3"/>
    <n v="2"/>
    <n v="1"/>
    <n v="2"/>
  </r>
  <r>
    <n v="1400072"/>
    <n v="49"/>
    <x v="1"/>
    <s v="No"/>
    <x v="0"/>
    <x v="0"/>
    <n v="809"/>
    <x v="2"/>
    <n v="1"/>
    <n v="3"/>
    <x v="0"/>
    <n v="1"/>
    <n v="3"/>
    <x v="1"/>
    <n v="36"/>
    <n v="3"/>
    <n v="4"/>
    <s v="Other"/>
    <n v="3"/>
    <s v="Fair"/>
    <x v="0"/>
    <n v="15379"/>
    <x v="2"/>
    <n v="22384"/>
    <n v="4"/>
    <s v="Y"/>
    <s v="No"/>
    <n v="14"/>
    <x v="0"/>
    <s v="Low Performance"/>
    <n v="1"/>
    <n v="80"/>
    <n v="0"/>
    <n v="23"/>
    <n v="2"/>
    <n v="3"/>
    <s v="Fair"/>
    <n v="8"/>
    <n v="7"/>
    <n v="0"/>
    <n v="0"/>
  </r>
  <r>
    <n v="1349913"/>
    <n v="41"/>
    <x v="0"/>
    <s v="No"/>
    <x v="0"/>
    <x v="0"/>
    <n v="1206"/>
    <x v="0"/>
    <n v="23"/>
    <n v="2"/>
    <x v="0"/>
    <n v="1"/>
    <n v="4"/>
    <x v="1"/>
    <n v="80"/>
    <n v="3"/>
    <n v="3"/>
    <s v="Nurse"/>
    <n v="3"/>
    <s v="Fair"/>
    <x v="0"/>
    <n v="7082"/>
    <x v="0"/>
    <n v="11591"/>
    <n v="3"/>
    <s v="Y"/>
    <s v="Yes"/>
    <n v="16"/>
    <x v="0"/>
    <s v="Low Performance"/>
    <n v="4"/>
    <n v="80"/>
    <n v="0"/>
    <n v="21"/>
    <n v="2"/>
    <n v="3"/>
    <s v="Fair"/>
    <n v="2"/>
    <n v="0"/>
    <n v="0"/>
    <n v="2"/>
  </r>
  <r>
    <n v="1119867"/>
    <n v="20"/>
    <x v="4"/>
    <s v="No"/>
    <x v="0"/>
    <x v="0"/>
    <n v="727"/>
    <x v="0"/>
    <n v="9"/>
    <n v="1"/>
    <x v="0"/>
    <n v="1"/>
    <n v="4"/>
    <x v="1"/>
    <n v="54"/>
    <n v="3"/>
    <n v="1"/>
    <s v="Other"/>
    <n v="1"/>
    <s v="Poor"/>
    <x v="0"/>
    <n v="2728"/>
    <x v="1"/>
    <n v="21082"/>
    <n v="1"/>
    <s v="Y"/>
    <s v="No"/>
    <n v="11"/>
    <x v="0"/>
    <s v="Low Performance"/>
    <n v="1"/>
    <n v="80"/>
    <n v="0"/>
    <n v="2"/>
    <n v="3"/>
    <n v="3"/>
    <s v="Fair"/>
    <n v="2"/>
    <n v="2"/>
    <n v="0"/>
    <n v="2"/>
  </r>
  <r>
    <n v="1060815"/>
    <n v="33"/>
    <x v="2"/>
    <s v="No"/>
    <x v="0"/>
    <x v="2"/>
    <n v="530"/>
    <x v="0"/>
    <n v="16"/>
    <n v="3"/>
    <x v="0"/>
    <n v="1"/>
    <n v="3"/>
    <x v="0"/>
    <n v="36"/>
    <n v="3"/>
    <n v="2"/>
    <s v="Nurse"/>
    <n v="4"/>
    <s v="Good"/>
    <x v="2"/>
    <n v="5368"/>
    <x v="0"/>
    <n v="16130"/>
    <n v="1"/>
    <s v="Y"/>
    <s v="Yes"/>
    <n v="25"/>
    <x v="1"/>
    <s v="High Performance"/>
    <n v="3"/>
    <n v="80"/>
    <n v="1"/>
    <n v="7"/>
    <n v="2"/>
    <n v="3"/>
    <s v="Fair"/>
    <n v="6"/>
    <n v="5"/>
    <n v="1"/>
    <n v="2"/>
  </r>
  <r>
    <n v="1097742"/>
    <n v="36"/>
    <x v="0"/>
    <s v="No"/>
    <x v="0"/>
    <x v="0"/>
    <n v="1351"/>
    <x v="1"/>
    <n v="26"/>
    <n v="4"/>
    <x v="0"/>
    <n v="1"/>
    <n v="1"/>
    <x v="1"/>
    <n v="80"/>
    <n v="3"/>
    <n v="2"/>
    <s v="Nurse"/>
    <n v="3"/>
    <s v="Fair"/>
    <x v="1"/>
    <n v="5347"/>
    <x v="0"/>
    <n v="7419"/>
    <n v="6"/>
    <s v="Y"/>
    <s v="No"/>
    <n v="14"/>
    <x v="0"/>
    <s v="Low Performance"/>
    <n v="2"/>
    <n v="80"/>
    <n v="2"/>
    <n v="10"/>
    <n v="2"/>
    <n v="2"/>
    <s v="Poor"/>
    <n v="3"/>
    <n v="2"/>
    <n v="0"/>
    <n v="2"/>
  </r>
  <r>
    <n v="1711206"/>
    <n v="44"/>
    <x v="0"/>
    <s v="No"/>
    <x v="0"/>
    <x v="0"/>
    <n v="528"/>
    <x v="2"/>
    <n v="1"/>
    <n v="3"/>
    <x v="0"/>
    <n v="1"/>
    <n v="3"/>
    <x v="0"/>
    <n v="44"/>
    <n v="3"/>
    <n v="1"/>
    <s v="Other"/>
    <n v="4"/>
    <s v="Good"/>
    <x v="2"/>
    <n v="3195"/>
    <x v="1"/>
    <n v="4167"/>
    <n v="4"/>
    <s v="Y"/>
    <s v="Yes"/>
    <n v="18"/>
    <x v="0"/>
    <s v="Low Performance"/>
    <n v="1"/>
    <n v="80"/>
    <n v="3"/>
    <n v="8"/>
    <n v="2"/>
    <n v="3"/>
    <s v="Fair"/>
    <n v="2"/>
    <n v="2"/>
    <n v="2"/>
    <n v="2"/>
  </r>
  <r>
    <n v="1082389"/>
    <n v="23"/>
    <x v="4"/>
    <s v="Yes"/>
    <x v="1"/>
    <x v="0"/>
    <n v="1320"/>
    <x v="1"/>
    <n v="8"/>
    <n v="1"/>
    <x v="2"/>
    <n v="1"/>
    <n v="4"/>
    <x v="1"/>
    <n v="93"/>
    <n v="2"/>
    <n v="1"/>
    <s v="Nurse"/>
    <n v="3"/>
    <s v="Fair"/>
    <x v="0"/>
    <n v="3989"/>
    <x v="1"/>
    <n v="20586"/>
    <n v="1"/>
    <s v="Y"/>
    <s v="Yes"/>
    <n v="11"/>
    <x v="0"/>
    <s v="Low Performance"/>
    <n v="1"/>
    <n v="80"/>
    <n v="0"/>
    <n v="5"/>
    <n v="2"/>
    <n v="3"/>
    <s v="Fair"/>
    <n v="5"/>
    <n v="4"/>
    <n v="1"/>
    <n v="2"/>
  </r>
  <r>
    <n v="1588527"/>
    <n v="38"/>
    <x v="0"/>
    <s v="No"/>
    <x v="0"/>
    <x v="0"/>
    <n v="1495"/>
    <x v="1"/>
    <n v="4"/>
    <n v="2"/>
    <x v="2"/>
    <n v="1"/>
    <n v="4"/>
    <x v="0"/>
    <n v="87"/>
    <n v="3"/>
    <n v="1"/>
    <s v="Nurse"/>
    <n v="3"/>
    <s v="Fair"/>
    <x v="1"/>
    <n v="3306"/>
    <x v="1"/>
    <n v="26176"/>
    <n v="7"/>
    <s v="Y"/>
    <s v="No"/>
    <n v="19"/>
    <x v="0"/>
    <s v="Low Performance"/>
    <n v="4"/>
    <n v="80"/>
    <n v="1"/>
    <n v="7"/>
    <n v="5"/>
    <n v="2"/>
    <s v="Poor"/>
    <n v="0"/>
    <n v="0"/>
    <n v="0"/>
    <n v="0"/>
  </r>
  <r>
    <n v="1590426"/>
    <n v="53"/>
    <x v="1"/>
    <s v="No"/>
    <x v="0"/>
    <x v="0"/>
    <n v="1395"/>
    <x v="1"/>
    <n v="24"/>
    <n v="4"/>
    <x v="2"/>
    <n v="1"/>
    <n v="2"/>
    <x v="1"/>
    <n v="48"/>
    <n v="4"/>
    <n v="3"/>
    <s v="Nurse"/>
    <n v="4"/>
    <s v="Good"/>
    <x v="1"/>
    <n v="7005"/>
    <x v="0"/>
    <n v="3458"/>
    <n v="3"/>
    <s v="Y"/>
    <s v="No"/>
    <n v="15"/>
    <x v="0"/>
    <s v="Low Performance"/>
    <n v="3"/>
    <n v="80"/>
    <n v="0"/>
    <n v="11"/>
    <n v="2"/>
    <n v="3"/>
    <s v="Fair"/>
    <n v="4"/>
    <n v="3"/>
    <n v="1"/>
    <n v="2"/>
  </r>
  <r>
    <n v="1425001"/>
    <n v="48"/>
    <x v="1"/>
    <s v="No"/>
    <x v="0"/>
    <x v="1"/>
    <n v="708"/>
    <x v="0"/>
    <n v="7"/>
    <n v="2"/>
    <x v="2"/>
    <n v="1"/>
    <n v="4"/>
    <x v="0"/>
    <n v="95"/>
    <n v="3"/>
    <n v="1"/>
    <s v="Other"/>
    <n v="3"/>
    <s v="Fair"/>
    <x v="1"/>
    <n v="2655"/>
    <x v="1"/>
    <n v="11740"/>
    <n v="2"/>
    <s v="Y"/>
    <s v="Yes"/>
    <n v="11"/>
    <x v="0"/>
    <s v="Low Performance"/>
    <n v="3"/>
    <n v="80"/>
    <n v="2"/>
    <n v="19"/>
    <n v="3"/>
    <n v="3"/>
    <s v="Fair"/>
    <n v="9"/>
    <n v="7"/>
    <n v="7"/>
    <n v="7"/>
  </r>
  <r>
    <n v="1609527"/>
    <n v="32"/>
    <x v="2"/>
    <s v="No"/>
    <x v="0"/>
    <x v="0"/>
    <n v="1259"/>
    <x v="1"/>
    <n v="2"/>
    <n v="4"/>
    <x v="0"/>
    <n v="1"/>
    <n v="4"/>
    <x v="1"/>
    <n v="95"/>
    <n v="3"/>
    <n v="1"/>
    <s v="Nurse"/>
    <n v="2"/>
    <s v="Poor"/>
    <x v="0"/>
    <n v="1393"/>
    <x v="1"/>
    <n v="24852"/>
    <n v="1"/>
    <s v="Y"/>
    <s v="No"/>
    <n v="12"/>
    <x v="0"/>
    <s v="Low Performance"/>
    <n v="1"/>
    <n v="80"/>
    <n v="0"/>
    <n v="1"/>
    <n v="2"/>
    <n v="3"/>
    <s v="Fair"/>
    <n v="1"/>
    <n v="0"/>
    <n v="0"/>
    <n v="0"/>
  </r>
  <r>
    <n v="1366639"/>
    <n v="26"/>
    <x v="2"/>
    <s v="No"/>
    <x v="0"/>
    <x v="2"/>
    <n v="786"/>
    <x v="1"/>
    <n v="7"/>
    <n v="3"/>
    <x v="2"/>
    <n v="1"/>
    <n v="4"/>
    <x v="1"/>
    <n v="76"/>
    <n v="3"/>
    <n v="1"/>
    <s v="Nurse"/>
    <n v="4"/>
    <s v="Good"/>
    <x v="0"/>
    <n v="2570"/>
    <x v="1"/>
    <n v="11925"/>
    <n v="1"/>
    <s v="Y"/>
    <s v="No"/>
    <n v="20"/>
    <x v="1"/>
    <s v="High Performance"/>
    <n v="3"/>
    <n v="80"/>
    <n v="0"/>
    <n v="7"/>
    <n v="5"/>
    <n v="3"/>
    <s v="Fair"/>
    <n v="7"/>
    <n v="7"/>
    <n v="5"/>
    <n v="7"/>
  </r>
  <r>
    <n v="1270535"/>
    <n v="55"/>
    <x v="1"/>
    <s v="No"/>
    <x v="0"/>
    <x v="0"/>
    <n v="1441"/>
    <x v="1"/>
    <n v="22"/>
    <n v="3"/>
    <x v="4"/>
    <n v="1"/>
    <n v="1"/>
    <x v="1"/>
    <n v="94"/>
    <n v="2"/>
    <n v="1"/>
    <s v="Other"/>
    <n v="2"/>
    <s v="Poor"/>
    <x v="2"/>
    <n v="3537"/>
    <x v="1"/>
    <n v="23737"/>
    <n v="5"/>
    <s v="Y"/>
    <s v="No"/>
    <n v="12"/>
    <x v="0"/>
    <s v="Low Performance"/>
    <n v="4"/>
    <n v="80"/>
    <n v="1"/>
    <n v="8"/>
    <n v="1"/>
    <n v="3"/>
    <s v="Fair"/>
    <n v="4"/>
    <n v="2"/>
    <n v="1"/>
    <n v="2"/>
  </r>
  <r>
    <n v="1826482"/>
    <n v="34"/>
    <x v="2"/>
    <s v="No"/>
    <x v="0"/>
    <x v="0"/>
    <n v="1157"/>
    <x v="1"/>
    <n v="5"/>
    <n v="2"/>
    <x v="2"/>
    <n v="1"/>
    <n v="2"/>
    <x v="1"/>
    <n v="57"/>
    <n v="2"/>
    <n v="2"/>
    <s v="Nurse"/>
    <n v="4"/>
    <s v="Good"/>
    <x v="1"/>
    <n v="3986"/>
    <x v="1"/>
    <n v="11912"/>
    <n v="1"/>
    <s v="Y"/>
    <s v="No"/>
    <n v="14"/>
    <x v="0"/>
    <s v="Low Performance"/>
    <n v="3"/>
    <n v="80"/>
    <n v="1"/>
    <n v="15"/>
    <n v="3"/>
    <n v="4"/>
    <s v="Good"/>
    <n v="15"/>
    <n v="10"/>
    <n v="4"/>
    <n v="13"/>
  </r>
  <r>
    <n v="1718662"/>
    <n v="60"/>
    <x v="3"/>
    <s v="No"/>
    <x v="0"/>
    <x v="0"/>
    <n v="370"/>
    <x v="1"/>
    <n v="1"/>
    <n v="4"/>
    <x v="2"/>
    <n v="1"/>
    <n v="3"/>
    <x v="1"/>
    <n v="92"/>
    <n v="1"/>
    <n v="3"/>
    <s v="Nurse"/>
    <n v="4"/>
    <s v="Good"/>
    <x v="2"/>
    <n v="10883"/>
    <x v="0"/>
    <n v="20467"/>
    <n v="3"/>
    <s v="Y"/>
    <s v="No"/>
    <n v="20"/>
    <x v="1"/>
    <s v="High Performance"/>
    <n v="3"/>
    <n v="80"/>
    <n v="1"/>
    <n v="19"/>
    <n v="2"/>
    <n v="4"/>
    <s v="Good"/>
    <n v="1"/>
    <n v="0"/>
    <n v="0"/>
    <n v="0"/>
  </r>
  <r>
    <n v="1248055"/>
    <n v="33"/>
    <x v="2"/>
    <s v="No"/>
    <x v="0"/>
    <x v="0"/>
    <n v="267"/>
    <x v="1"/>
    <n v="21"/>
    <n v="3"/>
    <x v="2"/>
    <n v="1"/>
    <n v="2"/>
    <x v="1"/>
    <n v="79"/>
    <n v="4"/>
    <n v="1"/>
    <s v="Nurse"/>
    <n v="2"/>
    <s v="Poor"/>
    <x v="1"/>
    <n v="2028"/>
    <x v="1"/>
    <n v="13637"/>
    <n v="1"/>
    <s v="Y"/>
    <s v="No"/>
    <n v="18"/>
    <x v="0"/>
    <s v="Low Performance"/>
    <n v="4"/>
    <n v="80"/>
    <n v="3"/>
    <n v="14"/>
    <n v="6"/>
    <n v="3"/>
    <s v="Fair"/>
    <n v="14"/>
    <n v="11"/>
    <n v="2"/>
    <n v="13"/>
  </r>
  <r>
    <n v="1430170"/>
    <n v="37"/>
    <x v="0"/>
    <s v="No"/>
    <x v="0"/>
    <x v="1"/>
    <n v="1278"/>
    <x v="0"/>
    <n v="1"/>
    <n v="4"/>
    <x v="2"/>
    <n v="1"/>
    <n v="3"/>
    <x v="1"/>
    <n v="31"/>
    <n v="1"/>
    <n v="2"/>
    <s v="Nurse"/>
    <n v="4"/>
    <s v="Good"/>
    <x v="2"/>
    <n v="9525"/>
    <x v="0"/>
    <n v="7677"/>
    <n v="1"/>
    <s v="Y"/>
    <s v="No"/>
    <n v="14"/>
    <x v="0"/>
    <s v="Low Performance"/>
    <n v="3"/>
    <n v="80"/>
    <n v="2"/>
    <n v="6"/>
    <n v="2"/>
    <n v="2"/>
    <s v="Poor"/>
    <n v="6"/>
    <n v="3"/>
    <n v="1"/>
    <n v="3"/>
  </r>
  <r>
    <n v="1830378"/>
    <n v="34"/>
    <x v="2"/>
    <s v="No"/>
    <x v="0"/>
    <x v="0"/>
    <n v="678"/>
    <x v="1"/>
    <n v="19"/>
    <n v="3"/>
    <x v="0"/>
    <n v="1"/>
    <n v="2"/>
    <x v="0"/>
    <n v="35"/>
    <n v="2"/>
    <n v="1"/>
    <s v="Other"/>
    <n v="4"/>
    <s v="Good"/>
    <x v="1"/>
    <n v="2929"/>
    <x v="1"/>
    <n v="20338"/>
    <n v="1"/>
    <s v="Y"/>
    <s v="No"/>
    <n v="12"/>
    <x v="0"/>
    <s v="Low Performance"/>
    <n v="2"/>
    <n v="80"/>
    <n v="0"/>
    <n v="10"/>
    <n v="3"/>
    <n v="3"/>
    <s v="Fair"/>
    <n v="10"/>
    <n v="9"/>
    <n v="8"/>
    <n v="7"/>
  </r>
  <r>
    <n v="1810874"/>
    <n v="23"/>
    <x v="4"/>
    <s v="No"/>
    <x v="0"/>
    <x v="0"/>
    <n v="427"/>
    <x v="0"/>
    <n v="7"/>
    <n v="3"/>
    <x v="0"/>
    <n v="1"/>
    <n v="3"/>
    <x v="1"/>
    <n v="99"/>
    <n v="3"/>
    <n v="1"/>
    <s v="Other"/>
    <n v="4"/>
    <s v="Good"/>
    <x v="2"/>
    <n v="2275"/>
    <x v="1"/>
    <n v="25103"/>
    <n v="1"/>
    <s v="Y"/>
    <s v="Yes"/>
    <n v="21"/>
    <x v="1"/>
    <s v="High Performance"/>
    <n v="2"/>
    <n v="80"/>
    <n v="1"/>
    <n v="3"/>
    <n v="2"/>
    <n v="3"/>
    <s v="Fair"/>
    <n v="3"/>
    <n v="2"/>
    <n v="0"/>
    <n v="2"/>
  </r>
  <r>
    <n v="1287552"/>
    <n v="44"/>
    <x v="0"/>
    <s v="No"/>
    <x v="0"/>
    <x v="0"/>
    <n v="921"/>
    <x v="1"/>
    <n v="2"/>
    <n v="3"/>
    <x v="0"/>
    <n v="1"/>
    <n v="3"/>
    <x v="0"/>
    <n v="96"/>
    <n v="4"/>
    <n v="3"/>
    <s v="Nurse"/>
    <n v="4"/>
    <s v="Good"/>
    <x v="1"/>
    <n v="7879"/>
    <x v="0"/>
    <n v="14810"/>
    <n v="1"/>
    <s v="Y"/>
    <s v="Yes"/>
    <n v="19"/>
    <x v="0"/>
    <s v="Low Performance"/>
    <n v="2"/>
    <n v="80"/>
    <n v="1"/>
    <n v="9"/>
    <n v="2"/>
    <n v="3"/>
    <s v="Fair"/>
    <n v="8"/>
    <n v="7"/>
    <n v="6"/>
    <n v="7"/>
  </r>
  <r>
    <n v="1432173"/>
    <n v="35"/>
    <x v="2"/>
    <s v="No"/>
    <x v="0"/>
    <x v="1"/>
    <n v="146"/>
    <x v="1"/>
    <n v="2"/>
    <n v="4"/>
    <x v="2"/>
    <n v="1"/>
    <n v="1"/>
    <x v="1"/>
    <n v="79"/>
    <n v="2"/>
    <n v="1"/>
    <s v="Other"/>
    <n v="4"/>
    <s v="Good"/>
    <x v="0"/>
    <n v="4930"/>
    <x v="1"/>
    <n v="13970"/>
    <n v="0"/>
    <s v="Y"/>
    <s v="Yes"/>
    <n v="14"/>
    <x v="0"/>
    <s v="Low Performance"/>
    <n v="3"/>
    <n v="80"/>
    <n v="0"/>
    <n v="6"/>
    <n v="2"/>
    <n v="4"/>
    <s v="Good"/>
    <n v="5"/>
    <n v="4"/>
    <n v="1"/>
    <n v="4"/>
  </r>
  <r>
    <n v="1499458"/>
    <n v="43"/>
    <x v="0"/>
    <s v="No"/>
    <x v="0"/>
    <x v="0"/>
    <n v="1179"/>
    <x v="0"/>
    <n v="2"/>
    <n v="3"/>
    <x v="2"/>
    <n v="1"/>
    <n v="4"/>
    <x v="1"/>
    <n v="73"/>
    <n v="3"/>
    <n v="2"/>
    <s v="Nurse"/>
    <n v="4"/>
    <s v="Good"/>
    <x v="1"/>
    <n v="7847"/>
    <x v="0"/>
    <n v="6069"/>
    <n v="1"/>
    <s v="Y"/>
    <s v="Yes"/>
    <n v="17"/>
    <x v="0"/>
    <s v="Low Performance"/>
    <n v="1"/>
    <n v="80"/>
    <n v="1"/>
    <n v="10"/>
    <n v="3"/>
    <n v="3"/>
    <s v="Fair"/>
    <n v="10"/>
    <n v="9"/>
    <n v="8"/>
    <n v="8"/>
  </r>
  <r>
    <n v="1622897"/>
    <n v="24"/>
    <x v="4"/>
    <s v="No"/>
    <x v="0"/>
    <x v="0"/>
    <n v="581"/>
    <x v="1"/>
    <n v="9"/>
    <n v="3"/>
    <x v="2"/>
    <n v="1"/>
    <n v="3"/>
    <x v="1"/>
    <n v="62"/>
    <n v="4"/>
    <n v="1"/>
    <s v="Other"/>
    <n v="3"/>
    <s v="Fair"/>
    <x v="1"/>
    <n v="4401"/>
    <x v="1"/>
    <n v="17616"/>
    <n v="1"/>
    <s v="Y"/>
    <s v="No"/>
    <n v="16"/>
    <x v="0"/>
    <s v="Low Performance"/>
    <n v="4"/>
    <n v="80"/>
    <n v="1"/>
    <n v="5"/>
    <n v="1"/>
    <n v="3"/>
    <s v="Fair"/>
    <n v="5"/>
    <n v="3"/>
    <n v="0"/>
    <n v="4"/>
  </r>
  <r>
    <n v="1374267"/>
    <n v="41"/>
    <x v="0"/>
    <s v="No"/>
    <x v="0"/>
    <x v="0"/>
    <n v="918"/>
    <x v="0"/>
    <n v="6"/>
    <n v="3"/>
    <x v="3"/>
    <n v="1"/>
    <n v="4"/>
    <x v="1"/>
    <n v="35"/>
    <n v="3"/>
    <n v="3"/>
    <s v="Nurse"/>
    <n v="3"/>
    <s v="Fair"/>
    <x v="0"/>
    <n v="9241"/>
    <x v="0"/>
    <n v="15869"/>
    <n v="1"/>
    <s v="Y"/>
    <s v="No"/>
    <n v="12"/>
    <x v="0"/>
    <s v="Low Performance"/>
    <n v="2"/>
    <n v="80"/>
    <n v="0"/>
    <n v="10"/>
    <n v="3"/>
    <n v="3"/>
    <s v="Fair"/>
    <n v="10"/>
    <n v="8"/>
    <n v="8"/>
    <n v="7"/>
  </r>
  <r>
    <n v="1125172"/>
    <n v="29"/>
    <x v="2"/>
    <s v="No"/>
    <x v="0"/>
    <x v="0"/>
    <n v="1082"/>
    <x v="1"/>
    <n v="9"/>
    <n v="4"/>
    <x v="2"/>
    <n v="1"/>
    <n v="4"/>
    <x v="0"/>
    <n v="43"/>
    <n v="3"/>
    <n v="1"/>
    <s v="Nurse"/>
    <n v="3"/>
    <s v="Fair"/>
    <x v="1"/>
    <n v="2974"/>
    <x v="1"/>
    <n v="25412"/>
    <n v="9"/>
    <s v="Y"/>
    <s v="No"/>
    <n v="17"/>
    <x v="0"/>
    <s v="Low Performance"/>
    <n v="3"/>
    <n v="80"/>
    <n v="1"/>
    <n v="9"/>
    <n v="2"/>
    <n v="3"/>
    <s v="Fair"/>
    <n v="5"/>
    <n v="3"/>
    <n v="1"/>
    <n v="2"/>
  </r>
  <r>
    <n v="1569964"/>
    <n v="36"/>
    <x v="0"/>
    <s v="No"/>
    <x v="0"/>
    <x v="0"/>
    <n v="530"/>
    <x v="0"/>
    <n v="2"/>
    <n v="4"/>
    <x v="0"/>
    <n v="1"/>
    <n v="3"/>
    <x v="0"/>
    <n v="51"/>
    <n v="3"/>
    <n v="2"/>
    <s v="Other"/>
    <n v="4"/>
    <s v="Good"/>
    <x v="0"/>
    <n v="4502"/>
    <x v="1"/>
    <n v="7439"/>
    <n v="3"/>
    <s v="Y"/>
    <s v="No"/>
    <n v="15"/>
    <x v="0"/>
    <s v="Low Performance"/>
    <n v="3"/>
    <n v="80"/>
    <n v="0"/>
    <n v="17"/>
    <n v="2"/>
    <n v="2"/>
    <s v="Poor"/>
    <n v="13"/>
    <n v="7"/>
    <n v="6"/>
    <n v="7"/>
  </r>
  <r>
    <n v="1689576"/>
    <n v="45"/>
    <x v="0"/>
    <s v="No"/>
    <x v="0"/>
    <x v="2"/>
    <n v="1238"/>
    <x v="1"/>
    <n v="1"/>
    <n v="1"/>
    <x v="0"/>
    <n v="1"/>
    <n v="3"/>
    <x v="1"/>
    <n v="74"/>
    <n v="2"/>
    <n v="3"/>
    <s v="Nurse"/>
    <n v="3"/>
    <s v="Fair"/>
    <x v="1"/>
    <n v="10748"/>
    <x v="0"/>
    <n v="3395"/>
    <n v="3"/>
    <s v="Y"/>
    <s v="No"/>
    <n v="23"/>
    <x v="1"/>
    <s v="High Performance"/>
    <n v="4"/>
    <n v="80"/>
    <n v="1"/>
    <n v="25"/>
    <n v="3"/>
    <n v="2"/>
    <s v="Poor"/>
    <n v="23"/>
    <n v="15"/>
    <n v="14"/>
    <n v="4"/>
  </r>
  <r>
    <n v="1297488"/>
    <n v="24"/>
    <x v="4"/>
    <s v="Yes"/>
    <x v="1"/>
    <x v="0"/>
    <n v="240"/>
    <x v="2"/>
    <n v="22"/>
    <n v="1"/>
    <x v="5"/>
    <n v="1"/>
    <n v="4"/>
    <x v="1"/>
    <n v="58"/>
    <n v="1"/>
    <n v="1"/>
    <s v="Other"/>
    <n v="3"/>
    <s v="Fair"/>
    <x v="1"/>
    <n v="1555"/>
    <x v="1"/>
    <n v="11585"/>
    <n v="1"/>
    <s v="Y"/>
    <s v="No"/>
    <n v="11"/>
    <x v="0"/>
    <s v="Low Performance"/>
    <n v="3"/>
    <n v="80"/>
    <n v="1"/>
    <n v="1"/>
    <n v="2"/>
    <n v="3"/>
    <s v="Fair"/>
    <n v="1"/>
    <n v="0"/>
    <n v="0"/>
    <n v="0"/>
  </r>
  <r>
    <n v="1675357"/>
    <n v="47"/>
    <x v="1"/>
    <s v="Yes"/>
    <x v="1"/>
    <x v="1"/>
    <n v="1093"/>
    <x v="0"/>
    <n v="9"/>
    <n v="3"/>
    <x v="0"/>
    <n v="1"/>
    <n v="3"/>
    <x v="1"/>
    <n v="82"/>
    <n v="1"/>
    <n v="4"/>
    <s v="Nurse"/>
    <n v="3"/>
    <s v="Fair"/>
    <x v="1"/>
    <n v="12936"/>
    <x v="2"/>
    <n v="24164"/>
    <n v="7"/>
    <s v="Y"/>
    <s v="No"/>
    <n v="11"/>
    <x v="0"/>
    <s v="Low Performance"/>
    <n v="3"/>
    <n v="80"/>
    <n v="0"/>
    <n v="25"/>
    <n v="3"/>
    <n v="1"/>
    <s v="Poor"/>
    <n v="23"/>
    <n v="5"/>
    <n v="14"/>
    <n v="10"/>
  </r>
  <r>
    <n v="1704363"/>
    <n v="26"/>
    <x v="2"/>
    <s v="No"/>
    <x v="0"/>
    <x v="0"/>
    <n v="390"/>
    <x v="1"/>
    <n v="17"/>
    <n v="4"/>
    <x v="2"/>
    <n v="1"/>
    <n v="4"/>
    <x v="1"/>
    <n v="62"/>
    <n v="1"/>
    <n v="1"/>
    <s v="Nurse"/>
    <n v="3"/>
    <s v="Fair"/>
    <x v="1"/>
    <n v="2305"/>
    <x v="1"/>
    <n v="6217"/>
    <n v="1"/>
    <s v="Y"/>
    <s v="No"/>
    <n v="15"/>
    <x v="0"/>
    <s v="Low Performance"/>
    <n v="3"/>
    <n v="80"/>
    <n v="3"/>
    <n v="3"/>
    <n v="3"/>
    <n v="4"/>
    <s v="Good"/>
    <n v="3"/>
    <n v="2"/>
    <n v="0"/>
    <n v="2"/>
  </r>
  <r>
    <n v="1554897"/>
    <n v="45"/>
    <x v="0"/>
    <s v="No"/>
    <x v="0"/>
    <x v="0"/>
    <n v="1005"/>
    <x v="1"/>
    <n v="28"/>
    <n v="2"/>
    <x v="4"/>
    <n v="1"/>
    <n v="4"/>
    <x v="0"/>
    <n v="48"/>
    <n v="2"/>
    <n v="4"/>
    <s v="Administrative"/>
    <n v="2"/>
    <s v="Poor"/>
    <x v="0"/>
    <n v="16704"/>
    <x v="2"/>
    <n v="17119"/>
    <n v="1"/>
    <s v="Y"/>
    <s v="No"/>
    <n v="11"/>
    <x v="0"/>
    <s v="Low Performance"/>
    <n v="3"/>
    <n v="80"/>
    <n v="0"/>
    <n v="21"/>
    <n v="2"/>
    <n v="3"/>
    <s v="Fair"/>
    <n v="21"/>
    <n v="6"/>
    <n v="8"/>
    <n v="6"/>
  </r>
  <r>
    <n v="1430466"/>
    <n v="32"/>
    <x v="2"/>
    <s v="No"/>
    <x v="0"/>
    <x v="1"/>
    <n v="585"/>
    <x v="1"/>
    <n v="10"/>
    <n v="3"/>
    <x v="0"/>
    <n v="1"/>
    <n v="1"/>
    <x v="1"/>
    <n v="56"/>
    <n v="3"/>
    <n v="1"/>
    <s v="Other"/>
    <n v="3"/>
    <s v="Fair"/>
    <x v="1"/>
    <n v="3433"/>
    <x v="1"/>
    <n v="17360"/>
    <n v="6"/>
    <s v="Y"/>
    <s v="No"/>
    <n v="13"/>
    <x v="0"/>
    <s v="Low Performance"/>
    <n v="1"/>
    <n v="80"/>
    <n v="1"/>
    <n v="10"/>
    <n v="3"/>
    <n v="2"/>
    <s v="Poor"/>
    <n v="5"/>
    <n v="2"/>
    <n v="1"/>
    <n v="3"/>
  </r>
  <r>
    <n v="1205920"/>
    <n v="31"/>
    <x v="2"/>
    <s v="No"/>
    <x v="0"/>
    <x v="0"/>
    <n v="741"/>
    <x v="1"/>
    <n v="2"/>
    <n v="4"/>
    <x v="0"/>
    <n v="1"/>
    <n v="2"/>
    <x v="1"/>
    <n v="69"/>
    <n v="3"/>
    <n v="1"/>
    <s v="Nurse"/>
    <n v="3"/>
    <s v="Fair"/>
    <x v="1"/>
    <n v="3477"/>
    <x v="1"/>
    <n v="18103"/>
    <n v="1"/>
    <s v="Y"/>
    <s v="No"/>
    <n v="14"/>
    <x v="0"/>
    <s v="Low Performance"/>
    <n v="4"/>
    <n v="80"/>
    <n v="1"/>
    <n v="6"/>
    <n v="2"/>
    <n v="4"/>
    <s v="Good"/>
    <n v="5"/>
    <n v="2"/>
    <n v="0"/>
    <n v="3"/>
  </r>
  <r>
    <n v="1702718"/>
    <n v="41"/>
    <x v="0"/>
    <s v="No"/>
    <x v="0"/>
    <x v="2"/>
    <n v="552"/>
    <x v="2"/>
    <n v="4"/>
    <n v="3"/>
    <x v="5"/>
    <n v="1"/>
    <n v="3"/>
    <x v="1"/>
    <n v="60"/>
    <n v="1"/>
    <n v="2"/>
    <s v="Other"/>
    <n v="2"/>
    <s v="Poor"/>
    <x v="1"/>
    <n v="6430"/>
    <x v="0"/>
    <n v="20794"/>
    <n v="6"/>
    <s v="Y"/>
    <s v="No"/>
    <n v="19"/>
    <x v="0"/>
    <s v="Low Performance"/>
    <n v="2"/>
    <n v="80"/>
    <n v="1"/>
    <n v="10"/>
    <n v="4"/>
    <n v="3"/>
    <s v="Fair"/>
    <n v="3"/>
    <n v="2"/>
    <n v="1"/>
    <n v="2"/>
  </r>
  <r>
    <n v="1417199"/>
    <n v="40"/>
    <x v="0"/>
    <s v="No"/>
    <x v="0"/>
    <x v="0"/>
    <n v="369"/>
    <x v="1"/>
    <n v="8"/>
    <n v="2"/>
    <x v="0"/>
    <n v="1"/>
    <n v="2"/>
    <x v="0"/>
    <n v="92"/>
    <n v="3"/>
    <n v="2"/>
    <s v="Therapist"/>
    <n v="1"/>
    <s v="Poor"/>
    <x v="1"/>
    <n v="6516"/>
    <x v="0"/>
    <n v="5041"/>
    <n v="2"/>
    <s v="Y"/>
    <s v="Yes"/>
    <n v="16"/>
    <x v="0"/>
    <s v="Low Performance"/>
    <n v="2"/>
    <n v="80"/>
    <n v="1"/>
    <n v="18"/>
    <n v="3"/>
    <n v="3"/>
    <s v="Fair"/>
    <n v="1"/>
    <n v="0"/>
    <n v="0"/>
    <n v="0"/>
  </r>
  <r>
    <n v="1078051"/>
    <n v="24"/>
    <x v="4"/>
    <s v="No"/>
    <x v="0"/>
    <x v="0"/>
    <n v="506"/>
    <x v="1"/>
    <n v="29"/>
    <n v="1"/>
    <x v="2"/>
    <n v="1"/>
    <n v="2"/>
    <x v="1"/>
    <n v="91"/>
    <n v="3"/>
    <n v="1"/>
    <s v="Nurse"/>
    <n v="1"/>
    <s v="Poor"/>
    <x v="2"/>
    <n v="3907"/>
    <x v="1"/>
    <n v="3622"/>
    <n v="1"/>
    <s v="Y"/>
    <s v="No"/>
    <n v="13"/>
    <x v="0"/>
    <s v="Low Performance"/>
    <n v="2"/>
    <n v="80"/>
    <n v="3"/>
    <n v="6"/>
    <n v="2"/>
    <n v="4"/>
    <s v="Good"/>
    <n v="6"/>
    <n v="2"/>
    <n v="1"/>
    <n v="2"/>
  </r>
  <r>
    <n v="1146326"/>
    <n v="46"/>
    <x v="1"/>
    <s v="No"/>
    <x v="0"/>
    <x v="0"/>
    <n v="717"/>
    <x v="1"/>
    <n v="13"/>
    <n v="4"/>
    <x v="0"/>
    <n v="1"/>
    <n v="3"/>
    <x v="1"/>
    <n v="34"/>
    <n v="3"/>
    <n v="2"/>
    <s v="Nurse"/>
    <n v="2"/>
    <s v="Poor"/>
    <x v="0"/>
    <n v="5562"/>
    <x v="0"/>
    <n v="9697"/>
    <n v="6"/>
    <s v="Y"/>
    <s v="No"/>
    <n v="14"/>
    <x v="0"/>
    <s v="Low Performance"/>
    <n v="4"/>
    <n v="80"/>
    <n v="0"/>
    <n v="19"/>
    <n v="3"/>
    <n v="3"/>
    <s v="Fair"/>
    <n v="10"/>
    <n v="7"/>
    <n v="0"/>
    <n v="9"/>
  </r>
  <r>
    <n v="1044017"/>
    <n v="35"/>
    <x v="2"/>
    <s v="No"/>
    <x v="0"/>
    <x v="0"/>
    <n v="1370"/>
    <x v="1"/>
    <n v="27"/>
    <n v="4"/>
    <x v="0"/>
    <n v="1"/>
    <n v="4"/>
    <x v="1"/>
    <n v="49"/>
    <n v="3"/>
    <n v="2"/>
    <s v="Therapist"/>
    <n v="3"/>
    <s v="Fair"/>
    <x v="1"/>
    <n v="6883"/>
    <x v="0"/>
    <n v="5151"/>
    <n v="2"/>
    <s v="Y"/>
    <s v="No"/>
    <n v="16"/>
    <x v="0"/>
    <s v="Low Performance"/>
    <n v="2"/>
    <n v="80"/>
    <n v="1"/>
    <n v="17"/>
    <n v="3"/>
    <n v="3"/>
    <s v="Fair"/>
    <n v="7"/>
    <n v="7"/>
    <n v="0"/>
    <n v="7"/>
  </r>
  <r>
    <n v="1294406"/>
    <n v="30"/>
    <x v="2"/>
    <s v="No"/>
    <x v="0"/>
    <x v="0"/>
    <n v="793"/>
    <x v="1"/>
    <n v="16"/>
    <n v="1"/>
    <x v="0"/>
    <n v="1"/>
    <n v="2"/>
    <x v="1"/>
    <n v="33"/>
    <n v="3"/>
    <n v="1"/>
    <s v="Other"/>
    <n v="4"/>
    <s v="Good"/>
    <x v="1"/>
    <n v="2862"/>
    <x v="1"/>
    <n v="3811"/>
    <n v="1"/>
    <s v="Y"/>
    <s v="No"/>
    <n v="12"/>
    <x v="0"/>
    <s v="Low Performance"/>
    <n v="2"/>
    <n v="80"/>
    <n v="1"/>
    <n v="10"/>
    <n v="2"/>
    <n v="2"/>
    <s v="Poor"/>
    <n v="10"/>
    <n v="0"/>
    <n v="0"/>
    <n v="8"/>
  </r>
  <r>
    <n v="1280706"/>
    <n v="47"/>
    <x v="1"/>
    <s v="No"/>
    <x v="0"/>
    <x v="2"/>
    <n v="543"/>
    <x v="0"/>
    <n v="2"/>
    <n v="4"/>
    <x v="3"/>
    <n v="1"/>
    <n v="3"/>
    <x v="1"/>
    <n v="87"/>
    <n v="3"/>
    <n v="2"/>
    <s v="Nurse"/>
    <n v="2"/>
    <s v="Poor"/>
    <x v="1"/>
    <n v="4978"/>
    <x v="1"/>
    <n v="3536"/>
    <n v="7"/>
    <s v="Y"/>
    <s v="No"/>
    <n v="11"/>
    <x v="0"/>
    <s v="Low Performance"/>
    <n v="4"/>
    <n v="80"/>
    <n v="1"/>
    <n v="4"/>
    <n v="3"/>
    <n v="1"/>
    <s v="Poor"/>
    <n v="1"/>
    <n v="0"/>
    <n v="0"/>
    <n v="0"/>
  </r>
  <r>
    <n v="1488805"/>
    <n v="46"/>
    <x v="1"/>
    <s v="No"/>
    <x v="0"/>
    <x v="0"/>
    <n v="1277"/>
    <x v="0"/>
    <n v="2"/>
    <n v="3"/>
    <x v="0"/>
    <n v="1"/>
    <n v="3"/>
    <x v="1"/>
    <n v="74"/>
    <n v="3"/>
    <n v="3"/>
    <s v="Nurse"/>
    <n v="4"/>
    <s v="Good"/>
    <x v="2"/>
    <n v="10368"/>
    <x v="0"/>
    <n v="5596"/>
    <n v="4"/>
    <s v="Y"/>
    <s v="Yes"/>
    <n v="12"/>
    <x v="0"/>
    <s v="Low Performance"/>
    <n v="2"/>
    <n v="80"/>
    <n v="1"/>
    <n v="13"/>
    <n v="5"/>
    <n v="2"/>
    <s v="Poor"/>
    <n v="10"/>
    <n v="6"/>
    <n v="0"/>
    <n v="3"/>
  </r>
  <r>
    <n v="1315940"/>
    <n v="36"/>
    <x v="0"/>
    <s v="No"/>
    <x v="0"/>
    <x v="0"/>
    <n v="1456"/>
    <x v="0"/>
    <n v="13"/>
    <n v="5"/>
    <x v="3"/>
    <n v="1"/>
    <n v="2"/>
    <x v="1"/>
    <n v="96"/>
    <n v="2"/>
    <n v="2"/>
    <s v="Nurse"/>
    <n v="1"/>
    <s v="Poor"/>
    <x v="2"/>
    <n v="6134"/>
    <x v="0"/>
    <n v="8658"/>
    <n v="5"/>
    <s v="Y"/>
    <s v="Yes"/>
    <n v="13"/>
    <x v="0"/>
    <s v="Low Performance"/>
    <n v="2"/>
    <n v="80"/>
    <n v="3"/>
    <n v="16"/>
    <n v="3"/>
    <n v="3"/>
    <s v="Fair"/>
    <n v="2"/>
    <n v="2"/>
    <n v="2"/>
    <n v="2"/>
  </r>
  <r>
    <n v="1878824"/>
    <n v="32"/>
    <x v="2"/>
    <s v="Yes"/>
    <x v="1"/>
    <x v="0"/>
    <n v="964"/>
    <x v="0"/>
    <n v="1"/>
    <n v="2"/>
    <x v="0"/>
    <n v="1"/>
    <n v="1"/>
    <x v="1"/>
    <n v="34"/>
    <n v="1"/>
    <n v="2"/>
    <s v="Nurse"/>
    <n v="2"/>
    <s v="Poor"/>
    <x v="0"/>
    <n v="6735"/>
    <x v="0"/>
    <n v="12147"/>
    <n v="6"/>
    <s v="Y"/>
    <s v="No"/>
    <n v="15"/>
    <x v="0"/>
    <s v="Low Performance"/>
    <n v="2"/>
    <n v="80"/>
    <n v="0"/>
    <n v="10"/>
    <n v="2"/>
    <n v="3"/>
    <s v="Fair"/>
    <n v="0"/>
    <n v="0"/>
    <n v="0"/>
    <n v="0"/>
  </r>
  <r>
    <n v="1658260"/>
    <n v="23"/>
    <x v="4"/>
    <s v="No"/>
    <x v="0"/>
    <x v="0"/>
    <n v="160"/>
    <x v="1"/>
    <n v="4"/>
    <n v="1"/>
    <x v="2"/>
    <n v="1"/>
    <n v="3"/>
    <x v="0"/>
    <n v="51"/>
    <n v="3"/>
    <n v="1"/>
    <s v="Nurse"/>
    <n v="2"/>
    <s v="Poor"/>
    <x v="0"/>
    <n v="3295"/>
    <x v="1"/>
    <n v="12862"/>
    <n v="1"/>
    <s v="Y"/>
    <s v="No"/>
    <n v="13"/>
    <x v="0"/>
    <s v="Low Performance"/>
    <n v="3"/>
    <n v="80"/>
    <n v="0"/>
    <n v="3"/>
    <n v="3"/>
    <n v="1"/>
    <s v="Poor"/>
    <n v="3"/>
    <n v="2"/>
    <n v="1"/>
    <n v="2"/>
  </r>
  <r>
    <n v="1246363"/>
    <n v="31"/>
    <x v="2"/>
    <s v="No"/>
    <x v="0"/>
    <x v="1"/>
    <n v="163"/>
    <x v="1"/>
    <n v="24"/>
    <n v="1"/>
    <x v="4"/>
    <n v="1"/>
    <n v="4"/>
    <x v="0"/>
    <n v="30"/>
    <n v="3"/>
    <n v="2"/>
    <s v="Therapist"/>
    <n v="4"/>
    <s v="Good"/>
    <x v="0"/>
    <n v="5238"/>
    <x v="0"/>
    <n v="6670"/>
    <n v="2"/>
    <s v="Y"/>
    <s v="No"/>
    <n v="20"/>
    <x v="1"/>
    <s v="High Performance"/>
    <n v="4"/>
    <n v="80"/>
    <n v="0"/>
    <n v="9"/>
    <n v="3"/>
    <n v="2"/>
    <s v="Poor"/>
    <n v="5"/>
    <n v="4"/>
    <n v="1"/>
    <n v="4"/>
  </r>
  <r>
    <n v="1360469"/>
    <n v="39"/>
    <x v="0"/>
    <s v="No"/>
    <x v="0"/>
    <x v="2"/>
    <n v="792"/>
    <x v="1"/>
    <n v="1"/>
    <n v="3"/>
    <x v="0"/>
    <n v="1"/>
    <n v="4"/>
    <x v="1"/>
    <n v="77"/>
    <n v="3"/>
    <n v="2"/>
    <s v="Nurse"/>
    <n v="4"/>
    <s v="Good"/>
    <x v="1"/>
    <n v="6472"/>
    <x v="0"/>
    <n v="8989"/>
    <n v="1"/>
    <s v="Y"/>
    <s v="Yes"/>
    <n v="15"/>
    <x v="0"/>
    <s v="Low Performance"/>
    <n v="4"/>
    <n v="80"/>
    <n v="1"/>
    <n v="9"/>
    <n v="2"/>
    <n v="3"/>
    <s v="Fair"/>
    <n v="9"/>
    <n v="8"/>
    <n v="5"/>
    <n v="8"/>
  </r>
  <r>
    <n v="1412303"/>
    <n v="32"/>
    <x v="2"/>
    <s v="No"/>
    <x v="0"/>
    <x v="0"/>
    <n v="371"/>
    <x v="0"/>
    <n v="19"/>
    <n v="3"/>
    <x v="0"/>
    <n v="1"/>
    <n v="4"/>
    <x v="1"/>
    <n v="80"/>
    <n v="1"/>
    <n v="3"/>
    <s v="Nurse"/>
    <n v="3"/>
    <s v="Fair"/>
    <x v="1"/>
    <n v="9610"/>
    <x v="0"/>
    <n v="3840"/>
    <n v="3"/>
    <s v="Y"/>
    <s v="No"/>
    <n v="13"/>
    <x v="0"/>
    <s v="Low Performance"/>
    <n v="3"/>
    <n v="80"/>
    <n v="1"/>
    <n v="10"/>
    <n v="2"/>
    <n v="1"/>
    <s v="Poor"/>
    <n v="4"/>
    <n v="3"/>
    <n v="0"/>
    <n v="2"/>
  </r>
  <r>
    <n v="1360714"/>
    <n v="40"/>
    <x v="0"/>
    <s v="No"/>
    <x v="0"/>
    <x v="0"/>
    <n v="611"/>
    <x v="0"/>
    <n v="7"/>
    <n v="4"/>
    <x v="2"/>
    <n v="1"/>
    <n v="2"/>
    <x v="1"/>
    <n v="88"/>
    <n v="3"/>
    <n v="5"/>
    <s v="Administrative"/>
    <n v="2"/>
    <s v="Poor"/>
    <x v="0"/>
    <n v="19833"/>
    <x v="2"/>
    <n v="4349"/>
    <n v="1"/>
    <s v="Y"/>
    <s v="No"/>
    <n v="14"/>
    <x v="0"/>
    <s v="Low Performance"/>
    <n v="2"/>
    <n v="80"/>
    <n v="0"/>
    <n v="21"/>
    <n v="3"/>
    <n v="2"/>
    <s v="Poor"/>
    <n v="21"/>
    <n v="8"/>
    <n v="12"/>
    <n v="8"/>
  </r>
  <r>
    <n v="1383815"/>
    <n v="45"/>
    <x v="0"/>
    <s v="No"/>
    <x v="0"/>
    <x v="0"/>
    <n v="176"/>
    <x v="2"/>
    <n v="4"/>
    <n v="3"/>
    <x v="0"/>
    <n v="1"/>
    <n v="3"/>
    <x v="0"/>
    <n v="56"/>
    <n v="1"/>
    <n v="3"/>
    <s v="Other"/>
    <n v="3"/>
    <s v="Fair"/>
    <x v="1"/>
    <n v="9756"/>
    <x v="0"/>
    <n v="6595"/>
    <n v="4"/>
    <s v="Y"/>
    <s v="No"/>
    <n v="21"/>
    <x v="1"/>
    <s v="High Performance"/>
    <n v="3"/>
    <n v="80"/>
    <n v="2"/>
    <n v="9"/>
    <n v="2"/>
    <n v="4"/>
    <s v="Good"/>
    <n v="5"/>
    <n v="0"/>
    <n v="0"/>
    <n v="3"/>
  </r>
  <r>
    <n v="1620383"/>
    <n v="30"/>
    <x v="2"/>
    <s v="No"/>
    <x v="0"/>
    <x v="1"/>
    <n v="1312"/>
    <x v="1"/>
    <n v="2"/>
    <n v="4"/>
    <x v="4"/>
    <n v="1"/>
    <n v="4"/>
    <x v="0"/>
    <n v="78"/>
    <n v="2"/>
    <n v="1"/>
    <s v="Other"/>
    <n v="1"/>
    <s v="Poor"/>
    <x v="0"/>
    <n v="4968"/>
    <x v="1"/>
    <n v="26427"/>
    <n v="0"/>
    <s v="Y"/>
    <s v="No"/>
    <n v="16"/>
    <x v="0"/>
    <s v="Low Performance"/>
    <n v="4"/>
    <n v="80"/>
    <n v="0"/>
    <n v="10"/>
    <n v="2"/>
    <n v="3"/>
    <s v="Fair"/>
    <n v="9"/>
    <n v="7"/>
    <n v="0"/>
    <n v="7"/>
  </r>
  <r>
    <n v="1377529"/>
    <n v="24"/>
    <x v="4"/>
    <s v="No"/>
    <x v="0"/>
    <x v="1"/>
    <n v="897"/>
    <x v="2"/>
    <n v="10"/>
    <n v="3"/>
    <x v="2"/>
    <n v="1"/>
    <n v="1"/>
    <x v="1"/>
    <n v="59"/>
    <n v="3"/>
    <n v="1"/>
    <s v="Other"/>
    <n v="4"/>
    <s v="Good"/>
    <x v="1"/>
    <n v="2145"/>
    <x v="1"/>
    <n v="2097"/>
    <n v="0"/>
    <s v="Y"/>
    <s v="No"/>
    <n v="14"/>
    <x v="0"/>
    <s v="Low Performance"/>
    <n v="4"/>
    <n v="80"/>
    <n v="1"/>
    <n v="3"/>
    <n v="2"/>
    <n v="3"/>
    <s v="Fair"/>
    <n v="2"/>
    <n v="2"/>
    <n v="2"/>
    <n v="1"/>
  </r>
  <r>
    <n v="1828538"/>
    <n v="30"/>
    <x v="2"/>
    <s v="Yes"/>
    <x v="1"/>
    <x v="1"/>
    <n v="600"/>
    <x v="2"/>
    <n v="8"/>
    <n v="3"/>
    <x v="5"/>
    <n v="1"/>
    <n v="3"/>
    <x v="0"/>
    <n v="66"/>
    <n v="2"/>
    <n v="1"/>
    <s v="Other"/>
    <n v="4"/>
    <s v="Good"/>
    <x v="2"/>
    <n v="2180"/>
    <x v="1"/>
    <n v="9732"/>
    <n v="6"/>
    <s v="Y"/>
    <s v="No"/>
    <n v="11"/>
    <x v="0"/>
    <s v="Low Performance"/>
    <n v="3"/>
    <n v="80"/>
    <n v="1"/>
    <n v="6"/>
    <n v="0"/>
    <n v="2"/>
    <s v="Poor"/>
    <n v="4"/>
    <n v="2"/>
    <n v="1"/>
    <n v="2"/>
  </r>
  <r>
    <n v="1692811"/>
    <n v="31"/>
    <x v="2"/>
    <s v="No"/>
    <x v="0"/>
    <x v="0"/>
    <n v="1003"/>
    <x v="0"/>
    <n v="5"/>
    <n v="3"/>
    <x v="4"/>
    <n v="1"/>
    <n v="1"/>
    <x v="1"/>
    <n v="51"/>
    <n v="3"/>
    <n v="2"/>
    <s v="Nurse"/>
    <n v="3"/>
    <s v="Fair"/>
    <x v="1"/>
    <n v="8346"/>
    <x v="0"/>
    <n v="20943"/>
    <n v="1"/>
    <s v="Y"/>
    <s v="No"/>
    <n v="19"/>
    <x v="0"/>
    <s v="Low Performance"/>
    <n v="3"/>
    <n v="80"/>
    <n v="1"/>
    <n v="6"/>
    <n v="3"/>
    <n v="3"/>
    <s v="Fair"/>
    <n v="5"/>
    <n v="2"/>
    <n v="0"/>
    <n v="2"/>
  </r>
  <r>
    <n v="1030937"/>
    <n v="27"/>
    <x v="2"/>
    <s v="No"/>
    <x v="0"/>
    <x v="0"/>
    <n v="1054"/>
    <x v="1"/>
    <n v="8"/>
    <n v="3"/>
    <x v="2"/>
    <n v="1"/>
    <n v="3"/>
    <x v="0"/>
    <n v="67"/>
    <n v="3"/>
    <n v="1"/>
    <s v="Other"/>
    <n v="4"/>
    <s v="Good"/>
    <x v="0"/>
    <n v="3445"/>
    <x v="1"/>
    <n v="6152"/>
    <n v="1"/>
    <s v="Y"/>
    <s v="No"/>
    <n v="11"/>
    <x v="0"/>
    <s v="Low Performance"/>
    <n v="3"/>
    <n v="80"/>
    <n v="0"/>
    <n v="6"/>
    <n v="5"/>
    <n v="2"/>
    <s v="Poor"/>
    <n v="6"/>
    <n v="2"/>
    <n v="1"/>
    <n v="4"/>
  </r>
  <r>
    <n v="1838448"/>
    <n v="29"/>
    <x v="2"/>
    <s v="Yes"/>
    <x v="1"/>
    <x v="0"/>
    <n v="428"/>
    <x v="0"/>
    <n v="9"/>
    <n v="3"/>
    <x v="3"/>
    <n v="1"/>
    <n v="2"/>
    <x v="0"/>
    <n v="52"/>
    <n v="1"/>
    <n v="1"/>
    <s v="Other"/>
    <n v="2"/>
    <s v="Poor"/>
    <x v="0"/>
    <n v="2760"/>
    <x v="1"/>
    <n v="14630"/>
    <n v="1"/>
    <s v="Y"/>
    <s v="No"/>
    <n v="13"/>
    <x v="0"/>
    <s v="Low Performance"/>
    <n v="3"/>
    <n v="80"/>
    <n v="0"/>
    <n v="2"/>
    <n v="3"/>
    <n v="3"/>
    <s v="Fair"/>
    <n v="2"/>
    <n v="2"/>
    <n v="2"/>
    <n v="2"/>
  </r>
  <r>
    <n v="1176037"/>
    <n v="29"/>
    <x v="2"/>
    <s v="No"/>
    <x v="0"/>
    <x v="1"/>
    <n v="461"/>
    <x v="1"/>
    <n v="1"/>
    <n v="3"/>
    <x v="0"/>
    <n v="1"/>
    <n v="4"/>
    <x v="1"/>
    <n v="70"/>
    <n v="4"/>
    <n v="2"/>
    <s v="Nurse"/>
    <n v="3"/>
    <s v="Fair"/>
    <x v="0"/>
    <n v="6294"/>
    <x v="0"/>
    <n v="23060"/>
    <n v="8"/>
    <s v="Y"/>
    <s v="Yes"/>
    <n v="12"/>
    <x v="0"/>
    <s v="Low Performance"/>
    <n v="4"/>
    <n v="80"/>
    <n v="0"/>
    <n v="10"/>
    <n v="5"/>
    <n v="4"/>
    <s v="Good"/>
    <n v="3"/>
    <n v="2"/>
    <n v="0"/>
    <n v="2"/>
  </r>
  <r>
    <n v="1764157"/>
    <n v="30"/>
    <x v="2"/>
    <s v="No"/>
    <x v="0"/>
    <x v="0"/>
    <n v="979"/>
    <x v="0"/>
    <n v="15"/>
    <n v="2"/>
    <x v="3"/>
    <n v="1"/>
    <n v="3"/>
    <x v="1"/>
    <n v="94"/>
    <n v="2"/>
    <n v="3"/>
    <s v="Nurse"/>
    <n v="1"/>
    <s v="Poor"/>
    <x v="2"/>
    <n v="7140"/>
    <x v="0"/>
    <n v="3088"/>
    <n v="2"/>
    <s v="Y"/>
    <s v="No"/>
    <n v="11"/>
    <x v="0"/>
    <s v="Low Performance"/>
    <n v="1"/>
    <n v="80"/>
    <n v="1"/>
    <n v="12"/>
    <n v="2"/>
    <n v="3"/>
    <s v="Fair"/>
    <n v="7"/>
    <n v="7"/>
    <n v="1"/>
    <n v="7"/>
  </r>
  <r>
    <n v="1483732"/>
    <n v="34"/>
    <x v="2"/>
    <s v="No"/>
    <x v="0"/>
    <x v="0"/>
    <n v="181"/>
    <x v="1"/>
    <n v="2"/>
    <n v="4"/>
    <x v="2"/>
    <n v="1"/>
    <n v="4"/>
    <x v="1"/>
    <n v="97"/>
    <n v="4"/>
    <n v="1"/>
    <s v="Other"/>
    <n v="4"/>
    <s v="Good"/>
    <x v="1"/>
    <n v="2932"/>
    <x v="1"/>
    <n v="5586"/>
    <n v="0"/>
    <s v="Y"/>
    <s v="Yes"/>
    <n v="14"/>
    <x v="0"/>
    <s v="Low Performance"/>
    <n v="1"/>
    <n v="80"/>
    <n v="3"/>
    <n v="6"/>
    <n v="3"/>
    <n v="3"/>
    <s v="Fair"/>
    <n v="5"/>
    <n v="0"/>
    <n v="1"/>
    <n v="2"/>
  </r>
  <r>
    <n v="1059340"/>
    <n v="33"/>
    <x v="2"/>
    <s v="No"/>
    <x v="0"/>
    <x v="2"/>
    <n v="1283"/>
    <x v="0"/>
    <n v="2"/>
    <n v="3"/>
    <x v="3"/>
    <n v="1"/>
    <n v="4"/>
    <x v="0"/>
    <n v="62"/>
    <n v="3"/>
    <n v="2"/>
    <s v="Nurse"/>
    <n v="2"/>
    <s v="Poor"/>
    <x v="0"/>
    <n v="5147"/>
    <x v="0"/>
    <n v="10697"/>
    <n v="8"/>
    <s v="Y"/>
    <s v="No"/>
    <n v="15"/>
    <x v="0"/>
    <s v="Low Performance"/>
    <n v="4"/>
    <n v="80"/>
    <n v="0"/>
    <n v="13"/>
    <n v="2"/>
    <n v="2"/>
    <s v="Poor"/>
    <n v="11"/>
    <n v="7"/>
    <n v="1"/>
    <n v="7"/>
  </r>
  <r>
    <n v="1260966"/>
    <n v="49"/>
    <x v="1"/>
    <s v="No"/>
    <x v="0"/>
    <x v="0"/>
    <n v="1313"/>
    <x v="0"/>
    <n v="11"/>
    <n v="4"/>
    <x v="3"/>
    <n v="1"/>
    <n v="4"/>
    <x v="0"/>
    <n v="80"/>
    <n v="3"/>
    <n v="2"/>
    <s v="Nurse"/>
    <n v="4"/>
    <s v="Good"/>
    <x v="0"/>
    <n v="4507"/>
    <x v="1"/>
    <n v="8191"/>
    <n v="3"/>
    <s v="Y"/>
    <s v="No"/>
    <n v="12"/>
    <x v="0"/>
    <s v="Low Performance"/>
    <n v="3"/>
    <n v="80"/>
    <n v="0"/>
    <n v="8"/>
    <n v="1"/>
    <n v="4"/>
    <s v="Good"/>
    <n v="5"/>
    <n v="1"/>
    <n v="0"/>
    <n v="4"/>
  </r>
  <r>
    <n v="1196870"/>
    <n v="33"/>
    <x v="2"/>
    <s v="Yes"/>
    <x v="1"/>
    <x v="0"/>
    <n v="211"/>
    <x v="0"/>
    <n v="16"/>
    <n v="3"/>
    <x v="0"/>
    <n v="1"/>
    <n v="1"/>
    <x v="0"/>
    <n v="74"/>
    <n v="3"/>
    <n v="3"/>
    <s v="Nurse"/>
    <n v="1"/>
    <s v="Poor"/>
    <x v="0"/>
    <n v="8564"/>
    <x v="0"/>
    <n v="10092"/>
    <n v="2"/>
    <s v="Y"/>
    <s v="Yes"/>
    <n v="20"/>
    <x v="1"/>
    <s v="High Performance"/>
    <n v="3"/>
    <n v="80"/>
    <n v="0"/>
    <n v="11"/>
    <n v="2"/>
    <n v="2"/>
    <s v="Poor"/>
    <n v="0"/>
    <n v="0"/>
    <n v="0"/>
    <n v="0"/>
  </r>
  <r>
    <n v="1434954"/>
    <n v="38"/>
    <x v="0"/>
    <s v="No"/>
    <x v="0"/>
    <x v="1"/>
    <n v="594"/>
    <x v="1"/>
    <n v="2"/>
    <n v="2"/>
    <x v="2"/>
    <n v="1"/>
    <n v="3"/>
    <x v="0"/>
    <n v="75"/>
    <n v="2"/>
    <n v="1"/>
    <s v="Nurse"/>
    <n v="2"/>
    <s v="Poor"/>
    <x v="1"/>
    <n v="2468"/>
    <x v="1"/>
    <n v="15963"/>
    <n v="4"/>
    <s v="Y"/>
    <s v="No"/>
    <n v="14"/>
    <x v="0"/>
    <s v="Low Performance"/>
    <n v="2"/>
    <n v="80"/>
    <n v="1"/>
    <n v="9"/>
    <n v="4"/>
    <n v="2"/>
    <s v="Poor"/>
    <n v="6"/>
    <n v="1"/>
    <n v="0"/>
    <n v="5"/>
  </r>
  <r>
    <n v="1872248"/>
    <n v="31"/>
    <x v="2"/>
    <s v="Yes"/>
    <x v="1"/>
    <x v="0"/>
    <n v="1079"/>
    <x v="0"/>
    <n v="16"/>
    <n v="4"/>
    <x v="3"/>
    <n v="1"/>
    <n v="1"/>
    <x v="1"/>
    <n v="70"/>
    <n v="3"/>
    <n v="3"/>
    <s v="Nurse"/>
    <n v="3"/>
    <s v="Fair"/>
    <x v="1"/>
    <n v="8161"/>
    <x v="0"/>
    <n v="19002"/>
    <n v="2"/>
    <s v="Y"/>
    <s v="No"/>
    <n v="13"/>
    <x v="0"/>
    <s v="Low Performance"/>
    <n v="1"/>
    <n v="80"/>
    <n v="3"/>
    <n v="10"/>
    <n v="2"/>
    <n v="3"/>
    <s v="Fair"/>
    <n v="1"/>
    <n v="0"/>
    <n v="0"/>
    <n v="0"/>
  </r>
  <r>
    <n v="1498457"/>
    <n v="29"/>
    <x v="2"/>
    <s v="No"/>
    <x v="0"/>
    <x v="0"/>
    <n v="590"/>
    <x v="1"/>
    <n v="4"/>
    <n v="3"/>
    <x v="4"/>
    <n v="1"/>
    <n v="4"/>
    <x v="0"/>
    <n v="91"/>
    <n v="2"/>
    <n v="1"/>
    <s v="Other"/>
    <n v="1"/>
    <s v="Poor"/>
    <x v="2"/>
    <n v="2109"/>
    <x v="1"/>
    <n v="10007"/>
    <n v="1"/>
    <s v="Y"/>
    <s v="No"/>
    <n v="13"/>
    <x v="0"/>
    <s v="Low Performance"/>
    <n v="3"/>
    <n v="80"/>
    <n v="1"/>
    <n v="1"/>
    <n v="2"/>
    <n v="3"/>
    <s v="Fair"/>
    <n v="1"/>
    <n v="0"/>
    <n v="0"/>
    <n v="0"/>
  </r>
  <r>
    <n v="1322097"/>
    <n v="30"/>
    <x v="2"/>
    <s v="No"/>
    <x v="0"/>
    <x v="0"/>
    <n v="305"/>
    <x v="1"/>
    <n v="16"/>
    <n v="3"/>
    <x v="0"/>
    <n v="1"/>
    <n v="3"/>
    <x v="1"/>
    <n v="58"/>
    <n v="4"/>
    <n v="2"/>
    <s v="Nurse"/>
    <n v="3"/>
    <s v="Fair"/>
    <x v="1"/>
    <n v="5294"/>
    <x v="0"/>
    <n v="9128"/>
    <n v="3"/>
    <s v="Y"/>
    <s v="No"/>
    <n v="16"/>
    <x v="0"/>
    <s v="Low Performance"/>
    <n v="3"/>
    <n v="80"/>
    <n v="1"/>
    <n v="10"/>
    <n v="3"/>
    <n v="3"/>
    <s v="Fair"/>
    <n v="7"/>
    <n v="0"/>
    <n v="1"/>
    <n v="7"/>
  </r>
  <r>
    <n v="1400783"/>
    <n v="32"/>
    <x v="2"/>
    <s v="No"/>
    <x v="0"/>
    <x v="2"/>
    <n v="953"/>
    <x v="1"/>
    <n v="5"/>
    <n v="4"/>
    <x v="4"/>
    <n v="1"/>
    <n v="2"/>
    <x v="1"/>
    <n v="65"/>
    <n v="3"/>
    <n v="1"/>
    <s v="Other"/>
    <n v="2"/>
    <s v="Poor"/>
    <x v="0"/>
    <n v="2718"/>
    <x v="1"/>
    <n v="17674"/>
    <n v="2"/>
    <s v="Y"/>
    <s v="No"/>
    <n v="14"/>
    <x v="0"/>
    <s v="Low Performance"/>
    <n v="2"/>
    <n v="80"/>
    <n v="0"/>
    <n v="12"/>
    <n v="3"/>
    <n v="3"/>
    <s v="Fair"/>
    <n v="7"/>
    <n v="7"/>
    <n v="0"/>
    <n v="7"/>
  </r>
  <r>
    <n v="1511863"/>
    <n v="38"/>
    <x v="0"/>
    <s v="No"/>
    <x v="0"/>
    <x v="0"/>
    <n v="833"/>
    <x v="1"/>
    <n v="18"/>
    <n v="3"/>
    <x v="2"/>
    <n v="1"/>
    <n v="2"/>
    <x v="1"/>
    <n v="60"/>
    <n v="1"/>
    <n v="2"/>
    <s v="Nurse"/>
    <n v="4"/>
    <s v="Good"/>
    <x v="1"/>
    <n v="5811"/>
    <x v="0"/>
    <n v="24539"/>
    <n v="3"/>
    <s v="Y"/>
    <s v="Yes"/>
    <n v="16"/>
    <x v="0"/>
    <s v="Low Performance"/>
    <n v="3"/>
    <n v="80"/>
    <n v="1"/>
    <n v="15"/>
    <n v="2"/>
    <n v="3"/>
    <s v="Fair"/>
    <n v="1"/>
    <n v="0"/>
    <n v="1"/>
    <n v="0"/>
  </r>
  <r>
    <n v="1581569"/>
    <n v="43"/>
    <x v="0"/>
    <s v="Yes"/>
    <x v="1"/>
    <x v="1"/>
    <n v="807"/>
    <x v="1"/>
    <n v="17"/>
    <n v="3"/>
    <x v="4"/>
    <n v="1"/>
    <n v="3"/>
    <x v="1"/>
    <n v="38"/>
    <n v="2"/>
    <n v="1"/>
    <s v="Other"/>
    <n v="3"/>
    <s v="Fair"/>
    <x v="1"/>
    <n v="2437"/>
    <x v="1"/>
    <n v="15587"/>
    <n v="9"/>
    <s v="Y"/>
    <s v="Yes"/>
    <n v="16"/>
    <x v="0"/>
    <s v="Low Performance"/>
    <n v="4"/>
    <n v="80"/>
    <n v="1"/>
    <n v="6"/>
    <n v="4"/>
    <n v="3"/>
    <s v="Fair"/>
    <n v="1"/>
    <n v="0"/>
    <n v="0"/>
    <n v="0"/>
  </r>
  <r>
    <n v="1628396"/>
    <n v="42"/>
    <x v="0"/>
    <s v="No"/>
    <x v="0"/>
    <x v="0"/>
    <n v="855"/>
    <x v="1"/>
    <n v="12"/>
    <n v="3"/>
    <x v="2"/>
    <n v="1"/>
    <n v="2"/>
    <x v="1"/>
    <n v="57"/>
    <n v="3"/>
    <n v="1"/>
    <s v="Nurse"/>
    <n v="2"/>
    <s v="Poor"/>
    <x v="2"/>
    <n v="2766"/>
    <x v="1"/>
    <n v="8952"/>
    <n v="8"/>
    <s v="Y"/>
    <s v="No"/>
    <n v="22"/>
    <x v="1"/>
    <s v="High Performance"/>
    <n v="2"/>
    <n v="80"/>
    <n v="3"/>
    <n v="7"/>
    <n v="6"/>
    <n v="2"/>
    <s v="Poor"/>
    <n v="5"/>
    <n v="3"/>
    <n v="0"/>
    <n v="4"/>
  </r>
  <r>
    <n v="1715321"/>
    <n v="55"/>
    <x v="1"/>
    <s v="No"/>
    <x v="0"/>
    <x v="0"/>
    <n v="478"/>
    <x v="1"/>
    <n v="2"/>
    <n v="3"/>
    <x v="2"/>
    <n v="1"/>
    <n v="3"/>
    <x v="1"/>
    <n v="60"/>
    <n v="2"/>
    <n v="5"/>
    <s v="Administrative"/>
    <n v="1"/>
    <s v="Poor"/>
    <x v="1"/>
    <n v="19038"/>
    <x v="2"/>
    <n v="19805"/>
    <n v="8"/>
    <s v="Y"/>
    <s v="No"/>
    <n v="12"/>
    <x v="0"/>
    <s v="Low Performance"/>
    <n v="2"/>
    <n v="80"/>
    <n v="3"/>
    <n v="34"/>
    <n v="2"/>
    <n v="3"/>
    <s v="Fair"/>
    <n v="1"/>
    <n v="0"/>
    <n v="0"/>
    <n v="0"/>
  </r>
  <r>
    <n v="1541808"/>
    <n v="33"/>
    <x v="2"/>
    <s v="No"/>
    <x v="0"/>
    <x v="2"/>
    <n v="775"/>
    <x v="1"/>
    <n v="4"/>
    <n v="3"/>
    <x v="4"/>
    <n v="1"/>
    <n v="4"/>
    <x v="1"/>
    <n v="90"/>
    <n v="3"/>
    <n v="2"/>
    <s v="Other"/>
    <n v="2"/>
    <s v="Poor"/>
    <x v="2"/>
    <n v="3055"/>
    <x v="1"/>
    <n v="6194"/>
    <n v="5"/>
    <s v="Y"/>
    <s v="No"/>
    <n v="15"/>
    <x v="0"/>
    <s v="Low Performance"/>
    <n v="4"/>
    <n v="80"/>
    <n v="2"/>
    <n v="11"/>
    <n v="2"/>
    <n v="2"/>
    <s v="Poor"/>
    <n v="9"/>
    <n v="8"/>
    <n v="1"/>
    <n v="7"/>
  </r>
  <r>
    <n v="1479918"/>
    <n v="41"/>
    <x v="0"/>
    <s v="No"/>
    <x v="0"/>
    <x v="0"/>
    <n v="548"/>
    <x v="1"/>
    <n v="9"/>
    <n v="4"/>
    <x v="0"/>
    <n v="1"/>
    <n v="3"/>
    <x v="1"/>
    <n v="94"/>
    <n v="3"/>
    <n v="1"/>
    <s v="Nurse"/>
    <n v="1"/>
    <s v="Poor"/>
    <x v="2"/>
    <n v="2289"/>
    <x v="1"/>
    <n v="20520"/>
    <n v="1"/>
    <s v="Y"/>
    <s v="No"/>
    <n v="20"/>
    <x v="1"/>
    <s v="High Performance"/>
    <n v="2"/>
    <n v="80"/>
    <n v="2"/>
    <n v="5"/>
    <n v="2"/>
    <n v="3"/>
    <s v="Fair"/>
    <n v="5"/>
    <n v="3"/>
    <n v="0"/>
    <n v="4"/>
  </r>
  <r>
    <n v="1404955"/>
    <n v="34"/>
    <x v="2"/>
    <s v="No"/>
    <x v="0"/>
    <x v="2"/>
    <n v="1375"/>
    <x v="0"/>
    <n v="10"/>
    <n v="3"/>
    <x v="0"/>
    <n v="1"/>
    <n v="4"/>
    <x v="1"/>
    <n v="87"/>
    <n v="3"/>
    <n v="2"/>
    <s v="Nurse"/>
    <n v="3"/>
    <s v="Fair"/>
    <x v="2"/>
    <n v="4001"/>
    <x v="1"/>
    <n v="12313"/>
    <n v="1"/>
    <s v="Y"/>
    <s v="Yes"/>
    <n v="14"/>
    <x v="0"/>
    <s v="Low Performance"/>
    <n v="3"/>
    <n v="80"/>
    <n v="1"/>
    <n v="15"/>
    <n v="3"/>
    <n v="3"/>
    <s v="Fair"/>
    <n v="15"/>
    <n v="14"/>
    <n v="0"/>
    <n v="7"/>
  </r>
  <r>
    <n v="1473417"/>
    <n v="53"/>
    <x v="1"/>
    <s v="No"/>
    <x v="0"/>
    <x v="2"/>
    <n v="661"/>
    <x v="2"/>
    <n v="1"/>
    <n v="4"/>
    <x v="2"/>
    <n v="1"/>
    <n v="1"/>
    <x v="0"/>
    <n v="60"/>
    <n v="2"/>
    <n v="4"/>
    <s v="Therapist"/>
    <n v="3"/>
    <s v="Fair"/>
    <x v="1"/>
    <n v="12965"/>
    <x v="2"/>
    <n v="22308"/>
    <n v="4"/>
    <s v="Y"/>
    <s v="Yes"/>
    <n v="20"/>
    <x v="1"/>
    <s v="High Performance"/>
    <n v="4"/>
    <n v="80"/>
    <n v="3"/>
    <n v="27"/>
    <n v="2"/>
    <n v="2"/>
    <s v="Poor"/>
    <n v="3"/>
    <n v="2"/>
    <n v="0"/>
    <n v="2"/>
  </r>
  <r>
    <n v="1778124"/>
    <n v="43"/>
    <x v="0"/>
    <s v="No"/>
    <x v="0"/>
    <x v="0"/>
    <n v="244"/>
    <x v="2"/>
    <n v="2"/>
    <n v="3"/>
    <x v="0"/>
    <n v="1"/>
    <n v="2"/>
    <x v="1"/>
    <n v="97"/>
    <n v="3"/>
    <n v="1"/>
    <s v="Other"/>
    <n v="4"/>
    <s v="Good"/>
    <x v="0"/>
    <n v="3539"/>
    <x v="1"/>
    <n v="5033"/>
    <n v="0"/>
    <s v="Y"/>
    <s v="No"/>
    <n v="13"/>
    <x v="0"/>
    <s v="Low Performance"/>
    <n v="2"/>
    <n v="80"/>
    <n v="0"/>
    <n v="10"/>
    <n v="5"/>
    <n v="3"/>
    <s v="Fair"/>
    <n v="9"/>
    <n v="7"/>
    <n v="1"/>
    <n v="8"/>
  </r>
  <r>
    <n v="1143717"/>
    <n v="34"/>
    <x v="2"/>
    <s v="No"/>
    <x v="0"/>
    <x v="0"/>
    <n v="511"/>
    <x v="0"/>
    <n v="3"/>
    <n v="2"/>
    <x v="0"/>
    <n v="1"/>
    <n v="4"/>
    <x v="0"/>
    <n v="32"/>
    <n v="1"/>
    <n v="2"/>
    <s v="Nurse"/>
    <n v="4"/>
    <s v="Good"/>
    <x v="0"/>
    <n v="6029"/>
    <x v="0"/>
    <n v="25353"/>
    <n v="5"/>
    <s v="Y"/>
    <s v="No"/>
    <n v="12"/>
    <x v="0"/>
    <s v="Low Performance"/>
    <n v="1"/>
    <n v="80"/>
    <n v="0"/>
    <n v="6"/>
    <n v="3"/>
    <n v="3"/>
    <s v="Fair"/>
    <n v="2"/>
    <n v="2"/>
    <n v="2"/>
    <n v="2"/>
  </r>
  <r>
    <n v="1193818"/>
    <n v="21"/>
    <x v="4"/>
    <s v="Yes"/>
    <x v="1"/>
    <x v="0"/>
    <n v="337"/>
    <x v="0"/>
    <n v="7"/>
    <n v="1"/>
    <x v="3"/>
    <n v="1"/>
    <n v="2"/>
    <x v="1"/>
    <n v="31"/>
    <n v="3"/>
    <n v="1"/>
    <s v="Other"/>
    <n v="2"/>
    <s v="Poor"/>
    <x v="0"/>
    <n v="2679"/>
    <x v="1"/>
    <n v="4567"/>
    <n v="1"/>
    <s v="Y"/>
    <s v="No"/>
    <n v="13"/>
    <x v="0"/>
    <s v="Low Performance"/>
    <n v="2"/>
    <n v="80"/>
    <n v="0"/>
    <n v="1"/>
    <n v="3"/>
    <n v="3"/>
    <s v="Fair"/>
    <n v="1"/>
    <n v="0"/>
    <n v="1"/>
    <n v="0"/>
  </r>
  <r>
    <n v="1795187"/>
    <n v="38"/>
    <x v="0"/>
    <s v="No"/>
    <x v="0"/>
    <x v="0"/>
    <n v="1153"/>
    <x v="1"/>
    <n v="6"/>
    <n v="2"/>
    <x v="1"/>
    <n v="1"/>
    <n v="4"/>
    <x v="0"/>
    <n v="40"/>
    <n v="2"/>
    <n v="1"/>
    <s v="Nurse"/>
    <n v="3"/>
    <s v="Fair"/>
    <x v="1"/>
    <n v="3702"/>
    <x v="1"/>
    <n v="16376"/>
    <n v="1"/>
    <s v="Y"/>
    <s v="No"/>
    <n v="11"/>
    <x v="0"/>
    <s v="Low Performance"/>
    <n v="2"/>
    <n v="80"/>
    <n v="1"/>
    <n v="5"/>
    <n v="3"/>
    <n v="3"/>
    <s v="Fair"/>
    <n v="5"/>
    <n v="4"/>
    <n v="0"/>
    <n v="4"/>
  </r>
  <r>
    <n v="1241701"/>
    <n v="22"/>
    <x v="4"/>
    <s v="Yes"/>
    <x v="1"/>
    <x v="0"/>
    <n v="1294"/>
    <x v="1"/>
    <n v="8"/>
    <n v="1"/>
    <x v="2"/>
    <n v="1"/>
    <n v="3"/>
    <x v="0"/>
    <n v="79"/>
    <n v="3"/>
    <n v="1"/>
    <s v="Nurse"/>
    <n v="1"/>
    <s v="Poor"/>
    <x v="1"/>
    <n v="2398"/>
    <x v="1"/>
    <n v="15999"/>
    <n v="1"/>
    <s v="Y"/>
    <s v="Yes"/>
    <n v="17"/>
    <x v="0"/>
    <s v="Low Performance"/>
    <n v="3"/>
    <n v="80"/>
    <n v="0"/>
    <n v="1"/>
    <n v="6"/>
    <n v="3"/>
    <s v="Fair"/>
    <n v="1"/>
    <n v="0"/>
    <n v="0"/>
    <n v="0"/>
  </r>
  <r>
    <n v="1729178"/>
    <n v="31"/>
    <x v="2"/>
    <s v="No"/>
    <x v="0"/>
    <x v="0"/>
    <n v="196"/>
    <x v="0"/>
    <n v="29"/>
    <n v="4"/>
    <x v="3"/>
    <n v="1"/>
    <n v="1"/>
    <x v="0"/>
    <n v="91"/>
    <n v="2"/>
    <n v="2"/>
    <s v="Nurse"/>
    <n v="4"/>
    <s v="Good"/>
    <x v="1"/>
    <n v="5468"/>
    <x v="0"/>
    <n v="13402"/>
    <n v="1"/>
    <s v="Y"/>
    <s v="No"/>
    <n v="14"/>
    <x v="0"/>
    <s v="Low Performance"/>
    <n v="1"/>
    <n v="80"/>
    <n v="2"/>
    <n v="13"/>
    <n v="3"/>
    <n v="3"/>
    <s v="Fair"/>
    <n v="12"/>
    <n v="7"/>
    <n v="5"/>
    <n v="7"/>
  </r>
  <r>
    <n v="1612699"/>
    <n v="51"/>
    <x v="1"/>
    <s v="No"/>
    <x v="0"/>
    <x v="0"/>
    <n v="942"/>
    <x v="2"/>
    <n v="3"/>
    <n v="3"/>
    <x v="4"/>
    <n v="1"/>
    <n v="1"/>
    <x v="0"/>
    <n v="53"/>
    <n v="3"/>
    <n v="3"/>
    <s v="Other"/>
    <n v="3"/>
    <s v="Fair"/>
    <x v="1"/>
    <n v="13116"/>
    <x v="2"/>
    <n v="22984"/>
    <n v="2"/>
    <s v="Y"/>
    <s v="No"/>
    <n v="11"/>
    <x v="0"/>
    <s v="Low Performance"/>
    <n v="4"/>
    <n v="80"/>
    <n v="0"/>
    <n v="15"/>
    <n v="2"/>
    <n v="3"/>
    <s v="Fair"/>
    <n v="2"/>
    <n v="2"/>
    <n v="2"/>
    <n v="2"/>
  </r>
  <r>
    <n v="1880660"/>
    <n v="37"/>
    <x v="0"/>
    <s v="No"/>
    <x v="0"/>
    <x v="0"/>
    <n v="589"/>
    <x v="0"/>
    <n v="9"/>
    <n v="2"/>
    <x v="3"/>
    <n v="1"/>
    <n v="2"/>
    <x v="1"/>
    <n v="46"/>
    <n v="2"/>
    <n v="2"/>
    <s v="Nurse"/>
    <n v="2"/>
    <s v="Poor"/>
    <x v="1"/>
    <n v="4189"/>
    <x v="1"/>
    <n v="8800"/>
    <n v="1"/>
    <s v="Y"/>
    <s v="No"/>
    <n v="14"/>
    <x v="0"/>
    <s v="Low Performance"/>
    <n v="1"/>
    <n v="80"/>
    <n v="2"/>
    <n v="5"/>
    <n v="2"/>
    <n v="3"/>
    <s v="Fair"/>
    <n v="5"/>
    <n v="2"/>
    <n v="0"/>
    <n v="3"/>
  </r>
  <r>
    <n v="1275366"/>
    <n v="46"/>
    <x v="1"/>
    <s v="No"/>
    <x v="0"/>
    <x v="0"/>
    <n v="734"/>
    <x v="1"/>
    <n v="2"/>
    <n v="4"/>
    <x v="2"/>
    <n v="1"/>
    <n v="3"/>
    <x v="1"/>
    <n v="46"/>
    <n v="3"/>
    <n v="5"/>
    <s v="Administrative"/>
    <n v="4"/>
    <s v="Good"/>
    <x v="2"/>
    <n v="19328"/>
    <x v="2"/>
    <n v="14218"/>
    <n v="7"/>
    <s v="Y"/>
    <s v="Yes"/>
    <n v="17"/>
    <x v="0"/>
    <s v="Low Performance"/>
    <n v="3"/>
    <n v="80"/>
    <n v="1"/>
    <n v="24"/>
    <n v="3"/>
    <n v="3"/>
    <s v="Fair"/>
    <n v="2"/>
    <n v="1"/>
    <n v="2"/>
    <n v="2"/>
  </r>
  <r>
    <n v="1377582"/>
    <n v="36"/>
    <x v="0"/>
    <s v="No"/>
    <x v="0"/>
    <x v="0"/>
    <n v="1383"/>
    <x v="1"/>
    <n v="10"/>
    <n v="3"/>
    <x v="0"/>
    <n v="1"/>
    <n v="4"/>
    <x v="1"/>
    <n v="90"/>
    <n v="3"/>
    <n v="3"/>
    <s v="Nurse"/>
    <n v="1"/>
    <s v="Poor"/>
    <x v="1"/>
    <n v="8321"/>
    <x v="0"/>
    <n v="25949"/>
    <n v="7"/>
    <s v="Y"/>
    <s v="Yes"/>
    <n v="13"/>
    <x v="0"/>
    <s v="Low Performance"/>
    <n v="4"/>
    <n v="80"/>
    <n v="1"/>
    <n v="15"/>
    <n v="1"/>
    <n v="3"/>
    <s v="Fair"/>
    <n v="12"/>
    <n v="8"/>
    <n v="5"/>
    <n v="7"/>
  </r>
  <r>
    <n v="1590795"/>
    <n v="44"/>
    <x v="0"/>
    <s v="No"/>
    <x v="0"/>
    <x v="1"/>
    <n v="429"/>
    <x v="1"/>
    <n v="1"/>
    <n v="2"/>
    <x v="2"/>
    <n v="1"/>
    <n v="3"/>
    <x v="1"/>
    <n v="99"/>
    <n v="3"/>
    <n v="1"/>
    <s v="Other"/>
    <n v="2"/>
    <s v="Poor"/>
    <x v="2"/>
    <n v="2342"/>
    <x v="1"/>
    <n v="11092"/>
    <n v="1"/>
    <s v="Y"/>
    <s v="Yes"/>
    <n v="12"/>
    <x v="0"/>
    <s v="Low Performance"/>
    <n v="3"/>
    <n v="80"/>
    <n v="3"/>
    <n v="6"/>
    <n v="2"/>
    <n v="2"/>
    <s v="Poor"/>
    <n v="5"/>
    <n v="3"/>
    <n v="2"/>
    <n v="3"/>
  </r>
  <r>
    <n v="1554560"/>
    <n v="37"/>
    <x v="0"/>
    <s v="No"/>
    <x v="0"/>
    <x v="0"/>
    <n v="1239"/>
    <x v="2"/>
    <n v="8"/>
    <n v="2"/>
    <x v="1"/>
    <n v="1"/>
    <n v="3"/>
    <x v="1"/>
    <n v="89"/>
    <n v="3"/>
    <n v="2"/>
    <s v="Other"/>
    <n v="2"/>
    <s v="Poor"/>
    <x v="2"/>
    <n v="4071"/>
    <x v="1"/>
    <n v="12832"/>
    <n v="2"/>
    <s v="Y"/>
    <s v="No"/>
    <n v="13"/>
    <x v="0"/>
    <s v="Low Performance"/>
    <n v="3"/>
    <n v="80"/>
    <n v="0"/>
    <n v="19"/>
    <n v="4"/>
    <n v="2"/>
    <s v="Poor"/>
    <n v="10"/>
    <n v="0"/>
    <n v="4"/>
    <n v="7"/>
  </r>
  <r>
    <n v="1563500"/>
    <n v="35"/>
    <x v="2"/>
    <s v="Yes"/>
    <x v="1"/>
    <x v="0"/>
    <n v="303"/>
    <x v="0"/>
    <n v="27"/>
    <n v="3"/>
    <x v="0"/>
    <n v="1"/>
    <n v="3"/>
    <x v="1"/>
    <n v="84"/>
    <n v="3"/>
    <n v="2"/>
    <s v="Nurse"/>
    <n v="4"/>
    <s v="Good"/>
    <x v="0"/>
    <n v="5813"/>
    <x v="0"/>
    <n v="13492"/>
    <n v="1"/>
    <s v="Y"/>
    <s v="Yes"/>
    <n v="18"/>
    <x v="0"/>
    <s v="Low Performance"/>
    <n v="4"/>
    <n v="80"/>
    <n v="0"/>
    <n v="10"/>
    <n v="2"/>
    <n v="3"/>
    <s v="Fair"/>
    <n v="10"/>
    <n v="7"/>
    <n v="7"/>
    <n v="7"/>
  </r>
  <r>
    <n v="1287606"/>
    <n v="33"/>
    <x v="2"/>
    <s v="No"/>
    <x v="0"/>
    <x v="0"/>
    <n v="867"/>
    <x v="1"/>
    <n v="8"/>
    <n v="4"/>
    <x v="0"/>
    <n v="1"/>
    <n v="4"/>
    <x v="1"/>
    <n v="90"/>
    <n v="4"/>
    <n v="1"/>
    <s v="Other"/>
    <n v="1"/>
    <s v="Poor"/>
    <x v="1"/>
    <n v="3143"/>
    <x v="1"/>
    <n v="6076"/>
    <n v="6"/>
    <s v="Y"/>
    <s v="No"/>
    <n v="19"/>
    <x v="0"/>
    <s v="Low Performance"/>
    <n v="2"/>
    <n v="80"/>
    <n v="1"/>
    <n v="14"/>
    <n v="1"/>
    <n v="3"/>
    <s v="Fair"/>
    <n v="10"/>
    <n v="8"/>
    <n v="7"/>
    <n v="6"/>
  </r>
  <r>
    <n v="1395052"/>
    <n v="28"/>
    <x v="2"/>
    <s v="No"/>
    <x v="0"/>
    <x v="0"/>
    <n v="1181"/>
    <x v="1"/>
    <n v="1"/>
    <n v="3"/>
    <x v="0"/>
    <n v="1"/>
    <n v="3"/>
    <x v="1"/>
    <n v="82"/>
    <n v="3"/>
    <n v="1"/>
    <s v="Other"/>
    <n v="4"/>
    <s v="Good"/>
    <x v="1"/>
    <n v="2044"/>
    <x v="1"/>
    <n v="5531"/>
    <n v="1"/>
    <s v="Y"/>
    <s v="No"/>
    <n v="11"/>
    <x v="0"/>
    <s v="Low Performance"/>
    <n v="3"/>
    <n v="80"/>
    <n v="1"/>
    <n v="5"/>
    <n v="6"/>
    <n v="4"/>
    <s v="Good"/>
    <n v="5"/>
    <n v="3"/>
    <n v="0"/>
    <n v="3"/>
  </r>
  <r>
    <n v="1692699"/>
    <n v="39"/>
    <x v="0"/>
    <s v="No"/>
    <x v="0"/>
    <x v="0"/>
    <n v="1253"/>
    <x v="1"/>
    <n v="10"/>
    <n v="1"/>
    <x v="2"/>
    <n v="1"/>
    <n v="3"/>
    <x v="1"/>
    <n v="65"/>
    <n v="3"/>
    <n v="3"/>
    <s v="Administrative"/>
    <n v="3"/>
    <s v="Fair"/>
    <x v="0"/>
    <n v="13464"/>
    <x v="2"/>
    <n v="7914"/>
    <n v="7"/>
    <s v="Y"/>
    <s v="No"/>
    <n v="21"/>
    <x v="1"/>
    <s v="High Performance"/>
    <n v="3"/>
    <n v="80"/>
    <n v="0"/>
    <n v="9"/>
    <n v="3"/>
    <n v="3"/>
    <s v="Fair"/>
    <n v="4"/>
    <n v="3"/>
    <n v="2"/>
    <n v="2"/>
  </r>
  <r>
    <n v="1691971"/>
    <n v="46"/>
    <x v="1"/>
    <s v="No"/>
    <x v="0"/>
    <x v="2"/>
    <n v="849"/>
    <x v="0"/>
    <n v="26"/>
    <n v="2"/>
    <x v="0"/>
    <n v="1"/>
    <n v="2"/>
    <x v="1"/>
    <n v="98"/>
    <n v="2"/>
    <n v="2"/>
    <s v="Nurse"/>
    <n v="2"/>
    <s v="Poor"/>
    <x v="0"/>
    <n v="7991"/>
    <x v="0"/>
    <n v="25166"/>
    <n v="8"/>
    <s v="Y"/>
    <s v="No"/>
    <n v="15"/>
    <x v="0"/>
    <s v="Low Performance"/>
    <n v="3"/>
    <n v="80"/>
    <n v="0"/>
    <n v="6"/>
    <n v="3"/>
    <n v="3"/>
    <s v="Fair"/>
    <n v="2"/>
    <n v="2"/>
    <n v="2"/>
    <n v="2"/>
  </r>
  <r>
    <n v="1048578"/>
    <n v="40"/>
    <x v="0"/>
    <s v="No"/>
    <x v="0"/>
    <x v="0"/>
    <n v="616"/>
    <x v="1"/>
    <n v="2"/>
    <n v="2"/>
    <x v="0"/>
    <n v="1"/>
    <n v="3"/>
    <x v="0"/>
    <n v="99"/>
    <n v="3"/>
    <n v="1"/>
    <s v="Nurse"/>
    <n v="1"/>
    <s v="Poor"/>
    <x v="1"/>
    <n v="3377"/>
    <x v="1"/>
    <n v="25605"/>
    <n v="4"/>
    <s v="Y"/>
    <s v="No"/>
    <n v="17"/>
    <x v="0"/>
    <s v="Low Performance"/>
    <n v="4"/>
    <n v="80"/>
    <n v="1"/>
    <n v="7"/>
    <n v="5"/>
    <n v="2"/>
    <s v="Poor"/>
    <n v="4"/>
    <n v="3"/>
    <n v="0"/>
    <n v="2"/>
  </r>
  <r>
    <n v="1874111"/>
    <n v="42"/>
    <x v="0"/>
    <s v="No"/>
    <x v="0"/>
    <x v="0"/>
    <n v="1128"/>
    <x v="1"/>
    <n v="13"/>
    <n v="3"/>
    <x v="2"/>
    <n v="1"/>
    <n v="2"/>
    <x v="1"/>
    <n v="95"/>
    <n v="4"/>
    <n v="2"/>
    <s v="Nurse"/>
    <n v="1"/>
    <s v="Poor"/>
    <x v="1"/>
    <n v="5538"/>
    <x v="0"/>
    <n v="5696"/>
    <n v="5"/>
    <s v="Y"/>
    <s v="No"/>
    <n v="18"/>
    <x v="0"/>
    <s v="Low Performance"/>
    <n v="3"/>
    <n v="80"/>
    <n v="2"/>
    <n v="10"/>
    <n v="2"/>
    <n v="2"/>
    <s v="Poor"/>
    <n v="0"/>
    <n v="0"/>
    <n v="0"/>
    <n v="0"/>
  </r>
  <r>
    <n v="1083173"/>
    <n v="35"/>
    <x v="2"/>
    <s v="No"/>
    <x v="0"/>
    <x v="2"/>
    <n v="1180"/>
    <x v="0"/>
    <n v="2"/>
    <n v="2"/>
    <x v="2"/>
    <n v="1"/>
    <n v="2"/>
    <x v="1"/>
    <n v="90"/>
    <n v="3"/>
    <n v="2"/>
    <s v="Therapist"/>
    <n v="4"/>
    <s v="Good"/>
    <x v="2"/>
    <n v="5762"/>
    <x v="0"/>
    <n v="24442"/>
    <n v="2"/>
    <s v="Y"/>
    <s v="No"/>
    <n v="14"/>
    <x v="0"/>
    <s v="Low Performance"/>
    <n v="3"/>
    <n v="80"/>
    <n v="1"/>
    <n v="15"/>
    <n v="6"/>
    <n v="3"/>
    <s v="Fair"/>
    <n v="7"/>
    <n v="7"/>
    <n v="1"/>
    <n v="7"/>
  </r>
  <r>
    <n v="1819347"/>
    <n v="38"/>
    <x v="0"/>
    <s v="No"/>
    <x v="0"/>
    <x v="2"/>
    <n v="1336"/>
    <x v="2"/>
    <n v="2"/>
    <n v="3"/>
    <x v="5"/>
    <n v="1"/>
    <n v="1"/>
    <x v="1"/>
    <n v="100"/>
    <n v="3"/>
    <n v="1"/>
    <s v="Other"/>
    <n v="2"/>
    <s v="Poor"/>
    <x v="2"/>
    <n v="2592"/>
    <x v="1"/>
    <n v="7129"/>
    <n v="5"/>
    <s v="Y"/>
    <s v="No"/>
    <n v="13"/>
    <x v="0"/>
    <s v="Low Performance"/>
    <n v="4"/>
    <n v="80"/>
    <n v="3"/>
    <n v="13"/>
    <n v="3"/>
    <n v="3"/>
    <s v="Fair"/>
    <n v="11"/>
    <n v="10"/>
    <n v="3"/>
    <n v="8"/>
  </r>
  <r>
    <n v="1645963"/>
    <n v="34"/>
    <x v="2"/>
    <s v="No"/>
    <x v="0"/>
    <x v="1"/>
    <n v="234"/>
    <x v="2"/>
    <n v="9"/>
    <n v="4"/>
    <x v="0"/>
    <n v="1"/>
    <n v="4"/>
    <x v="1"/>
    <n v="93"/>
    <n v="3"/>
    <n v="2"/>
    <s v="Nurse"/>
    <n v="1"/>
    <s v="Poor"/>
    <x v="1"/>
    <n v="5346"/>
    <x v="0"/>
    <n v="6208"/>
    <n v="4"/>
    <s v="Y"/>
    <s v="No"/>
    <n v="17"/>
    <x v="0"/>
    <s v="Low Performance"/>
    <n v="3"/>
    <n v="80"/>
    <n v="1"/>
    <n v="11"/>
    <n v="3"/>
    <n v="2"/>
    <s v="Poor"/>
    <n v="7"/>
    <n v="1"/>
    <n v="0"/>
    <n v="7"/>
  </r>
  <r>
    <n v="1174838"/>
    <n v="37"/>
    <x v="0"/>
    <s v="No"/>
    <x v="0"/>
    <x v="0"/>
    <n v="370"/>
    <x v="0"/>
    <n v="10"/>
    <n v="4"/>
    <x v="2"/>
    <n v="1"/>
    <n v="4"/>
    <x v="1"/>
    <n v="58"/>
    <n v="3"/>
    <n v="2"/>
    <s v="Therapist"/>
    <n v="1"/>
    <s v="Poor"/>
    <x v="0"/>
    <n v="4213"/>
    <x v="1"/>
    <n v="4992"/>
    <n v="1"/>
    <s v="Y"/>
    <s v="No"/>
    <n v="15"/>
    <x v="0"/>
    <s v="Low Performance"/>
    <n v="2"/>
    <n v="80"/>
    <n v="0"/>
    <n v="10"/>
    <n v="4"/>
    <n v="1"/>
    <s v="Poor"/>
    <n v="10"/>
    <n v="3"/>
    <n v="0"/>
    <n v="8"/>
  </r>
  <r>
    <n v="1751502"/>
    <n v="39"/>
    <x v="0"/>
    <s v="No"/>
    <x v="0"/>
    <x v="1"/>
    <n v="766"/>
    <x v="0"/>
    <n v="20"/>
    <n v="3"/>
    <x v="0"/>
    <n v="1"/>
    <n v="3"/>
    <x v="1"/>
    <n v="83"/>
    <n v="3"/>
    <n v="2"/>
    <s v="Nurse"/>
    <n v="4"/>
    <s v="Good"/>
    <x v="2"/>
    <n v="4127"/>
    <x v="1"/>
    <n v="19188"/>
    <n v="2"/>
    <s v="Y"/>
    <s v="No"/>
    <n v="18"/>
    <x v="0"/>
    <s v="Low Performance"/>
    <n v="4"/>
    <n v="80"/>
    <n v="1"/>
    <n v="7"/>
    <n v="6"/>
    <n v="3"/>
    <s v="Fair"/>
    <n v="2"/>
    <n v="1"/>
    <n v="2"/>
    <n v="2"/>
  </r>
  <r>
    <n v="1117560"/>
    <n v="43"/>
    <x v="0"/>
    <s v="No"/>
    <x v="0"/>
    <x v="2"/>
    <n v="343"/>
    <x v="2"/>
    <n v="9"/>
    <n v="3"/>
    <x v="0"/>
    <n v="1"/>
    <n v="1"/>
    <x v="1"/>
    <n v="52"/>
    <n v="3"/>
    <n v="1"/>
    <s v="Other"/>
    <n v="3"/>
    <s v="Fair"/>
    <x v="0"/>
    <n v="2438"/>
    <x v="1"/>
    <n v="24978"/>
    <n v="4"/>
    <s v="Y"/>
    <s v="No"/>
    <n v="13"/>
    <x v="0"/>
    <s v="Low Performance"/>
    <n v="3"/>
    <n v="80"/>
    <n v="0"/>
    <n v="7"/>
    <n v="2"/>
    <n v="2"/>
    <s v="Poor"/>
    <n v="3"/>
    <n v="2"/>
    <n v="1"/>
    <n v="2"/>
  </r>
  <r>
    <n v="1206981"/>
    <n v="41"/>
    <x v="0"/>
    <s v="No"/>
    <x v="0"/>
    <x v="0"/>
    <n v="447"/>
    <x v="2"/>
    <n v="5"/>
    <n v="3"/>
    <x v="0"/>
    <n v="1"/>
    <n v="2"/>
    <x v="1"/>
    <n v="85"/>
    <n v="4"/>
    <n v="2"/>
    <s v="Nurse"/>
    <n v="2"/>
    <s v="Poor"/>
    <x v="0"/>
    <n v="6870"/>
    <x v="0"/>
    <n v="15530"/>
    <n v="3"/>
    <s v="Y"/>
    <s v="No"/>
    <n v="12"/>
    <x v="0"/>
    <s v="Low Performance"/>
    <n v="1"/>
    <n v="80"/>
    <n v="0"/>
    <n v="11"/>
    <n v="3"/>
    <n v="1"/>
    <s v="Poor"/>
    <n v="3"/>
    <n v="2"/>
    <n v="1"/>
    <n v="2"/>
  </r>
  <r>
    <n v="1711876"/>
    <n v="41"/>
    <x v="0"/>
    <s v="No"/>
    <x v="0"/>
    <x v="0"/>
    <n v="796"/>
    <x v="0"/>
    <n v="4"/>
    <n v="1"/>
    <x v="3"/>
    <n v="1"/>
    <n v="3"/>
    <x v="0"/>
    <n v="81"/>
    <n v="3"/>
    <n v="3"/>
    <s v="Nurse"/>
    <n v="3"/>
    <s v="Fair"/>
    <x v="2"/>
    <n v="10447"/>
    <x v="0"/>
    <n v="26458"/>
    <n v="0"/>
    <s v="Y"/>
    <s v="Yes"/>
    <n v="13"/>
    <x v="0"/>
    <s v="Low Performance"/>
    <n v="4"/>
    <n v="80"/>
    <n v="1"/>
    <n v="23"/>
    <n v="3"/>
    <n v="4"/>
    <s v="Good"/>
    <n v="22"/>
    <n v="14"/>
    <n v="13"/>
    <n v="5"/>
  </r>
  <r>
    <n v="1366196"/>
    <n v="30"/>
    <x v="2"/>
    <s v="No"/>
    <x v="0"/>
    <x v="0"/>
    <n v="1092"/>
    <x v="0"/>
    <n v="10"/>
    <n v="3"/>
    <x v="2"/>
    <n v="1"/>
    <n v="1"/>
    <x v="0"/>
    <n v="64"/>
    <n v="3"/>
    <n v="3"/>
    <s v="Therapist"/>
    <n v="3"/>
    <s v="Fair"/>
    <x v="0"/>
    <n v="9667"/>
    <x v="0"/>
    <n v="2739"/>
    <n v="9"/>
    <s v="Y"/>
    <s v="No"/>
    <n v="14"/>
    <x v="0"/>
    <s v="Low Performance"/>
    <n v="2"/>
    <n v="80"/>
    <n v="0"/>
    <n v="9"/>
    <n v="3"/>
    <n v="3"/>
    <s v="Fair"/>
    <n v="7"/>
    <n v="7"/>
    <n v="0"/>
    <n v="2"/>
  </r>
  <r>
    <n v="1347924"/>
    <n v="26"/>
    <x v="2"/>
    <s v="No"/>
    <x v="0"/>
    <x v="0"/>
    <n v="920"/>
    <x v="2"/>
    <n v="20"/>
    <n v="2"/>
    <x v="2"/>
    <n v="1"/>
    <n v="4"/>
    <x v="0"/>
    <n v="69"/>
    <n v="3"/>
    <n v="1"/>
    <s v="Other"/>
    <n v="2"/>
    <s v="Poor"/>
    <x v="1"/>
    <n v="2148"/>
    <x v="1"/>
    <n v="6889"/>
    <n v="0"/>
    <s v="Y"/>
    <s v="Yes"/>
    <n v="11"/>
    <x v="0"/>
    <s v="Low Performance"/>
    <n v="3"/>
    <n v="80"/>
    <n v="0"/>
    <n v="6"/>
    <n v="3"/>
    <n v="3"/>
    <s v="Fair"/>
    <n v="5"/>
    <n v="1"/>
    <n v="1"/>
    <n v="4"/>
  </r>
  <r>
    <n v="1140520"/>
    <n v="46"/>
    <x v="1"/>
    <s v="No"/>
    <x v="0"/>
    <x v="0"/>
    <n v="261"/>
    <x v="2"/>
    <n v="21"/>
    <n v="2"/>
    <x v="2"/>
    <n v="1"/>
    <n v="4"/>
    <x v="0"/>
    <n v="66"/>
    <n v="3"/>
    <n v="2"/>
    <s v="Nurse"/>
    <n v="2"/>
    <s v="Poor"/>
    <x v="1"/>
    <n v="8926"/>
    <x v="0"/>
    <n v="10842"/>
    <n v="4"/>
    <s v="Y"/>
    <s v="No"/>
    <n v="22"/>
    <x v="1"/>
    <s v="High Performance"/>
    <n v="4"/>
    <n v="80"/>
    <n v="1"/>
    <n v="13"/>
    <n v="2"/>
    <n v="4"/>
    <s v="Good"/>
    <n v="9"/>
    <n v="7"/>
    <n v="3"/>
    <n v="7"/>
  </r>
  <r>
    <n v="1187455"/>
    <n v="40"/>
    <x v="0"/>
    <s v="No"/>
    <x v="0"/>
    <x v="0"/>
    <n v="1194"/>
    <x v="2"/>
    <n v="1"/>
    <n v="3"/>
    <x v="0"/>
    <n v="1"/>
    <n v="3"/>
    <x v="0"/>
    <n v="52"/>
    <n v="3"/>
    <n v="2"/>
    <s v="Nurse"/>
    <n v="4"/>
    <s v="Good"/>
    <x v="2"/>
    <n v="6513"/>
    <x v="0"/>
    <n v="9060"/>
    <n v="4"/>
    <s v="Y"/>
    <s v="No"/>
    <n v="17"/>
    <x v="0"/>
    <s v="Low Performance"/>
    <n v="4"/>
    <n v="80"/>
    <n v="1"/>
    <n v="12"/>
    <n v="3"/>
    <n v="3"/>
    <s v="Fair"/>
    <n v="5"/>
    <n v="3"/>
    <n v="0"/>
    <n v="3"/>
  </r>
  <r>
    <n v="1645498"/>
    <n v="34"/>
    <x v="2"/>
    <s v="No"/>
    <x v="0"/>
    <x v="0"/>
    <n v="810"/>
    <x v="0"/>
    <n v="8"/>
    <n v="2"/>
    <x v="4"/>
    <n v="1"/>
    <n v="2"/>
    <x v="1"/>
    <n v="92"/>
    <n v="4"/>
    <n v="2"/>
    <s v="Nurse"/>
    <n v="3"/>
    <s v="Fair"/>
    <x v="1"/>
    <n v="6799"/>
    <x v="0"/>
    <n v="22128"/>
    <n v="1"/>
    <s v="Y"/>
    <s v="No"/>
    <n v="21"/>
    <x v="1"/>
    <s v="High Performance"/>
    <n v="3"/>
    <n v="80"/>
    <n v="2"/>
    <n v="10"/>
    <n v="5"/>
    <n v="3"/>
    <s v="Fair"/>
    <n v="10"/>
    <n v="8"/>
    <n v="4"/>
    <n v="8"/>
  </r>
  <r>
    <n v="1382530"/>
    <n v="58"/>
    <x v="3"/>
    <s v="No"/>
    <x v="0"/>
    <x v="2"/>
    <n v="350"/>
    <x v="0"/>
    <n v="2"/>
    <n v="3"/>
    <x v="2"/>
    <n v="1"/>
    <n v="2"/>
    <x v="1"/>
    <n v="52"/>
    <n v="3"/>
    <n v="4"/>
    <s v="Administrative"/>
    <n v="2"/>
    <s v="Poor"/>
    <x v="2"/>
    <n v="16291"/>
    <x v="2"/>
    <n v="22577"/>
    <n v="4"/>
    <s v="Y"/>
    <s v="No"/>
    <n v="22"/>
    <x v="1"/>
    <s v="High Performance"/>
    <n v="4"/>
    <n v="80"/>
    <n v="1"/>
    <n v="37"/>
    <n v="0"/>
    <n v="2"/>
    <s v="Poor"/>
    <n v="16"/>
    <n v="9"/>
    <n v="14"/>
    <n v="14"/>
  </r>
  <r>
    <n v="1682292"/>
    <n v="35"/>
    <x v="2"/>
    <s v="No"/>
    <x v="0"/>
    <x v="0"/>
    <n v="185"/>
    <x v="2"/>
    <n v="23"/>
    <n v="4"/>
    <x v="2"/>
    <n v="1"/>
    <n v="2"/>
    <x v="1"/>
    <n v="91"/>
    <n v="1"/>
    <n v="1"/>
    <s v="Nurse"/>
    <n v="3"/>
    <s v="Fair"/>
    <x v="1"/>
    <n v="2705"/>
    <x v="1"/>
    <n v="9696"/>
    <n v="0"/>
    <s v="Y"/>
    <s v="No"/>
    <n v="16"/>
    <x v="0"/>
    <s v="Low Performance"/>
    <n v="2"/>
    <n v="80"/>
    <n v="1"/>
    <n v="6"/>
    <n v="2"/>
    <n v="4"/>
    <s v="Good"/>
    <n v="5"/>
    <n v="4"/>
    <n v="0"/>
    <n v="3"/>
  </r>
  <r>
    <n v="1602874"/>
    <n v="47"/>
    <x v="1"/>
    <s v="No"/>
    <x v="0"/>
    <x v="0"/>
    <n v="1001"/>
    <x v="0"/>
    <n v="4"/>
    <n v="3"/>
    <x v="0"/>
    <n v="1"/>
    <n v="3"/>
    <x v="0"/>
    <n v="92"/>
    <n v="2"/>
    <n v="3"/>
    <s v="Therapist"/>
    <n v="2"/>
    <s v="Poor"/>
    <x v="2"/>
    <n v="10333"/>
    <x v="0"/>
    <n v="19271"/>
    <n v="8"/>
    <s v="Y"/>
    <s v="Yes"/>
    <n v="12"/>
    <x v="0"/>
    <s v="Low Performance"/>
    <n v="3"/>
    <n v="80"/>
    <n v="1"/>
    <n v="28"/>
    <n v="4"/>
    <n v="3"/>
    <s v="Fair"/>
    <n v="22"/>
    <n v="11"/>
    <n v="14"/>
    <n v="10"/>
  </r>
  <r>
    <n v="1154770"/>
    <n v="40"/>
    <x v="0"/>
    <s v="No"/>
    <x v="0"/>
    <x v="0"/>
    <n v="750"/>
    <x v="2"/>
    <n v="12"/>
    <n v="3"/>
    <x v="0"/>
    <n v="1"/>
    <n v="2"/>
    <x v="0"/>
    <n v="47"/>
    <n v="3"/>
    <n v="2"/>
    <s v="Nurse"/>
    <n v="1"/>
    <s v="Poor"/>
    <x v="2"/>
    <n v="4448"/>
    <x v="1"/>
    <n v="10748"/>
    <n v="2"/>
    <s v="Y"/>
    <s v="No"/>
    <n v="12"/>
    <x v="0"/>
    <s v="Low Performance"/>
    <n v="2"/>
    <n v="80"/>
    <n v="1"/>
    <n v="15"/>
    <n v="3"/>
    <n v="3"/>
    <s v="Fair"/>
    <n v="7"/>
    <n v="4"/>
    <n v="7"/>
    <n v="7"/>
  </r>
  <r>
    <n v="1051875"/>
    <n v="54"/>
    <x v="1"/>
    <s v="No"/>
    <x v="0"/>
    <x v="0"/>
    <n v="431"/>
    <x v="2"/>
    <n v="7"/>
    <n v="4"/>
    <x v="2"/>
    <n v="1"/>
    <n v="4"/>
    <x v="0"/>
    <n v="68"/>
    <n v="3"/>
    <n v="2"/>
    <s v="Other"/>
    <n v="4"/>
    <s v="Good"/>
    <x v="1"/>
    <n v="6854"/>
    <x v="0"/>
    <n v="15696"/>
    <n v="4"/>
    <s v="Y"/>
    <s v="No"/>
    <n v="15"/>
    <x v="0"/>
    <s v="Low Performance"/>
    <n v="2"/>
    <n v="80"/>
    <n v="1"/>
    <n v="14"/>
    <n v="2"/>
    <n v="2"/>
    <s v="Poor"/>
    <n v="7"/>
    <n v="1"/>
    <n v="1"/>
    <n v="7"/>
  </r>
  <r>
    <n v="1834180"/>
    <n v="31"/>
    <x v="2"/>
    <s v="No"/>
    <x v="0"/>
    <x v="1"/>
    <n v="1125"/>
    <x v="0"/>
    <n v="7"/>
    <n v="4"/>
    <x v="3"/>
    <n v="1"/>
    <n v="1"/>
    <x v="0"/>
    <n v="68"/>
    <n v="3"/>
    <n v="3"/>
    <s v="Nurse"/>
    <n v="1"/>
    <s v="Poor"/>
    <x v="1"/>
    <n v="9637"/>
    <x v="0"/>
    <n v="8277"/>
    <n v="2"/>
    <s v="Y"/>
    <s v="No"/>
    <n v="14"/>
    <x v="0"/>
    <s v="Low Performance"/>
    <n v="4"/>
    <n v="80"/>
    <n v="2"/>
    <n v="9"/>
    <n v="3"/>
    <n v="3"/>
    <s v="Fair"/>
    <n v="3"/>
    <n v="2"/>
    <n v="2"/>
    <n v="2"/>
  </r>
  <r>
    <n v="1564192"/>
    <n v="28"/>
    <x v="2"/>
    <s v="No"/>
    <x v="0"/>
    <x v="0"/>
    <n v="1217"/>
    <x v="2"/>
    <n v="1"/>
    <n v="3"/>
    <x v="2"/>
    <n v="1"/>
    <n v="3"/>
    <x v="0"/>
    <n v="67"/>
    <n v="3"/>
    <n v="1"/>
    <s v="Other"/>
    <n v="1"/>
    <s v="Poor"/>
    <x v="1"/>
    <n v="3591"/>
    <x v="1"/>
    <n v="12719"/>
    <n v="1"/>
    <s v="Y"/>
    <s v="No"/>
    <n v="25"/>
    <x v="1"/>
    <s v="High Performance"/>
    <n v="3"/>
    <n v="80"/>
    <n v="1"/>
    <n v="3"/>
    <n v="3"/>
    <n v="3"/>
    <s v="Fair"/>
    <n v="3"/>
    <n v="2"/>
    <n v="1"/>
    <n v="2"/>
  </r>
  <r>
    <n v="1802154"/>
    <n v="38"/>
    <x v="0"/>
    <s v="No"/>
    <x v="0"/>
    <x v="0"/>
    <n v="723"/>
    <x v="0"/>
    <n v="2"/>
    <n v="4"/>
    <x v="3"/>
    <n v="1"/>
    <n v="2"/>
    <x v="0"/>
    <n v="77"/>
    <n v="1"/>
    <n v="2"/>
    <s v="Other"/>
    <n v="4"/>
    <s v="Good"/>
    <x v="1"/>
    <n v="5405"/>
    <x v="0"/>
    <n v="4244"/>
    <n v="2"/>
    <s v="Y"/>
    <s v="Yes"/>
    <n v="20"/>
    <x v="1"/>
    <s v="High Performance"/>
    <n v="1"/>
    <n v="80"/>
    <n v="2"/>
    <n v="20"/>
    <n v="4"/>
    <n v="2"/>
    <s v="Poor"/>
    <n v="4"/>
    <n v="2"/>
    <n v="0"/>
    <n v="3"/>
  </r>
  <r>
    <n v="1207662"/>
    <n v="26"/>
    <x v="2"/>
    <s v="No"/>
    <x v="0"/>
    <x v="0"/>
    <n v="572"/>
    <x v="0"/>
    <n v="10"/>
    <n v="3"/>
    <x v="2"/>
    <n v="1"/>
    <n v="3"/>
    <x v="1"/>
    <n v="46"/>
    <n v="3"/>
    <n v="2"/>
    <s v="Nurse"/>
    <n v="4"/>
    <s v="Good"/>
    <x v="0"/>
    <n v="4684"/>
    <x v="1"/>
    <n v="9125"/>
    <n v="1"/>
    <s v="Y"/>
    <s v="No"/>
    <n v="13"/>
    <x v="0"/>
    <s v="Low Performance"/>
    <n v="1"/>
    <n v="80"/>
    <n v="0"/>
    <n v="5"/>
    <n v="4"/>
    <n v="3"/>
    <s v="Fair"/>
    <n v="5"/>
    <n v="3"/>
    <n v="1"/>
    <n v="2"/>
  </r>
  <r>
    <n v="1072716"/>
    <n v="58"/>
    <x v="3"/>
    <s v="No"/>
    <x v="0"/>
    <x v="1"/>
    <n v="1216"/>
    <x v="2"/>
    <n v="15"/>
    <n v="4"/>
    <x v="0"/>
    <n v="1"/>
    <n v="1"/>
    <x v="1"/>
    <n v="87"/>
    <n v="3"/>
    <n v="4"/>
    <s v="Administrative"/>
    <n v="3"/>
    <s v="Fair"/>
    <x v="1"/>
    <n v="15787"/>
    <x v="2"/>
    <n v="21624"/>
    <n v="2"/>
    <s v="Y"/>
    <s v="Yes"/>
    <n v="14"/>
    <x v="0"/>
    <s v="Low Performance"/>
    <n v="2"/>
    <n v="80"/>
    <n v="0"/>
    <n v="23"/>
    <n v="3"/>
    <n v="3"/>
    <s v="Fair"/>
    <n v="2"/>
    <n v="2"/>
    <n v="2"/>
    <n v="2"/>
  </r>
  <r>
    <n v="1086016"/>
    <n v="18"/>
    <x v="4"/>
    <s v="Yes"/>
    <x v="1"/>
    <x v="2"/>
    <n v="1431"/>
    <x v="2"/>
    <n v="14"/>
    <n v="3"/>
    <x v="2"/>
    <n v="1"/>
    <n v="2"/>
    <x v="0"/>
    <n v="33"/>
    <n v="3"/>
    <n v="1"/>
    <s v="Other"/>
    <n v="3"/>
    <s v="Fair"/>
    <x v="0"/>
    <n v="1514"/>
    <x v="1"/>
    <n v="8018"/>
    <n v="1"/>
    <s v="Y"/>
    <s v="No"/>
    <n v="16"/>
    <x v="0"/>
    <s v="Low Performance"/>
    <n v="3"/>
    <n v="80"/>
    <n v="0"/>
    <n v="0"/>
    <n v="4"/>
    <n v="1"/>
    <s v="Poor"/>
    <n v="0"/>
    <n v="0"/>
    <n v="0"/>
    <n v="0"/>
  </r>
  <r>
    <n v="1552861"/>
    <n v="31"/>
    <x v="2"/>
    <s v="No"/>
    <x v="0"/>
    <x v="0"/>
    <n v="359"/>
    <x v="2"/>
    <n v="18"/>
    <n v="5"/>
    <x v="5"/>
    <n v="1"/>
    <n v="4"/>
    <x v="1"/>
    <n v="89"/>
    <n v="4"/>
    <n v="1"/>
    <s v="Other"/>
    <n v="1"/>
    <s v="Poor"/>
    <x v="1"/>
    <n v="2956"/>
    <x v="1"/>
    <n v="21495"/>
    <n v="0"/>
    <s v="Y"/>
    <s v="No"/>
    <n v="17"/>
    <x v="0"/>
    <s v="Low Performance"/>
    <n v="3"/>
    <n v="80"/>
    <n v="0"/>
    <n v="2"/>
    <n v="4"/>
    <n v="3"/>
    <s v="Fair"/>
    <n v="1"/>
    <n v="0"/>
    <n v="0"/>
    <n v="0"/>
  </r>
  <r>
    <n v="1235468"/>
    <n v="29"/>
    <x v="2"/>
    <s v="Yes"/>
    <x v="1"/>
    <x v="0"/>
    <n v="350"/>
    <x v="2"/>
    <n v="13"/>
    <n v="3"/>
    <x v="5"/>
    <n v="1"/>
    <n v="1"/>
    <x v="1"/>
    <n v="56"/>
    <n v="2"/>
    <n v="1"/>
    <s v="Other"/>
    <n v="1"/>
    <s v="Poor"/>
    <x v="2"/>
    <n v="2335"/>
    <x v="1"/>
    <n v="3157"/>
    <n v="4"/>
    <s v="Y"/>
    <s v="Yes"/>
    <n v="15"/>
    <x v="0"/>
    <s v="Low Performance"/>
    <n v="4"/>
    <n v="80"/>
    <n v="3"/>
    <n v="4"/>
    <n v="3"/>
    <n v="3"/>
    <s v="Fair"/>
    <n v="2"/>
    <n v="2"/>
    <n v="2"/>
    <n v="0"/>
  </r>
  <r>
    <n v="1281331"/>
    <n v="45"/>
    <x v="0"/>
    <s v="No"/>
    <x v="0"/>
    <x v="2"/>
    <n v="589"/>
    <x v="0"/>
    <n v="2"/>
    <n v="4"/>
    <x v="0"/>
    <n v="1"/>
    <n v="3"/>
    <x v="0"/>
    <n v="67"/>
    <n v="3"/>
    <n v="2"/>
    <s v="Nurse"/>
    <n v="3"/>
    <s v="Fair"/>
    <x v="1"/>
    <n v="5154"/>
    <x v="0"/>
    <n v="19665"/>
    <n v="4"/>
    <s v="Y"/>
    <s v="No"/>
    <n v="22"/>
    <x v="1"/>
    <s v="High Performance"/>
    <n v="2"/>
    <n v="80"/>
    <n v="2"/>
    <n v="10"/>
    <n v="3"/>
    <n v="4"/>
    <s v="Good"/>
    <n v="8"/>
    <n v="7"/>
    <n v="5"/>
    <n v="7"/>
  </r>
  <r>
    <n v="1220488"/>
    <n v="36"/>
    <x v="0"/>
    <s v="No"/>
    <x v="0"/>
    <x v="0"/>
    <n v="430"/>
    <x v="2"/>
    <n v="2"/>
    <n v="4"/>
    <x v="1"/>
    <n v="1"/>
    <n v="4"/>
    <x v="0"/>
    <n v="73"/>
    <n v="3"/>
    <n v="2"/>
    <s v="Other"/>
    <n v="2"/>
    <s v="Poor"/>
    <x v="1"/>
    <n v="6962"/>
    <x v="0"/>
    <n v="19573"/>
    <n v="4"/>
    <s v="Y"/>
    <s v="Yes"/>
    <n v="22"/>
    <x v="1"/>
    <s v="High Performance"/>
    <n v="4"/>
    <n v="80"/>
    <n v="1"/>
    <n v="15"/>
    <n v="2"/>
    <n v="3"/>
    <s v="Fair"/>
    <n v="1"/>
    <n v="0"/>
    <n v="0"/>
    <n v="0"/>
  </r>
  <r>
    <n v="1113271"/>
    <n v="43"/>
    <x v="0"/>
    <s v="No"/>
    <x v="0"/>
    <x v="1"/>
    <n v="1422"/>
    <x v="0"/>
    <n v="2"/>
    <n v="4"/>
    <x v="0"/>
    <n v="1"/>
    <n v="1"/>
    <x v="1"/>
    <n v="92"/>
    <n v="3"/>
    <n v="2"/>
    <s v="Nurse"/>
    <n v="4"/>
    <s v="Good"/>
    <x v="1"/>
    <n v="5675"/>
    <x v="0"/>
    <n v="19246"/>
    <n v="1"/>
    <s v="Y"/>
    <s v="No"/>
    <n v="20"/>
    <x v="1"/>
    <s v="High Performance"/>
    <n v="3"/>
    <n v="80"/>
    <n v="1"/>
    <n v="7"/>
    <n v="5"/>
    <n v="3"/>
    <s v="Fair"/>
    <n v="7"/>
    <n v="7"/>
    <n v="7"/>
    <n v="7"/>
  </r>
  <r>
    <n v="1152978"/>
    <n v="27"/>
    <x v="2"/>
    <s v="No"/>
    <x v="0"/>
    <x v="1"/>
    <n v="1297"/>
    <x v="2"/>
    <n v="5"/>
    <n v="2"/>
    <x v="0"/>
    <n v="1"/>
    <n v="4"/>
    <x v="0"/>
    <n v="53"/>
    <n v="3"/>
    <n v="1"/>
    <s v="Nurse"/>
    <n v="4"/>
    <s v="Good"/>
    <x v="0"/>
    <n v="2379"/>
    <x v="1"/>
    <n v="19826"/>
    <n v="0"/>
    <s v="Y"/>
    <s v="Yes"/>
    <n v="14"/>
    <x v="0"/>
    <s v="Low Performance"/>
    <n v="3"/>
    <n v="80"/>
    <n v="0"/>
    <n v="6"/>
    <n v="3"/>
    <n v="2"/>
    <s v="Poor"/>
    <n v="5"/>
    <n v="4"/>
    <n v="0"/>
    <n v="2"/>
  </r>
  <r>
    <n v="1871070"/>
    <n v="29"/>
    <x v="2"/>
    <s v="No"/>
    <x v="0"/>
    <x v="1"/>
    <n v="574"/>
    <x v="2"/>
    <n v="20"/>
    <n v="1"/>
    <x v="2"/>
    <n v="1"/>
    <n v="4"/>
    <x v="1"/>
    <n v="40"/>
    <n v="3"/>
    <n v="1"/>
    <s v="Nurse"/>
    <n v="4"/>
    <s v="Good"/>
    <x v="1"/>
    <n v="3812"/>
    <x v="1"/>
    <n v="7003"/>
    <n v="1"/>
    <s v="Y"/>
    <s v="No"/>
    <n v="13"/>
    <x v="0"/>
    <s v="Low Performance"/>
    <n v="2"/>
    <n v="80"/>
    <n v="0"/>
    <n v="11"/>
    <n v="3"/>
    <n v="4"/>
    <s v="Good"/>
    <n v="11"/>
    <n v="8"/>
    <n v="3"/>
    <n v="10"/>
  </r>
  <r>
    <n v="1687721"/>
    <n v="32"/>
    <x v="2"/>
    <s v="No"/>
    <x v="0"/>
    <x v="1"/>
    <n v="1318"/>
    <x v="0"/>
    <n v="10"/>
    <n v="4"/>
    <x v="3"/>
    <n v="1"/>
    <n v="4"/>
    <x v="1"/>
    <n v="79"/>
    <n v="3"/>
    <n v="2"/>
    <s v="Nurse"/>
    <n v="4"/>
    <s v="Good"/>
    <x v="0"/>
    <n v="4648"/>
    <x v="1"/>
    <n v="26075"/>
    <n v="8"/>
    <s v="Y"/>
    <s v="No"/>
    <n v="13"/>
    <x v="0"/>
    <s v="Low Performance"/>
    <n v="3"/>
    <n v="80"/>
    <n v="0"/>
    <n v="4"/>
    <n v="2"/>
    <n v="4"/>
    <s v="Good"/>
    <n v="0"/>
    <n v="0"/>
    <n v="0"/>
    <n v="0"/>
  </r>
  <r>
    <n v="1031664"/>
    <n v="42"/>
    <x v="0"/>
    <s v="No"/>
    <x v="0"/>
    <x v="2"/>
    <n v="355"/>
    <x v="2"/>
    <n v="10"/>
    <n v="4"/>
    <x v="4"/>
    <n v="1"/>
    <n v="3"/>
    <x v="1"/>
    <n v="38"/>
    <n v="3"/>
    <n v="1"/>
    <s v="Other"/>
    <n v="3"/>
    <s v="Fair"/>
    <x v="1"/>
    <n v="2936"/>
    <x v="1"/>
    <n v="6161"/>
    <n v="3"/>
    <s v="Y"/>
    <s v="No"/>
    <n v="22"/>
    <x v="1"/>
    <s v="High Performance"/>
    <n v="2"/>
    <n v="80"/>
    <n v="2"/>
    <n v="10"/>
    <n v="1"/>
    <n v="2"/>
    <s v="Poor"/>
    <n v="6"/>
    <n v="3"/>
    <n v="3"/>
    <n v="3"/>
  </r>
  <r>
    <n v="1402268"/>
    <n v="47"/>
    <x v="1"/>
    <s v="No"/>
    <x v="0"/>
    <x v="0"/>
    <n v="207"/>
    <x v="2"/>
    <n v="9"/>
    <n v="4"/>
    <x v="0"/>
    <n v="1"/>
    <n v="2"/>
    <x v="0"/>
    <n v="64"/>
    <n v="3"/>
    <n v="1"/>
    <s v="Nurse"/>
    <n v="3"/>
    <s v="Fair"/>
    <x v="0"/>
    <n v="2105"/>
    <x v="1"/>
    <n v="5411"/>
    <n v="4"/>
    <s v="Y"/>
    <s v="No"/>
    <n v="12"/>
    <x v="0"/>
    <s v="Low Performance"/>
    <n v="3"/>
    <n v="80"/>
    <n v="0"/>
    <n v="7"/>
    <n v="2"/>
    <n v="3"/>
    <s v="Fair"/>
    <n v="2"/>
    <n v="2"/>
    <n v="2"/>
    <n v="0"/>
  </r>
  <r>
    <n v="1601963"/>
    <n v="46"/>
    <x v="1"/>
    <s v="No"/>
    <x v="0"/>
    <x v="0"/>
    <n v="706"/>
    <x v="0"/>
    <n v="2"/>
    <n v="2"/>
    <x v="0"/>
    <n v="1"/>
    <n v="4"/>
    <x v="1"/>
    <n v="82"/>
    <n v="3"/>
    <n v="3"/>
    <s v="Therapist"/>
    <n v="4"/>
    <s v="Good"/>
    <x v="2"/>
    <n v="8578"/>
    <x v="0"/>
    <n v="19989"/>
    <n v="3"/>
    <s v="Y"/>
    <s v="No"/>
    <n v="14"/>
    <x v="0"/>
    <s v="Low Performance"/>
    <n v="3"/>
    <n v="80"/>
    <n v="1"/>
    <n v="12"/>
    <n v="4"/>
    <n v="2"/>
    <s v="Poor"/>
    <n v="9"/>
    <n v="8"/>
    <n v="4"/>
    <n v="7"/>
  </r>
  <r>
    <n v="1777794"/>
    <n v="28"/>
    <x v="2"/>
    <s v="No"/>
    <x v="0"/>
    <x v="2"/>
    <n v="280"/>
    <x v="2"/>
    <n v="1"/>
    <n v="2"/>
    <x v="0"/>
    <n v="1"/>
    <n v="3"/>
    <x v="1"/>
    <n v="43"/>
    <n v="3"/>
    <n v="1"/>
    <s v="Other"/>
    <n v="4"/>
    <s v="Good"/>
    <x v="2"/>
    <n v="2706"/>
    <x v="1"/>
    <n v="10494"/>
    <n v="1"/>
    <s v="Y"/>
    <s v="No"/>
    <n v="15"/>
    <x v="0"/>
    <s v="Low Performance"/>
    <n v="2"/>
    <n v="80"/>
    <n v="1"/>
    <n v="3"/>
    <n v="2"/>
    <n v="3"/>
    <s v="Fair"/>
    <n v="3"/>
    <n v="2"/>
    <n v="2"/>
    <n v="2"/>
  </r>
  <r>
    <n v="1510809"/>
    <n v="29"/>
    <x v="2"/>
    <s v="No"/>
    <x v="0"/>
    <x v="0"/>
    <n v="726"/>
    <x v="2"/>
    <n v="29"/>
    <n v="1"/>
    <x v="0"/>
    <n v="1"/>
    <n v="4"/>
    <x v="1"/>
    <n v="93"/>
    <n v="1"/>
    <n v="2"/>
    <s v="Nurse"/>
    <n v="3"/>
    <s v="Fair"/>
    <x v="2"/>
    <n v="6384"/>
    <x v="0"/>
    <n v="21143"/>
    <n v="8"/>
    <s v="Y"/>
    <s v="No"/>
    <n v="17"/>
    <x v="0"/>
    <s v="Low Performance"/>
    <n v="4"/>
    <n v="80"/>
    <n v="2"/>
    <n v="11"/>
    <n v="3"/>
    <n v="3"/>
    <s v="Fair"/>
    <n v="7"/>
    <n v="0"/>
    <n v="1"/>
    <n v="6"/>
  </r>
  <r>
    <n v="1676403"/>
    <n v="42"/>
    <x v="0"/>
    <s v="No"/>
    <x v="0"/>
    <x v="0"/>
    <n v="1142"/>
    <x v="2"/>
    <n v="8"/>
    <n v="3"/>
    <x v="0"/>
    <n v="1"/>
    <n v="4"/>
    <x v="1"/>
    <n v="81"/>
    <n v="3"/>
    <n v="1"/>
    <s v="Nurse"/>
    <n v="3"/>
    <s v="Fair"/>
    <x v="0"/>
    <n v="3968"/>
    <x v="1"/>
    <n v="13624"/>
    <n v="4"/>
    <s v="Y"/>
    <s v="No"/>
    <n v="13"/>
    <x v="0"/>
    <s v="Low Performance"/>
    <n v="4"/>
    <n v="80"/>
    <n v="0"/>
    <n v="8"/>
    <n v="3"/>
    <n v="3"/>
    <s v="Fair"/>
    <n v="0"/>
    <n v="0"/>
    <n v="0"/>
    <n v="0"/>
  </r>
  <r>
    <n v="1458226"/>
    <n v="32"/>
    <x v="2"/>
    <s v="Yes"/>
    <x v="1"/>
    <x v="0"/>
    <n v="414"/>
    <x v="0"/>
    <n v="2"/>
    <n v="4"/>
    <x v="3"/>
    <n v="1"/>
    <n v="3"/>
    <x v="1"/>
    <n v="82"/>
    <n v="2"/>
    <n v="2"/>
    <s v="Nurse"/>
    <n v="2"/>
    <s v="Poor"/>
    <x v="0"/>
    <n v="9907"/>
    <x v="0"/>
    <n v="26186"/>
    <n v="7"/>
    <s v="Y"/>
    <s v="Yes"/>
    <n v="12"/>
    <x v="0"/>
    <s v="Low Performance"/>
    <n v="3"/>
    <n v="80"/>
    <n v="0"/>
    <n v="7"/>
    <n v="3"/>
    <n v="2"/>
    <s v="Poor"/>
    <n v="2"/>
    <n v="2"/>
    <n v="2"/>
    <n v="2"/>
  </r>
  <r>
    <n v="1442296"/>
    <n v="46"/>
    <x v="1"/>
    <s v="No"/>
    <x v="0"/>
    <x v="0"/>
    <n v="1319"/>
    <x v="0"/>
    <n v="3"/>
    <n v="3"/>
    <x v="4"/>
    <n v="1"/>
    <n v="1"/>
    <x v="0"/>
    <n v="45"/>
    <n v="4"/>
    <n v="4"/>
    <s v="Nurse"/>
    <n v="1"/>
    <s v="Poor"/>
    <x v="2"/>
    <n v="13225"/>
    <x v="2"/>
    <n v="7739"/>
    <n v="2"/>
    <s v="Y"/>
    <s v="No"/>
    <n v="12"/>
    <x v="0"/>
    <s v="Low Performance"/>
    <n v="4"/>
    <n v="80"/>
    <n v="1"/>
    <n v="25"/>
    <n v="5"/>
    <n v="3"/>
    <s v="Fair"/>
    <n v="19"/>
    <n v="17"/>
    <n v="2"/>
    <n v="8"/>
  </r>
  <r>
    <n v="1469297"/>
    <n v="27"/>
    <x v="2"/>
    <s v="No"/>
    <x v="0"/>
    <x v="0"/>
    <n v="728"/>
    <x v="0"/>
    <n v="23"/>
    <n v="1"/>
    <x v="2"/>
    <n v="1"/>
    <n v="2"/>
    <x v="0"/>
    <n v="36"/>
    <n v="2"/>
    <n v="2"/>
    <s v="Other"/>
    <n v="3"/>
    <s v="Fair"/>
    <x v="1"/>
    <n v="3540"/>
    <x v="1"/>
    <n v="7018"/>
    <n v="1"/>
    <s v="Y"/>
    <s v="No"/>
    <n v="21"/>
    <x v="1"/>
    <s v="High Performance"/>
    <n v="4"/>
    <n v="80"/>
    <n v="1"/>
    <n v="9"/>
    <n v="5"/>
    <n v="3"/>
    <s v="Fair"/>
    <n v="9"/>
    <n v="8"/>
    <n v="5"/>
    <n v="8"/>
  </r>
  <r>
    <n v="1701157"/>
    <n v="29"/>
    <x v="2"/>
    <s v="No"/>
    <x v="0"/>
    <x v="0"/>
    <n v="352"/>
    <x v="2"/>
    <n v="6"/>
    <n v="1"/>
    <x v="2"/>
    <n v="1"/>
    <n v="4"/>
    <x v="1"/>
    <n v="87"/>
    <n v="2"/>
    <n v="1"/>
    <s v="Other"/>
    <n v="2"/>
    <s v="Poor"/>
    <x v="1"/>
    <n v="2804"/>
    <x v="1"/>
    <n v="15434"/>
    <n v="1"/>
    <s v="Y"/>
    <s v="No"/>
    <n v="11"/>
    <x v="0"/>
    <s v="Low Performance"/>
    <n v="4"/>
    <n v="80"/>
    <n v="0"/>
    <n v="1"/>
    <n v="3"/>
    <n v="3"/>
    <s v="Fair"/>
    <n v="1"/>
    <n v="0"/>
    <n v="0"/>
    <n v="0"/>
  </r>
  <r>
    <n v="1141899"/>
    <n v="43"/>
    <x v="0"/>
    <s v="No"/>
    <x v="0"/>
    <x v="0"/>
    <n v="823"/>
    <x v="2"/>
    <n v="6"/>
    <n v="3"/>
    <x v="2"/>
    <n v="1"/>
    <n v="1"/>
    <x v="0"/>
    <n v="81"/>
    <n v="2"/>
    <n v="5"/>
    <s v="Administrative"/>
    <n v="3"/>
    <s v="Fair"/>
    <x v="1"/>
    <n v="19392"/>
    <x v="2"/>
    <n v="22539"/>
    <n v="7"/>
    <s v="Y"/>
    <s v="No"/>
    <n v="13"/>
    <x v="0"/>
    <s v="Low Performance"/>
    <n v="4"/>
    <n v="80"/>
    <n v="0"/>
    <n v="21"/>
    <n v="2"/>
    <n v="3"/>
    <s v="Fair"/>
    <n v="16"/>
    <n v="12"/>
    <n v="6"/>
    <n v="14"/>
  </r>
  <r>
    <n v="1866815"/>
    <n v="48"/>
    <x v="1"/>
    <s v="No"/>
    <x v="0"/>
    <x v="0"/>
    <n v="1224"/>
    <x v="2"/>
    <n v="10"/>
    <n v="3"/>
    <x v="0"/>
    <n v="1"/>
    <n v="4"/>
    <x v="1"/>
    <n v="91"/>
    <n v="2"/>
    <n v="5"/>
    <s v="Administrative"/>
    <n v="2"/>
    <s v="Poor"/>
    <x v="1"/>
    <n v="19665"/>
    <x v="2"/>
    <n v="13583"/>
    <n v="4"/>
    <s v="Y"/>
    <s v="No"/>
    <n v="12"/>
    <x v="0"/>
    <s v="Low Performance"/>
    <n v="4"/>
    <n v="80"/>
    <n v="0"/>
    <n v="29"/>
    <n v="3"/>
    <n v="3"/>
    <s v="Fair"/>
    <n v="22"/>
    <n v="10"/>
    <n v="12"/>
    <n v="9"/>
  </r>
  <r>
    <n v="1329673"/>
    <n v="29"/>
    <x v="2"/>
    <s v="Yes"/>
    <x v="1"/>
    <x v="1"/>
    <n v="459"/>
    <x v="2"/>
    <n v="24"/>
    <n v="2"/>
    <x v="0"/>
    <n v="1"/>
    <n v="4"/>
    <x v="1"/>
    <n v="73"/>
    <n v="2"/>
    <n v="1"/>
    <s v="Other"/>
    <n v="4"/>
    <s v="Good"/>
    <x v="0"/>
    <n v="2439"/>
    <x v="1"/>
    <n v="14753"/>
    <n v="1"/>
    <s v="Y"/>
    <s v="Yes"/>
    <n v="24"/>
    <x v="1"/>
    <s v="High Performance"/>
    <n v="2"/>
    <n v="80"/>
    <n v="0"/>
    <n v="1"/>
    <n v="3"/>
    <n v="2"/>
    <s v="Poor"/>
    <n v="1"/>
    <n v="0"/>
    <n v="1"/>
    <n v="0"/>
  </r>
  <r>
    <n v="1775838"/>
    <n v="46"/>
    <x v="1"/>
    <s v="No"/>
    <x v="0"/>
    <x v="0"/>
    <n v="1254"/>
    <x v="0"/>
    <n v="10"/>
    <n v="3"/>
    <x v="0"/>
    <n v="1"/>
    <n v="3"/>
    <x v="0"/>
    <n v="64"/>
    <n v="3"/>
    <n v="3"/>
    <s v="Nurse"/>
    <n v="2"/>
    <s v="Poor"/>
    <x v="1"/>
    <n v="7314"/>
    <x v="0"/>
    <n v="14011"/>
    <n v="5"/>
    <s v="Y"/>
    <s v="No"/>
    <n v="21"/>
    <x v="1"/>
    <s v="High Performance"/>
    <n v="3"/>
    <n v="80"/>
    <n v="3"/>
    <n v="14"/>
    <n v="2"/>
    <n v="3"/>
    <s v="Fair"/>
    <n v="8"/>
    <n v="7"/>
    <n v="0"/>
    <n v="7"/>
  </r>
  <r>
    <n v="1575047"/>
    <n v="27"/>
    <x v="2"/>
    <s v="No"/>
    <x v="0"/>
    <x v="1"/>
    <n v="1131"/>
    <x v="2"/>
    <n v="15"/>
    <n v="3"/>
    <x v="0"/>
    <n v="1"/>
    <n v="4"/>
    <x v="0"/>
    <n v="77"/>
    <n v="2"/>
    <n v="1"/>
    <s v="Other"/>
    <n v="1"/>
    <s v="Poor"/>
    <x v="1"/>
    <n v="4774"/>
    <x v="1"/>
    <n v="23844"/>
    <n v="0"/>
    <s v="Y"/>
    <s v="No"/>
    <n v="19"/>
    <x v="0"/>
    <s v="Low Performance"/>
    <n v="4"/>
    <n v="80"/>
    <n v="1"/>
    <n v="8"/>
    <n v="2"/>
    <n v="2"/>
    <s v="Poor"/>
    <n v="7"/>
    <n v="6"/>
    <n v="7"/>
    <n v="3"/>
  </r>
  <r>
    <n v="1049997"/>
    <n v="39"/>
    <x v="0"/>
    <s v="No"/>
    <x v="0"/>
    <x v="0"/>
    <n v="835"/>
    <x v="2"/>
    <n v="19"/>
    <n v="4"/>
    <x v="1"/>
    <n v="1"/>
    <n v="4"/>
    <x v="1"/>
    <n v="41"/>
    <n v="3"/>
    <n v="2"/>
    <s v="Other"/>
    <n v="4"/>
    <s v="Good"/>
    <x v="2"/>
    <n v="3902"/>
    <x v="1"/>
    <n v="5141"/>
    <n v="8"/>
    <s v="Y"/>
    <s v="No"/>
    <n v="14"/>
    <x v="0"/>
    <s v="Low Performance"/>
    <n v="2"/>
    <n v="80"/>
    <n v="3"/>
    <n v="7"/>
    <n v="2"/>
    <n v="3"/>
    <s v="Fair"/>
    <n v="2"/>
    <n v="2"/>
    <n v="2"/>
    <n v="2"/>
  </r>
  <r>
    <n v="1766213"/>
    <n v="55"/>
    <x v="1"/>
    <s v="No"/>
    <x v="0"/>
    <x v="0"/>
    <n v="836"/>
    <x v="2"/>
    <n v="2"/>
    <n v="4"/>
    <x v="4"/>
    <n v="1"/>
    <n v="2"/>
    <x v="1"/>
    <n v="98"/>
    <n v="2"/>
    <n v="1"/>
    <s v="Other"/>
    <n v="4"/>
    <s v="Good"/>
    <x v="1"/>
    <n v="2662"/>
    <x v="1"/>
    <n v="7975"/>
    <n v="8"/>
    <s v="Y"/>
    <s v="No"/>
    <n v="20"/>
    <x v="1"/>
    <s v="High Performance"/>
    <n v="2"/>
    <n v="80"/>
    <n v="1"/>
    <n v="19"/>
    <n v="2"/>
    <n v="4"/>
    <s v="Good"/>
    <n v="5"/>
    <n v="2"/>
    <n v="0"/>
    <n v="4"/>
  </r>
  <r>
    <n v="1544113"/>
    <n v="28"/>
    <x v="2"/>
    <s v="No"/>
    <x v="0"/>
    <x v="0"/>
    <n v="1172"/>
    <x v="0"/>
    <n v="3"/>
    <n v="3"/>
    <x v="2"/>
    <n v="1"/>
    <n v="2"/>
    <x v="0"/>
    <n v="78"/>
    <n v="3"/>
    <n v="1"/>
    <s v="Other"/>
    <n v="2"/>
    <s v="Poor"/>
    <x v="1"/>
    <n v="2856"/>
    <x v="1"/>
    <n v="3692"/>
    <n v="1"/>
    <s v="Y"/>
    <s v="No"/>
    <n v="19"/>
    <x v="0"/>
    <s v="Low Performance"/>
    <n v="4"/>
    <n v="80"/>
    <n v="1"/>
    <n v="1"/>
    <n v="3"/>
    <n v="3"/>
    <s v="Fair"/>
    <n v="1"/>
    <n v="0"/>
    <n v="0"/>
    <n v="0"/>
  </r>
  <r>
    <n v="1609966"/>
    <n v="30"/>
    <x v="2"/>
    <s v="Yes"/>
    <x v="1"/>
    <x v="0"/>
    <n v="945"/>
    <x v="0"/>
    <n v="9"/>
    <n v="3"/>
    <x v="2"/>
    <n v="1"/>
    <n v="2"/>
    <x v="1"/>
    <n v="89"/>
    <n v="3"/>
    <n v="1"/>
    <s v="Other"/>
    <n v="4"/>
    <s v="Good"/>
    <x v="0"/>
    <n v="1081"/>
    <x v="1"/>
    <n v="16019"/>
    <n v="1"/>
    <s v="Y"/>
    <s v="No"/>
    <n v="13"/>
    <x v="0"/>
    <s v="Low Performance"/>
    <n v="3"/>
    <n v="80"/>
    <n v="0"/>
    <n v="1"/>
    <n v="3"/>
    <n v="2"/>
    <s v="Poor"/>
    <n v="1"/>
    <n v="0"/>
    <n v="0"/>
    <n v="0"/>
  </r>
  <r>
    <n v="1242148"/>
    <n v="22"/>
    <x v="4"/>
    <s v="Yes"/>
    <x v="1"/>
    <x v="0"/>
    <n v="391"/>
    <x v="2"/>
    <n v="7"/>
    <n v="1"/>
    <x v="0"/>
    <n v="1"/>
    <n v="4"/>
    <x v="1"/>
    <n v="75"/>
    <n v="3"/>
    <n v="1"/>
    <s v="Other"/>
    <n v="2"/>
    <s v="Poor"/>
    <x v="0"/>
    <n v="2472"/>
    <x v="1"/>
    <n v="26092"/>
    <n v="1"/>
    <s v="Y"/>
    <s v="Yes"/>
    <n v="23"/>
    <x v="1"/>
    <s v="High Performance"/>
    <n v="1"/>
    <n v="80"/>
    <n v="0"/>
    <n v="1"/>
    <n v="2"/>
    <n v="3"/>
    <s v="Fair"/>
    <n v="1"/>
    <n v="0"/>
    <n v="0"/>
    <n v="0"/>
  </r>
  <r>
    <n v="1494882"/>
    <n v="36"/>
    <x v="0"/>
    <s v="No"/>
    <x v="0"/>
    <x v="0"/>
    <n v="1266"/>
    <x v="0"/>
    <n v="10"/>
    <n v="4"/>
    <x v="4"/>
    <n v="1"/>
    <n v="2"/>
    <x v="0"/>
    <n v="63"/>
    <n v="2"/>
    <n v="2"/>
    <s v="Nurse"/>
    <n v="3"/>
    <s v="Fair"/>
    <x v="1"/>
    <n v="5673"/>
    <x v="0"/>
    <n v="6060"/>
    <n v="1"/>
    <s v="Y"/>
    <s v="Yes"/>
    <n v="13"/>
    <x v="0"/>
    <s v="Low Performance"/>
    <n v="1"/>
    <n v="80"/>
    <n v="1"/>
    <n v="10"/>
    <n v="4"/>
    <n v="3"/>
    <s v="Fair"/>
    <n v="10"/>
    <n v="9"/>
    <n v="1"/>
    <n v="7"/>
  </r>
  <r>
    <n v="1450163"/>
    <n v="31"/>
    <x v="2"/>
    <s v="No"/>
    <x v="0"/>
    <x v="0"/>
    <n v="311"/>
    <x v="2"/>
    <n v="20"/>
    <n v="3"/>
    <x v="0"/>
    <n v="1"/>
    <n v="2"/>
    <x v="1"/>
    <n v="89"/>
    <n v="3"/>
    <n v="2"/>
    <s v="Nurse"/>
    <n v="3"/>
    <s v="Fair"/>
    <x v="2"/>
    <n v="4197"/>
    <x v="1"/>
    <n v="18624"/>
    <n v="1"/>
    <s v="Y"/>
    <s v="No"/>
    <n v="11"/>
    <x v="0"/>
    <s v="Low Performance"/>
    <n v="1"/>
    <n v="80"/>
    <n v="1"/>
    <n v="10"/>
    <n v="2"/>
    <n v="3"/>
    <s v="Fair"/>
    <n v="10"/>
    <n v="8"/>
    <n v="0"/>
    <n v="2"/>
  </r>
  <r>
    <n v="1104040"/>
    <n v="34"/>
    <x v="2"/>
    <s v="No"/>
    <x v="0"/>
    <x v="0"/>
    <n v="1480"/>
    <x v="0"/>
    <n v="4"/>
    <n v="3"/>
    <x v="0"/>
    <n v="1"/>
    <n v="3"/>
    <x v="1"/>
    <n v="64"/>
    <n v="3"/>
    <n v="3"/>
    <s v="Nurse"/>
    <n v="4"/>
    <s v="Good"/>
    <x v="1"/>
    <n v="9713"/>
    <x v="0"/>
    <n v="24444"/>
    <n v="2"/>
    <s v="Y"/>
    <s v="Yes"/>
    <n v="13"/>
    <x v="0"/>
    <s v="Low Performance"/>
    <n v="4"/>
    <n v="80"/>
    <n v="3"/>
    <n v="9"/>
    <n v="3"/>
    <n v="3"/>
    <s v="Fair"/>
    <n v="5"/>
    <n v="3"/>
    <n v="1"/>
    <n v="0"/>
  </r>
  <r>
    <n v="1879233"/>
    <n v="29"/>
    <x v="2"/>
    <s v="No"/>
    <x v="0"/>
    <x v="0"/>
    <n v="592"/>
    <x v="2"/>
    <n v="7"/>
    <n v="3"/>
    <x v="0"/>
    <n v="1"/>
    <n v="4"/>
    <x v="1"/>
    <n v="59"/>
    <n v="3"/>
    <n v="1"/>
    <s v="Nurse"/>
    <n v="1"/>
    <s v="Poor"/>
    <x v="0"/>
    <n v="2062"/>
    <x v="1"/>
    <n v="19384"/>
    <n v="3"/>
    <s v="Y"/>
    <s v="No"/>
    <n v="14"/>
    <x v="0"/>
    <s v="Low Performance"/>
    <n v="2"/>
    <n v="80"/>
    <n v="0"/>
    <n v="11"/>
    <n v="2"/>
    <n v="3"/>
    <s v="Fair"/>
    <n v="3"/>
    <n v="2"/>
    <n v="1"/>
    <n v="2"/>
  </r>
  <r>
    <n v="1878518"/>
    <n v="37"/>
    <x v="0"/>
    <s v="No"/>
    <x v="0"/>
    <x v="0"/>
    <n v="783"/>
    <x v="2"/>
    <n v="7"/>
    <n v="4"/>
    <x v="2"/>
    <n v="1"/>
    <n v="4"/>
    <x v="1"/>
    <n v="78"/>
    <n v="3"/>
    <n v="2"/>
    <s v="Other"/>
    <n v="1"/>
    <s v="Poor"/>
    <x v="1"/>
    <n v="4284"/>
    <x v="1"/>
    <n v="13588"/>
    <n v="5"/>
    <s v="Y"/>
    <s v="Yes"/>
    <n v="22"/>
    <x v="1"/>
    <s v="High Performance"/>
    <n v="3"/>
    <n v="80"/>
    <n v="1"/>
    <n v="16"/>
    <n v="2"/>
    <n v="3"/>
    <s v="Fair"/>
    <n v="5"/>
    <n v="3"/>
    <n v="0"/>
    <n v="4"/>
  </r>
  <r>
    <n v="1694441"/>
    <n v="35"/>
    <x v="2"/>
    <s v="No"/>
    <x v="0"/>
    <x v="0"/>
    <n v="219"/>
    <x v="0"/>
    <n v="16"/>
    <n v="2"/>
    <x v="1"/>
    <n v="1"/>
    <n v="4"/>
    <x v="0"/>
    <n v="44"/>
    <n v="2"/>
    <n v="2"/>
    <s v="Therapist"/>
    <n v="2"/>
    <s v="Poor"/>
    <x v="1"/>
    <n v="4788"/>
    <x v="1"/>
    <n v="25388"/>
    <n v="0"/>
    <s v="Y"/>
    <s v="Yes"/>
    <n v="11"/>
    <x v="0"/>
    <s v="Low Performance"/>
    <n v="4"/>
    <n v="80"/>
    <n v="0"/>
    <n v="4"/>
    <n v="2"/>
    <n v="3"/>
    <s v="Fair"/>
    <n v="3"/>
    <n v="2"/>
    <n v="0"/>
    <n v="2"/>
  </r>
  <r>
    <n v="1608760"/>
    <n v="45"/>
    <x v="0"/>
    <s v="No"/>
    <x v="0"/>
    <x v="0"/>
    <n v="556"/>
    <x v="0"/>
    <n v="25"/>
    <n v="2"/>
    <x v="0"/>
    <n v="1"/>
    <n v="2"/>
    <x v="0"/>
    <n v="93"/>
    <n v="2"/>
    <n v="2"/>
    <s v="Therapist"/>
    <n v="4"/>
    <s v="Good"/>
    <x v="1"/>
    <n v="5906"/>
    <x v="0"/>
    <n v="23888"/>
    <n v="0"/>
    <s v="Y"/>
    <s v="No"/>
    <n v="13"/>
    <x v="0"/>
    <s v="Low Performance"/>
    <n v="4"/>
    <n v="80"/>
    <n v="2"/>
    <n v="10"/>
    <n v="2"/>
    <n v="2"/>
    <s v="Poor"/>
    <n v="9"/>
    <n v="8"/>
    <n v="3"/>
    <n v="8"/>
  </r>
  <r>
    <n v="1357691"/>
    <n v="36"/>
    <x v="0"/>
    <s v="No"/>
    <x v="0"/>
    <x v="1"/>
    <n v="1213"/>
    <x v="2"/>
    <n v="2"/>
    <n v="1"/>
    <x v="5"/>
    <n v="1"/>
    <n v="2"/>
    <x v="1"/>
    <n v="94"/>
    <n v="2"/>
    <n v="2"/>
    <s v="Other"/>
    <n v="4"/>
    <s v="Good"/>
    <x v="0"/>
    <n v="3886"/>
    <x v="1"/>
    <n v="4223"/>
    <n v="1"/>
    <s v="Y"/>
    <s v="No"/>
    <n v="21"/>
    <x v="1"/>
    <s v="High Performance"/>
    <n v="4"/>
    <n v="80"/>
    <n v="0"/>
    <n v="10"/>
    <n v="2"/>
    <n v="2"/>
    <s v="Poor"/>
    <n v="10"/>
    <n v="1"/>
    <n v="0"/>
    <n v="8"/>
  </r>
  <r>
    <n v="1551391"/>
    <n v="40"/>
    <x v="0"/>
    <s v="No"/>
    <x v="0"/>
    <x v="0"/>
    <n v="1137"/>
    <x v="2"/>
    <n v="1"/>
    <n v="4"/>
    <x v="0"/>
    <n v="1"/>
    <n v="1"/>
    <x v="1"/>
    <n v="98"/>
    <n v="3"/>
    <n v="4"/>
    <s v="Administrative"/>
    <n v="1"/>
    <s v="Poor"/>
    <x v="2"/>
    <n v="16823"/>
    <x v="2"/>
    <n v="18991"/>
    <n v="2"/>
    <s v="Y"/>
    <s v="No"/>
    <n v="11"/>
    <x v="0"/>
    <s v="Low Performance"/>
    <n v="1"/>
    <n v="80"/>
    <n v="1"/>
    <n v="22"/>
    <n v="3"/>
    <n v="3"/>
    <s v="Fair"/>
    <n v="19"/>
    <n v="7"/>
    <n v="11"/>
    <n v="16"/>
  </r>
  <r>
    <n v="1419575"/>
    <n v="26"/>
    <x v="2"/>
    <s v="No"/>
    <x v="0"/>
    <x v="0"/>
    <n v="482"/>
    <x v="2"/>
    <n v="1"/>
    <n v="2"/>
    <x v="0"/>
    <n v="1"/>
    <n v="2"/>
    <x v="0"/>
    <n v="90"/>
    <n v="2"/>
    <n v="1"/>
    <s v="Other"/>
    <n v="3"/>
    <s v="Fair"/>
    <x v="1"/>
    <n v="2933"/>
    <x v="1"/>
    <n v="14908"/>
    <n v="1"/>
    <s v="Y"/>
    <s v="Yes"/>
    <n v="13"/>
    <x v="0"/>
    <s v="Low Performance"/>
    <n v="3"/>
    <n v="80"/>
    <n v="1"/>
    <n v="1"/>
    <n v="3"/>
    <n v="2"/>
    <s v="Poor"/>
    <n v="1"/>
    <n v="0"/>
    <n v="1"/>
    <n v="0"/>
  </r>
  <r>
    <n v="1620257"/>
    <n v="48"/>
    <x v="1"/>
    <s v="No"/>
    <x v="0"/>
    <x v="1"/>
    <n v="117"/>
    <x v="2"/>
    <n v="22"/>
    <n v="3"/>
    <x v="2"/>
    <n v="1"/>
    <n v="4"/>
    <x v="0"/>
    <n v="58"/>
    <n v="3"/>
    <n v="4"/>
    <s v="Administrative"/>
    <n v="4"/>
    <s v="Good"/>
    <x v="2"/>
    <n v="17174"/>
    <x v="2"/>
    <n v="2437"/>
    <n v="3"/>
    <s v="Y"/>
    <s v="No"/>
    <n v="11"/>
    <x v="0"/>
    <s v="Low Performance"/>
    <n v="2"/>
    <n v="80"/>
    <n v="1"/>
    <n v="24"/>
    <n v="3"/>
    <n v="3"/>
    <s v="Fair"/>
    <n v="22"/>
    <n v="17"/>
    <n v="4"/>
    <n v="7"/>
  </r>
  <r>
    <n v="1662166"/>
    <n v="44"/>
    <x v="0"/>
    <s v="No"/>
    <x v="0"/>
    <x v="0"/>
    <n v="170"/>
    <x v="2"/>
    <n v="1"/>
    <n v="4"/>
    <x v="0"/>
    <n v="1"/>
    <n v="2"/>
    <x v="1"/>
    <n v="78"/>
    <n v="4"/>
    <n v="2"/>
    <s v="Nurse"/>
    <n v="1"/>
    <s v="Poor"/>
    <x v="1"/>
    <n v="5033"/>
    <x v="0"/>
    <n v="9364"/>
    <n v="2"/>
    <s v="Y"/>
    <s v="No"/>
    <n v="15"/>
    <x v="0"/>
    <s v="Low Performance"/>
    <n v="4"/>
    <n v="80"/>
    <n v="1"/>
    <n v="10"/>
    <n v="5"/>
    <n v="3"/>
    <s v="Fair"/>
    <n v="2"/>
    <n v="0"/>
    <n v="2"/>
    <n v="2"/>
  </r>
  <r>
    <n v="1738269"/>
    <n v="34"/>
    <x v="2"/>
    <s v="Yes"/>
    <x v="1"/>
    <x v="2"/>
    <n v="967"/>
    <x v="2"/>
    <n v="16"/>
    <n v="4"/>
    <x v="4"/>
    <n v="1"/>
    <n v="4"/>
    <x v="1"/>
    <n v="85"/>
    <n v="1"/>
    <n v="1"/>
    <s v="Other"/>
    <n v="1"/>
    <s v="Poor"/>
    <x v="1"/>
    <n v="2307"/>
    <x v="1"/>
    <n v="14460"/>
    <n v="1"/>
    <s v="Y"/>
    <s v="Yes"/>
    <n v="23"/>
    <x v="1"/>
    <s v="High Performance"/>
    <n v="2"/>
    <n v="80"/>
    <n v="1"/>
    <n v="5"/>
    <n v="2"/>
    <n v="3"/>
    <s v="Fair"/>
    <n v="5"/>
    <n v="2"/>
    <n v="3"/>
    <n v="0"/>
  </r>
  <r>
    <n v="1557030"/>
    <n v="56"/>
    <x v="3"/>
    <s v="Yes"/>
    <x v="1"/>
    <x v="0"/>
    <n v="1162"/>
    <x v="2"/>
    <n v="24"/>
    <n v="2"/>
    <x v="0"/>
    <n v="1"/>
    <n v="1"/>
    <x v="1"/>
    <n v="97"/>
    <n v="3"/>
    <n v="1"/>
    <s v="Nurse"/>
    <n v="4"/>
    <s v="Good"/>
    <x v="0"/>
    <n v="2587"/>
    <x v="1"/>
    <n v="10261"/>
    <n v="1"/>
    <s v="Y"/>
    <s v="No"/>
    <n v="16"/>
    <x v="0"/>
    <s v="Low Performance"/>
    <n v="4"/>
    <n v="80"/>
    <n v="0"/>
    <n v="5"/>
    <n v="3"/>
    <n v="3"/>
    <s v="Fair"/>
    <n v="4"/>
    <n v="2"/>
    <n v="1"/>
    <n v="0"/>
  </r>
  <r>
    <n v="1153641"/>
    <n v="36"/>
    <x v="0"/>
    <s v="No"/>
    <x v="0"/>
    <x v="0"/>
    <n v="335"/>
    <x v="0"/>
    <n v="17"/>
    <n v="2"/>
    <x v="3"/>
    <n v="1"/>
    <n v="3"/>
    <x v="1"/>
    <n v="33"/>
    <n v="2"/>
    <n v="2"/>
    <s v="Nurse"/>
    <n v="2"/>
    <s v="Poor"/>
    <x v="1"/>
    <n v="5507"/>
    <x v="0"/>
    <n v="16822"/>
    <n v="2"/>
    <s v="Y"/>
    <s v="No"/>
    <n v="16"/>
    <x v="0"/>
    <s v="Low Performance"/>
    <n v="3"/>
    <n v="80"/>
    <n v="2"/>
    <n v="12"/>
    <n v="1"/>
    <n v="1"/>
    <s v="Poor"/>
    <n v="4"/>
    <n v="2"/>
    <n v="1"/>
    <n v="3"/>
  </r>
  <r>
    <n v="1448030"/>
    <n v="41"/>
    <x v="0"/>
    <s v="No"/>
    <x v="0"/>
    <x v="0"/>
    <n v="337"/>
    <x v="0"/>
    <n v="8"/>
    <n v="3"/>
    <x v="3"/>
    <n v="1"/>
    <n v="3"/>
    <x v="0"/>
    <n v="54"/>
    <n v="3"/>
    <n v="2"/>
    <s v="Nurse"/>
    <n v="2"/>
    <s v="Poor"/>
    <x v="1"/>
    <n v="4393"/>
    <x v="1"/>
    <n v="26841"/>
    <n v="5"/>
    <s v="Y"/>
    <s v="No"/>
    <n v="21"/>
    <x v="1"/>
    <s v="High Performance"/>
    <n v="3"/>
    <n v="80"/>
    <n v="1"/>
    <n v="14"/>
    <n v="3"/>
    <n v="3"/>
    <s v="Fair"/>
    <n v="5"/>
    <n v="4"/>
    <n v="1"/>
    <n v="4"/>
  </r>
  <r>
    <n v="1804573"/>
    <n v="42"/>
    <x v="0"/>
    <s v="No"/>
    <x v="0"/>
    <x v="0"/>
    <n v="1396"/>
    <x v="2"/>
    <n v="6"/>
    <n v="3"/>
    <x v="2"/>
    <n v="1"/>
    <n v="3"/>
    <x v="1"/>
    <n v="83"/>
    <n v="3"/>
    <n v="3"/>
    <s v="Administrative"/>
    <n v="1"/>
    <s v="Poor"/>
    <x v="1"/>
    <n v="13348"/>
    <x v="2"/>
    <n v="14842"/>
    <n v="9"/>
    <s v="Y"/>
    <s v="No"/>
    <n v="13"/>
    <x v="0"/>
    <s v="Low Performance"/>
    <n v="2"/>
    <n v="80"/>
    <n v="1"/>
    <n v="18"/>
    <n v="3"/>
    <n v="4"/>
    <s v="Good"/>
    <n v="13"/>
    <n v="7"/>
    <n v="5"/>
    <n v="7"/>
  </r>
  <r>
    <n v="1058985"/>
    <n v="31"/>
    <x v="2"/>
    <s v="No"/>
    <x v="0"/>
    <x v="0"/>
    <n v="1079"/>
    <x v="0"/>
    <n v="10"/>
    <n v="2"/>
    <x v="2"/>
    <n v="1"/>
    <n v="3"/>
    <x v="0"/>
    <n v="86"/>
    <n v="3"/>
    <n v="2"/>
    <s v="Nurse"/>
    <n v="4"/>
    <s v="Good"/>
    <x v="2"/>
    <n v="6583"/>
    <x v="0"/>
    <n v="20115"/>
    <n v="2"/>
    <s v="Y"/>
    <s v="Yes"/>
    <n v="11"/>
    <x v="0"/>
    <s v="Low Performance"/>
    <n v="4"/>
    <n v="80"/>
    <n v="1"/>
    <n v="8"/>
    <n v="2"/>
    <n v="3"/>
    <s v="Fair"/>
    <n v="5"/>
    <n v="2"/>
    <n v="1"/>
    <n v="4"/>
  </r>
  <r>
    <n v="1674974"/>
    <n v="34"/>
    <x v="2"/>
    <s v="No"/>
    <x v="0"/>
    <x v="0"/>
    <n v="735"/>
    <x v="0"/>
    <n v="3"/>
    <n v="1"/>
    <x v="2"/>
    <n v="1"/>
    <n v="4"/>
    <x v="0"/>
    <n v="75"/>
    <n v="2"/>
    <n v="2"/>
    <s v="Nurse"/>
    <n v="4"/>
    <s v="Good"/>
    <x v="1"/>
    <n v="8103"/>
    <x v="0"/>
    <n v="16495"/>
    <n v="3"/>
    <s v="Y"/>
    <s v="Yes"/>
    <n v="12"/>
    <x v="0"/>
    <s v="Low Performance"/>
    <n v="3"/>
    <n v="80"/>
    <n v="0"/>
    <n v="9"/>
    <n v="3"/>
    <n v="2"/>
    <s v="Poor"/>
    <n v="4"/>
    <n v="2"/>
    <n v="0"/>
    <n v="1"/>
  </r>
  <r>
    <n v="1408618"/>
    <n v="31"/>
    <x v="2"/>
    <s v="No"/>
    <x v="0"/>
    <x v="0"/>
    <n v="471"/>
    <x v="2"/>
    <n v="4"/>
    <n v="3"/>
    <x v="2"/>
    <n v="1"/>
    <n v="1"/>
    <x v="0"/>
    <n v="62"/>
    <n v="4"/>
    <n v="1"/>
    <s v="Nurse"/>
    <n v="3"/>
    <s v="Fair"/>
    <x v="2"/>
    <n v="3978"/>
    <x v="1"/>
    <n v="16031"/>
    <n v="8"/>
    <s v="Y"/>
    <s v="No"/>
    <n v="12"/>
    <x v="0"/>
    <s v="Low Performance"/>
    <n v="2"/>
    <n v="80"/>
    <n v="1"/>
    <n v="4"/>
    <n v="0"/>
    <n v="2"/>
    <s v="Poor"/>
    <n v="2"/>
    <n v="2"/>
    <n v="2"/>
    <n v="2"/>
  </r>
  <r>
    <n v="1670932"/>
    <n v="26"/>
    <x v="2"/>
    <s v="No"/>
    <x v="0"/>
    <x v="1"/>
    <n v="1096"/>
    <x v="2"/>
    <n v="6"/>
    <n v="3"/>
    <x v="1"/>
    <n v="1"/>
    <n v="3"/>
    <x v="1"/>
    <n v="61"/>
    <n v="4"/>
    <n v="1"/>
    <s v="Nurse"/>
    <n v="4"/>
    <s v="Good"/>
    <x v="1"/>
    <n v="2544"/>
    <x v="1"/>
    <n v="7102"/>
    <n v="0"/>
    <s v="Y"/>
    <s v="No"/>
    <n v="18"/>
    <x v="0"/>
    <s v="Low Performance"/>
    <n v="1"/>
    <n v="80"/>
    <n v="1"/>
    <n v="8"/>
    <n v="3"/>
    <n v="3"/>
    <s v="Fair"/>
    <n v="7"/>
    <n v="7"/>
    <n v="7"/>
    <n v="7"/>
  </r>
  <r>
    <n v="1808720"/>
    <n v="45"/>
    <x v="0"/>
    <s v="No"/>
    <x v="0"/>
    <x v="1"/>
    <n v="1297"/>
    <x v="2"/>
    <n v="1"/>
    <n v="4"/>
    <x v="2"/>
    <n v="1"/>
    <n v="2"/>
    <x v="1"/>
    <n v="44"/>
    <n v="3"/>
    <n v="2"/>
    <s v="Nurse"/>
    <n v="3"/>
    <s v="Fair"/>
    <x v="0"/>
    <n v="5399"/>
    <x v="0"/>
    <n v="14511"/>
    <n v="4"/>
    <s v="Y"/>
    <s v="No"/>
    <n v="12"/>
    <x v="0"/>
    <s v="Low Performance"/>
    <n v="3"/>
    <n v="80"/>
    <n v="0"/>
    <n v="12"/>
    <n v="3"/>
    <n v="3"/>
    <s v="Fair"/>
    <n v="4"/>
    <n v="2"/>
    <n v="0"/>
    <n v="3"/>
  </r>
  <r>
    <n v="1228157"/>
    <n v="33"/>
    <x v="2"/>
    <s v="No"/>
    <x v="0"/>
    <x v="0"/>
    <n v="217"/>
    <x v="0"/>
    <n v="10"/>
    <n v="4"/>
    <x v="3"/>
    <n v="1"/>
    <n v="2"/>
    <x v="1"/>
    <n v="43"/>
    <n v="3"/>
    <n v="2"/>
    <s v="Nurse"/>
    <n v="3"/>
    <s v="Fair"/>
    <x v="0"/>
    <n v="5487"/>
    <x v="0"/>
    <n v="10410"/>
    <n v="1"/>
    <s v="Y"/>
    <s v="No"/>
    <n v="14"/>
    <x v="0"/>
    <s v="Low Performance"/>
    <n v="2"/>
    <n v="80"/>
    <n v="0"/>
    <n v="10"/>
    <n v="2"/>
    <n v="2"/>
    <s v="Poor"/>
    <n v="10"/>
    <n v="4"/>
    <n v="0"/>
    <n v="9"/>
  </r>
  <r>
    <n v="1355281"/>
    <n v="28"/>
    <x v="2"/>
    <s v="No"/>
    <x v="0"/>
    <x v="1"/>
    <n v="783"/>
    <x v="0"/>
    <n v="1"/>
    <n v="2"/>
    <x v="0"/>
    <n v="1"/>
    <n v="3"/>
    <x v="1"/>
    <n v="42"/>
    <n v="2"/>
    <n v="2"/>
    <s v="Nurse"/>
    <n v="4"/>
    <s v="Good"/>
    <x v="1"/>
    <n v="6834"/>
    <x v="0"/>
    <n v="19255"/>
    <n v="1"/>
    <s v="Y"/>
    <s v="Yes"/>
    <n v="12"/>
    <x v="0"/>
    <s v="Low Performance"/>
    <n v="3"/>
    <n v="80"/>
    <n v="1"/>
    <n v="7"/>
    <n v="2"/>
    <n v="3"/>
    <s v="Fair"/>
    <n v="7"/>
    <n v="7"/>
    <n v="0"/>
    <n v="7"/>
  </r>
  <r>
    <n v="1745305"/>
    <n v="29"/>
    <x v="2"/>
    <s v="Yes"/>
    <x v="1"/>
    <x v="1"/>
    <n v="746"/>
    <x v="0"/>
    <n v="24"/>
    <n v="3"/>
    <x v="4"/>
    <n v="1"/>
    <n v="3"/>
    <x v="1"/>
    <n v="45"/>
    <n v="4"/>
    <n v="1"/>
    <s v="Other"/>
    <n v="1"/>
    <s v="Poor"/>
    <x v="0"/>
    <n v="1091"/>
    <x v="1"/>
    <n v="10642"/>
    <n v="1"/>
    <s v="Y"/>
    <s v="No"/>
    <n v="17"/>
    <x v="0"/>
    <s v="Low Performance"/>
    <n v="4"/>
    <n v="80"/>
    <n v="0"/>
    <n v="1"/>
    <n v="3"/>
    <n v="3"/>
    <s v="Fair"/>
    <n v="1"/>
    <n v="0"/>
    <n v="0"/>
    <n v="0"/>
  </r>
  <r>
    <n v="1048077"/>
    <n v="39"/>
    <x v="0"/>
    <s v="No"/>
    <x v="0"/>
    <x v="2"/>
    <n v="1251"/>
    <x v="0"/>
    <n v="21"/>
    <n v="4"/>
    <x v="0"/>
    <n v="1"/>
    <n v="1"/>
    <x v="0"/>
    <n v="32"/>
    <n v="1"/>
    <n v="2"/>
    <s v="Nurse"/>
    <n v="3"/>
    <s v="Fair"/>
    <x v="1"/>
    <n v="5736"/>
    <x v="0"/>
    <n v="3987"/>
    <n v="6"/>
    <s v="Y"/>
    <s v="No"/>
    <n v="19"/>
    <x v="0"/>
    <s v="Low Performance"/>
    <n v="3"/>
    <n v="80"/>
    <n v="1"/>
    <n v="10"/>
    <n v="1"/>
    <n v="3"/>
    <s v="Fair"/>
    <n v="3"/>
    <n v="2"/>
    <n v="1"/>
    <n v="2"/>
  </r>
  <r>
    <n v="1616851"/>
    <n v="27"/>
    <x v="2"/>
    <s v="No"/>
    <x v="0"/>
    <x v="0"/>
    <n v="1354"/>
    <x v="2"/>
    <n v="2"/>
    <n v="4"/>
    <x v="4"/>
    <n v="1"/>
    <n v="2"/>
    <x v="1"/>
    <n v="41"/>
    <n v="3"/>
    <n v="1"/>
    <s v="Other"/>
    <n v="2"/>
    <s v="Poor"/>
    <x v="1"/>
    <n v="2226"/>
    <x v="1"/>
    <n v="6073"/>
    <n v="1"/>
    <s v="Y"/>
    <s v="No"/>
    <n v="11"/>
    <x v="0"/>
    <s v="Low Performance"/>
    <n v="3"/>
    <n v="80"/>
    <n v="1"/>
    <n v="6"/>
    <n v="3"/>
    <n v="2"/>
    <s v="Poor"/>
    <n v="5"/>
    <n v="3"/>
    <n v="1"/>
    <n v="2"/>
  </r>
  <r>
    <n v="1700476"/>
    <n v="34"/>
    <x v="2"/>
    <s v="No"/>
    <x v="0"/>
    <x v="1"/>
    <n v="735"/>
    <x v="2"/>
    <n v="22"/>
    <n v="4"/>
    <x v="1"/>
    <n v="1"/>
    <n v="3"/>
    <x v="1"/>
    <n v="86"/>
    <n v="2"/>
    <n v="2"/>
    <s v="Other"/>
    <n v="4"/>
    <s v="Good"/>
    <x v="1"/>
    <n v="5747"/>
    <x v="0"/>
    <n v="26496"/>
    <n v="1"/>
    <s v="Y"/>
    <s v="Yes"/>
    <n v="15"/>
    <x v="0"/>
    <s v="Low Performance"/>
    <n v="2"/>
    <n v="80"/>
    <n v="0"/>
    <n v="16"/>
    <n v="3"/>
    <n v="3"/>
    <s v="Fair"/>
    <n v="15"/>
    <n v="10"/>
    <n v="6"/>
    <n v="11"/>
  </r>
  <r>
    <n v="1603368"/>
    <n v="28"/>
    <x v="2"/>
    <s v="Yes"/>
    <x v="1"/>
    <x v="0"/>
    <n v="1475"/>
    <x v="0"/>
    <n v="13"/>
    <n v="2"/>
    <x v="3"/>
    <n v="1"/>
    <n v="4"/>
    <x v="0"/>
    <n v="84"/>
    <n v="3"/>
    <n v="2"/>
    <s v="Nurse"/>
    <n v="3"/>
    <s v="Fair"/>
    <x v="0"/>
    <n v="9854"/>
    <x v="0"/>
    <n v="23352"/>
    <n v="3"/>
    <s v="Y"/>
    <s v="Yes"/>
    <n v="11"/>
    <x v="0"/>
    <s v="Low Performance"/>
    <n v="4"/>
    <n v="80"/>
    <n v="0"/>
    <n v="6"/>
    <n v="0"/>
    <n v="3"/>
    <s v="Fair"/>
    <n v="2"/>
    <n v="0"/>
    <n v="2"/>
    <n v="2"/>
  </r>
  <r>
    <n v="1775902"/>
    <n v="47"/>
    <x v="1"/>
    <s v="No"/>
    <x v="0"/>
    <x v="2"/>
    <n v="1169"/>
    <x v="2"/>
    <n v="14"/>
    <n v="4"/>
    <x v="4"/>
    <n v="1"/>
    <n v="3"/>
    <x v="1"/>
    <n v="64"/>
    <n v="3"/>
    <n v="2"/>
    <s v="Other"/>
    <n v="2"/>
    <s v="Poor"/>
    <x v="1"/>
    <n v="5467"/>
    <x v="0"/>
    <n v="2125"/>
    <n v="8"/>
    <s v="Y"/>
    <s v="No"/>
    <n v="18"/>
    <x v="0"/>
    <s v="Low Performance"/>
    <n v="3"/>
    <n v="80"/>
    <n v="1"/>
    <n v="16"/>
    <n v="4"/>
    <n v="4"/>
    <s v="Good"/>
    <n v="8"/>
    <n v="7"/>
    <n v="1"/>
    <n v="7"/>
  </r>
  <r>
    <n v="1871585"/>
    <n v="56"/>
    <x v="3"/>
    <s v="No"/>
    <x v="0"/>
    <x v="0"/>
    <n v="1443"/>
    <x v="0"/>
    <n v="11"/>
    <n v="5"/>
    <x v="3"/>
    <n v="1"/>
    <n v="4"/>
    <x v="0"/>
    <n v="89"/>
    <n v="2"/>
    <n v="2"/>
    <s v="Nurse"/>
    <n v="1"/>
    <s v="Poor"/>
    <x v="1"/>
    <n v="5380"/>
    <x v="0"/>
    <n v="20328"/>
    <n v="4"/>
    <s v="Y"/>
    <s v="No"/>
    <n v="16"/>
    <x v="0"/>
    <s v="Low Performance"/>
    <n v="3"/>
    <n v="80"/>
    <n v="1"/>
    <n v="6"/>
    <n v="3"/>
    <n v="3"/>
    <s v="Fair"/>
    <n v="0"/>
    <n v="0"/>
    <n v="0"/>
    <n v="0"/>
  </r>
  <r>
    <n v="1606461"/>
    <n v="39"/>
    <x v="0"/>
    <s v="No"/>
    <x v="0"/>
    <x v="0"/>
    <n v="867"/>
    <x v="0"/>
    <n v="9"/>
    <n v="2"/>
    <x v="2"/>
    <n v="1"/>
    <n v="1"/>
    <x v="1"/>
    <n v="87"/>
    <n v="3"/>
    <n v="2"/>
    <s v="Therapist"/>
    <n v="1"/>
    <s v="Poor"/>
    <x v="1"/>
    <n v="5151"/>
    <x v="0"/>
    <n v="12315"/>
    <n v="1"/>
    <s v="Y"/>
    <s v="No"/>
    <n v="25"/>
    <x v="1"/>
    <s v="High Performance"/>
    <n v="4"/>
    <n v="80"/>
    <n v="1"/>
    <n v="10"/>
    <n v="3"/>
    <n v="3"/>
    <s v="Fair"/>
    <n v="10"/>
    <n v="0"/>
    <n v="7"/>
    <n v="9"/>
  </r>
  <r>
    <n v="1236472"/>
    <n v="38"/>
    <x v="0"/>
    <s v="No"/>
    <x v="0"/>
    <x v="1"/>
    <n v="1394"/>
    <x v="2"/>
    <n v="8"/>
    <n v="3"/>
    <x v="2"/>
    <n v="1"/>
    <n v="4"/>
    <x v="0"/>
    <n v="58"/>
    <n v="2"/>
    <n v="2"/>
    <s v="Other"/>
    <n v="2"/>
    <s v="Poor"/>
    <x v="2"/>
    <n v="2133"/>
    <x v="1"/>
    <n v="18115"/>
    <n v="1"/>
    <s v="Y"/>
    <s v="Yes"/>
    <n v="16"/>
    <x v="0"/>
    <s v="Low Performance"/>
    <n v="3"/>
    <n v="80"/>
    <n v="1"/>
    <n v="20"/>
    <n v="3"/>
    <n v="3"/>
    <s v="Fair"/>
    <n v="20"/>
    <n v="11"/>
    <n v="0"/>
    <n v="7"/>
  </r>
  <r>
    <n v="1058946"/>
    <n v="58"/>
    <x v="3"/>
    <s v="No"/>
    <x v="0"/>
    <x v="0"/>
    <n v="605"/>
    <x v="0"/>
    <n v="21"/>
    <n v="3"/>
    <x v="0"/>
    <n v="1"/>
    <n v="4"/>
    <x v="0"/>
    <n v="72"/>
    <n v="3"/>
    <n v="4"/>
    <s v="Administrative"/>
    <n v="4"/>
    <s v="Good"/>
    <x v="1"/>
    <n v="17875"/>
    <x v="2"/>
    <n v="11761"/>
    <n v="4"/>
    <s v="Y"/>
    <s v="Yes"/>
    <n v="13"/>
    <x v="0"/>
    <s v="Low Performance"/>
    <n v="3"/>
    <n v="80"/>
    <n v="1"/>
    <n v="29"/>
    <n v="2"/>
    <n v="2"/>
    <s v="Poor"/>
    <n v="1"/>
    <n v="0"/>
    <n v="0"/>
    <n v="0"/>
  </r>
  <r>
    <n v="1683886"/>
    <n v="32"/>
    <x v="2"/>
    <s v="Yes"/>
    <x v="1"/>
    <x v="1"/>
    <n v="238"/>
    <x v="2"/>
    <n v="5"/>
    <n v="2"/>
    <x v="0"/>
    <n v="1"/>
    <n v="1"/>
    <x v="0"/>
    <n v="47"/>
    <n v="4"/>
    <n v="1"/>
    <s v="Other"/>
    <n v="3"/>
    <s v="Fair"/>
    <x v="0"/>
    <n v="2432"/>
    <x v="1"/>
    <n v="15318"/>
    <n v="3"/>
    <s v="Y"/>
    <s v="Yes"/>
    <n v="14"/>
    <x v="0"/>
    <s v="Low Performance"/>
    <n v="1"/>
    <n v="80"/>
    <n v="0"/>
    <n v="8"/>
    <n v="2"/>
    <n v="3"/>
    <s v="Fair"/>
    <n v="4"/>
    <n v="1"/>
    <n v="0"/>
    <n v="3"/>
  </r>
  <r>
    <n v="1211751"/>
    <n v="38"/>
    <x v="0"/>
    <s v="No"/>
    <x v="0"/>
    <x v="0"/>
    <n v="1206"/>
    <x v="2"/>
    <n v="9"/>
    <n v="2"/>
    <x v="0"/>
    <n v="1"/>
    <n v="2"/>
    <x v="1"/>
    <n v="71"/>
    <n v="3"/>
    <n v="1"/>
    <s v="Other"/>
    <n v="4"/>
    <s v="Good"/>
    <x v="2"/>
    <n v="4771"/>
    <x v="1"/>
    <n v="14293"/>
    <n v="2"/>
    <s v="Y"/>
    <s v="No"/>
    <n v="19"/>
    <x v="0"/>
    <s v="Low Performance"/>
    <n v="4"/>
    <n v="80"/>
    <n v="2"/>
    <n v="10"/>
    <n v="0"/>
    <n v="4"/>
    <s v="Good"/>
    <n v="5"/>
    <n v="2"/>
    <n v="0"/>
    <n v="3"/>
  </r>
  <r>
    <n v="1445440"/>
    <n v="49"/>
    <x v="1"/>
    <s v="No"/>
    <x v="0"/>
    <x v="1"/>
    <n v="1064"/>
    <x v="2"/>
    <n v="2"/>
    <n v="1"/>
    <x v="0"/>
    <n v="1"/>
    <n v="2"/>
    <x v="1"/>
    <n v="42"/>
    <n v="3"/>
    <n v="5"/>
    <s v="Administrative"/>
    <n v="4"/>
    <s v="Good"/>
    <x v="1"/>
    <n v="19161"/>
    <x v="2"/>
    <n v="13738"/>
    <n v="3"/>
    <s v="Y"/>
    <s v="No"/>
    <n v="15"/>
    <x v="0"/>
    <s v="Low Performance"/>
    <n v="4"/>
    <n v="80"/>
    <n v="0"/>
    <n v="28"/>
    <n v="3"/>
    <n v="3"/>
    <s v="Fair"/>
    <n v="5"/>
    <n v="4"/>
    <n v="4"/>
    <n v="3"/>
  </r>
  <r>
    <n v="1654667"/>
    <n v="42"/>
    <x v="0"/>
    <s v="No"/>
    <x v="0"/>
    <x v="0"/>
    <n v="419"/>
    <x v="0"/>
    <n v="12"/>
    <n v="4"/>
    <x v="3"/>
    <n v="1"/>
    <n v="2"/>
    <x v="1"/>
    <n v="77"/>
    <n v="3"/>
    <n v="2"/>
    <s v="Nurse"/>
    <n v="4"/>
    <s v="Good"/>
    <x v="2"/>
    <n v="5087"/>
    <x v="0"/>
    <n v="2900"/>
    <n v="3"/>
    <s v="Y"/>
    <s v="Yes"/>
    <n v="12"/>
    <x v="0"/>
    <s v="Low Performance"/>
    <n v="3"/>
    <n v="80"/>
    <n v="2"/>
    <n v="14"/>
    <n v="4"/>
    <n v="3"/>
    <s v="Fair"/>
    <n v="0"/>
    <n v="0"/>
    <n v="0"/>
    <n v="0"/>
  </r>
  <r>
    <n v="1265759"/>
    <n v="27"/>
    <x v="2"/>
    <s v="Yes"/>
    <x v="1"/>
    <x v="1"/>
    <n v="1337"/>
    <x v="2"/>
    <n v="22"/>
    <n v="3"/>
    <x v="5"/>
    <n v="1"/>
    <n v="1"/>
    <x v="0"/>
    <n v="58"/>
    <n v="2"/>
    <n v="1"/>
    <s v="Other"/>
    <n v="2"/>
    <s v="Poor"/>
    <x v="1"/>
    <n v="2863"/>
    <x v="1"/>
    <n v="19555"/>
    <n v="1"/>
    <s v="Y"/>
    <s v="No"/>
    <n v="12"/>
    <x v="0"/>
    <s v="Low Performance"/>
    <n v="1"/>
    <n v="80"/>
    <n v="0"/>
    <n v="1"/>
    <n v="2"/>
    <n v="3"/>
    <s v="Fair"/>
    <n v="1"/>
    <n v="0"/>
    <n v="0"/>
    <n v="0"/>
  </r>
  <r>
    <n v="1842922"/>
    <n v="35"/>
    <x v="2"/>
    <s v="No"/>
    <x v="0"/>
    <x v="0"/>
    <n v="682"/>
    <x v="0"/>
    <n v="18"/>
    <n v="4"/>
    <x v="2"/>
    <n v="1"/>
    <n v="2"/>
    <x v="1"/>
    <n v="71"/>
    <n v="3"/>
    <n v="2"/>
    <s v="Nurse"/>
    <n v="1"/>
    <s v="Poor"/>
    <x v="1"/>
    <n v="5561"/>
    <x v="0"/>
    <n v="15975"/>
    <n v="0"/>
    <s v="Y"/>
    <s v="No"/>
    <n v="16"/>
    <x v="0"/>
    <s v="Low Performance"/>
    <n v="4"/>
    <n v="80"/>
    <n v="1"/>
    <n v="6"/>
    <n v="2"/>
    <n v="1"/>
    <s v="Poor"/>
    <n v="5"/>
    <n v="3"/>
    <n v="0"/>
    <n v="4"/>
  </r>
  <r>
    <n v="1884938"/>
    <n v="28"/>
    <x v="2"/>
    <s v="No"/>
    <x v="0"/>
    <x v="2"/>
    <n v="1103"/>
    <x v="2"/>
    <n v="16"/>
    <n v="3"/>
    <x v="2"/>
    <n v="1"/>
    <n v="3"/>
    <x v="1"/>
    <n v="49"/>
    <n v="3"/>
    <n v="1"/>
    <s v="Other"/>
    <n v="3"/>
    <s v="Fair"/>
    <x v="0"/>
    <n v="2144"/>
    <x v="1"/>
    <n v="2122"/>
    <n v="1"/>
    <s v="Y"/>
    <s v="No"/>
    <n v="14"/>
    <x v="0"/>
    <s v="Low Performance"/>
    <n v="3"/>
    <n v="80"/>
    <n v="0"/>
    <n v="5"/>
    <n v="3"/>
    <n v="2"/>
    <s v="Poor"/>
    <n v="5"/>
    <n v="3"/>
    <n v="1"/>
    <n v="4"/>
  </r>
  <r>
    <n v="1252735"/>
    <n v="31"/>
    <x v="2"/>
    <s v="No"/>
    <x v="0"/>
    <x v="2"/>
    <n v="976"/>
    <x v="2"/>
    <n v="3"/>
    <n v="2"/>
    <x v="2"/>
    <n v="1"/>
    <n v="3"/>
    <x v="1"/>
    <n v="48"/>
    <n v="3"/>
    <n v="1"/>
    <s v="Other"/>
    <n v="1"/>
    <s v="Poor"/>
    <x v="2"/>
    <n v="3065"/>
    <x v="1"/>
    <n v="3995"/>
    <n v="1"/>
    <s v="Y"/>
    <s v="Yes"/>
    <n v="13"/>
    <x v="0"/>
    <s v="Low Performance"/>
    <n v="4"/>
    <n v="80"/>
    <n v="1"/>
    <n v="4"/>
    <n v="3"/>
    <n v="4"/>
    <s v="Good"/>
    <n v="4"/>
    <n v="2"/>
    <n v="2"/>
    <n v="3"/>
  </r>
  <r>
    <n v="1201616"/>
    <n v="36"/>
    <x v="0"/>
    <s v="No"/>
    <x v="0"/>
    <x v="2"/>
    <n v="1351"/>
    <x v="2"/>
    <n v="9"/>
    <n v="4"/>
    <x v="0"/>
    <n v="1"/>
    <n v="1"/>
    <x v="1"/>
    <n v="66"/>
    <n v="4"/>
    <n v="1"/>
    <s v="Nurse"/>
    <n v="2"/>
    <s v="Poor"/>
    <x v="1"/>
    <n v="2810"/>
    <x v="1"/>
    <n v="9238"/>
    <n v="1"/>
    <s v="Y"/>
    <s v="No"/>
    <n v="22"/>
    <x v="1"/>
    <s v="High Performance"/>
    <n v="2"/>
    <n v="80"/>
    <n v="0"/>
    <n v="5"/>
    <n v="3"/>
    <n v="3"/>
    <s v="Fair"/>
    <n v="5"/>
    <n v="4"/>
    <n v="0"/>
    <n v="2"/>
  </r>
  <r>
    <n v="1050457"/>
    <n v="34"/>
    <x v="2"/>
    <s v="No"/>
    <x v="0"/>
    <x v="0"/>
    <n v="937"/>
    <x v="0"/>
    <n v="1"/>
    <n v="3"/>
    <x v="3"/>
    <n v="1"/>
    <n v="1"/>
    <x v="1"/>
    <n v="32"/>
    <n v="3"/>
    <n v="3"/>
    <s v="Nurse"/>
    <n v="4"/>
    <s v="Good"/>
    <x v="0"/>
    <n v="9888"/>
    <x v="0"/>
    <n v="6770"/>
    <n v="1"/>
    <s v="Y"/>
    <s v="No"/>
    <n v="21"/>
    <x v="1"/>
    <s v="High Performance"/>
    <n v="1"/>
    <n v="80"/>
    <n v="0"/>
    <n v="14"/>
    <n v="3"/>
    <n v="2"/>
    <s v="Poor"/>
    <n v="14"/>
    <n v="8"/>
    <n v="2"/>
    <n v="1"/>
  </r>
  <r>
    <n v="1637651"/>
    <n v="34"/>
    <x v="2"/>
    <s v="No"/>
    <x v="0"/>
    <x v="0"/>
    <n v="1239"/>
    <x v="0"/>
    <n v="13"/>
    <n v="4"/>
    <x v="2"/>
    <n v="1"/>
    <n v="4"/>
    <x v="1"/>
    <n v="39"/>
    <n v="3"/>
    <n v="3"/>
    <s v="Nurse"/>
    <n v="3"/>
    <s v="Fair"/>
    <x v="2"/>
    <n v="8628"/>
    <x v="0"/>
    <n v="22914"/>
    <n v="1"/>
    <s v="Y"/>
    <s v="No"/>
    <n v="18"/>
    <x v="0"/>
    <s v="Low Performance"/>
    <n v="3"/>
    <n v="80"/>
    <n v="1"/>
    <n v="9"/>
    <n v="2"/>
    <n v="2"/>
    <s v="Poor"/>
    <n v="8"/>
    <n v="7"/>
    <n v="1"/>
    <n v="1"/>
  </r>
  <r>
    <n v="1079566"/>
    <n v="26"/>
    <x v="2"/>
    <s v="No"/>
    <x v="0"/>
    <x v="0"/>
    <n v="157"/>
    <x v="2"/>
    <n v="1"/>
    <n v="3"/>
    <x v="2"/>
    <n v="1"/>
    <n v="3"/>
    <x v="1"/>
    <n v="95"/>
    <n v="3"/>
    <n v="1"/>
    <s v="Nurse"/>
    <n v="1"/>
    <s v="Poor"/>
    <x v="0"/>
    <n v="2867"/>
    <x v="1"/>
    <n v="20006"/>
    <n v="0"/>
    <s v="Y"/>
    <s v="No"/>
    <n v="13"/>
    <x v="0"/>
    <s v="Low Performance"/>
    <n v="4"/>
    <n v="80"/>
    <n v="0"/>
    <n v="8"/>
    <n v="6"/>
    <n v="2"/>
    <s v="Poor"/>
    <n v="7"/>
    <n v="7"/>
    <n v="7"/>
    <n v="6"/>
  </r>
  <r>
    <n v="1332348"/>
    <n v="29"/>
    <x v="2"/>
    <s v="No"/>
    <x v="0"/>
    <x v="0"/>
    <n v="136"/>
    <x v="2"/>
    <n v="1"/>
    <n v="3"/>
    <x v="0"/>
    <n v="1"/>
    <n v="1"/>
    <x v="1"/>
    <n v="89"/>
    <n v="3"/>
    <n v="2"/>
    <s v="Nurse"/>
    <n v="1"/>
    <s v="Poor"/>
    <x v="1"/>
    <n v="5373"/>
    <x v="0"/>
    <n v="6225"/>
    <n v="0"/>
    <s v="Y"/>
    <s v="No"/>
    <n v="12"/>
    <x v="0"/>
    <s v="Low Performance"/>
    <n v="1"/>
    <n v="80"/>
    <n v="1"/>
    <n v="6"/>
    <n v="5"/>
    <n v="2"/>
    <s v="Poor"/>
    <n v="5"/>
    <n v="3"/>
    <n v="0"/>
    <n v="2"/>
  </r>
  <r>
    <n v="1051695"/>
    <n v="32"/>
    <x v="2"/>
    <s v="No"/>
    <x v="0"/>
    <x v="2"/>
    <n v="1146"/>
    <x v="2"/>
    <n v="15"/>
    <n v="4"/>
    <x v="2"/>
    <n v="1"/>
    <n v="3"/>
    <x v="0"/>
    <n v="34"/>
    <n v="3"/>
    <n v="2"/>
    <s v="Nurse"/>
    <n v="4"/>
    <s v="Good"/>
    <x v="2"/>
    <n v="6667"/>
    <x v="0"/>
    <n v="16542"/>
    <n v="5"/>
    <s v="Y"/>
    <s v="No"/>
    <n v="18"/>
    <x v="0"/>
    <s v="Low Performance"/>
    <n v="2"/>
    <n v="80"/>
    <n v="1"/>
    <n v="9"/>
    <n v="6"/>
    <n v="3"/>
    <s v="Fair"/>
    <n v="5"/>
    <n v="1"/>
    <n v="1"/>
    <n v="2"/>
  </r>
  <r>
    <n v="1154444"/>
    <n v="31"/>
    <x v="2"/>
    <s v="No"/>
    <x v="0"/>
    <x v="1"/>
    <n v="1125"/>
    <x v="2"/>
    <n v="1"/>
    <n v="3"/>
    <x v="0"/>
    <n v="1"/>
    <n v="4"/>
    <x v="1"/>
    <n v="48"/>
    <n v="1"/>
    <n v="2"/>
    <s v="Other"/>
    <n v="1"/>
    <s v="Poor"/>
    <x v="1"/>
    <n v="5003"/>
    <x v="0"/>
    <n v="5771"/>
    <n v="1"/>
    <s v="Y"/>
    <s v="No"/>
    <n v="21"/>
    <x v="1"/>
    <s v="High Performance"/>
    <n v="2"/>
    <n v="80"/>
    <n v="0"/>
    <n v="10"/>
    <n v="6"/>
    <n v="3"/>
    <s v="Fair"/>
    <n v="10"/>
    <n v="8"/>
    <n v="8"/>
    <n v="7"/>
  </r>
  <r>
    <n v="1650983"/>
    <n v="28"/>
    <x v="2"/>
    <s v="No"/>
    <x v="0"/>
    <x v="0"/>
    <n v="1404"/>
    <x v="2"/>
    <n v="17"/>
    <n v="3"/>
    <x v="4"/>
    <n v="1"/>
    <n v="3"/>
    <x v="1"/>
    <n v="32"/>
    <n v="2"/>
    <n v="1"/>
    <s v="Nurse"/>
    <n v="4"/>
    <s v="Good"/>
    <x v="2"/>
    <n v="2367"/>
    <x v="1"/>
    <n v="18779"/>
    <n v="5"/>
    <s v="Y"/>
    <s v="No"/>
    <n v="12"/>
    <x v="0"/>
    <s v="Low Performance"/>
    <n v="1"/>
    <n v="80"/>
    <n v="1"/>
    <n v="6"/>
    <n v="2"/>
    <n v="2"/>
    <s v="Poor"/>
    <n v="4"/>
    <n v="1"/>
    <n v="0"/>
    <n v="3"/>
  </r>
  <r>
    <n v="1130703"/>
    <n v="38"/>
    <x v="0"/>
    <s v="No"/>
    <x v="0"/>
    <x v="0"/>
    <n v="1404"/>
    <x v="0"/>
    <n v="1"/>
    <n v="3"/>
    <x v="0"/>
    <n v="1"/>
    <n v="1"/>
    <x v="1"/>
    <n v="59"/>
    <n v="2"/>
    <n v="1"/>
    <s v="Other"/>
    <n v="1"/>
    <s v="Poor"/>
    <x v="0"/>
    <n v="2858"/>
    <x v="1"/>
    <n v="11473"/>
    <n v="4"/>
    <s v="Y"/>
    <s v="No"/>
    <n v="14"/>
    <x v="0"/>
    <s v="Low Performance"/>
    <n v="1"/>
    <n v="80"/>
    <n v="0"/>
    <n v="20"/>
    <n v="3"/>
    <n v="2"/>
    <s v="Poor"/>
    <n v="1"/>
    <n v="0"/>
    <n v="0"/>
    <n v="0"/>
  </r>
  <r>
    <n v="1817679"/>
    <n v="35"/>
    <x v="2"/>
    <s v="No"/>
    <x v="0"/>
    <x v="0"/>
    <n v="1224"/>
    <x v="0"/>
    <n v="7"/>
    <n v="4"/>
    <x v="0"/>
    <n v="1"/>
    <n v="3"/>
    <x v="0"/>
    <n v="55"/>
    <n v="3"/>
    <n v="2"/>
    <s v="Nurse"/>
    <n v="4"/>
    <s v="Good"/>
    <x v="1"/>
    <n v="5204"/>
    <x v="0"/>
    <n v="13586"/>
    <n v="1"/>
    <s v="Y"/>
    <s v="Yes"/>
    <n v="11"/>
    <x v="0"/>
    <s v="Low Performance"/>
    <n v="4"/>
    <n v="80"/>
    <n v="0"/>
    <n v="10"/>
    <n v="2"/>
    <n v="3"/>
    <s v="Fair"/>
    <n v="10"/>
    <n v="8"/>
    <n v="0"/>
    <n v="9"/>
  </r>
  <r>
    <n v="1092771"/>
    <n v="27"/>
    <x v="2"/>
    <s v="No"/>
    <x v="0"/>
    <x v="0"/>
    <n v="954"/>
    <x v="0"/>
    <n v="9"/>
    <n v="3"/>
    <x v="3"/>
    <n v="1"/>
    <n v="4"/>
    <x v="1"/>
    <n v="44"/>
    <n v="3"/>
    <n v="2"/>
    <s v="Nurse"/>
    <n v="4"/>
    <s v="Good"/>
    <x v="0"/>
    <n v="4105"/>
    <x v="1"/>
    <n v="5099"/>
    <n v="1"/>
    <s v="Y"/>
    <s v="No"/>
    <n v="14"/>
    <x v="0"/>
    <s v="Low Performance"/>
    <n v="1"/>
    <n v="80"/>
    <n v="0"/>
    <n v="7"/>
    <n v="5"/>
    <n v="3"/>
    <s v="Fair"/>
    <n v="7"/>
    <n v="7"/>
    <n v="0"/>
    <n v="7"/>
  </r>
  <r>
    <n v="1356134"/>
    <n v="32"/>
    <x v="2"/>
    <s v="No"/>
    <x v="0"/>
    <x v="0"/>
    <n v="1373"/>
    <x v="0"/>
    <n v="5"/>
    <n v="4"/>
    <x v="0"/>
    <n v="1"/>
    <n v="4"/>
    <x v="1"/>
    <n v="56"/>
    <n v="2"/>
    <n v="2"/>
    <s v="Therapist"/>
    <n v="4"/>
    <s v="Good"/>
    <x v="0"/>
    <n v="9679"/>
    <x v="0"/>
    <n v="10138"/>
    <n v="8"/>
    <s v="Y"/>
    <s v="No"/>
    <n v="24"/>
    <x v="1"/>
    <s v="High Performance"/>
    <n v="2"/>
    <n v="80"/>
    <n v="0"/>
    <n v="8"/>
    <n v="1"/>
    <n v="3"/>
    <s v="Fair"/>
    <n v="1"/>
    <n v="0"/>
    <n v="0"/>
    <n v="0"/>
  </r>
  <r>
    <n v="1370524"/>
    <n v="31"/>
    <x v="2"/>
    <s v="Yes"/>
    <x v="1"/>
    <x v="1"/>
    <n v="754"/>
    <x v="0"/>
    <n v="26"/>
    <n v="4"/>
    <x v="3"/>
    <n v="1"/>
    <n v="1"/>
    <x v="1"/>
    <n v="63"/>
    <n v="3"/>
    <n v="2"/>
    <s v="Nurse"/>
    <n v="4"/>
    <s v="Good"/>
    <x v="1"/>
    <n v="5617"/>
    <x v="0"/>
    <n v="21075"/>
    <n v="1"/>
    <s v="Y"/>
    <s v="Yes"/>
    <n v="11"/>
    <x v="0"/>
    <s v="Low Performance"/>
    <n v="3"/>
    <n v="80"/>
    <n v="0"/>
    <n v="10"/>
    <n v="4"/>
    <n v="3"/>
    <s v="Fair"/>
    <n v="10"/>
    <n v="7"/>
    <n v="0"/>
    <n v="8"/>
  </r>
  <r>
    <n v="1232169"/>
    <n v="53"/>
    <x v="1"/>
    <s v="Yes"/>
    <x v="1"/>
    <x v="0"/>
    <n v="1168"/>
    <x v="0"/>
    <n v="24"/>
    <n v="4"/>
    <x v="0"/>
    <n v="1"/>
    <n v="1"/>
    <x v="1"/>
    <n v="66"/>
    <n v="3"/>
    <n v="3"/>
    <s v="Nurse"/>
    <n v="1"/>
    <s v="Poor"/>
    <x v="0"/>
    <n v="10448"/>
    <x v="0"/>
    <n v="5843"/>
    <n v="6"/>
    <s v="Y"/>
    <s v="Yes"/>
    <n v="13"/>
    <x v="0"/>
    <s v="Low Performance"/>
    <n v="2"/>
    <n v="80"/>
    <n v="0"/>
    <n v="15"/>
    <n v="2"/>
    <n v="2"/>
    <s v="Poor"/>
    <n v="2"/>
    <n v="2"/>
    <n v="2"/>
    <n v="2"/>
  </r>
  <r>
    <n v="1392392"/>
    <n v="54"/>
    <x v="1"/>
    <s v="No"/>
    <x v="0"/>
    <x v="0"/>
    <n v="155"/>
    <x v="2"/>
    <n v="9"/>
    <n v="2"/>
    <x v="0"/>
    <n v="1"/>
    <n v="1"/>
    <x v="0"/>
    <n v="67"/>
    <n v="3"/>
    <n v="2"/>
    <s v="Other"/>
    <n v="3"/>
    <s v="Fair"/>
    <x v="1"/>
    <n v="2897"/>
    <x v="1"/>
    <n v="22474"/>
    <n v="3"/>
    <s v="Y"/>
    <s v="No"/>
    <n v="11"/>
    <x v="0"/>
    <s v="Low Performance"/>
    <n v="3"/>
    <n v="80"/>
    <n v="2"/>
    <n v="9"/>
    <n v="6"/>
    <n v="2"/>
    <s v="Poor"/>
    <n v="4"/>
    <n v="3"/>
    <n v="2"/>
    <n v="3"/>
  </r>
  <r>
    <n v="1309342"/>
    <n v="33"/>
    <x v="2"/>
    <s v="No"/>
    <x v="0"/>
    <x v="1"/>
    <n v="1303"/>
    <x v="2"/>
    <n v="7"/>
    <n v="2"/>
    <x v="0"/>
    <n v="1"/>
    <n v="4"/>
    <x v="1"/>
    <n v="36"/>
    <n v="3"/>
    <n v="2"/>
    <s v="Nurse"/>
    <n v="3"/>
    <s v="Fair"/>
    <x v="2"/>
    <n v="5968"/>
    <x v="0"/>
    <n v="18079"/>
    <n v="1"/>
    <s v="Y"/>
    <s v="No"/>
    <n v="20"/>
    <x v="1"/>
    <s v="High Performance"/>
    <n v="3"/>
    <n v="80"/>
    <n v="3"/>
    <n v="9"/>
    <n v="2"/>
    <n v="3"/>
    <s v="Fair"/>
    <n v="9"/>
    <n v="7"/>
    <n v="2"/>
    <n v="8"/>
  </r>
  <r>
    <n v="1531422"/>
    <n v="43"/>
    <x v="0"/>
    <s v="No"/>
    <x v="0"/>
    <x v="0"/>
    <n v="574"/>
    <x v="2"/>
    <n v="11"/>
    <n v="3"/>
    <x v="0"/>
    <n v="1"/>
    <n v="1"/>
    <x v="1"/>
    <n v="30"/>
    <n v="3"/>
    <n v="3"/>
    <s v="Nurse"/>
    <n v="3"/>
    <s v="Fair"/>
    <x v="1"/>
    <n v="7510"/>
    <x v="0"/>
    <n v="16873"/>
    <n v="1"/>
    <s v="Y"/>
    <s v="No"/>
    <n v="17"/>
    <x v="0"/>
    <s v="Low Performance"/>
    <n v="2"/>
    <n v="80"/>
    <n v="1"/>
    <n v="10"/>
    <n v="1"/>
    <n v="3"/>
    <s v="Fair"/>
    <n v="10"/>
    <n v="9"/>
    <n v="0"/>
    <n v="9"/>
  </r>
  <r>
    <n v="1126582"/>
    <n v="38"/>
    <x v="0"/>
    <s v="No"/>
    <x v="0"/>
    <x v="1"/>
    <n v="1444"/>
    <x v="2"/>
    <n v="1"/>
    <n v="4"/>
    <x v="1"/>
    <n v="1"/>
    <n v="4"/>
    <x v="1"/>
    <n v="88"/>
    <n v="3"/>
    <n v="1"/>
    <s v="Other"/>
    <n v="2"/>
    <s v="Poor"/>
    <x v="1"/>
    <n v="2991"/>
    <x v="1"/>
    <n v="5224"/>
    <n v="0"/>
    <s v="Y"/>
    <s v="Yes"/>
    <n v="11"/>
    <x v="0"/>
    <s v="Low Performance"/>
    <n v="2"/>
    <n v="80"/>
    <n v="1"/>
    <n v="7"/>
    <n v="2"/>
    <n v="3"/>
    <s v="Fair"/>
    <n v="6"/>
    <n v="2"/>
    <n v="1"/>
    <n v="2"/>
  </r>
  <r>
    <n v="1316742"/>
    <n v="55"/>
    <x v="1"/>
    <s v="No"/>
    <x v="0"/>
    <x v="0"/>
    <n v="189"/>
    <x v="2"/>
    <n v="26"/>
    <n v="4"/>
    <x v="5"/>
    <n v="1"/>
    <n v="3"/>
    <x v="1"/>
    <n v="71"/>
    <n v="4"/>
    <n v="5"/>
    <s v="Administrative"/>
    <n v="2"/>
    <s v="Poor"/>
    <x v="1"/>
    <n v="19636"/>
    <x v="2"/>
    <n v="25811"/>
    <n v="4"/>
    <s v="Y"/>
    <s v="Yes"/>
    <n v="18"/>
    <x v="0"/>
    <s v="Low Performance"/>
    <n v="1"/>
    <n v="80"/>
    <n v="1"/>
    <n v="35"/>
    <n v="0"/>
    <n v="3"/>
    <s v="Fair"/>
    <n v="10"/>
    <n v="9"/>
    <n v="1"/>
    <n v="4"/>
  </r>
  <r>
    <n v="1789942"/>
    <n v="31"/>
    <x v="2"/>
    <s v="No"/>
    <x v="0"/>
    <x v="0"/>
    <n v="1276"/>
    <x v="2"/>
    <n v="2"/>
    <n v="1"/>
    <x v="2"/>
    <n v="1"/>
    <n v="4"/>
    <x v="0"/>
    <n v="59"/>
    <n v="1"/>
    <n v="1"/>
    <s v="Nurse"/>
    <n v="4"/>
    <s v="Good"/>
    <x v="2"/>
    <n v="1129"/>
    <x v="1"/>
    <n v="17536"/>
    <n v="1"/>
    <s v="Y"/>
    <s v="Yes"/>
    <n v="11"/>
    <x v="0"/>
    <s v="Low Performance"/>
    <n v="3"/>
    <n v="80"/>
    <n v="3"/>
    <n v="1"/>
    <n v="4"/>
    <n v="3"/>
    <s v="Fair"/>
    <n v="1"/>
    <n v="0"/>
    <n v="0"/>
    <n v="0"/>
  </r>
  <r>
    <n v="1583381"/>
    <n v="39"/>
    <x v="0"/>
    <s v="No"/>
    <x v="0"/>
    <x v="0"/>
    <n v="119"/>
    <x v="0"/>
    <n v="15"/>
    <n v="4"/>
    <x v="3"/>
    <n v="1"/>
    <n v="2"/>
    <x v="1"/>
    <n v="77"/>
    <n v="3"/>
    <n v="4"/>
    <s v="Nurse"/>
    <n v="1"/>
    <s v="Poor"/>
    <x v="0"/>
    <n v="13341"/>
    <x v="2"/>
    <n v="25098"/>
    <n v="0"/>
    <s v="Y"/>
    <s v="No"/>
    <n v="12"/>
    <x v="0"/>
    <s v="Low Performance"/>
    <n v="1"/>
    <n v="80"/>
    <n v="0"/>
    <n v="21"/>
    <n v="3"/>
    <n v="3"/>
    <s v="Fair"/>
    <n v="20"/>
    <n v="8"/>
    <n v="11"/>
    <n v="10"/>
  </r>
  <r>
    <n v="1275198"/>
    <n v="42"/>
    <x v="0"/>
    <s v="No"/>
    <x v="0"/>
    <x v="2"/>
    <n v="335"/>
    <x v="2"/>
    <n v="23"/>
    <n v="2"/>
    <x v="0"/>
    <n v="1"/>
    <n v="4"/>
    <x v="1"/>
    <n v="37"/>
    <n v="2"/>
    <n v="2"/>
    <s v="Other"/>
    <n v="3"/>
    <s v="Fair"/>
    <x v="0"/>
    <n v="4332"/>
    <x v="1"/>
    <n v="14811"/>
    <n v="1"/>
    <s v="Y"/>
    <s v="No"/>
    <n v="12"/>
    <x v="0"/>
    <s v="Low Performance"/>
    <n v="4"/>
    <n v="80"/>
    <n v="0"/>
    <n v="20"/>
    <n v="2"/>
    <n v="3"/>
    <s v="Fair"/>
    <n v="20"/>
    <n v="9"/>
    <n v="3"/>
    <n v="7"/>
  </r>
  <r>
    <n v="1378502"/>
    <n v="31"/>
    <x v="2"/>
    <s v="No"/>
    <x v="0"/>
    <x v="2"/>
    <n v="697"/>
    <x v="2"/>
    <n v="10"/>
    <n v="3"/>
    <x v="2"/>
    <n v="1"/>
    <n v="3"/>
    <x v="0"/>
    <n v="40"/>
    <n v="3"/>
    <n v="3"/>
    <s v="Administrative"/>
    <n v="3"/>
    <s v="Fair"/>
    <x v="1"/>
    <n v="11031"/>
    <x v="0"/>
    <n v="26862"/>
    <n v="4"/>
    <s v="Y"/>
    <s v="No"/>
    <n v="20"/>
    <x v="1"/>
    <s v="High Performance"/>
    <n v="3"/>
    <n v="80"/>
    <n v="1"/>
    <n v="13"/>
    <n v="2"/>
    <n v="4"/>
    <s v="Good"/>
    <n v="11"/>
    <n v="7"/>
    <n v="4"/>
    <n v="8"/>
  </r>
  <r>
    <n v="1553116"/>
    <n v="54"/>
    <x v="1"/>
    <s v="No"/>
    <x v="0"/>
    <x v="0"/>
    <n v="157"/>
    <x v="0"/>
    <n v="10"/>
    <n v="3"/>
    <x v="2"/>
    <n v="1"/>
    <n v="3"/>
    <x v="0"/>
    <n v="77"/>
    <n v="3"/>
    <n v="2"/>
    <s v="Therapist"/>
    <n v="1"/>
    <s v="Poor"/>
    <x v="0"/>
    <n v="4440"/>
    <x v="1"/>
    <n v="25198"/>
    <n v="6"/>
    <s v="Y"/>
    <s v="Yes"/>
    <n v="19"/>
    <x v="0"/>
    <s v="Low Performance"/>
    <n v="4"/>
    <n v="80"/>
    <n v="0"/>
    <n v="9"/>
    <n v="3"/>
    <n v="3"/>
    <s v="Fair"/>
    <n v="5"/>
    <n v="2"/>
    <n v="1"/>
    <n v="4"/>
  </r>
  <r>
    <n v="1150538"/>
    <n v="24"/>
    <x v="4"/>
    <s v="No"/>
    <x v="0"/>
    <x v="0"/>
    <n v="771"/>
    <x v="2"/>
    <n v="1"/>
    <n v="2"/>
    <x v="0"/>
    <n v="1"/>
    <n v="2"/>
    <x v="1"/>
    <n v="45"/>
    <n v="2"/>
    <n v="2"/>
    <s v="Nurse"/>
    <n v="3"/>
    <s v="Fair"/>
    <x v="0"/>
    <n v="4617"/>
    <x v="1"/>
    <n v="14120"/>
    <n v="1"/>
    <s v="Y"/>
    <s v="No"/>
    <n v="12"/>
    <x v="0"/>
    <s v="Low Performance"/>
    <n v="2"/>
    <n v="80"/>
    <n v="0"/>
    <n v="4"/>
    <n v="2"/>
    <n v="2"/>
    <s v="Poor"/>
    <n v="4"/>
    <n v="3"/>
    <n v="1"/>
    <n v="2"/>
  </r>
  <r>
    <n v="1553133"/>
    <n v="23"/>
    <x v="4"/>
    <s v="No"/>
    <x v="0"/>
    <x v="0"/>
    <n v="571"/>
    <x v="2"/>
    <n v="12"/>
    <n v="2"/>
    <x v="1"/>
    <n v="1"/>
    <n v="4"/>
    <x v="1"/>
    <n v="78"/>
    <n v="3"/>
    <n v="1"/>
    <s v="Nurse"/>
    <n v="4"/>
    <s v="Good"/>
    <x v="0"/>
    <n v="2647"/>
    <x v="1"/>
    <n v="13672"/>
    <n v="1"/>
    <s v="Y"/>
    <s v="No"/>
    <n v="13"/>
    <x v="0"/>
    <s v="Low Performance"/>
    <n v="3"/>
    <n v="80"/>
    <n v="0"/>
    <n v="5"/>
    <n v="6"/>
    <n v="4"/>
    <s v="Good"/>
    <n v="5"/>
    <n v="2"/>
    <n v="1"/>
    <n v="4"/>
  </r>
  <r>
    <n v="1113801"/>
    <n v="40"/>
    <x v="0"/>
    <s v="No"/>
    <x v="0"/>
    <x v="1"/>
    <n v="692"/>
    <x v="2"/>
    <n v="11"/>
    <n v="3"/>
    <x v="4"/>
    <n v="1"/>
    <n v="4"/>
    <x v="0"/>
    <n v="73"/>
    <n v="3"/>
    <n v="2"/>
    <s v="Nurse"/>
    <n v="3"/>
    <s v="Fair"/>
    <x v="1"/>
    <n v="6323"/>
    <x v="0"/>
    <n v="26849"/>
    <n v="1"/>
    <s v="Y"/>
    <s v="No"/>
    <n v="11"/>
    <x v="0"/>
    <s v="Low Performance"/>
    <n v="1"/>
    <n v="80"/>
    <n v="1"/>
    <n v="10"/>
    <n v="2"/>
    <n v="4"/>
    <s v="Good"/>
    <n v="10"/>
    <n v="9"/>
    <n v="9"/>
    <n v="4"/>
  </r>
  <r>
    <n v="1365691"/>
    <n v="40"/>
    <x v="0"/>
    <s v="No"/>
    <x v="0"/>
    <x v="0"/>
    <n v="444"/>
    <x v="0"/>
    <n v="2"/>
    <n v="2"/>
    <x v="3"/>
    <n v="1"/>
    <n v="2"/>
    <x v="0"/>
    <n v="92"/>
    <n v="3"/>
    <n v="2"/>
    <s v="Nurse"/>
    <n v="2"/>
    <s v="Poor"/>
    <x v="1"/>
    <n v="5677"/>
    <x v="0"/>
    <n v="4258"/>
    <n v="3"/>
    <s v="Y"/>
    <s v="No"/>
    <n v="14"/>
    <x v="0"/>
    <s v="Low Performance"/>
    <n v="3"/>
    <n v="80"/>
    <n v="1"/>
    <n v="15"/>
    <n v="4"/>
    <n v="3"/>
    <s v="Fair"/>
    <n v="11"/>
    <n v="8"/>
    <n v="5"/>
    <n v="10"/>
  </r>
  <r>
    <n v="1825860"/>
    <n v="25"/>
    <x v="4"/>
    <s v="No"/>
    <x v="0"/>
    <x v="0"/>
    <n v="309"/>
    <x v="2"/>
    <n v="2"/>
    <n v="3"/>
    <x v="5"/>
    <n v="1"/>
    <n v="3"/>
    <x v="0"/>
    <n v="82"/>
    <n v="3"/>
    <n v="1"/>
    <s v="Other"/>
    <n v="2"/>
    <s v="Poor"/>
    <x v="1"/>
    <n v="2187"/>
    <x v="1"/>
    <n v="19655"/>
    <n v="4"/>
    <s v="Y"/>
    <s v="No"/>
    <n v="14"/>
    <x v="0"/>
    <s v="Low Performance"/>
    <n v="3"/>
    <n v="80"/>
    <n v="0"/>
    <n v="6"/>
    <n v="3"/>
    <n v="3"/>
    <s v="Fair"/>
    <n v="2"/>
    <n v="0"/>
    <n v="1"/>
    <n v="2"/>
  </r>
  <r>
    <n v="1820725"/>
    <n v="30"/>
    <x v="2"/>
    <s v="No"/>
    <x v="0"/>
    <x v="0"/>
    <n v="911"/>
    <x v="2"/>
    <n v="1"/>
    <n v="2"/>
    <x v="2"/>
    <n v="1"/>
    <n v="4"/>
    <x v="1"/>
    <n v="76"/>
    <n v="3"/>
    <n v="1"/>
    <s v="Nurse"/>
    <n v="2"/>
    <s v="Poor"/>
    <x v="1"/>
    <n v="3748"/>
    <x v="1"/>
    <n v="4077"/>
    <n v="1"/>
    <s v="Y"/>
    <s v="No"/>
    <n v="13"/>
    <x v="0"/>
    <s v="Low Performance"/>
    <n v="3"/>
    <n v="80"/>
    <n v="0"/>
    <n v="12"/>
    <n v="6"/>
    <n v="2"/>
    <s v="Poor"/>
    <n v="12"/>
    <n v="8"/>
    <n v="1"/>
    <n v="7"/>
  </r>
  <r>
    <n v="1515102"/>
    <n v="25"/>
    <x v="4"/>
    <s v="No"/>
    <x v="0"/>
    <x v="0"/>
    <n v="977"/>
    <x v="2"/>
    <n v="2"/>
    <n v="1"/>
    <x v="1"/>
    <n v="1"/>
    <n v="4"/>
    <x v="1"/>
    <n v="57"/>
    <n v="3"/>
    <n v="1"/>
    <s v="Nurse"/>
    <n v="3"/>
    <s v="Fair"/>
    <x v="2"/>
    <n v="3977"/>
    <x v="1"/>
    <n v="7298"/>
    <n v="6"/>
    <s v="Y"/>
    <s v="Yes"/>
    <n v="19"/>
    <x v="0"/>
    <s v="Low Performance"/>
    <n v="3"/>
    <n v="80"/>
    <n v="1"/>
    <n v="7"/>
    <n v="2"/>
    <n v="2"/>
    <s v="Poor"/>
    <n v="2"/>
    <n v="2"/>
    <n v="0"/>
    <n v="2"/>
  </r>
  <r>
    <n v="1811717"/>
    <n v="47"/>
    <x v="1"/>
    <s v="No"/>
    <x v="0"/>
    <x v="0"/>
    <n v="1180"/>
    <x v="2"/>
    <n v="25"/>
    <n v="3"/>
    <x v="2"/>
    <n v="1"/>
    <n v="1"/>
    <x v="1"/>
    <n v="84"/>
    <n v="3"/>
    <n v="3"/>
    <s v="Nurse"/>
    <n v="3"/>
    <s v="Fair"/>
    <x v="0"/>
    <n v="8633"/>
    <x v="0"/>
    <n v="13084"/>
    <n v="2"/>
    <s v="Y"/>
    <s v="No"/>
    <n v="23"/>
    <x v="1"/>
    <s v="High Performance"/>
    <n v="2"/>
    <n v="80"/>
    <n v="0"/>
    <n v="25"/>
    <n v="3"/>
    <n v="3"/>
    <s v="Fair"/>
    <n v="17"/>
    <n v="14"/>
    <n v="12"/>
    <n v="11"/>
  </r>
  <r>
    <n v="1863212"/>
    <n v="33"/>
    <x v="2"/>
    <s v="No"/>
    <x v="0"/>
    <x v="2"/>
    <n v="1313"/>
    <x v="2"/>
    <n v="1"/>
    <n v="2"/>
    <x v="2"/>
    <n v="1"/>
    <n v="2"/>
    <x v="1"/>
    <n v="59"/>
    <n v="2"/>
    <n v="1"/>
    <s v="Nurse"/>
    <n v="3"/>
    <s v="Fair"/>
    <x v="2"/>
    <n v="2008"/>
    <x v="1"/>
    <n v="20439"/>
    <n v="1"/>
    <s v="Y"/>
    <s v="No"/>
    <n v="12"/>
    <x v="0"/>
    <s v="Low Performance"/>
    <n v="3"/>
    <n v="80"/>
    <n v="3"/>
    <n v="1"/>
    <n v="2"/>
    <n v="2"/>
    <s v="Poor"/>
    <n v="1"/>
    <n v="1"/>
    <n v="0"/>
    <n v="0"/>
  </r>
  <r>
    <n v="1677775"/>
    <n v="38"/>
    <x v="0"/>
    <s v="No"/>
    <x v="0"/>
    <x v="0"/>
    <n v="1321"/>
    <x v="0"/>
    <n v="1"/>
    <n v="4"/>
    <x v="0"/>
    <n v="1"/>
    <n v="4"/>
    <x v="1"/>
    <n v="86"/>
    <n v="3"/>
    <n v="2"/>
    <s v="Nurse"/>
    <n v="2"/>
    <s v="Poor"/>
    <x v="1"/>
    <n v="4440"/>
    <x v="1"/>
    <n v="7636"/>
    <n v="0"/>
    <s v="Y"/>
    <s v="No"/>
    <n v="15"/>
    <x v="0"/>
    <s v="Low Performance"/>
    <n v="1"/>
    <n v="80"/>
    <n v="2"/>
    <n v="16"/>
    <n v="3"/>
    <n v="3"/>
    <s v="Fair"/>
    <n v="15"/>
    <n v="13"/>
    <n v="5"/>
    <n v="8"/>
  </r>
  <r>
    <n v="1593793"/>
    <n v="31"/>
    <x v="2"/>
    <s v="No"/>
    <x v="0"/>
    <x v="0"/>
    <n v="1154"/>
    <x v="0"/>
    <n v="2"/>
    <n v="2"/>
    <x v="0"/>
    <n v="1"/>
    <n v="1"/>
    <x v="1"/>
    <n v="54"/>
    <n v="3"/>
    <n v="1"/>
    <s v="Other"/>
    <n v="3"/>
    <s v="Fair"/>
    <x v="1"/>
    <n v="3067"/>
    <x v="1"/>
    <n v="6393"/>
    <n v="0"/>
    <s v="Y"/>
    <s v="No"/>
    <n v="19"/>
    <x v="0"/>
    <s v="Low Performance"/>
    <n v="3"/>
    <n v="80"/>
    <n v="1"/>
    <n v="3"/>
    <n v="1"/>
    <n v="3"/>
    <s v="Fair"/>
    <n v="2"/>
    <n v="2"/>
    <n v="1"/>
    <n v="2"/>
  </r>
  <r>
    <n v="1373830"/>
    <n v="38"/>
    <x v="0"/>
    <s v="No"/>
    <x v="0"/>
    <x v="1"/>
    <n v="508"/>
    <x v="0"/>
    <n v="6"/>
    <n v="4"/>
    <x v="0"/>
    <n v="1"/>
    <n v="1"/>
    <x v="1"/>
    <n v="72"/>
    <n v="2"/>
    <n v="2"/>
    <s v="Therapist"/>
    <n v="3"/>
    <s v="Fair"/>
    <x v="1"/>
    <n v="5321"/>
    <x v="0"/>
    <n v="14284"/>
    <n v="2"/>
    <s v="Y"/>
    <s v="No"/>
    <n v="11"/>
    <x v="0"/>
    <s v="Low Performance"/>
    <n v="4"/>
    <n v="80"/>
    <n v="1"/>
    <n v="10"/>
    <n v="1"/>
    <n v="3"/>
    <s v="Fair"/>
    <n v="8"/>
    <n v="3"/>
    <n v="7"/>
    <n v="7"/>
  </r>
  <r>
    <n v="1125914"/>
    <n v="42"/>
    <x v="0"/>
    <s v="No"/>
    <x v="0"/>
    <x v="0"/>
    <n v="557"/>
    <x v="2"/>
    <n v="18"/>
    <n v="4"/>
    <x v="0"/>
    <n v="1"/>
    <n v="4"/>
    <x v="1"/>
    <n v="35"/>
    <n v="3"/>
    <n v="2"/>
    <s v="Other"/>
    <n v="1"/>
    <s v="Poor"/>
    <x v="2"/>
    <n v="5410"/>
    <x v="0"/>
    <n v="11189"/>
    <n v="6"/>
    <s v="Y"/>
    <s v="Yes"/>
    <n v="17"/>
    <x v="0"/>
    <s v="Low Performance"/>
    <n v="3"/>
    <n v="80"/>
    <n v="1"/>
    <n v="9"/>
    <n v="3"/>
    <n v="2"/>
    <s v="Poor"/>
    <n v="4"/>
    <n v="3"/>
    <n v="1"/>
    <n v="2"/>
  </r>
  <r>
    <n v="1519296"/>
    <n v="41"/>
    <x v="0"/>
    <s v="No"/>
    <x v="0"/>
    <x v="0"/>
    <n v="642"/>
    <x v="2"/>
    <n v="1"/>
    <n v="3"/>
    <x v="0"/>
    <n v="1"/>
    <n v="4"/>
    <x v="1"/>
    <n v="76"/>
    <n v="3"/>
    <n v="1"/>
    <s v="Other"/>
    <n v="4"/>
    <s v="Good"/>
    <x v="1"/>
    <n v="2782"/>
    <x v="1"/>
    <n v="21412"/>
    <n v="3"/>
    <s v="Y"/>
    <s v="No"/>
    <n v="22"/>
    <x v="1"/>
    <s v="High Performance"/>
    <n v="1"/>
    <n v="80"/>
    <n v="1"/>
    <n v="12"/>
    <n v="3"/>
    <n v="3"/>
    <s v="Fair"/>
    <n v="5"/>
    <n v="3"/>
    <n v="1"/>
    <n v="0"/>
  </r>
  <r>
    <n v="1491934"/>
    <n v="47"/>
    <x v="1"/>
    <s v="No"/>
    <x v="0"/>
    <x v="2"/>
    <n v="1162"/>
    <x v="2"/>
    <n v="1"/>
    <n v="1"/>
    <x v="2"/>
    <n v="1"/>
    <n v="3"/>
    <x v="0"/>
    <n v="98"/>
    <n v="3"/>
    <n v="3"/>
    <s v="Administrative"/>
    <n v="2"/>
    <s v="Poor"/>
    <x v="1"/>
    <n v="11957"/>
    <x v="0"/>
    <n v="17231"/>
    <n v="0"/>
    <s v="Y"/>
    <s v="No"/>
    <n v="18"/>
    <x v="0"/>
    <s v="Low Performance"/>
    <n v="1"/>
    <n v="80"/>
    <n v="2"/>
    <n v="14"/>
    <n v="3"/>
    <n v="1"/>
    <s v="Poor"/>
    <n v="13"/>
    <n v="8"/>
    <n v="5"/>
    <n v="12"/>
  </r>
  <r>
    <n v="1181842"/>
    <n v="35"/>
    <x v="2"/>
    <s v="No"/>
    <x v="0"/>
    <x v="0"/>
    <n v="1490"/>
    <x v="2"/>
    <n v="11"/>
    <n v="4"/>
    <x v="2"/>
    <n v="1"/>
    <n v="4"/>
    <x v="1"/>
    <n v="43"/>
    <n v="3"/>
    <n v="1"/>
    <s v="Nurse"/>
    <n v="3"/>
    <s v="Fair"/>
    <x v="1"/>
    <n v="2660"/>
    <x v="1"/>
    <n v="20232"/>
    <n v="7"/>
    <s v="Y"/>
    <s v="Yes"/>
    <n v="11"/>
    <x v="0"/>
    <s v="Low Performance"/>
    <n v="3"/>
    <n v="80"/>
    <n v="1"/>
    <n v="5"/>
    <n v="3"/>
    <n v="3"/>
    <s v="Fair"/>
    <n v="2"/>
    <n v="2"/>
    <n v="2"/>
    <n v="2"/>
  </r>
  <r>
    <n v="1221662"/>
    <n v="22"/>
    <x v="4"/>
    <s v="No"/>
    <x v="0"/>
    <x v="0"/>
    <n v="581"/>
    <x v="2"/>
    <n v="1"/>
    <n v="2"/>
    <x v="0"/>
    <n v="1"/>
    <n v="4"/>
    <x v="1"/>
    <n v="63"/>
    <n v="3"/>
    <n v="1"/>
    <s v="Other"/>
    <n v="3"/>
    <s v="Fair"/>
    <x v="0"/>
    <n v="3375"/>
    <x v="1"/>
    <n v="17624"/>
    <n v="0"/>
    <s v="Y"/>
    <s v="No"/>
    <n v="12"/>
    <x v="0"/>
    <s v="Low Performance"/>
    <n v="4"/>
    <n v="80"/>
    <n v="0"/>
    <n v="4"/>
    <n v="2"/>
    <n v="4"/>
    <s v="Good"/>
    <n v="3"/>
    <n v="2"/>
    <n v="1"/>
    <n v="2"/>
  </r>
  <r>
    <n v="1725778"/>
    <n v="35"/>
    <x v="2"/>
    <s v="No"/>
    <x v="0"/>
    <x v="0"/>
    <n v="1395"/>
    <x v="2"/>
    <n v="9"/>
    <n v="4"/>
    <x v="2"/>
    <n v="1"/>
    <n v="2"/>
    <x v="1"/>
    <n v="48"/>
    <n v="3"/>
    <n v="2"/>
    <s v="Other"/>
    <n v="3"/>
    <s v="Fair"/>
    <x v="0"/>
    <n v="5098"/>
    <x v="0"/>
    <n v="18698"/>
    <n v="1"/>
    <s v="Y"/>
    <s v="No"/>
    <n v="19"/>
    <x v="0"/>
    <s v="Low Performance"/>
    <n v="2"/>
    <n v="80"/>
    <n v="0"/>
    <n v="10"/>
    <n v="5"/>
    <n v="3"/>
    <s v="Fair"/>
    <n v="10"/>
    <n v="7"/>
    <n v="0"/>
    <n v="8"/>
  </r>
  <r>
    <n v="1301790"/>
    <n v="33"/>
    <x v="2"/>
    <s v="No"/>
    <x v="0"/>
    <x v="0"/>
    <n v="501"/>
    <x v="2"/>
    <n v="15"/>
    <n v="2"/>
    <x v="2"/>
    <n v="1"/>
    <n v="2"/>
    <x v="0"/>
    <n v="95"/>
    <n v="3"/>
    <n v="2"/>
    <s v="Nurse"/>
    <n v="4"/>
    <s v="Good"/>
    <x v="1"/>
    <n v="4878"/>
    <x v="1"/>
    <n v="21653"/>
    <n v="0"/>
    <s v="Y"/>
    <s v="Yes"/>
    <n v="13"/>
    <x v="0"/>
    <s v="Low Performance"/>
    <n v="1"/>
    <n v="80"/>
    <n v="1"/>
    <n v="10"/>
    <n v="6"/>
    <n v="3"/>
    <s v="Fair"/>
    <n v="9"/>
    <n v="7"/>
    <n v="8"/>
    <n v="1"/>
  </r>
  <r>
    <n v="1399338"/>
    <n v="32"/>
    <x v="2"/>
    <s v="No"/>
    <x v="0"/>
    <x v="0"/>
    <n v="267"/>
    <x v="2"/>
    <n v="29"/>
    <n v="4"/>
    <x v="0"/>
    <n v="1"/>
    <n v="3"/>
    <x v="0"/>
    <n v="49"/>
    <n v="2"/>
    <n v="1"/>
    <s v="Nurse"/>
    <n v="2"/>
    <s v="Poor"/>
    <x v="0"/>
    <n v="2837"/>
    <x v="1"/>
    <n v="15919"/>
    <n v="1"/>
    <s v="Y"/>
    <s v="No"/>
    <n v="13"/>
    <x v="0"/>
    <s v="Low Performance"/>
    <n v="3"/>
    <n v="80"/>
    <n v="0"/>
    <n v="6"/>
    <n v="3"/>
    <n v="3"/>
    <s v="Fair"/>
    <n v="6"/>
    <n v="2"/>
    <n v="4"/>
    <n v="1"/>
  </r>
  <r>
    <n v="1789008"/>
    <n v="40"/>
    <x v="0"/>
    <s v="No"/>
    <x v="0"/>
    <x v="0"/>
    <n v="543"/>
    <x v="2"/>
    <n v="1"/>
    <n v="4"/>
    <x v="0"/>
    <n v="1"/>
    <n v="1"/>
    <x v="1"/>
    <n v="83"/>
    <n v="3"/>
    <n v="1"/>
    <s v="Nurse"/>
    <n v="4"/>
    <s v="Good"/>
    <x v="1"/>
    <n v="2406"/>
    <x v="1"/>
    <n v="4060"/>
    <n v="8"/>
    <s v="Y"/>
    <s v="No"/>
    <n v="19"/>
    <x v="0"/>
    <s v="Low Performance"/>
    <n v="3"/>
    <n v="80"/>
    <n v="2"/>
    <n v="8"/>
    <n v="3"/>
    <n v="2"/>
    <s v="Poor"/>
    <n v="1"/>
    <n v="0"/>
    <n v="0"/>
    <n v="0"/>
  </r>
  <r>
    <n v="1190766"/>
    <n v="32"/>
    <x v="2"/>
    <s v="No"/>
    <x v="0"/>
    <x v="0"/>
    <n v="234"/>
    <x v="0"/>
    <n v="1"/>
    <n v="4"/>
    <x v="2"/>
    <n v="1"/>
    <n v="2"/>
    <x v="1"/>
    <n v="68"/>
    <n v="2"/>
    <n v="1"/>
    <s v="Other"/>
    <n v="2"/>
    <s v="Poor"/>
    <x v="1"/>
    <n v="2269"/>
    <x v="1"/>
    <n v="18024"/>
    <n v="0"/>
    <s v="Y"/>
    <s v="No"/>
    <n v="14"/>
    <x v="0"/>
    <s v="Low Performance"/>
    <n v="2"/>
    <n v="80"/>
    <n v="1"/>
    <n v="3"/>
    <n v="2"/>
    <n v="3"/>
    <s v="Fair"/>
    <n v="2"/>
    <n v="2"/>
    <n v="2"/>
    <n v="2"/>
  </r>
  <r>
    <n v="1491312"/>
    <n v="39"/>
    <x v="0"/>
    <s v="No"/>
    <x v="0"/>
    <x v="0"/>
    <n v="116"/>
    <x v="2"/>
    <n v="24"/>
    <n v="1"/>
    <x v="0"/>
    <n v="1"/>
    <n v="1"/>
    <x v="1"/>
    <n v="52"/>
    <n v="3"/>
    <n v="2"/>
    <s v="Other"/>
    <n v="4"/>
    <s v="Good"/>
    <x v="0"/>
    <n v="4108"/>
    <x v="1"/>
    <n v="5340"/>
    <n v="7"/>
    <s v="Y"/>
    <s v="No"/>
    <n v="13"/>
    <x v="0"/>
    <s v="Low Performance"/>
    <n v="1"/>
    <n v="80"/>
    <n v="0"/>
    <n v="18"/>
    <n v="2"/>
    <n v="3"/>
    <s v="Fair"/>
    <n v="7"/>
    <n v="7"/>
    <n v="1"/>
    <n v="7"/>
  </r>
  <r>
    <n v="1708743"/>
    <n v="38"/>
    <x v="0"/>
    <s v="No"/>
    <x v="0"/>
    <x v="0"/>
    <n v="201"/>
    <x v="2"/>
    <n v="10"/>
    <n v="3"/>
    <x v="2"/>
    <n v="1"/>
    <n v="2"/>
    <x v="0"/>
    <n v="99"/>
    <n v="1"/>
    <n v="3"/>
    <s v="Administrative"/>
    <n v="3"/>
    <s v="Fair"/>
    <x v="1"/>
    <n v="13206"/>
    <x v="2"/>
    <n v="3376"/>
    <n v="3"/>
    <s v="Y"/>
    <s v="No"/>
    <n v="12"/>
    <x v="0"/>
    <s v="Low Performance"/>
    <n v="1"/>
    <n v="80"/>
    <n v="1"/>
    <n v="20"/>
    <n v="3"/>
    <n v="3"/>
    <s v="Fair"/>
    <n v="18"/>
    <n v="16"/>
    <n v="1"/>
    <n v="11"/>
  </r>
  <r>
    <n v="1435710"/>
    <n v="32"/>
    <x v="2"/>
    <s v="No"/>
    <x v="0"/>
    <x v="0"/>
    <n v="801"/>
    <x v="0"/>
    <n v="1"/>
    <n v="4"/>
    <x v="3"/>
    <n v="1"/>
    <n v="3"/>
    <x v="0"/>
    <n v="48"/>
    <n v="3"/>
    <n v="3"/>
    <s v="Nurse"/>
    <n v="4"/>
    <s v="Good"/>
    <x v="1"/>
    <n v="10422"/>
    <x v="0"/>
    <n v="24032"/>
    <n v="1"/>
    <s v="Y"/>
    <s v="No"/>
    <n v="19"/>
    <x v="0"/>
    <s v="Low Performance"/>
    <n v="3"/>
    <n v="80"/>
    <n v="2"/>
    <n v="14"/>
    <n v="3"/>
    <n v="3"/>
    <s v="Fair"/>
    <n v="14"/>
    <n v="10"/>
    <n v="5"/>
    <n v="7"/>
  </r>
  <r>
    <n v="1332625"/>
    <n v="37"/>
    <x v="0"/>
    <s v="No"/>
    <x v="0"/>
    <x v="0"/>
    <n v="161"/>
    <x v="2"/>
    <n v="10"/>
    <n v="3"/>
    <x v="0"/>
    <n v="1"/>
    <n v="3"/>
    <x v="0"/>
    <n v="42"/>
    <n v="4"/>
    <n v="3"/>
    <s v="Administrative"/>
    <n v="4"/>
    <s v="Good"/>
    <x v="1"/>
    <n v="13744"/>
    <x v="2"/>
    <n v="15471"/>
    <n v="1"/>
    <s v="Y"/>
    <s v="Yes"/>
    <n v="25"/>
    <x v="1"/>
    <s v="High Performance"/>
    <n v="1"/>
    <n v="80"/>
    <n v="1"/>
    <n v="16"/>
    <n v="2"/>
    <n v="3"/>
    <s v="Fair"/>
    <n v="16"/>
    <n v="11"/>
    <n v="6"/>
    <n v="8"/>
  </r>
  <r>
    <n v="1818407"/>
    <n v="25"/>
    <x v="4"/>
    <s v="No"/>
    <x v="0"/>
    <x v="0"/>
    <n v="1382"/>
    <x v="0"/>
    <n v="8"/>
    <n v="2"/>
    <x v="1"/>
    <n v="1"/>
    <n v="1"/>
    <x v="0"/>
    <n v="85"/>
    <n v="3"/>
    <n v="2"/>
    <s v="Nurse"/>
    <n v="3"/>
    <s v="Fair"/>
    <x v="2"/>
    <n v="4907"/>
    <x v="1"/>
    <n v="13684"/>
    <n v="0"/>
    <s v="Y"/>
    <s v="Yes"/>
    <n v="22"/>
    <x v="1"/>
    <s v="High Performance"/>
    <n v="2"/>
    <n v="80"/>
    <n v="1"/>
    <n v="6"/>
    <n v="3"/>
    <n v="2"/>
    <s v="Poor"/>
    <n v="5"/>
    <n v="3"/>
    <n v="0"/>
    <n v="4"/>
  </r>
  <r>
    <n v="1251101"/>
    <n v="52"/>
    <x v="1"/>
    <s v="No"/>
    <x v="0"/>
    <x v="2"/>
    <n v="585"/>
    <x v="0"/>
    <n v="29"/>
    <n v="4"/>
    <x v="0"/>
    <n v="1"/>
    <n v="1"/>
    <x v="1"/>
    <n v="40"/>
    <n v="3"/>
    <n v="1"/>
    <s v="Other"/>
    <n v="4"/>
    <s v="Good"/>
    <x v="2"/>
    <n v="3482"/>
    <x v="1"/>
    <n v="19788"/>
    <n v="2"/>
    <s v="Y"/>
    <s v="No"/>
    <n v="15"/>
    <x v="0"/>
    <s v="Low Performance"/>
    <n v="2"/>
    <n v="80"/>
    <n v="2"/>
    <n v="16"/>
    <n v="3"/>
    <n v="2"/>
    <s v="Poor"/>
    <n v="9"/>
    <n v="8"/>
    <n v="0"/>
    <n v="0"/>
  </r>
  <r>
    <n v="1433529"/>
    <n v="44"/>
    <x v="0"/>
    <s v="No"/>
    <x v="0"/>
    <x v="0"/>
    <n v="1037"/>
    <x v="2"/>
    <n v="1"/>
    <n v="3"/>
    <x v="2"/>
    <n v="1"/>
    <n v="2"/>
    <x v="1"/>
    <n v="42"/>
    <n v="3"/>
    <n v="1"/>
    <s v="Other"/>
    <n v="4"/>
    <s v="Good"/>
    <x v="0"/>
    <n v="2436"/>
    <x v="1"/>
    <n v="13422"/>
    <n v="6"/>
    <s v="Y"/>
    <s v="Yes"/>
    <n v="12"/>
    <x v="0"/>
    <s v="Low Performance"/>
    <n v="3"/>
    <n v="80"/>
    <n v="0"/>
    <n v="6"/>
    <n v="2"/>
    <n v="3"/>
    <s v="Fair"/>
    <n v="4"/>
    <n v="3"/>
    <n v="1"/>
    <n v="2"/>
  </r>
  <r>
    <n v="1859445"/>
    <n v="21"/>
    <x v="4"/>
    <s v="Yes"/>
    <x v="1"/>
    <x v="0"/>
    <n v="501"/>
    <x v="0"/>
    <n v="5"/>
    <n v="1"/>
    <x v="2"/>
    <n v="1"/>
    <n v="3"/>
    <x v="1"/>
    <n v="58"/>
    <n v="3"/>
    <n v="1"/>
    <s v="Other"/>
    <n v="1"/>
    <s v="Poor"/>
    <x v="0"/>
    <n v="2380"/>
    <x v="1"/>
    <n v="25479"/>
    <n v="1"/>
    <s v="Y"/>
    <s v="Yes"/>
    <n v="11"/>
    <x v="0"/>
    <s v="Low Performance"/>
    <n v="4"/>
    <n v="80"/>
    <n v="0"/>
    <n v="2"/>
    <n v="6"/>
    <n v="3"/>
    <s v="Fair"/>
    <n v="2"/>
    <n v="2"/>
    <n v="1"/>
    <n v="2"/>
  </r>
  <r>
    <n v="1104512"/>
    <n v="39"/>
    <x v="0"/>
    <s v="No"/>
    <x v="0"/>
    <x v="2"/>
    <n v="105"/>
    <x v="2"/>
    <n v="9"/>
    <n v="3"/>
    <x v="0"/>
    <n v="1"/>
    <n v="4"/>
    <x v="1"/>
    <n v="87"/>
    <n v="3"/>
    <n v="5"/>
    <s v="Administrative"/>
    <n v="4"/>
    <s v="Good"/>
    <x v="0"/>
    <n v="19431"/>
    <x v="2"/>
    <n v="15302"/>
    <n v="2"/>
    <s v="Y"/>
    <s v="No"/>
    <n v="13"/>
    <x v="0"/>
    <s v="Low Performance"/>
    <n v="3"/>
    <n v="80"/>
    <n v="0"/>
    <n v="21"/>
    <n v="3"/>
    <n v="2"/>
    <s v="Poor"/>
    <n v="6"/>
    <n v="0"/>
    <n v="1"/>
    <n v="3"/>
  </r>
  <r>
    <n v="1782969"/>
    <n v="23"/>
    <x v="4"/>
    <s v="Yes"/>
    <x v="1"/>
    <x v="1"/>
    <n v="638"/>
    <x v="0"/>
    <n v="9"/>
    <n v="3"/>
    <x v="3"/>
    <n v="1"/>
    <n v="4"/>
    <x v="1"/>
    <n v="33"/>
    <n v="3"/>
    <n v="1"/>
    <s v="Other"/>
    <n v="1"/>
    <s v="Poor"/>
    <x v="1"/>
    <n v="1790"/>
    <x v="1"/>
    <n v="26956"/>
    <n v="1"/>
    <s v="Y"/>
    <s v="No"/>
    <n v="19"/>
    <x v="0"/>
    <s v="Low Performance"/>
    <n v="1"/>
    <n v="80"/>
    <n v="1"/>
    <n v="1"/>
    <n v="3"/>
    <n v="2"/>
    <s v="Poor"/>
    <n v="1"/>
    <n v="0"/>
    <n v="1"/>
    <n v="0"/>
  </r>
  <r>
    <n v="1628827"/>
    <n v="36"/>
    <x v="0"/>
    <s v="No"/>
    <x v="0"/>
    <x v="0"/>
    <n v="557"/>
    <x v="0"/>
    <n v="3"/>
    <n v="3"/>
    <x v="2"/>
    <n v="1"/>
    <n v="1"/>
    <x v="0"/>
    <n v="94"/>
    <n v="2"/>
    <n v="3"/>
    <s v="Nurse"/>
    <n v="4"/>
    <s v="Good"/>
    <x v="1"/>
    <n v="7644"/>
    <x v="0"/>
    <n v="12695"/>
    <n v="0"/>
    <s v="Y"/>
    <s v="No"/>
    <n v="19"/>
    <x v="0"/>
    <s v="Low Performance"/>
    <n v="3"/>
    <n v="80"/>
    <n v="2"/>
    <n v="10"/>
    <n v="2"/>
    <n v="3"/>
    <s v="Fair"/>
    <n v="9"/>
    <n v="7"/>
    <n v="3"/>
    <n v="4"/>
  </r>
  <r>
    <n v="1224144"/>
    <n v="36"/>
    <x v="0"/>
    <s v="No"/>
    <x v="0"/>
    <x v="1"/>
    <n v="688"/>
    <x v="0"/>
    <n v="4"/>
    <n v="2"/>
    <x v="0"/>
    <n v="1"/>
    <n v="4"/>
    <x v="0"/>
    <n v="97"/>
    <n v="3"/>
    <n v="2"/>
    <s v="Therapist"/>
    <n v="2"/>
    <s v="Poor"/>
    <x v="2"/>
    <n v="5131"/>
    <x v="0"/>
    <n v="9192"/>
    <n v="7"/>
    <s v="Y"/>
    <s v="No"/>
    <n v="13"/>
    <x v="0"/>
    <s v="Low Performance"/>
    <n v="2"/>
    <n v="80"/>
    <n v="3"/>
    <n v="18"/>
    <n v="3"/>
    <n v="3"/>
    <s v="Fair"/>
    <n v="4"/>
    <n v="2"/>
    <n v="0"/>
    <n v="2"/>
  </r>
  <r>
    <n v="1284416"/>
    <n v="56"/>
    <x v="3"/>
    <s v="No"/>
    <x v="0"/>
    <x v="2"/>
    <n v="667"/>
    <x v="2"/>
    <n v="1"/>
    <n v="4"/>
    <x v="0"/>
    <n v="1"/>
    <n v="3"/>
    <x v="1"/>
    <n v="57"/>
    <n v="3"/>
    <n v="2"/>
    <s v="Nurse"/>
    <n v="3"/>
    <s v="Fair"/>
    <x v="2"/>
    <n v="6306"/>
    <x v="0"/>
    <n v="26236"/>
    <n v="1"/>
    <s v="Y"/>
    <s v="No"/>
    <n v="21"/>
    <x v="1"/>
    <s v="High Performance"/>
    <n v="1"/>
    <n v="80"/>
    <n v="1"/>
    <n v="13"/>
    <n v="2"/>
    <n v="2"/>
    <s v="Poor"/>
    <n v="13"/>
    <n v="12"/>
    <n v="1"/>
    <n v="9"/>
  </r>
  <r>
    <n v="1191013"/>
    <n v="29"/>
    <x v="2"/>
    <s v="Yes"/>
    <x v="1"/>
    <x v="0"/>
    <n v="1092"/>
    <x v="2"/>
    <n v="1"/>
    <n v="4"/>
    <x v="2"/>
    <n v="1"/>
    <n v="1"/>
    <x v="1"/>
    <n v="36"/>
    <n v="3"/>
    <n v="1"/>
    <s v="Other"/>
    <n v="4"/>
    <s v="Good"/>
    <x v="1"/>
    <n v="4787"/>
    <x v="1"/>
    <n v="26124"/>
    <n v="9"/>
    <s v="Y"/>
    <s v="Yes"/>
    <n v="14"/>
    <x v="0"/>
    <s v="Low Performance"/>
    <n v="2"/>
    <n v="80"/>
    <n v="3"/>
    <n v="4"/>
    <n v="3"/>
    <n v="4"/>
    <s v="Good"/>
    <n v="2"/>
    <n v="2"/>
    <n v="2"/>
    <n v="2"/>
  </r>
  <r>
    <n v="1061493"/>
    <n v="42"/>
    <x v="0"/>
    <s v="No"/>
    <x v="0"/>
    <x v="0"/>
    <n v="300"/>
    <x v="2"/>
    <n v="2"/>
    <n v="3"/>
    <x v="0"/>
    <n v="1"/>
    <n v="1"/>
    <x v="1"/>
    <n v="56"/>
    <n v="3"/>
    <n v="5"/>
    <s v="Administrative"/>
    <n v="3"/>
    <s v="Fair"/>
    <x v="1"/>
    <n v="18880"/>
    <x v="2"/>
    <n v="17312"/>
    <n v="5"/>
    <s v="Y"/>
    <s v="No"/>
    <n v="11"/>
    <x v="0"/>
    <s v="Low Performance"/>
    <n v="1"/>
    <n v="80"/>
    <n v="0"/>
    <n v="24"/>
    <n v="2"/>
    <n v="2"/>
    <s v="Poor"/>
    <n v="22"/>
    <n v="6"/>
    <n v="4"/>
    <n v="14"/>
  </r>
  <r>
    <n v="1197297"/>
    <n v="56"/>
    <x v="3"/>
    <s v="No"/>
    <x v="0"/>
    <x v="0"/>
    <n v="310"/>
    <x v="2"/>
    <n v="7"/>
    <n v="2"/>
    <x v="4"/>
    <n v="1"/>
    <n v="4"/>
    <x v="1"/>
    <n v="72"/>
    <n v="3"/>
    <n v="1"/>
    <s v="Nurse"/>
    <n v="3"/>
    <s v="Fair"/>
    <x v="1"/>
    <n v="2339"/>
    <x v="1"/>
    <n v="3666"/>
    <n v="8"/>
    <s v="Y"/>
    <s v="No"/>
    <n v="11"/>
    <x v="0"/>
    <s v="Low Performance"/>
    <n v="4"/>
    <n v="80"/>
    <n v="1"/>
    <n v="14"/>
    <n v="4"/>
    <n v="1"/>
    <s v="Poor"/>
    <n v="10"/>
    <n v="9"/>
    <n v="9"/>
    <n v="8"/>
  </r>
  <r>
    <n v="1065630"/>
    <n v="41"/>
    <x v="0"/>
    <s v="No"/>
    <x v="0"/>
    <x v="0"/>
    <n v="582"/>
    <x v="0"/>
    <n v="28"/>
    <n v="4"/>
    <x v="0"/>
    <n v="1"/>
    <n v="1"/>
    <x v="0"/>
    <n v="60"/>
    <n v="2"/>
    <n v="4"/>
    <s v="Therapist"/>
    <n v="2"/>
    <s v="Poor"/>
    <x v="1"/>
    <n v="13570"/>
    <x v="2"/>
    <n v="5640"/>
    <n v="0"/>
    <s v="Y"/>
    <s v="No"/>
    <n v="23"/>
    <x v="1"/>
    <s v="High Performance"/>
    <n v="3"/>
    <n v="80"/>
    <n v="1"/>
    <n v="21"/>
    <n v="3"/>
    <n v="3"/>
    <s v="Fair"/>
    <n v="20"/>
    <n v="7"/>
    <n v="0"/>
    <n v="10"/>
  </r>
  <r>
    <n v="1173552"/>
    <n v="34"/>
    <x v="2"/>
    <s v="No"/>
    <x v="0"/>
    <x v="0"/>
    <n v="704"/>
    <x v="0"/>
    <n v="28"/>
    <n v="3"/>
    <x v="3"/>
    <n v="1"/>
    <n v="4"/>
    <x v="0"/>
    <n v="95"/>
    <n v="2"/>
    <n v="2"/>
    <s v="Nurse"/>
    <n v="3"/>
    <s v="Fair"/>
    <x v="1"/>
    <n v="6712"/>
    <x v="0"/>
    <n v="8978"/>
    <n v="1"/>
    <s v="Y"/>
    <s v="No"/>
    <n v="21"/>
    <x v="1"/>
    <s v="High Performance"/>
    <n v="4"/>
    <n v="80"/>
    <n v="2"/>
    <n v="8"/>
    <n v="2"/>
    <n v="3"/>
    <s v="Fair"/>
    <n v="8"/>
    <n v="7"/>
    <n v="1"/>
    <n v="7"/>
  </r>
  <r>
    <n v="1277240"/>
    <n v="36"/>
    <x v="0"/>
    <s v="No"/>
    <x v="0"/>
    <x v="2"/>
    <n v="301"/>
    <x v="0"/>
    <n v="15"/>
    <n v="4"/>
    <x v="3"/>
    <n v="1"/>
    <n v="4"/>
    <x v="1"/>
    <n v="88"/>
    <n v="1"/>
    <n v="2"/>
    <s v="Nurse"/>
    <n v="4"/>
    <s v="Good"/>
    <x v="2"/>
    <n v="5406"/>
    <x v="0"/>
    <n v="10436"/>
    <n v="1"/>
    <s v="Y"/>
    <s v="No"/>
    <n v="24"/>
    <x v="1"/>
    <s v="High Performance"/>
    <n v="1"/>
    <n v="80"/>
    <n v="1"/>
    <n v="15"/>
    <n v="4"/>
    <n v="2"/>
    <s v="Poor"/>
    <n v="15"/>
    <n v="12"/>
    <n v="11"/>
    <n v="11"/>
  </r>
  <r>
    <n v="1520108"/>
    <n v="41"/>
    <x v="0"/>
    <s v="No"/>
    <x v="0"/>
    <x v="0"/>
    <n v="930"/>
    <x v="0"/>
    <n v="3"/>
    <n v="3"/>
    <x v="0"/>
    <n v="1"/>
    <n v="3"/>
    <x v="1"/>
    <n v="57"/>
    <n v="2"/>
    <n v="2"/>
    <s v="Nurse"/>
    <n v="2"/>
    <s v="Poor"/>
    <x v="2"/>
    <n v="8938"/>
    <x v="0"/>
    <n v="12227"/>
    <n v="2"/>
    <s v="Y"/>
    <s v="No"/>
    <n v="11"/>
    <x v="0"/>
    <s v="Low Performance"/>
    <n v="3"/>
    <n v="80"/>
    <n v="1"/>
    <n v="14"/>
    <n v="5"/>
    <n v="3"/>
    <s v="Fair"/>
    <n v="5"/>
    <n v="4"/>
    <n v="0"/>
    <n v="4"/>
  </r>
  <r>
    <n v="1707431"/>
    <n v="32"/>
    <x v="2"/>
    <s v="No"/>
    <x v="0"/>
    <x v="0"/>
    <n v="529"/>
    <x v="2"/>
    <n v="2"/>
    <n v="3"/>
    <x v="4"/>
    <n v="1"/>
    <n v="4"/>
    <x v="1"/>
    <n v="78"/>
    <n v="3"/>
    <n v="1"/>
    <s v="Other"/>
    <n v="1"/>
    <s v="Poor"/>
    <x v="0"/>
    <n v="2439"/>
    <x v="1"/>
    <n v="11288"/>
    <n v="1"/>
    <s v="Y"/>
    <s v="No"/>
    <n v="14"/>
    <x v="0"/>
    <s v="Low Performance"/>
    <n v="4"/>
    <n v="80"/>
    <n v="0"/>
    <n v="4"/>
    <n v="4"/>
    <n v="3"/>
    <s v="Fair"/>
    <n v="4"/>
    <n v="2"/>
    <n v="1"/>
    <n v="2"/>
  </r>
  <r>
    <n v="1246075"/>
    <n v="35"/>
    <x v="2"/>
    <s v="No"/>
    <x v="0"/>
    <x v="0"/>
    <n v="1146"/>
    <x v="2"/>
    <n v="26"/>
    <n v="4"/>
    <x v="0"/>
    <n v="1"/>
    <n v="3"/>
    <x v="0"/>
    <n v="31"/>
    <n v="3"/>
    <n v="3"/>
    <s v="Other"/>
    <n v="4"/>
    <s v="Good"/>
    <x v="0"/>
    <n v="8837"/>
    <x v="0"/>
    <n v="16642"/>
    <n v="1"/>
    <s v="Y"/>
    <s v="Yes"/>
    <n v="16"/>
    <x v="0"/>
    <s v="Low Performance"/>
    <n v="3"/>
    <n v="80"/>
    <n v="0"/>
    <n v="9"/>
    <n v="2"/>
    <n v="3"/>
    <s v="Fair"/>
    <n v="9"/>
    <n v="0"/>
    <n v="1"/>
    <n v="7"/>
  </r>
  <r>
    <n v="1665956"/>
    <n v="38"/>
    <x v="0"/>
    <s v="No"/>
    <x v="0"/>
    <x v="0"/>
    <n v="345"/>
    <x v="0"/>
    <n v="10"/>
    <n v="2"/>
    <x v="0"/>
    <n v="1"/>
    <n v="1"/>
    <x v="0"/>
    <n v="100"/>
    <n v="3"/>
    <n v="2"/>
    <s v="Nurse"/>
    <n v="4"/>
    <s v="Good"/>
    <x v="1"/>
    <n v="5343"/>
    <x v="0"/>
    <n v="5982"/>
    <n v="1"/>
    <s v="Y"/>
    <s v="No"/>
    <n v="11"/>
    <x v="0"/>
    <s v="Low Performance"/>
    <n v="3"/>
    <n v="80"/>
    <n v="1"/>
    <n v="10"/>
    <n v="1"/>
    <n v="3"/>
    <s v="Fair"/>
    <n v="10"/>
    <n v="7"/>
    <n v="1"/>
    <n v="9"/>
  </r>
  <r>
    <n v="1468963"/>
    <n v="50"/>
    <x v="1"/>
    <s v="No"/>
    <x v="0"/>
    <x v="1"/>
    <n v="878"/>
    <x v="0"/>
    <n v="1"/>
    <n v="4"/>
    <x v="0"/>
    <n v="1"/>
    <n v="2"/>
    <x v="1"/>
    <n v="94"/>
    <n v="3"/>
    <n v="2"/>
    <s v="Nurse"/>
    <n v="3"/>
    <s v="Fair"/>
    <x v="2"/>
    <n v="6728"/>
    <x v="0"/>
    <n v="14255"/>
    <n v="7"/>
    <s v="Y"/>
    <s v="No"/>
    <n v="12"/>
    <x v="0"/>
    <s v="Low Performance"/>
    <n v="4"/>
    <n v="80"/>
    <n v="2"/>
    <n v="12"/>
    <n v="3"/>
    <n v="3"/>
    <s v="Fair"/>
    <n v="6"/>
    <n v="3"/>
    <n v="0"/>
    <n v="1"/>
  </r>
  <r>
    <n v="1457695"/>
    <n v="36"/>
    <x v="0"/>
    <s v="No"/>
    <x v="0"/>
    <x v="0"/>
    <n v="1120"/>
    <x v="0"/>
    <n v="11"/>
    <n v="4"/>
    <x v="3"/>
    <n v="1"/>
    <n v="2"/>
    <x v="0"/>
    <n v="100"/>
    <n v="2"/>
    <n v="2"/>
    <s v="Nurse"/>
    <n v="4"/>
    <s v="Good"/>
    <x v="1"/>
    <n v="6652"/>
    <x v="0"/>
    <n v="14369"/>
    <n v="4"/>
    <s v="Y"/>
    <s v="No"/>
    <n v="13"/>
    <x v="0"/>
    <s v="Low Performance"/>
    <n v="1"/>
    <n v="80"/>
    <n v="1"/>
    <n v="8"/>
    <n v="2"/>
    <n v="2"/>
    <s v="Poor"/>
    <n v="6"/>
    <n v="3"/>
    <n v="0"/>
    <n v="0"/>
  </r>
  <r>
    <n v="1043685"/>
    <n v="45"/>
    <x v="0"/>
    <s v="No"/>
    <x v="0"/>
    <x v="0"/>
    <n v="374"/>
    <x v="0"/>
    <n v="20"/>
    <n v="3"/>
    <x v="0"/>
    <n v="1"/>
    <n v="4"/>
    <x v="0"/>
    <n v="50"/>
    <n v="3"/>
    <n v="2"/>
    <s v="Nurse"/>
    <n v="3"/>
    <s v="Fair"/>
    <x v="0"/>
    <n v="4850"/>
    <x v="1"/>
    <n v="23333"/>
    <n v="8"/>
    <s v="Y"/>
    <s v="No"/>
    <n v="15"/>
    <x v="0"/>
    <s v="Low Performance"/>
    <n v="3"/>
    <n v="80"/>
    <n v="0"/>
    <n v="8"/>
    <n v="3"/>
    <n v="3"/>
    <s v="Fair"/>
    <n v="5"/>
    <n v="3"/>
    <n v="0"/>
    <n v="1"/>
  </r>
  <r>
    <n v="1336668"/>
    <n v="40"/>
    <x v="0"/>
    <s v="No"/>
    <x v="0"/>
    <x v="0"/>
    <n v="1322"/>
    <x v="2"/>
    <n v="2"/>
    <n v="4"/>
    <x v="0"/>
    <n v="1"/>
    <n v="3"/>
    <x v="1"/>
    <n v="52"/>
    <n v="2"/>
    <n v="1"/>
    <s v="Other"/>
    <n v="3"/>
    <s v="Fair"/>
    <x v="0"/>
    <n v="2809"/>
    <x v="1"/>
    <n v="2725"/>
    <n v="2"/>
    <s v="Y"/>
    <s v="No"/>
    <n v="14"/>
    <x v="0"/>
    <s v="Low Performance"/>
    <n v="4"/>
    <n v="80"/>
    <n v="0"/>
    <n v="8"/>
    <n v="2"/>
    <n v="3"/>
    <s v="Fair"/>
    <n v="2"/>
    <n v="2"/>
    <n v="2"/>
    <n v="2"/>
  </r>
  <r>
    <n v="1044917"/>
    <n v="35"/>
    <x v="2"/>
    <s v="No"/>
    <x v="0"/>
    <x v="1"/>
    <n v="1199"/>
    <x v="2"/>
    <n v="18"/>
    <n v="4"/>
    <x v="0"/>
    <n v="1"/>
    <n v="3"/>
    <x v="1"/>
    <n v="80"/>
    <n v="3"/>
    <n v="2"/>
    <s v="Nurse"/>
    <n v="3"/>
    <s v="Fair"/>
    <x v="1"/>
    <n v="5689"/>
    <x v="0"/>
    <n v="24594"/>
    <n v="1"/>
    <s v="Y"/>
    <s v="Yes"/>
    <n v="14"/>
    <x v="0"/>
    <s v="Low Performance"/>
    <n v="4"/>
    <n v="80"/>
    <n v="2"/>
    <n v="10"/>
    <n v="2"/>
    <n v="4"/>
    <s v="Good"/>
    <n v="10"/>
    <n v="2"/>
    <n v="0"/>
    <n v="2"/>
  </r>
  <r>
    <n v="1758264"/>
    <n v="40"/>
    <x v="0"/>
    <s v="No"/>
    <x v="0"/>
    <x v="0"/>
    <n v="1194"/>
    <x v="2"/>
    <n v="2"/>
    <n v="4"/>
    <x v="2"/>
    <n v="1"/>
    <n v="3"/>
    <x v="0"/>
    <n v="98"/>
    <n v="3"/>
    <n v="1"/>
    <s v="Other"/>
    <n v="3"/>
    <s v="Fair"/>
    <x v="1"/>
    <n v="2001"/>
    <x v="1"/>
    <n v="12549"/>
    <n v="2"/>
    <s v="Y"/>
    <s v="No"/>
    <n v="14"/>
    <x v="0"/>
    <s v="Low Performance"/>
    <n v="2"/>
    <n v="80"/>
    <n v="3"/>
    <n v="20"/>
    <n v="2"/>
    <n v="3"/>
    <s v="Fair"/>
    <n v="5"/>
    <n v="3"/>
    <n v="0"/>
    <n v="2"/>
  </r>
  <r>
    <n v="1175359"/>
    <n v="35"/>
    <x v="2"/>
    <s v="No"/>
    <x v="0"/>
    <x v="0"/>
    <n v="287"/>
    <x v="2"/>
    <n v="1"/>
    <n v="4"/>
    <x v="0"/>
    <n v="1"/>
    <n v="3"/>
    <x v="0"/>
    <n v="62"/>
    <n v="1"/>
    <n v="1"/>
    <s v="Other"/>
    <n v="4"/>
    <s v="Good"/>
    <x v="1"/>
    <n v="2977"/>
    <x v="1"/>
    <n v="8952"/>
    <n v="1"/>
    <s v="Y"/>
    <s v="No"/>
    <n v="12"/>
    <x v="0"/>
    <s v="Low Performance"/>
    <n v="4"/>
    <n v="80"/>
    <n v="1"/>
    <n v="4"/>
    <n v="5"/>
    <n v="3"/>
    <s v="Fair"/>
    <n v="4"/>
    <n v="3"/>
    <n v="1"/>
    <n v="1"/>
  </r>
  <r>
    <n v="1640979"/>
    <n v="29"/>
    <x v="2"/>
    <s v="No"/>
    <x v="0"/>
    <x v="0"/>
    <n v="1378"/>
    <x v="2"/>
    <n v="13"/>
    <n v="2"/>
    <x v="1"/>
    <n v="1"/>
    <n v="4"/>
    <x v="1"/>
    <n v="46"/>
    <n v="2"/>
    <n v="2"/>
    <s v="Nurse"/>
    <n v="2"/>
    <s v="Poor"/>
    <x v="1"/>
    <n v="4025"/>
    <x v="1"/>
    <n v="23679"/>
    <n v="4"/>
    <s v="Y"/>
    <s v="Yes"/>
    <n v="13"/>
    <x v="0"/>
    <s v="Low Performance"/>
    <n v="1"/>
    <n v="80"/>
    <n v="1"/>
    <n v="10"/>
    <n v="2"/>
    <n v="3"/>
    <s v="Fair"/>
    <n v="4"/>
    <n v="3"/>
    <n v="0"/>
    <n v="3"/>
  </r>
  <r>
    <n v="1321040"/>
    <n v="29"/>
    <x v="2"/>
    <s v="No"/>
    <x v="0"/>
    <x v="0"/>
    <n v="468"/>
    <x v="2"/>
    <n v="28"/>
    <n v="4"/>
    <x v="2"/>
    <n v="1"/>
    <n v="4"/>
    <x v="0"/>
    <n v="73"/>
    <n v="2"/>
    <n v="1"/>
    <s v="Other"/>
    <n v="1"/>
    <s v="Poor"/>
    <x v="0"/>
    <n v="3785"/>
    <x v="1"/>
    <n v="8489"/>
    <n v="1"/>
    <s v="Y"/>
    <s v="No"/>
    <n v="14"/>
    <x v="0"/>
    <s v="Low Performance"/>
    <n v="2"/>
    <n v="80"/>
    <n v="0"/>
    <n v="5"/>
    <n v="3"/>
    <n v="1"/>
    <s v="Poor"/>
    <n v="5"/>
    <n v="4"/>
    <n v="0"/>
    <n v="4"/>
  </r>
  <r>
    <n v="1293237"/>
    <n v="50"/>
    <x v="1"/>
    <s v="Yes"/>
    <x v="1"/>
    <x v="0"/>
    <n v="410"/>
    <x v="0"/>
    <n v="28"/>
    <n v="3"/>
    <x v="3"/>
    <n v="1"/>
    <n v="4"/>
    <x v="1"/>
    <n v="39"/>
    <n v="2"/>
    <n v="3"/>
    <s v="Nurse"/>
    <n v="1"/>
    <s v="Poor"/>
    <x v="2"/>
    <n v="10854"/>
    <x v="0"/>
    <n v="16586"/>
    <n v="4"/>
    <s v="Y"/>
    <s v="Yes"/>
    <n v="13"/>
    <x v="0"/>
    <s v="Low Performance"/>
    <n v="2"/>
    <n v="80"/>
    <n v="1"/>
    <n v="20"/>
    <n v="3"/>
    <n v="3"/>
    <s v="Fair"/>
    <n v="3"/>
    <n v="2"/>
    <n v="2"/>
    <n v="0"/>
  </r>
  <r>
    <n v="1715801"/>
    <n v="39"/>
    <x v="0"/>
    <s v="No"/>
    <x v="0"/>
    <x v="0"/>
    <n v="722"/>
    <x v="0"/>
    <n v="24"/>
    <n v="1"/>
    <x v="3"/>
    <n v="1"/>
    <n v="2"/>
    <x v="0"/>
    <n v="60"/>
    <n v="2"/>
    <n v="4"/>
    <s v="Nurse"/>
    <n v="4"/>
    <s v="Good"/>
    <x v="1"/>
    <n v="12031"/>
    <x v="2"/>
    <n v="8828"/>
    <n v="0"/>
    <s v="Y"/>
    <s v="No"/>
    <n v="11"/>
    <x v="0"/>
    <s v="Low Performance"/>
    <n v="1"/>
    <n v="80"/>
    <n v="1"/>
    <n v="21"/>
    <n v="2"/>
    <n v="2"/>
    <s v="Poor"/>
    <n v="20"/>
    <n v="9"/>
    <n v="9"/>
    <n v="6"/>
  </r>
  <r>
    <n v="1626443"/>
    <n v="31"/>
    <x v="2"/>
    <s v="No"/>
    <x v="0"/>
    <x v="2"/>
    <n v="325"/>
    <x v="0"/>
    <n v="5"/>
    <n v="3"/>
    <x v="2"/>
    <n v="1"/>
    <n v="2"/>
    <x v="1"/>
    <n v="74"/>
    <n v="3"/>
    <n v="2"/>
    <s v="Therapist"/>
    <n v="1"/>
    <s v="Poor"/>
    <x v="0"/>
    <n v="9936"/>
    <x v="0"/>
    <n v="3787"/>
    <n v="0"/>
    <s v="Y"/>
    <s v="No"/>
    <n v="19"/>
    <x v="0"/>
    <s v="Low Performance"/>
    <n v="2"/>
    <n v="80"/>
    <n v="0"/>
    <n v="10"/>
    <n v="2"/>
    <n v="3"/>
    <s v="Fair"/>
    <n v="9"/>
    <n v="4"/>
    <n v="1"/>
    <n v="7"/>
  </r>
  <r>
    <n v="1787925"/>
    <n v="26"/>
    <x v="2"/>
    <s v="No"/>
    <x v="0"/>
    <x v="0"/>
    <n v="1167"/>
    <x v="0"/>
    <n v="5"/>
    <n v="3"/>
    <x v="1"/>
    <n v="1"/>
    <n v="4"/>
    <x v="0"/>
    <n v="30"/>
    <n v="2"/>
    <n v="1"/>
    <s v="Other"/>
    <n v="3"/>
    <s v="Fair"/>
    <x v="0"/>
    <n v="2966"/>
    <x v="1"/>
    <n v="21378"/>
    <n v="0"/>
    <s v="Y"/>
    <s v="No"/>
    <n v="18"/>
    <x v="0"/>
    <s v="Low Performance"/>
    <n v="4"/>
    <n v="80"/>
    <n v="0"/>
    <n v="5"/>
    <n v="2"/>
    <n v="3"/>
    <s v="Fair"/>
    <n v="4"/>
    <n v="2"/>
    <n v="0"/>
    <n v="0"/>
  </r>
  <r>
    <n v="1444959"/>
    <n v="36"/>
    <x v="0"/>
    <s v="No"/>
    <x v="0"/>
    <x v="1"/>
    <n v="884"/>
    <x v="2"/>
    <n v="23"/>
    <n v="2"/>
    <x v="2"/>
    <n v="1"/>
    <n v="3"/>
    <x v="1"/>
    <n v="41"/>
    <n v="4"/>
    <n v="2"/>
    <s v="Nurse"/>
    <n v="4"/>
    <s v="Good"/>
    <x v="1"/>
    <n v="2571"/>
    <x v="1"/>
    <n v="12290"/>
    <n v="4"/>
    <s v="Y"/>
    <s v="No"/>
    <n v="17"/>
    <x v="0"/>
    <s v="Low Performance"/>
    <n v="3"/>
    <n v="80"/>
    <n v="1"/>
    <n v="17"/>
    <n v="3"/>
    <n v="3"/>
    <s v="Fair"/>
    <n v="5"/>
    <n v="2"/>
    <n v="0"/>
    <n v="3"/>
  </r>
  <r>
    <n v="1196529"/>
    <n v="39"/>
    <x v="0"/>
    <s v="No"/>
    <x v="0"/>
    <x v="0"/>
    <n v="613"/>
    <x v="2"/>
    <n v="6"/>
    <n v="1"/>
    <x v="2"/>
    <n v="1"/>
    <n v="4"/>
    <x v="1"/>
    <n v="42"/>
    <n v="2"/>
    <n v="3"/>
    <s v="Nurse"/>
    <n v="1"/>
    <s v="Poor"/>
    <x v="1"/>
    <n v="9991"/>
    <x v="0"/>
    <n v="21457"/>
    <n v="4"/>
    <s v="Y"/>
    <s v="No"/>
    <n v="15"/>
    <x v="0"/>
    <s v="Low Performance"/>
    <n v="1"/>
    <n v="80"/>
    <n v="1"/>
    <n v="9"/>
    <n v="5"/>
    <n v="3"/>
    <s v="Fair"/>
    <n v="7"/>
    <n v="7"/>
    <n v="1"/>
    <n v="7"/>
  </r>
  <r>
    <n v="1417927"/>
    <n v="27"/>
    <x v="2"/>
    <s v="No"/>
    <x v="0"/>
    <x v="0"/>
    <n v="155"/>
    <x v="0"/>
    <n v="4"/>
    <n v="3"/>
    <x v="0"/>
    <n v="1"/>
    <n v="2"/>
    <x v="1"/>
    <n v="87"/>
    <n v="4"/>
    <n v="2"/>
    <s v="Therapist"/>
    <n v="2"/>
    <s v="Poor"/>
    <x v="1"/>
    <n v="6142"/>
    <x v="0"/>
    <n v="5174"/>
    <n v="1"/>
    <s v="Y"/>
    <s v="Yes"/>
    <n v="20"/>
    <x v="1"/>
    <s v="High Performance"/>
    <n v="2"/>
    <n v="80"/>
    <n v="1"/>
    <n v="6"/>
    <n v="0"/>
    <n v="3"/>
    <s v="Fair"/>
    <n v="6"/>
    <n v="2"/>
    <n v="0"/>
    <n v="3"/>
  </r>
  <r>
    <n v="1322645"/>
    <n v="49"/>
    <x v="1"/>
    <s v="No"/>
    <x v="0"/>
    <x v="1"/>
    <n v="1023"/>
    <x v="0"/>
    <n v="2"/>
    <n v="3"/>
    <x v="2"/>
    <n v="1"/>
    <n v="4"/>
    <x v="1"/>
    <n v="63"/>
    <n v="2"/>
    <n v="2"/>
    <s v="Nurse"/>
    <n v="2"/>
    <s v="Poor"/>
    <x v="1"/>
    <n v="5390"/>
    <x v="0"/>
    <n v="13243"/>
    <n v="2"/>
    <s v="Y"/>
    <s v="No"/>
    <n v="14"/>
    <x v="0"/>
    <s v="Low Performance"/>
    <n v="4"/>
    <n v="80"/>
    <n v="0"/>
    <n v="17"/>
    <n v="3"/>
    <n v="2"/>
    <s v="Poor"/>
    <n v="9"/>
    <n v="6"/>
    <n v="0"/>
    <n v="8"/>
  </r>
  <r>
    <n v="1879510"/>
    <n v="34"/>
    <x v="2"/>
    <s v="No"/>
    <x v="0"/>
    <x v="0"/>
    <n v="628"/>
    <x v="2"/>
    <n v="8"/>
    <n v="3"/>
    <x v="2"/>
    <n v="1"/>
    <n v="2"/>
    <x v="1"/>
    <n v="82"/>
    <n v="4"/>
    <n v="2"/>
    <s v="Nurse"/>
    <n v="3"/>
    <s v="Fair"/>
    <x v="1"/>
    <n v="4404"/>
    <x v="1"/>
    <n v="10228"/>
    <n v="2"/>
    <s v="Y"/>
    <s v="No"/>
    <n v="12"/>
    <x v="0"/>
    <s v="Low Performance"/>
    <n v="1"/>
    <n v="80"/>
    <n v="0"/>
    <n v="6"/>
    <n v="3"/>
    <n v="4"/>
    <s v="Good"/>
    <n v="4"/>
    <n v="3"/>
    <n v="1"/>
    <n v="2"/>
  </r>
  <r>
    <n v="1345828"/>
    <n v="37"/>
    <x v="0"/>
    <s v="No"/>
    <x v="0"/>
    <x v="0"/>
    <n v="1115"/>
    <x v="1"/>
    <n v="1"/>
    <n v="4"/>
    <x v="0"/>
    <n v="1"/>
    <n v="1"/>
    <x v="1"/>
    <n v="51"/>
    <n v="2"/>
    <n v="2"/>
    <s v="Therapist"/>
    <n v="3"/>
    <s v="Fair"/>
    <x v="2"/>
    <n v="5993"/>
    <x v="0"/>
    <n v="2689"/>
    <n v="1"/>
    <s v="Y"/>
    <s v="No"/>
    <n v="18"/>
    <x v="0"/>
    <s v="Low Performance"/>
    <n v="3"/>
    <n v="80"/>
    <n v="1"/>
    <n v="7"/>
    <n v="2"/>
    <n v="4"/>
    <s v="Good"/>
    <n v="7"/>
    <n v="5"/>
    <n v="0"/>
    <n v="7"/>
  </r>
  <r>
    <n v="1837461"/>
    <n v="40"/>
    <x v="0"/>
    <s v="No"/>
    <x v="0"/>
    <x v="0"/>
    <n v="1398"/>
    <x v="0"/>
    <n v="2"/>
    <n v="4"/>
    <x v="0"/>
    <n v="1"/>
    <n v="3"/>
    <x v="0"/>
    <n v="79"/>
    <n v="3"/>
    <n v="5"/>
    <s v="Admin"/>
    <n v="3"/>
    <s v="Fair"/>
    <x v="1"/>
    <n v="18041"/>
    <x v="2"/>
    <n v="13022"/>
    <n v="0"/>
    <s v="Y"/>
    <s v="No"/>
    <n v="14"/>
    <x v="0"/>
    <s v="Low Performance"/>
    <n v="4"/>
    <n v="80"/>
    <n v="0"/>
    <n v="21"/>
    <n v="2"/>
    <n v="3"/>
    <s v="Fair"/>
    <n v="20"/>
    <n v="15"/>
    <n v="1"/>
    <n v="12"/>
  </r>
  <r>
    <n v="1720201"/>
    <n v="45"/>
    <x v="0"/>
    <s v="No"/>
    <x v="0"/>
    <x v="0"/>
    <n v="1329"/>
    <x v="1"/>
    <n v="2"/>
    <n v="2"/>
    <x v="1"/>
    <n v="1"/>
    <n v="4"/>
    <x v="0"/>
    <n v="59"/>
    <n v="2"/>
    <n v="2"/>
    <s v="Therapist"/>
    <n v="4"/>
    <s v="Good"/>
    <x v="2"/>
    <n v="5770"/>
    <x v="0"/>
    <n v="5388"/>
    <n v="1"/>
    <s v="Y"/>
    <s v="No"/>
    <n v="19"/>
    <x v="0"/>
    <s v="Low Performance"/>
    <n v="1"/>
    <n v="80"/>
    <n v="2"/>
    <n v="10"/>
    <n v="3"/>
    <n v="3"/>
    <s v="Fair"/>
    <n v="10"/>
    <n v="7"/>
    <n v="3"/>
    <n v="9"/>
  </r>
  <r>
    <n v="1566303"/>
    <n v="39"/>
    <x v="0"/>
    <s v="No"/>
    <x v="0"/>
    <x v="0"/>
    <n v="466"/>
    <x v="1"/>
    <n v="1"/>
    <n v="1"/>
    <x v="0"/>
    <n v="1"/>
    <n v="4"/>
    <x v="0"/>
    <n v="65"/>
    <n v="2"/>
    <n v="4"/>
    <s v="Therapist"/>
    <n v="4"/>
    <s v="Good"/>
    <x v="1"/>
    <n v="12742"/>
    <x v="2"/>
    <n v="7060"/>
    <n v="1"/>
    <s v="Y"/>
    <s v="No"/>
    <n v="16"/>
    <x v="0"/>
    <s v="Low Performance"/>
    <n v="3"/>
    <n v="80"/>
    <n v="1"/>
    <n v="21"/>
    <n v="3"/>
    <n v="3"/>
    <s v="Fair"/>
    <n v="21"/>
    <n v="6"/>
    <n v="11"/>
    <n v="8"/>
  </r>
  <r>
    <n v="1108233"/>
    <n v="56"/>
    <x v="3"/>
    <s v="No"/>
    <x v="0"/>
    <x v="2"/>
    <n v="667"/>
    <x v="1"/>
    <n v="1"/>
    <n v="4"/>
    <x v="0"/>
    <n v="1"/>
    <n v="3"/>
    <x v="1"/>
    <n v="57"/>
    <n v="3"/>
    <n v="2"/>
    <s v="Other"/>
    <n v="3"/>
    <s v="Fair"/>
    <x v="2"/>
    <n v="6306"/>
    <x v="0"/>
    <n v="26236"/>
    <n v="1"/>
    <s v="Y"/>
    <s v="No"/>
    <n v="21"/>
    <x v="1"/>
    <s v="High Performance"/>
    <n v="1"/>
    <n v="80"/>
    <n v="1"/>
    <n v="13"/>
    <n v="2"/>
    <n v="2"/>
    <s v="Poor"/>
    <n v="13"/>
    <n v="12"/>
    <n v="1"/>
    <n v="9"/>
  </r>
  <r>
    <n v="1548714"/>
    <n v="49"/>
    <x v="1"/>
    <s v="No"/>
    <x v="0"/>
    <x v="0"/>
    <n v="1490"/>
    <x v="1"/>
    <n v="7"/>
    <n v="4"/>
    <x v="0"/>
    <n v="1"/>
    <n v="3"/>
    <x v="1"/>
    <n v="35"/>
    <n v="3"/>
    <n v="3"/>
    <s v="Other"/>
    <n v="2"/>
    <s v="Poor"/>
    <x v="2"/>
    <n v="10466"/>
    <x v="0"/>
    <n v="20948"/>
    <n v="3"/>
    <s v="Y"/>
    <s v="No"/>
    <n v="14"/>
    <x v="0"/>
    <s v="Low Performance"/>
    <n v="2"/>
    <n v="80"/>
    <n v="2"/>
    <n v="29"/>
    <n v="3"/>
    <n v="3"/>
    <s v="Fair"/>
    <n v="8"/>
    <n v="7"/>
    <n v="0"/>
    <n v="7"/>
  </r>
  <r>
    <n v="1823206"/>
    <n v="36"/>
    <x v="0"/>
    <s v="No"/>
    <x v="0"/>
    <x v="0"/>
    <n v="711"/>
    <x v="1"/>
    <n v="5"/>
    <n v="4"/>
    <x v="0"/>
    <n v="1"/>
    <n v="2"/>
    <x v="0"/>
    <n v="42"/>
    <n v="3"/>
    <n v="3"/>
    <s v="Other"/>
    <n v="1"/>
    <s v="Poor"/>
    <x v="1"/>
    <n v="8008"/>
    <x v="0"/>
    <n v="22792"/>
    <n v="4"/>
    <s v="Y"/>
    <s v="No"/>
    <n v="12"/>
    <x v="0"/>
    <s v="Low Performance"/>
    <n v="3"/>
    <n v="80"/>
    <n v="2"/>
    <n v="9"/>
    <n v="6"/>
    <n v="3"/>
    <s v="Fair"/>
    <n v="3"/>
    <n v="2"/>
    <n v="0"/>
    <n v="2"/>
  </r>
  <r>
    <n v="1464646"/>
    <n v="38"/>
    <x v="0"/>
    <s v="No"/>
    <x v="0"/>
    <x v="1"/>
    <n v="1189"/>
    <x v="1"/>
    <n v="1"/>
    <n v="3"/>
    <x v="0"/>
    <n v="1"/>
    <n v="4"/>
    <x v="1"/>
    <n v="90"/>
    <n v="3"/>
    <n v="2"/>
    <s v="Nurse"/>
    <n v="4"/>
    <s v="Good"/>
    <x v="1"/>
    <n v="4735"/>
    <x v="1"/>
    <n v="9867"/>
    <n v="7"/>
    <s v="Y"/>
    <s v="No"/>
    <n v="15"/>
    <x v="0"/>
    <s v="Low Performance"/>
    <n v="4"/>
    <n v="80"/>
    <n v="2"/>
    <n v="19"/>
    <n v="4"/>
    <n v="4"/>
    <s v="Good"/>
    <n v="13"/>
    <n v="11"/>
    <n v="2"/>
    <n v="9"/>
  </r>
  <r>
    <n v="1118938"/>
    <n v="53"/>
    <x v="1"/>
    <s v="No"/>
    <x v="0"/>
    <x v="0"/>
    <n v="607"/>
    <x v="1"/>
    <n v="2"/>
    <n v="5"/>
    <x v="4"/>
    <n v="1"/>
    <n v="3"/>
    <x v="0"/>
    <n v="78"/>
    <n v="2"/>
    <n v="3"/>
    <s v="Therapist"/>
    <n v="4"/>
    <s v="Good"/>
    <x v="1"/>
    <n v="10169"/>
    <x v="0"/>
    <n v="14618"/>
    <n v="0"/>
    <s v="Y"/>
    <s v="No"/>
    <n v="16"/>
    <x v="0"/>
    <s v="Low Performance"/>
    <n v="2"/>
    <n v="80"/>
    <n v="1"/>
    <n v="34"/>
    <n v="4"/>
    <n v="3"/>
    <s v="Fair"/>
    <n v="33"/>
    <n v="7"/>
    <n v="1"/>
    <n v="9"/>
  </r>
  <r>
    <n v="1266767"/>
    <n v="36"/>
    <x v="0"/>
    <s v="No"/>
    <x v="0"/>
    <x v="2"/>
    <n v="1229"/>
    <x v="0"/>
    <n v="8"/>
    <n v="4"/>
    <x v="4"/>
    <n v="1"/>
    <n v="1"/>
    <x v="1"/>
    <n v="84"/>
    <n v="3"/>
    <n v="2"/>
    <s v="Nurse"/>
    <n v="4"/>
    <s v="Good"/>
    <x v="2"/>
    <n v="5079"/>
    <x v="0"/>
    <n v="25952"/>
    <n v="4"/>
    <s v="Y"/>
    <s v="No"/>
    <n v="13"/>
    <x v="0"/>
    <s v="Low Performance"/>
    <n v="4"/>
    <n v="80"/>
    <n v="2"/>
    <n v="12"/>
    <n v="3"/>
    <n v="3"/>
    <s v="Fair"/>
    <n v="7"/>
    <n v="7"/>
    <n v="0"/>
    <n v="7"/>
  </r>
  <r>
    <n v="1432515"/>
    <n v="40"/>
    <x v="0"/>
    <s v="No"/>
    <x v="0"/>
    <x v="1"/>
    <n v="791"/>
    <x v="1"/>
    <n v="2"/>
    <n v="2"/>
    <x v="2"/>
    <n v="1"/>
    <n v="3"/>
    <x v="0"/>
    <n v="38"/>
    <n v="4"/>
    <n v="2"/>
    <s v="Other"/>
    <n v="2"/>
    <s v="Poor"/>
    <x v="1"/>
    <n v="4244"/>
    <x v="1"/>
    <n v="9931"/>
    <n v="1"/>
    <s v="Y"/>
    <s v="No"/>
    <n v="24"/>
    <x v="1"/>
    <s v="High Performance"/>
    <n v="4"/>
    <n v="80"/>
    <n v="1"/>
    <n v="8"/>
    <n v="2"/>
    <n v="3"/>
    <s v="Fair"/>
    <n v="8"/>
    <n v="7"/>
    <n v="3"/>
    <n v="7"/>
  </r>
  <r>
    <n v="1440199"/>
    <n v="24"/>
    <x v="4"/>
    <s v="No"/>
    <x v="0"/>
    <x v="0"/>
    <n v="1206"/>
    <x v="1"/>
    <n v="17"/>
    <n v="1"/>
    <x v="2"/>
    <n v="1"/>
    <n v="4"/>
    <x v="0"/>
    <n v="41"/>
    <n v="2"/>
    <n v="2"/>
    <s v="Therapist"/>
    <n v="3"/>
    <s v="Fair"/>
    <x v="2"/>
    <n v="4377"/>
    <x v="1"/>
    <n v="24117"/>
    <n v="1"/>
    <s v="Y"/>
    <s v="No"/>
    <n v="15"/>
    <x v="0"/>
    <s v="Low Performance"/>
    <n v="2"/>
    <n v="80"/>
    <n v="2"/>
    <n v="5"/>
    <n v="6"/>
    <n v="3"/>
    <s v="Fair"/>
    <n v="4"/>
    <n v="2"/>
    <n v="3"/>
    <n v="2"/>
  </r>
  <r>
    <n v="1449468"/>
    <n v="41"/>
    <x v="0"/>
    <s v="No"/>
    <x v="0"/>
    <x v="0"/>
    <n v="314"/>
    <x v="2"/>
    <n v="1"/>
    <n v="3"/>
    <x v="5"/>
    <n v="1"/>
    <n v="4"/>
    <x v="1"/>
    <n v="59"/>
    <n v="2"/>
    <n v="5"/>
    <s v="Admin"/>
    <n v="3"/>
    <s v="Fair"/>
    <x v="1"/>
    <n v="19189"/>
    <x v="2"/>
    <n v="19562"/>
    <n v="1"/>
    <s v="Y"/>
    <s v="No"/>
    <n v="12"/>
    <x v="0"/>
    <s v="Low Performance"/>
    <n v="2"/>
    <n v="80"/>
    <n v="1"/>
    <n v="22"/>
    <n v="3"/>
    <n v="3"/>
    <s v="Fair"/>
    <n v="22"/>
    <n v="7"/>
    <n v="2"/>
    <n v="10"/>
  </r>
  <r>
    <n v="1308741"/>
    <n v="32"/>
    <x v="2"/>
    <s v="No"/>
    <x v="0"/>
    <x v="0"/>
    <n v="1018"/>
    <x v="2"/>
    <n v="3"/>
    <n v="2"/>
    <x v="0"/>
    <n v="1"/>
    <n v="3"/>
    <x v="0"/>
    <n v="39"/>
    <n v="3"/>
    <n v="3"/>
    <s v="Therapist"/>
    <n v="4"/>
    <s v="Good"/>
    <x v="0"/>
    <n v="11159"/>
    <x v="0"/>
    <n v="19373"/>
    <n v="3"/>
    <s v="Y"/>
    <s v="No"/>
    <n v="15"/>
    <x v="0"/>
    <s v="Low Performance"/>
    <n v="4"/>
    <n v="80"/>
    <n v="0"/>
    <n v="10"/>
    <n v="6"/>
    <n v="3"/>
    <s v="Fair"/>
    <n v="7"/>
    <n v="7"/>
    <n v="7"/>
    <n v="7"/>
  </r>
  <r>
    <n v="1117655"/>
    <n v="54"/>
    <x v="1"/>
    <s v="No"/>
    <x v="0"/>
    <x v="0"/>
    <n v="685"/>
    <x v="2"/>
    <n v="3"/>
    <n v="3"/>
    <x v="0"/>
    <n v="1"/>
    <n v="4"/>
    <x v="1"/>
    <n v="85"/>
    <n v="3"/>
    <n v="4"/>
    <s v="Therapist"/>
    <n v="4"/>
    <s v="Good"/>
    <x v="1"/>
    <n v="17779"/>
    <x v="2"/>
    <n v="23474"/>
    <n v="3"/>
    <s v="Y"/>
    <s v="No"/>
    <n v="14"/>
    <x v="0"/>
    <s v="Low Performance"/>
    <n v="1"/>
    <n v="80"/>
    <n v="0"/>
    <n v="36"/>
    <n v="2"/>
    <n v="3"/>
    <s v="Fair"/>
    <n v="10"/>
    <n v="9"/>
    <n v="0"/>
    <n v="9"/>
  </r>
  <r>
    <n v="1439166"/>
    <n v="40"/>
    <x v="0"/>
    <s v="No"/>
    <x v="0"/>
    <x v="0"/>
    <n v="444"/>
    <x v="0"/>
    <n v="2"/>
    <n v="2"/>
    <x v="3"/>
    <n v="1"/>
    <n v="2"/>
    <x v="0"/>
    <n v="92"/>
    <n v="3"/>
    <n v="2"/>
    <s v="Nurse"/>
    <n v="2"/>
    <s v="Poor"/>
    <x v="1"/>
    <n v="5677"/>
    <x v="0"/>
    <n v="4258"/>
    <n v="3"/>
    <s v="Y"/>
    <s v="No"/>
    <n v="14"/>
    <x v="0"/>
    <s v="Low Performance"/>
    <n v="3"/>
    <n v="80"/>
    <n v="1"/>
    <n v="15"/>
    <n v="4"/>
    <n v="3"/>
    <s v="Fair"/>
    <n v="11"/>
    <n v="8"/>
    <n v="5"/>
    <n v="10"/>
  </r>
  <r>
    <n v="1141471"/>
    <n v="43"/>
    <x v="0"/>
    <s v="No"/>
    <x v="0"/>
    <x v="0"/>
    <n v="1291"/>
    <x v="2"/>
    <n v="15"/>
    <n v="2"/>
    <x v="0"/>
    <n v="1"/>
    <n v="3"/>
    <x v="1"/>
    <n v="65"/>
    <n v="2"/>
    <n v="4"/>
    <s v="Therapist"/>
    <n v="3"/>
    <s v="Fair"/>
    <x v="1"/>
    <n v="17603"/>
    <x v="2"/>
    <n v="3525"/>
    <n v="1"/>
    <s v="Y"/>
    <s v="No"/>
    <n v="24"/>
    <x v="1"/>
    <s v="High Performance"/>
    <n v="1"/>
    <n v="80"/>
    <n v="1"/>
    <n v="14"/>
    <n v="3"/>
    <n v="3"/>
    <s v="Fair"/>
    <n v="14"/>
    <n v="10"/>
    <n v="6"/>
    <n v="11"/>
  </r>
  <r>
    <n v="1731320"/>
    <n v="35"/>
    <x v="2"/>
    <s v="No"/>
    <x v="0"/>
    <x v="0"/>
    <n v="819"/>
    <x v="1"/>
    <n v="2"/>
    <n v="3"/>
    <x v="0"/>
    <n v="1"/>
    <n v="3"/>
    <x v="1"/>
    <n v="44"/>
    <n v="2"/>
    <n v="3"/>
    <s v="Therapist"/>
    <n v="2"/>
    <s v="Poor"/>
    <x v="2"/>
    <n v="10274"/>
    <x v="0"/>
    <n v="19588"/>
    <n v="2"/>
    <s v="Y"/>
    <s v="No"/>
    <n v="18"/>
    <x v="0"/>
    <s v="Low Performance"/>
    <n v="2"/>
    <n v="80"/>
    <n v="1"/>
    <n v="15"/>
    <n v="2"/>
    <n v="4"/>
    <s v="Good"/>
    <n v="7"/>
    <n v="7"/>
    <n v="6"/>
    <n v="4"/>
  </r>
  <r>
    <n v="1697463"/>
    <n v="58"/>
    <x v="3"/>
    <s v="No"/>
    <x v="0"/>
    <x v="0"/>
    <n v="1272"/>
    <x v="1"/>
    <n v="5"/>
    <n v="3"/>
    <x v="4"/>
    <n v="1"/>
    <n v="3"/>
    <x v="0"/>
    <n v="37"/>
    <n v="2"/>
    <n v="3"/>
    <s v="Other"/>
    <n v="2"/>
    <s v="Poor"/>
    <x v="2"/>
    <n v="10552"/>
    <x v="0"/>
    <n v="9255"/>
    <n v="2"/>
    <s v="Y"/>
    <s v="Yes"/>
    <n v="13"/>
    <x v="0"/>
    <s v="Low Performance"/>
    <n v="4"/>
    <n v="80"/>
    <n v="1"/>
    <n v="24"/>
    <n v="3"/>
    <n v="3"/>
    <s v="Fair"/>
    <n v="6"/>
    <n v="0"/>
    <n v="0"/>
    <n v="4"/>
  </r>
  <r>
    <n v="1540491"/>
    <n v="32"/>
    <x v="2"/>
    <s v="No"/>
    <x v="0"/>
    <x v="2"/>
    <n v="1200"/>
    <x v="1"/>
    <n v="1"/>
    <n v="4"/>
    <x v="4"/>
    <n v="1"/>
    <n v="4"/>
    <x v="1"/>
    <n v="62"/>
    <n v="3"/>
    <n v="2"/>
    <s v="Nurse"/>
    <n v="1"/>
    <s v="Poor"/>
    <x v="1"/>
    <n v="4087"/>
    <x v="1"/>
    <n v="25174"/>
    <n v="4"/>
    <s v="Y"/>
    <s v="No"/>
    <n v="14"/>
    <x v="0"/>
    <s v="Low Performance"/>
    <n v="2"/>
    <n v="80"/>
    <n v="1"/>
    <n v="9"/>
    <n v="3"/>
    <n v="2"/>
    <s v="Poor"/>
    <n v="6"/>
    <n v="5"/>
    <n v="1"/>
    <n v="2"/>
  </r>
  <r>
    <n v="1034607"/>
    <n v="27"/>
    <x v="2"/>
    <s v="No"/>
    <x v="0"/>
    <x v="0"/>
    <n v="608"/>
    <x v="1"/>
    <n v="1"/>
    <n v="2"/>
    <x v="0"/>
    <n v="1"/>
    <n v="3"/>
    <x v="0"/>
    <n v="68"/>
    <n v="3"/>
    <n v="3"/>
    <s v="Therapist"/>
    <n v="1"/>
    <s v="Poor"/>
    <x v="1"/>
    <n v="7412"/>
    <x v="0"/>
    <n v="6009"/>
    <n v="1"/>
    <s v="Y"/>
    <s v="No"/>
    <n v="11"/>
    <x v="0"/>
    <s v="Low Performance"/>
    <n v="4"/>
    <n v="80"/>
    <n v="0"/>
    <n v="9"/>
    <n v="3"/>
    <n v="3"/>
    <s v="Fair"/>
    <n v="9"/>
    <n v="7"/>
    <n v="0"/>
    <n v="7"/>
  </r>
  <r>
    <n v="1123123"/>
    <n v="29"/>
    <x v="2"/>
    <s v="No"/>
    <x v="0"/>
    <x v="0"/>
    <n v="1329"/>
    <x v="1"/>
    <n v="7"/>
    <n v="3"/>
    <x v="0"/>
    <n v="1"/>
    <n v="3"/>
    <x v="1"/>
    <n v="82"/>
    <n v="3"/>
    <n v="2"/>
    <s v="Other"/>
    <n v="4"/>
    <s v="Good"/>
    <x v="2"/>
    <n v="6623"/>
    <x v="0"/>
    <n v="4204"/>
    <n v="1"/>
    <s v="Y"/>
    <s v="Yes"/>
    <n v="11"/>
    <x v="0"/>
    <s v="Low Performance"/>
    <n v="2"/>
    <n v="80"/>
    <n v="2"/>
    <n v="6"/>
    <n v="2"/>
    <n v="3"/>
    <s v="Fair"/>
    <n v="6"/>
    <n v="0"/>
    <n v="1"/>
    <n v="0"/>
  </r>
  <r>
    <n v="1380232"/>
    <n v="47"/>
    <x v="1"/>
    <s v="No"/>
    <x v="0"/>
    <x v="0"/>
    <n v="1225"/>
    <x v="0"/>
    <n v="2"/>
    <n v="4"/>
    <x v="0"/>
    <n v="1"/>
    <n v="2"/>
    <x v="0"/>
    <n v="47"/>
    <n v="4"/>
    <n v="4"/>
    <s v="Admin"/>
    <n v="2"/>
    <s v="Poor"/>
    <x v="2"/>
    <n v="15972"/>
    <x v="2"/>
    <n v="21086"/>
    <n v="6"/>
    <s v="Y"/>
    <s v="No"/>
    <n v="14"/>
    <x v="0"/>
    <s v="Low Performance"/>
    <n v="3"/>
    <n v="80"/>
    <n v="3"/>
    <n v="29"/>
    <n v="2"/>
    <n v="3"/>
    <s v="Fair"/>
    <n v="3"/>
    <n v="2"/>
    <n v="1"/>
    <n v="2"/>
  </r>
  <r>
    <n v="1345928"/>
    <n v="44"/>
    <x v="0"/>
    <s v="No"/>
    <x v="0"/>
    <x v="0"/>
    <n v="1099"/>
    <x v="0"/>
    <n v="5"/>
    <n v="3"/>
    <x v="3"/>
    <n v="1"/>
    <n v="2"/>
    <x v="1"/>
    <n v="88"/>
    <n v="3"/>
    <n v="5"/>
    <s v="Admin"/>
    <n v="2"/>
    <s v="Poor"/>
    <x v="1"/>
    <n v="18213"/>
    <x v="2"/>
    <n v="8751"/>
    <n v="7"/>
    <s v="Y"/>
    <s v="No"/>
    <n v="11"/>
    <x v="0"/>
    <s v="Low Performance"/>
    <n v="3"/>
    <n v="80"/>
    <n v="1"/>
    <n v="26"/>
    <n v="5"/>
    <n v="3"/>
    <s v="Fair"/>
    <n v="22"/>
    <n v="9"/>
    <n v="3"/>
    <n v="10"/>
  </r>
  <r>
    <n v="1165218"/>
    <n v="52"/>
    <x v="1"/>
    <s v="No"/>
    <x v="0"/>
    <x v="2"/>
    <n v="715"/>
    <x v="1"/>
    <n v="19"/>
    <n v="4"/>
    <x v="2"/>
    <n v="1"/>
    <n v="4"/>
    <x v="1"/>
    <n v="41"/>
    <n v="3"/>
    <n v="1"/>
    <s v="Nurse"/>
    <n v="4"/>
    <s v="Good"/>
    <x v="1"/>
    <n v="4258"/>
    <x v="1"/>
    <n v="26589"/>
    <n v="0"/>
    <s v="Y"/>
    <s v="No"/>
    <n v="18"/>
    <x v="0"/>
    <s v="Low Performance"/>
    <n v="1"/>
    <n v="80"/>
    <n v="1"/>
    <n v="5"/>
    <n v="3"/>
    <n v="3"/>
    <s v="Fair"/>
    <n v="4"/>
    <n v="3"/>
    <n v="1"/>
    <n v="2"/>
  </r>
  <r>
    <n v="1194754"/>
    <n v="41"/>
    <x v="0"/>
    <s v="No"/>
    <x v="0"/>
    <x v="0"/>
    <n v="930"/>
    <x v="0"/>
    <n v="3"/>
    <n v="3"/>
    <x v="0"/>
    <n v="1"/>
    <n v="3"/>
    <x v="1"/>
    <n v="57"/>
    <n v="2"/>
    <n v="2"/>
    <s v="Nurse"/>
    <n v="2"/>
    <s v="Poor"/>
    <x v="2"/>
    <n v="8938"/>
    <x v="0"/>
    <n v="12227"/>
    <n v="2"/>
    <s v="Y"/>
    <s v="No"/>
    <n v="11"/>
    <x v="0"/>
    <s v="Low Performance"/>
    <n v="3"/>
    <n v="80"/>
    <n v="1"/>
    <n v="14"/>
    <n v="5"/>
    <n v="3"/>
    <s v="Fair"/>
    <n v="5"/>
    <n v="4"/>
    <n v="0"/>
    <n v="4"/>
  </r>
  <r>
    <n v="1162618"/>
    <n v="34"/>
    <x v="2"/>
    <s v="No"/>
    <x v="0"/>
    <x v="0"/>
    <n v="1397"/>
    <x v="1"/>
    <n v="1"/>
    <n v="5"/>
    <x v="0"/>
    <n v="1"/>
    <n v="2"/>
    <x v="1"/>
    <n v="42"/>
    <n v="3"/>
    <n v="1"/>
    <s v="Nurse"/>
    <n v="4"/>
    <s v="Good"/>
    <x v="1"/>
    <n v="2691"/>
    <x v="1"/>
    <n v="7660"/>
    <n v="1"/>
    <s v="Y"/>
    <s v="No"/>
    <n v="12"/>
    <x v="0"/>
    <s v="Low Performance"/>
    <n v="4"/>
    <n v="80"/>
    <n v="1"/>
    <n v="10"/>
    <n v="4"/>
    <n v="2"/>
    <s v="Poor"/>
    <n v="10"/>
    <n v="9"/>
    <n v="8"/>
    <n v="8"/>
  </r>
  <r>
    <n v="1661522"/>
    <n v="39"/>
    <x v="0"/>
    <s v="No"/>
    <x v="0"/>
    <x v="1"/>
    <n v="1218"/>
    <x v="1"/>
    <n v="1"/>
    <n v="1"/>
    <x v="0"/>
    <n v="1"/>
    <n v="2"/>
    <x v="1"/>
    <n v="52"/>
    <n v="3"/>
    <n v="5"/>
    <s v="Admin"/>
    <n v="3"/>
    <s v="Fair"/>
    <x v="2"/>
    <n v="19197"/>
    <x v="2"/>
    <n v="8213"/>
    <n v="1"/>
    <s v="Y"/>
    <s v="Yes"/>
    <n v="14"/>
    <x v="0"/>
    <s v="Low Performance"/>
    <n v="3"/>
    <n v="80"/>
    <n v="1"/>
    <n v="21"/>
    <n v="3"/>
    <n v="3"/>
    <s v="Fair"/>
    <n v="21"/>
    <n v="8"/>
    <n v="1"/>
    <n v="6"/>
  </r>
  <r>
    <n v="1469038"/>
    <n v="42"/>
    <x v="0"/>
    <s v="No"/>
    <x v="0"/>
    <x v="0"/>
    <n v="933"/>
    <x v="1"/>
    <n v="29"/>
    <n v="3"/>
    <x v="0"/>
    <n v="1"/>
    <n v="2"/>
    <x v="1"/>
    <n v="98"/>
    <n v="3"/>
    <n v="2"/>
    <s v="Therapist"/>
    <n v="2"/>
    <s v="Poor"/>
    <x v="1"/>
    <n v="4434"/>
    <x v="1"/>
    <n v="11806"/>
    <n v="1"/>
    <s v="Y"/>
    <s v="No"/>
    <n v="13"/>
    <x v="0"/>
    <s v="Low Performance"/>
    <n v="4"/>
    <n v="80"/>
    <n v="1"/>
    <n v="10"/>
    <n v="3"/>
    <n v="2"/>
    <s v="Poor"/>
    <n v="9"/>
    <n v="8"/>
    <n v="7"/>
    <n v="8"/>
  </r>
  <r>
    <n v="1026975"/>
    <n v="50"/>
    <x v="1"/>
    <s v="No"/>
    <x v="0"/>
    <x v="0"/>
    <n v="854"/>
    <x v="0"/>
    <n v="1"/>
    <n v="4"/>
    <x v="2"/>
    <n v="1"/>
    <n v="4"/>
    <x v="0"/>
    <n v="68"/>
    <n v="3"/>
    <n v="5"/>
    <s v="Admin"/>
    <n v="4"/>
    <s v="Good"/>
    <x v="2"/>
    <n v="19517"/>
    <x v="2"/>
    <n v="24118"/>
    <n v="3"/>
    <s v="Y"/>
    <s v="No"/>
    <n v="11"/>
    <x v="0"/>
    <s v="Low Performance"/>
    <n v="3"/>
    <n v="80"/>
    <n v="1"/>
    <n v="32"/>
    <n v="3"/>
    <n v="2"/>
    <s v="Poor"/>
    <n v="7"/>
    <n v="0"/>
    <n v="0"/>
    <n v="6"/>
  </r>
  <r>
    <n v="1267061"/>
    <n v="46"/>
    <x v="1"/>
    <s v="No"/>
    <x v="0"/>
    <x v="2"/>
    <n v="1144"/>
    <x v="1"/>
    <n v="7"/>
    <n v="4"/>
    <x v="2"/>
    <n v="1"/>
    <n v="3"/>
    <x v="0"/>
    <n v="30"/>
    <n v="3"/>
    <n v="2"/>
    <s v="Therapist"/>
    <n v="3"/>
    <s v="Fair"/>
    <x v="1"/>
    <n v="5258"/>
    <x v="0"/>
    <n v="16044"/>
    <n v="2"/>
    <s v="Y"/>
    <s v="No"/>
    <n v="14"/>
    <x v="0"/>
    <s v="Low Performance"/>
    <n v="3"/>
    <n v="80"/>
    <n v="0"/>
    <n v="7"/>
    <n v="2"/>
    <n v="4"/>
    <s v="Good"/>
    <n v="1"/>
    <n v="0"/>
    <n v="0"/>
    <n v="0"/>
  </r>
  <r>
    <n v="1184336"/>
    <n v="45"/>
    <x v="0"/>
    <s v="No"/>
    <x v="0"/>
    <x v="0"/>
    <n v="192"/>
    <x v="1"/>
    <n v="10"/>
    <n v="2"/>
    <x v="0"/>
    <n v="1"/>
    <n v="1"/>
    <x v="1"/>
    <n v="69"/>
    <n v="3"/>
    <n v="1"/>
    <s v="Nurse"/>
    <n v="4"/>
    <s v="Good"/>
    <x v="1"/>
    <n v="2654"/>
    <x v="1"/>
    <n v="9655"/>
    <n v="3"/>
    <s v="Y"/>
    <s v="No"/>
    <n v="21"/>
    <x v="1"/>
    <s v="High Performance"/>
    <n v="4"/>
    <n v="80"/>
    <n v="2"/>
    <n v="8"/>
    <n v="3"/>
    <n v="2"/>
    <s v="Poor"/>
    <n v="2"/>
    <n v="2"/>
    <n v="0"/>
    <n v="2"/>
  </r>
  <r>
    <n v="1852420"/>
    <n v="31"/>
    <x v="2"/>
    <s v="No"/>
    <x v="0"/>
    <x v="0"/>
    <n v="1112"/>
    <x v="0"/>
    <n v="5"/>
    <n v="4"/>
    <x v="0"/>
    <n v="1"/>
    <n v="1"/>
    <x v="0"/>
    <n v="67"/>
    <n v="3"/>
    <n v="2"/>
    <s v="Nurse"/>
    <n v="4"/>
    <s v="Good"/>
    <x v="1"/>
    <n v="5476"/>
    <x v="0"/>
    <n v="22589"/>
    <n v="1"/>
    <s v="Y"/>
    <s v="No"/>
    <n v="11"/>
    <x v="0"/>
    <s v="Low Performance"/>
    <n v="1"/>
    <n v="80"/>
    <n v="2"/>
    <n v="10"/>
    <n v="2"/>
    <n v="3"/>
    <s v="Fair"/>
    <n v="10"/>
    <n v="0"/>
    <n v="0"/>
    <n v="2"/>
  </r>
  <r>
    <n v="1622092"/>
    <n v="29"/>
    <x v="2"/>
    <s v="No"/>
    <x v="0"/>
    <x v="0"/>
    <n v="1389"/>
    <x v="1"/>
    <n v="21"/>
    <n v="4"/>
    <x v="0"/>
    <n v="1"/>
    <n v="2"/>
    <x v="0"/>
    <n v="51"/>
    <n v="4"/>
    <n v="3"/>
    <s v="Therapist"/>
    <n v="1"/>
    <s v="Poor"/>
    <x v="2"/>
    <n v="9980"/>
    <x v="0"/>
    <n v="10195"/>
    <n v="1"/>
    <s v="Y"/>
    <s v="No"/>
    <n v="11"/>
    <x v="0"/>
    <s v="Low Performance"/>
    <n v="3"/>
    <n v="80"/>
    <n v="1"/>
    <n v="10"/>
    <n v="1"/>
    <n v="3"/>
    <s v="Fair"/>
    <n v="10"/>
    <n v="9"/>
    <n v="8"/>
    <n v="8"/>
  </r>
  <r>
    <n v="1870096"/>
    <n v="41"/>
    <x v="0"/>
    <s v="No"/>
    <x v="0"/>
    <x v="0"/>
    <n v="645"/>
    <x v="0"/>
    <n v="1"/>
    <n v="3"/>
    <x v="3"/>
    <n v="1"/>
    <n v="2"/>
    <x v="1"/>
    <n v="49"/>
    <n v="4"/>
    <n v="3"/>
    <s v="Nurse"/>
    <n v="1"/>
    <s v="Poor"/>
    <x v="1"/>
    <n v="8392"/>
    <x v="0"/>
    <n v="19566"/>
    <n v="1"/>
    <s v="Y"/>
    <s v="No"/>
    <n v="16"/>
    <x v="0"/>
    <s v="Low Performance"/>
    <n v="3"/>
    <n v="80"/>
    <n v="1"/>
    <n v="10"/>
    <n v="2"/>
    <n v="3"/>
    <s v="Fair"/>
    <n v="10"/>
    <n v="7"/>
    <n v="0"/>
    <n v="7"/>
  </r>
  <r>
    <n v="1288694"/>
    <n v="38"/>
    <x v="0"/>
    <s v="No"/>
    <x v="0"/>
    <x v="0"/>
    <n v="345"/>
    <x v="0"/>
    <n v="10"/>
    <n v="2"/>
    <x v="0"/>
    <n v="1"/>
    <n v="1"/>
    <x v="0"/>
    <n v="100"/>
    <n v="3"/>
    <n v="2"/>
    <s v="Nurse"/>
    <n v="4"/>
    <s v="Good"/>
    <x v="1"/>
    <n v="5343"/>
    <x v="0"/>
    <n v="5982"/>
    <n v="1"/>
    <s v="Y"/>
    <s v="No"/>
    <n v="11"/>
    <x v="0"/>
    <s v="Low Performance"/>
    <n v="3"/>
    <n v="80"/>
    <n v="1"/>
    <n v="10"/>
    <n v="1"/>
    <n v="3"/>
    <s v="Fair"/>
    <n v="10"/>
    <n v="7"/>
    <n v="1"/>
    <n v="9"/>
  </r>
  <r>
    <n v="1354174"/>
    <n v="53"/>
    <x v="1"/>
    <s v="No"/>
    <x v="0"/>
    <x v="0"/>
    <n v="1219"/>
    <x v="0"/>
    <n v="2"/>
    <n v="4"/>
    <x v="0"/>
    <n v="1"/>
    <n v="1"/>
    <x v="0"/>
    <n v="78"/>
    <n v="2"/>
    <n v="4"/>
    <s v="Admin"/>
    <n v="4"/>
    <s v="Good"/>
    <x v="1"/>
    <n v="15427"/>
    <x v="2"/>
    <n v="22021"/>
    <n v="2"/>
    <s v="Y"/>
    <s v="No"/>
    <n v="16"/>
    <x v="0"/>
    <s v="Low Performance"/>
    <n v="3"/>
    <n v="80"/>
    <n v="0"/>
    <n v="31"/>
    <n v="3"/>
    <n v="3"/>
    <s v="Fair"/>
    <n v="25"/>
    <n v="8"/>
    <n v="3"/>
    <n v="7"/>
  </r>
  <r>
    <n v="1121812"/>
    <n v="35"/>
    <x v="2"/>
    <s v="No"/>
    <x v="0"/>
    <x v="1"/>
    <n v="1182"/>
    <x v="0"/>
    <n v="11"/>
    <n v="2"/>
    <x v="3"/>
    <n v="1"/>
    <n v="4"/>
    <x v="1"/>
    <n v="54"/>
    <n v="3"/>
    <n v="2"/>
    <s v="Nurse"/>
    <n v="4"/>
    <s v="Good"/>
    <x v="2"/>
    <n v="4968"/>
    <x v="1"/>
    <n v="18500"/>
    <n v="1"/>
    <s v="Y"/>
    <s v="No"/>
    <n v="11"/>
    <x v="0"/>
    <s v="Low Performance"/>
    <n v="4"/>
    <n v="80"/>
    <n v="1"/>
    <n v="5"/>
    <n v="3"/>
    <n v="3"/>
    <s v="Fair"/>
    <n v="5"/>
    <n v="2"/>
    <n v="0"/>
    <n v="2"/>
  </r>
  <r>
    <n v="1688790"/>
    <n v="49"/>
    <x v="1"/>
    <s v="No"/>
    <x v="0"/>
    <x v="0"/>
    <n v="465"/>
    <x v="1"/>
    <n v="6"/>
    <n v="1"/>
    <x v="0"/>
    <n v="1"/>
    <n v="3"/>
    <x v="0"/>
    <n v="41"/>
    <n v="2"/>
    <n v="4"/>
    <s v="Other"/>
    <n v="3"/>
    <s v="Fair"/>
    <x v="1"/>
    <n v="13966"/>
    <x v="2"/>
    <n v="11652"/>
    <n v="2"/>
    <s v="Y"/>
    <s v="Yes"/>
    <n v="19"/>
    <x v="0"/>
    <s v="Low Performance"/>
    <n v="2"/>
    <n v="80"/>
    <n v="1"/>
    <n v="30"/>
    <n v="3"/>
    <n v="3"/>
    <s v="Fair"/>
    <n v="15"/>
    <n v="11"/>
    <n v="2"/>
    <n v="12"/>
  </r>
  <r>
    <n v="1847082"/>
    <n v="40"/>
    <x v="0"/>
    <s v="No"/>
    <x v="0"/>
    <x v="0"/>
    <n v="369"/>
    <x v="1"/>
    <n v="8"/>
    <n v="2"/>
    <x v="0"/>
    <n v="1"/>
    <n v="2"/>
    <x v="0"/>
    <n v="92"/>
    <n v="3"/>
    <n v="2"/>
    <s v="Therapist"/>
    <n v="1"/>
    <s v="Poor"/>
    <x v="1"/>
    <n v="6516"/>
    <x v="0"/>
    <n v="5041"/>
    <n v="2"/>
    <s v="Y"/>
    <s v="Yes"/>
    <n v="16"/>
    <x v="0"/>
    <s v="Low Performance"/>
    <n v="2"/>
    <n v="80"/>
    <n v="1"/>
    <n v="18"/>
    <n v="3"/>
    <n v="3"/>
    <s v="Fair"/>
    <n v="1"/>
    <n v="0"/>
    <n v="0"/>
    <n v="0"/>
  </r>
  <r>
    <n v="1137940"/>
    <n v="46"/>
    <x v="1"/>
    <s v="No"/>
    <x v="0"/>
    <x v="0"/>
    <n v="1319"/>
    <x v="0"/>
    <n v="3"/>
    <n v="3"/>
    <x v="4"/>
    <n v="1"/>
    <n v="1"/>
    <x v="0"/>
    <n v="45"/>
    <n v="4"/>
    <n v="4"/>
    <s v="Nurse"/>
    <n v="1"/>
    <s v="Poor"/>
    <x v="2"/>
    <n v="13225"/>
    <x v="2"/>
    <n v="7739"/>
    <n v="2"/>
    <s v="Y"/>
    <s v="No"/>
    <n v="12"/>
    <x v="0"/>
    <s v="Low Performance"/>
    <n v="4"/>
    <n v="80"/>
    <n v="1"/>
    <n v="25"/>
    <n v="5"/>
    <n v="3"/>
    <s v="Fair"/>
    <n v="19"/>
    <n v="17"/>
    <n v="2"/>
    <n v="8"/>
  </r>
  <r>
    <n v="1531743"/>
    <n v="58"/>
    <x v="3"/>
    <s v="No"/>
    <x v="0"/>
    <x v="0"/>
    <n v="1055"/>
    <x v="2"/>
    <n v="1"/>
    <n v="3"/>
    <x v="2"/>
    <n v="1"/>
    <n v="4"/>
    <x v="0"/>
    <n v="76"/>
    <n v="3"/>
    <n v="5"/>
    <s v="Therapist"/>
    <n v="1"/>
    <s v="Poor"/>
    <x v="1"/>
    <n v="19701"/>
    <x v="2"/>
    <n v="22456"/>
    <n v="3"/>
    <s v="Y"/>
    <s v="Yes"/>
    <n v="21"/>
    <x v="1"/>
    <s v="High Performance"/>
    <n v="3"/>
    <n v="80"/>
    <n v="1"/>
    <n v="32"/>
    <n v="3"/>
    <n v="3"/>
    <s v="Fair"/>
    <n v="9"/>
    <n v="8"/>
    <n v="1"/>
    <n v="5"/>
  </r>
  <r>
    <n v="1156488"/>
    <n v="48"/>
    <x v="1"/>
    <s v="No"/>
    <x v="0"/>
    <x v="1"/>
    <n v="365"/>
    <x v="1"/>
    <n v="4"/>
    <n v="5"/>
    <x v="2"/>
    <n v="1"/>
    <n v="3"/>
    <x v="1"/>
    <n v="89"/>
    <n v="2"/>
    <n v="4"/>
    <s v="Admin"/>
    <n v="4"/>
    <s v="Good"/>
    <x v="1"/>
    <n v="15202"/>
    <x v="2"/>
    <n v="5602"/>
    <n v="2"/>
    <s v="Y"/>
    <s v="No"/>
    <n v="25"/>
    <x v="1"/>
    <s v="High Performance"/>
    <n v="2"/>
    <n v="80"/>
    <n v="1"/>
    <n v="23"/>
    <n v="3"/>
    <n v="3"/>
    <s v="Fair"/>
    <n v="2"/>
    <n v="2"/>
    <n v="2"/>
    <n v="2"/>
  </r>
  <r>
    <n v="1578755"/>
    <n v="29"/>
    <x v="2"/>
    <s v="No"/>
    <x v="0"/>
    <x v="0"/>
    <n v="1010"/>
    <x v="1"/>
    <n v="1"/>
    <n v="3"/>
    <x v="0"/>
    <n v="1"/>
    <n v="1"/>
    <x v="0"/>
    <n v="97"/>
    <n v="3"/>
    <n v="1"/>
    <s v="Nurse"/>
    <n v="4"/>
    <s v="Good"/>
    <x v="2"/>
    <n v="3760"/>
    <x v="1"/>
    <n v="5598"/>
    <n v="1"/>
    <s v="Y"/>
    <s v="No"/>
    <n v="15"/>
    <x v="0"/>
    <s v="Low Performance"/>
    <n v="1"/>
    <n v="80"/>
    <n v="3"/>
    <n v="3"/>
    <n v="5"/>
    <n v="3"/>
    <s v="Fair"/>
    <n v="3"/>
    <n v="2"/>
    <n v="1"/>
    <n v="2"/>
  </r>
  <r>
    <n v="1333885"/>
    <n v="31"/>
    <x v="2"/>
    <s v="No"/>
    <x v="0"/>
    <x v="0"/>
    <n v="655"/>
    <x v="2"/>
    <n v="7"/>
    <n v="4"/>
    <x v="0"/>
    <n v="1"/>
    <n v="4"/>
    <x v="1"/>
    <n v="48"/>
    <n v="3"/>
    <n v="2"/>
    <s v="Nurse"/>
    <n v="4"/>
    <s v="Good"/>
    <x v="2"/>
    <n v="5915"/>
    <x v="0"/>
    <n v="9528"/>
    <n v="3"/>
    <s v="Y"/>
    <s v="No"/>
    <n v="22"/>
    <x v="1"/>
    <s v="High Performance"/>
    <n v="4"/>
    <n v="80"/>
    <n v="1"/>
    <n v="10"/>
    <n v="3"/>
    <n v="2"/>
    <s v="Poor"/>
    <n v="7"/>
    <n v="7"/>
    <n v="1"/>
    <n v="7"/>
  </r>
  <r>
    <n v="1258908"/>
    <n v="38"/>
    <x v="0"/>
    <s v="No"/>
    <x v="0"/>
    <x v="1"/>
    <n v="1186"/>
    <x v="1"/>
    <n v="3"/>
    <n v="4"/>
    <x v="1"/>
    <n v="1"/>
    <n v="3"/>
    <x v="1"/>
    <n v="44"/>
    <n v="3"/>
    <n v="1"/>
    <s v="Nurse"/>
    <n v="3"/>
    <s v="Fair"/>
    <x v="1"/>
    <n v="2821"/>
    <x v="1"/>
    <n v="2997"/>
    <n v="3"/>
    <s v="Y"/>
    <s v="No"/>
    <n v="16"/>
    <x v="0"/>
    <s v="Low Performance"/>
    <n v="1"/>
    <n v="80"/>
    <n v="1"/>
    <n v="8"/>
    <n v="2"/>
    <n v="3"/>
    <s v="Fair"/>
    <n v="2"/>
    <n v="2"/>
    <n v="2"/>
    <n v="2"/>
  </r>
  <r>
    <n v="1245218"/>
    <n v="29"/>
    <x v="2"/>
    <s v="No"/>
    <x v="0"/>
    <x v="0"/>
    <n v="136"/>
    <x v="1"/>
    <n v="1"/>
    <n v="3"/>
    <x v="0"/>
    <n v="1"/>
    <n v="1"/>
    <x v="1"/>
    <n v="89"/>
    <n v="3"/>
    <n v="2"/>
    <s v="Other"/>
    <n v="1"/>
    <s v="Poor"/>
    <x v="1"/>
    <n v="5373"/>
    <x v="0"/>
    <n v="6225"/>
    <n v="0"/>
    <s v="Y"/>
    <s v="No"/>
    <n v="12"/>
    <x v="0"/>
    <s v="Low Performance"/>
    <n v="1"/>
    <n v="80"/>
    <n v="1"/>
    <n v="6"/>
    <n v="5"/>
    <n v="2"/>
    <s v="Poor"/>
    <n v="5"/>
    <n v="3"/>
    <n v="0"/>
    <n v="2"/>
  </r>
  <r>
    <n v="1730370"/>
    <n v="36"/>
    <x v="0"/>
    <s v="No"/>
    <x v="0"/>
    <x v="0"/>
    <n v="188"/>
    <x v="1"/>
    <n v="7"/>
    <n v="4"/>
    <x v="1"/>
    <n v="1"/>
    <n v="2"/>
    <x v="1"/>
    <n v="65"/>
    <n v="3"/>
    <n v="1"/>
    <s v="Nurse"/>
    <n v="4"/>
    <s v="Good"/>
    <x v="0"/>
    <n v="4678"/>
    <x v="1"/>
    <n v="23293"/>
    <n v="2"/>
    <s v="Y"/>
    <s v="No"/>
    <n v="18"/>
    <x v="0"/>
    <s v="Low Performance"/>
    <n v="3"/>
    <n v="80"/>
    <n v="0"/>
    <n v="8"/>
    <n v="6"/>
    <n v="3"/>
    <s v="Fair"/>
    <n v="6"/>
    <n v="2"/>
    <n v="0"/>
    <n v="1"/>
  </r>
  <r>
    <n v="1577435"/>
    <n v="42"/>
    <x v="0"/>
    <s v="No"/>
    <x v="0"/>
    <x v="0"/>
    <n v="469"/>
    <x v="1"/>
    <n v="2"/>
    <n v="2"/>
    <x v="2"/>
    <n v="1"/>
    <n v="4"/>
    <x v="1"/>
    <n v="35"/>
    <n v="3"/>
    <n v="4"/>
    <s v="Admin"/>
    <n v="1"/>
    <s v="Poor"/>
    <x v="1"/>
    <n v="17665"/>
    <x v="2"/>
    <n v="14399"/>
    <n v="0"/>
    <s v="Y"/>
    <s v="No"/>
    <n v="17"/>
    <x v="0"/>
    <s v="Low Performance"/>
    <n v="4"/>
    <n v="80"/>
    <n v="1"/>
    <n v="23"/>
    <n v="3"/>
    <n v="3"/>
    <s v="Fair"/>
    <n v="22"/>
    <n v="6"/>
    <n v="13"/>
    <n v="7"/>
  </r>
  <r>
    <n v="1151756"/>
    <n v="25"/>
    <x v="4"/>
    <s v="No"/>
    <x v="0"/>
    <x v="0"/>
    <n v="810"/>
    <x v="0"/>
    <n v="8"/>
    <n v="3"/>
    <x v="0"/>
    <n v="1"/>
    <n v="4"/>
    <x v="1"/>
    <n v="57"/>
    <n v="4"/>
    <n v="2"/>
    <s v="Nurse"/>
    <n v="2"/>
    <s v="Poor"/>
    <x v="1"/>
    <n v="4851"/>
    <x v="1"/>
    <n v="15678"/>
    <n v="0"/>
    <s v="Y"/>
    <s v="No"/>
    <n v="22"/>
    <x v="1"/>
    <s v="High Performance"/>
    <n v="3"/>
    <n v="80"/>
    <n v="1"/>
    <n v="4"/>
    <n v="4"/>
    <n v="3"/>
    <s v="Fair"/>
    <n v="3"/>
    <n v="2"/>
    <n v="1"/>
    <n v="2"/>
  </r>
  <r>
    <n v="1045493"/>
    <n v="48"/>
    <x v="1"/>
    <s v="No"/>
    <x v="0"/>
    <x v="0"/>
    <n v="715"/>
    <x v="2"/>
    <n v="1"/>
    <n v="3"/>
    <x v="0"/>
    <n v="1"/>
    <n v="4"/>
    <x v="1"/>
    <n v="76"/>
    <n v="2"/>
    <n v="5"/>
    <s v="Therapist"/>
    <n v="4"/>
    <s v="Good"/>
    <x v="0"/>
    <n v="18265"/>
    <x v="2"/>
    <n v="8733"/>
    <n v="6"/>
    <s v="Y"/>
    <s v="No"/>
    <n v="12"/>
    <x v="0"/>
    <s v="Low Performance"/>
    <n v="3"/>
    <n v="80"/>
    <n v="0"/>
    <n v="25"/>
    <n v="3"/>
    <n v="4"/>
    <s v="Good"/>
    <n v="1"/>
    <n v="0"/>
    <n v="0"/>
    <n v="0"/>
  </r>
  <r>
    <n v="1570909"/>
    <n v="38"/>
    <x v="0"/>
    <s v="No"/>
    <x v="0"/>
    <x v="1"/>
    <n v="508"/>
    <x v="1"/>
    <n v="6"/>
    <n v="4"/>
    <x v="0"/>
    <n v="1"/>
    <n v="1"/>
    <x v="1"/>
    <n v="72"/>
    <n v="2"/>
    <n v="2"/>
    <s v="Therapist"/>
    <n v="3"/>
    <s v="Fair"/>
    <x v="1"/>
    <n v="5321"/>
    <x v="0"/>
    <n v="14284"/>
    <n v="2"/>
    <s v="Y"/>
    <s v="No"/>
    <n v="11"/>
    <x v="0"/>
    <s v="Low Performance"/>
    <n v="4"/>
    <n v="80"/>
    <n v="1"/>
    <n v="10"/>
    <n v="1"/>
    <n v="3"/>
    <s v="Fair"/>
    <n v="8"/>
    <n v="3"/>
    <n v="7"/>
    <n v="7"/>
  </r>
  <r>
    <n v="1509347"/>
    <n v="43"/>
    <x v="0"/>
    <s v="No"/>
    <x v="0"/>
    <x v="0"/>
    <n v="1473"/>
    <x v="1"/>
    <n v="8"/>
    <n v="4"/>
    <x v="1"/>
    <n v="1"/>
    <n v="3"/>
    <x v="0"/>
    <n v="74"/>
    <n v="3"/>
    <n v="2"/>
    <s v="Other"/>
    <n v="3"/>
    <s v="Fair"/>
    <x v="2"/>
    <n v="4522"/>
    <x v="1"/>
    <n v="2227"/>
    <n v="4"/>
    <s v="Y"/>
    <s v="Yes"/>
    <n v="14"/>
    <x v="0"/>
    <s v="Low Performance"/>
    <n v="4"/>
    <n v="80"/>
    <n v="0"/>
    <n v="8"/>
    <n v="3"/>
    <n v="3"/>
    <s v="Fair"/>
    <n v="5"/>
    <n v="2"/>
    <n v="0"/>
    <n v="2"/>
  </r>
  <r>
    <n v="1217582"/>
    <n v="53"/>
    <x v="1"/>
    <s v="No"/>
    <x v="0"/>
    <x v="0"/>
    <n v="1070"/>
    <x v="2"/>
    <n v="3"/>
    <n v="4"/>
    <x v="2"/>
    <n v="1"/>
    <n v="3"/>
    <x v="1"/>
    <n v="45"/>
    <n v="3"/>
    <n v="4"/>
    <s v="Therapist"/>
    <n v="3"/>
    <s v="Fair"/>
    <x v="1"/>
    <n v="17584"/>
    <x v="2"/>
    <n v="21016"/>
    <n v="3"/>
    <s v="Y"/>
    <s v="Yes"/>
    <n v="16"/>
    <x v="0"/>
    <s v="Low Performance"/>
    <n v="4"/>
    <n v="80"/>
    <n v="3"/>
    <n v="21"/>
    <n v="5"/>
    <n v="2"/>
    <s v="Poor"/>
    <n v="5"/>
    <n v="3"/>
    <n v="1"/>
    <n v="3"/>
  </r>
  <r>
    <n v="1110329"/>
    <n v="54"/>
    <x v="1"/>
    <s v="No"/>
    <x v="0"/>
    <x v="0"/>
    <n v="821"/>
    <x v="2"/>
    <n v="5"/>
    <n v="2"/>
    <x v="2"/>
    <n v="1"/>
    <n v="1"/>
    <x v="1"/>
    <n v="86"/>
    <n v="3"/>
    <n v="5"/>
    <s v="Therapist"/>
    <n v="1"/>
    <s v="Poor"/>
    <x v="1"/>
    <n v="19406"/>
    <x v="2"/>
    <n v="8509"/>
    <n v="4"/>
    <s v="Y"/>
    <s v="No"/>
    <n v="11"/>
    <x v="0"/>
    <s v="Low Performance"/>
    <n v="3"/>
    <n v="80"/>
    <n v="1"/>
    <n v="24"/>
    <n v="4"/>
    <n v="2"/>
    <s v="Poor"/>
    <n v="4"/>
    <n v="2"/>
    <n v="1"/>
    <n v="2"/>
  </r>
  <r>
    <n v="1044146"/>
    <n v="47"/>
    <x v="1"/>
    <s v="No"/>
    <x v="0"/>
    <x v="0"/>
    <n v="1180"/>
    <x v="1"/>
    <n v="25"/>
    <n v="3"/>
    <x v="2"/>
    <n v="1"/>
    <n v="1"/>
    <x v="1"/>
    <n v="84"/>
    <n v="3"/>
    <n v="3"/>
    <s v="Other"/>
    <n v="3"/>
    <s v="Fair"/>
    <x v="0"/>
    <n v="8633"/>
    <x v="0"/>
    <n v="13084"/>
    <n v="2"/>
    <s v="Y"/>
    <s v="No"/>
    <n v="23"/>
    <x v="1"/>
    <s v="High Performance"/>
    <n v="2"/>
    <n v="80"/>
    <n v="0"/>
    <n v="25"/>
    <n v="3"/>
    <n v="3"/>
    <s v="Fair"/>
    <n v="17"/>
    <n v="14"/>
    <n v="12"/>
    <n v="11"/>
  </r>
  <r>
    <n v="1865209"/>
    <n v="31"/>
    <x v="2"/>
    <s v="No"/>
    <x v="0"/>
    <x v="0"/>
    <n v="480"/>
    <x v="1"/>
    <n v="7"/>
    <n v="2"/>
    <x v="2"/>
    <n v="1"/>
    <n v="2"/>
    <x v="0"/>
    <n v="31"/>
    <n v="3"/>
    <n v="2"/>
    <s v="Therapist"/>
    <n v="1"/>
    <s v="Poor"/>
    <x v="1"/>
    <n v="4306"/>
    <x v="1"/>
    <n v="4156"/>
    <n v="1"/>
    <s v="Y"/>
    <s v="No"/>
    <n v="12"/>
    <x v="0"/>
    <s v="Low Performance"/>
    <n v="2"/>
    <n v="80"/>
    <n v="1"/>
    <n v="13"/>
    <n v="5"/>
    <n v="1"/>
    <s v="Poor"/>
    <n v="13"/>
    <n v="10"/>
    <n v="3"/>
    <n v="12"/>
  </r>
  <r>
    <n v="1548274"/>
    <n v="23"/>
    <x v="4"/>
    <s v="No"/>
    <x v="0"/>
    <x v="0"/>
    <n v="1309"/>
    <x v="1"/>
    <n v="26"/>
    <n v="1"/>
    <x v="0"/>
    <n v="1"/>
    <n v="3"/>
    <x v="1"/>
    <n v="83"/>
    <n v="3"/>
    <n v="1"/>
    <s v="Nurse"/>
    <n v="4"/>
    <s v="Good"/>
    <x v="2"/>
    <n v="2904"/>
    <x v="1"/>
    <n v="16092"/>
    <n v="1"/>
    <s v="Y"/>
    <s v="No"/>
    <n v="12"/>
    <x v="0"/>
    <s v="Low Performance"/>
    <n v="3"/>
    <n v="80"/>
    <n v="2"/>
    <n v="4"/>
    <n v="2"/>
    <n v="2"/>
    <s v="Poor"/>
    <n v="4"/>
    <n v="2"/>
    <n v="0"/>
    <n v="2"/>
  </r>
  <r>
    <n v="1268816"/>
    <n v="40"/>
    <x v="0"/>
    <s v="No"/>
    <x v="0"/>
    <x v="0"/>
    <n v="1202"/>
    <x v="1"/>
    <n v="2"/>
    <n v="1"/>
    <x v="2"/>
    <n v="1"/>
    <n v="2"/>
    <x v="0"/>
    <n v="89"/>
    <n v="4"/>
    <n v="2"/>
    <s v="Other"/>
    <n v="3"/>
    <s v="Fair"/>
    <x v="2"/>
    <n v="6377"/>
    <x v="0"/>
    <n v="13888"/>
    <n v="5"/>
    <s v="Y"/>
    <s v="No"/>
    <n v="20"/>
    <x v="1"/>
    <s v="High Performance"/>
    <n v="2"/>
    <n v="80"/>
    <n v="3"/>
    <n v="15"/>
    <n v="0"/>
    <n v="3"/>
    <s v="Fair"/>
    <n v="12"/>
    <n v="11"/>
    <n v="11"/>
    <n v="8"/>
  </r>
  <r>
    <n v="1084927"/>
    <n v="32"/>
    <x v="2"/>
    <s v="No"/>
    <x v="0"/>
    <x v="0"/>
    <n v="801"/>
    <x v="0"/>
    <n v="1"/>
    <n v="4"/>
    <x v="3"/>
    <n v="1"/>
    <n v="3"/>
    <x v="0"/>
    <n v="48"/>
    <n v="3"/>
    <n v="3"/>
    <s v="Nurse"/>
    <n v="4"/>
    <s v="Good"/>
    <x v="1"/>
    <n v="10422"/>
    <x v="0"/>
    <n v="24032"/>
    <n v="1"/>
    <s v="Y"/>
    <s v="No"/>
    <n v="19"/>
    <x v="0"/>
    <s v="Low Performance"/>
    <n v="3"/>
    <n v="80"/>
    <n v="2"/>
    <n v="14"/>
    <n v="3"/>
    <n v="3"/>
    <s v="Fair"/>
    <n v="14"/>
    <n v="10"/>
    <n v="5"/>
    <n v="7"/>
  </r>
  <r>
    <n v="1496230"/>
    <n v="26"/>
    <x v="2"/>
    <s v="No"/>
    <x v="0"/>
    <x v="0"/>
    <n v="933"/>
    <x v="0"/>
    <n v="1"/>
    <n v="3"/>
    <x v="0"/>
    <n v="1"/>
    <n v="3"/>
    <x v="1"/>
    <n v="57"/>
    <n v="3"/>
    <n v="2"/>
    <s v="Nurse"/>
    <n v="3"/>
    <s v="Fair"/>
    <x v="1"/>
    <n v="5296"/>
    <x v="0"/>
    <n v="20156"/>
    <n v="1"/>
    <s v="Y"/>
    <s v="No"/>
    <n v="17"/>
    <x v="0"/>
    <s v="Low Performance"/>
    <n v="2"/>
    <n v="80"/>
    <n v="1"/>
    <n v="8"/>
    <n v="3"/>
    <n v="3"/>
    <s v="Fair"/>
    <n v="8"/>
    <n v="7"/>
    <n v="7"/>
    <n v="7"/>
  </r>
  <r>
    <n v="1872979"/>
    <n v="28"/>
    <x v="2"/>
    <s v="No"/>
    <x v="0"/>
    <x v="2"/>
    <n v="280"/>
    <x v="2"/>
    <n v="1"/>
    <n v="2"/>
    <x v="0"/>
    <n v="1"/>
    <n v="3"/>
    <x v="1"/>
    <n v="43"/>
    <n v="3"/>
    <n v="1"/>
    <s v="Other"/>
    <n v="4"/>
    <s v="Good"/>
    <x v="2"/>
    <n v="2706"/>
    <x v="1"/>
    <n v="10494"/>
    <n v="1"/>
    <s v="Y"/>
    <s v="No"/>
    <n v="15"/>
    <x v="0"/>
    <s v="Low Performance"/>
    <n v="2"/>
    <n v="80"/>
    <n v="1"/>
    <n v="3"/>
    <n v="2"/>
    <n v="3"/>
    <s v="Fair"/>
    <n v="3"/>
    <n v="2"/>
    <n v="2"/>
    <n v="2"/>
  </r>
  <r>
    <n v="1123429"/>
    <n v="29"/>
    <x v="2"/>
    <s v="No"/>
    <x v="0"/>
    <x v="0"/>
    <n v="232"/>
    <x v="1"/>
    <n v="19"/>
    <n v="3"/>
    <x v="4"/>
    <n v="1"/>
    <n v="4"/>
    <x v="1"/>
    <n v="34"/>
    <n v="3"/>
    <n v="2"/>
    <s v="Therapist"/>
    <n v="4"/>
    <s v="Good"/>
    <x v="2"/>
    <n v="4262"/>
    <x v="1"/>
    <n v="22645"/>
    <n v="4"/>
    <s v="Y"/>
    <s v="No"/>
    <n v="12"/>
    <x v="0"/>
    <s v="Low Performance"/>
    <n v="2"/>
    <n v="80"/>
    <n v="2"/>
    <n v="8"/>
    <n v="2"/>
    <n v="4"/>
    <s v="Good"/>
    <n v="3"/>
    <n v="2"/>
    <n v="1"/>
    <n v="2"/>
  </r>
  <r>
    <n v="1563219"/>
    <n v="22"/>
    <x v="4"/>
    <s v="No"/>
    <x v="0"/>
    <x v="0"/>
    <n v="581"/>
    <x v="1"/>
    <n v="1"/>
    <n v="2"/>
    <x v="0"/>
    <n v="1"/>
    <n v="4"/>
    <x v="1"/>
    <n v="63"/>
    <n v="3"/>
    <n v="1"/>
    <s v="Nurse"/>
    <n v="3"/>
    <s v="Fair"/>
    <x v="0"/>
    <n v="3375"/>
    <x v="1"/>
    <n v="17624"/>
    <n v="0"/>
    <s v="Y"/>
    <s v="No"/>
    <n v="12"/>
    <x v="0"/>
    <s v="Low Performance"/>
    <n v="4"/>
    <n v="80"/>
    <n v="0"/>
    <n v="4"/>
    <n v="2"/>
    <n v="4"/>
    <s v="Good"/>
    <n v="3"/>
    <n v="2"/>
    <n v="1"/>
    <n v="2"/>
  </r>
  <r>
    <n v="1252790"/>
    <n v="37"/>
    <x v="0"/>
    <s v="No"/>
    <x v="0"/>
    <x v="0"/>
    <n v="674"/>
    <x v="1"/>
    <n v="13"/>
    <n v="3"/>
    <x v="2"/>
    <n v="1"/>
    <n v="1"/>
    <x v="1"/>
    <n v="47"/>
    <n v="3"/>
    <n v="2"/>
    <s v="Nurse"/>
    <n v="4"/>
    <s v="Good"/>
    <x v="1"/>
    <n v="4285"/>
    <x v="1"/>
    <n v="3031"/>
    <n v="1"/>
    <s v="Y"/>
    <s v="No"/>
    <n v="17"/>
    <x v="0"/>
    <s v="Low Performance"/>
    <n v="1"/>
    <n v="80"/>
    <n v="0"/>
    <n v="10"/>
    <n v="2"/>
    <n v="3"/>
    <s v="Fair"/>
    <n v="10"/>
    <n v="8"/>
    <n v="3"/>
    <n v="7"/>
  </r>
  <r>
    <n v="1720230"/>
    <n v="43"/>
    <x v="0"/>
    <s v="No"/>
    <x v="0"/>
    <x v="0"/>
    <n v="1034"/>
    <x v="0"/>
    <n v="16"/>
    <n v="3"/>
    <x v="3"/>
    <n v="1"/>
    <n v="4"/>
    <x v="0"/>
    <n v="80"/>
    <n v="3"/>
    <n v="4"/>
    <s v="Admin"/>
    <n v="4"/>
    <s v="Good"/>
    <x v="1"/>
    <n v="16064"/>
    <x v="2"/>
    <n v="7744"/>
    <n v="5"/>
    <s v="Y"/>
    <s v="Yes"/>
    <n v="22"/>
    <x v="1"/>
    <s v="High Performance"/>
    <n v="3"/>
    <n v="80"/>
    <n v="1"/>
    <n v="22"/>
    <n v="3"/>
    <n v="3"/>
    <s v="Fair"/>
    <n v="17"/>
    <n v="13"/>
    <n v="1"/>
    <n v="9"/>
  </r>
  <r>
    <n v="1028734"/>
    <n v="39"/>
    <x v="0"/>
    <s v="No"/>
    <x v="0"/>
    <x v="1"/>
    <n v="505"/>
    <x v="1"/>
    <n v="2"/>
    <n v="4"/>
    <x v="4"/>
    <n v="1"/>
    <n v="3"/>
    <x v="0"/>
    <n v="64"/>
    <n v="3"/>
    <n v="3"/>
    <s v="Other"/>
    <n v="3"/>
    <s v="Fair"/>
    <x v="0"/>
    <n v="10938"/>
    <x v="0"/>
    <n v="6420"/>
    <n v="0"/>
    <s v="Y"/>
    <s v="No"/>
    <n v="25"/>
    <x v="1"/>
    <s v="High Performance"/>
    <n v="4"/>
    <n v="80"/>
    <n v="0"/>
    <n v="20"/>
    <n v="1"/>
    <n v="3"/>
    <s v="Fair"/>
    <n v="19"/>
    <n v="6"/>
    <n v="11"/>
    <n v="8"/>
  </r>
  <r>
    <n v="1365509"/>
    <n v="33"/>
    <x v="2"/>
    <s v="No"/>
    <x v="0"/>
    <x v="1"/>
    <n v="1141"/>
    <x v="0"/>
    <n v="1"/>
    <n v="3"/>
    <x v="0"/>
    <n v="1"/>
    <n v="3"/>
    <x v="0"/>
    <n v="42"/>
    <n v="4"/>
    <n v="2"/>
    <s v="Nurse"/>
    <n v="1"/>
    <s v="Poor"/>
    <x v="1"/>
    <n v="5376"/>
    <x v="0"/>
    <n v="3193"/>
    <n v="2"/>
    <s v="Y"/>
    <s v="No"/>
    <n v="19"/>
    <x v="0"/>
    <s v="Low Performance"/>
    <n v="1"/>
    <n v="80"/>
    <n v="2"/>
    <n v="10"/>
    <n v="3"/>
    <n v="3"/>
    <s v="Fair"/>
    <n v="5"/>
    <n v="3"/>
    <n v="1"/>
    <n v="3"/>
  </r>
  <r>
    <n v="1825987"/>
    <n v="34"/>
    <x v="2"/>
    <s v="No"/>
    <x v="0"/>
    <x v="0"/>
    <n v="121"/>
    <x v="1"/>
    <n v="2"/>
    <n v="4"/>
    <x v="2"/>
    <n v="1"/>
    <n v="3"/>
    <x v="0"/>
    <n v="86"/>
    <n v="2"/>
    <n v="1"/>
    <s v="Nurse"/>
    <n v="1"/>
    <s v="Poor"/>
    <x v="0"/>
    <n v="4381"/>
    <x v="1"/>
    <n v="7530"/>
    <n v="1"/>
    <s v="Y"/>
    <s v="No"/>
    <n v="11"/>
    <x v="0"/>
    <s v="Low Performance"/>
    <n v="3"/>
    <n v="80"/>
    <n v="0"/>
    <n v="6"/>
    <n v="3"/>
    <n v="3"/>
    <s v="Fair"/>
    <n v="6"/>
    <n v="5"/>
    <n v="1"/>
    <n v="3"/>
  </r>
  <r>
    <n v="1269351"/>
    <n v="39"/>
    <x v="0"/>
    <s v="No"/>
    <x v="0"/>
    <x v="1"/>
    <n v="443"/>
    <x v="2"/>
    <n v="8"/>
    <n v="1"/>
    <x v="0"/>
    <n v="1"/>
    <n v="3"/>
    <x v="0"/>
    <n v="48"/>
    <n v="3"/>
    <n v="1"/>
    <s v="Nurse"/>
    <n v="3"/>
    <s v="Fair"/>
    <x v="1"/>
    <n v="3755"/>
    <x v="1"/>
    <n v="17872"/>
    <n v="1"/>
    <s v="Y"/>
    <s v="No"/>
    <n v="11"/>
    <x v="0"/>
    <s v="Low Performance"/>
    <n v="1"/>
    <n v="80"/>
    <n v="1"/>
    <n v="8"/>
    <n v="3"/>
    <n v="3"/>
    <s v="Fair"/>
    <n v="8"/>
    <n v="3"/>
    <n v="0"/>
    <n v="7"/>
  </r>
  <r>
    <n v="1495147"/>
    <n v="31"/>
    <x v="2"/>
    <s v="No"/>
    <x v="0"/>
    <x v="0"/>
    <n v="1154"/>
    <x v="0"/>
    <n v="2"/>
    <n v="2"/>
    <x v="0"/>
    <n v="1"/>
    <n v="1"/>
    <x v="1"/>
    <n v="54"/>
    <n v="3"/>
    <n v="1"/>
    <s v="Other"/>
    <n v="3"/>
    <s v="Fair"/>
    <x v="1"/>
    <n v="3067"/>
    <x v="1"/>
    <n v="6393"/>
    <n v="0"/>
    <s v="Y"/>
    <s v="No"/>
    <n v="19"/>
    <x v="0"/>
    <s v="Low Performance"/>
    <n v="3"/>
    <n v="80"/>
    <n v="1"/>
    <n v="3"/>
    <n v="1"/>
    <n v="3"/>
    <s v="Fair"/>
    <n v="2"/>
    <n v="2"/>
    <n v="1"/>
    <n v="2"/>
  </r>
  <r>
    <n v="1209865"/>
    <n v="48"/>
    <x v="1"/>
    <s v="No"/>
    <x v="0"/>
    <x v="0"/>
    <n v="163"/>
    <x v="0"/>
    <n v="2"/>
    <n v="5"/>
    <x v="3"/>
    <n v="1"/>
    <n v="2"/>
    <x v="0"/>
    <n v="37"/>
    <n v="3"/>
    <n v="2"/>
    <s v="Therapist"/>
    <n v="4"/>
    <s v="Good"/>
    <x v="1"/>
    <n v="4051"/>
    <x v="1"/>
    <n v="19658"/>
    <n v="2"/>
    <s v="Y"/>
    <s v="No"/>
    <n v="14"/>
    <x v="0"/>
    <s v="Low Performance"/>
    <n v="1"/>
    <n v="80"/>
    <n v="1"/>
    <n v="14"/>
    <n v="2"/>
    <n v="3"/>
    <s v="Fair"/>
    <n v="9"/>
    <n v="7"/>
    <n v="6"/>
    <n v="7"/>
  </r>
  <r>
    <n v="1138945"/>
    <n v="53"/>
    <x v="1"/>
    <s v="No"/>
    <x v="0"/>
    <x v="0"/>
    <n v="102"/>
    <x v="2"/>
    <n v="23"/>
    <n v="4"/>
    <x v="0"/>
    <n v="1"/>
    <n v="4"/>
    <x v="0"/>
    <n v="72"/>
    <n v="3"/>
    <n v="4"/>
    <s v="Therapist"/>
    <n v="4"/>
    <s v="Good"/>
    <x v="0"/>
    <n v="14275"/>
    <x v="2"/>
    <n v="20206"/>
    <n v="6"/>
    <s v="Y"/>
    <s v="No"/>
    <n v="18"/>
    <x v="0"/>
    <s v="Low Performance"/>
    <n v="3"/>
    <n v="80"/>
    <n v="0"/>
    <n v="33"/>
    <n v="0"/>
    <n v="3"/>
    <s v="Fair"/>
    <n v="12"/>
    <n v="9"/>
    <n v="3"/>
    <n v="8"/>
  </r>
  <r>
    <n v="1310619"/>
    <n v="28"/>
    <x v="2"/>
    <s v="No"/>
    <x v="0"/>
    <x v="2"/>
    <n v="120"/>
    <x v="0"/>
    <n v="4"/>
    <n v="3"/>
    <x v="2"/>
    <n v="1"/>
    <n v="2"/>
    <x v="1"/>
    <n v="43"/>
    <n v="3"/>
    <n v="2"/>
    <s v="Therapist"/>
    <n v="3"/>
    <s v="Fair"/>
    <x v="1"/>
    <n v="4221"/>
    <x v="1"/>
    <n v="8863"/>
    <n v="1"/>
    <s v="Y"/>
    <s v="No"/>
    <n v="15"/>
    <x v="0"/>
    <s v="Low Performance"/>
    <n v="2"/>
    <n v="80"/>
    <n v="0"/>
    <n v="5"/>
    <n v="3"/>
    <n v="4"/>
    <s v="Good"/>
    <n v="5"/>
    <n v="4"/>
    <n v="0"/>
    <n v="4"/>
  </r>
  <r>
    <n v="1225300"/>
    <n v="45"/>
    <x v="0"/>
    <s v="No"/>
    <x v="0"/>
    <x v="2"/>
    <n v="1195"/>
    <x v="1"/>
    <n v="2"/>
    <n v="2"/>
    <x v="2"/>
    <n v="1"/>
    <n v="1"/>
    <x v="1"/>
    <n v="65"/>
    <n v="2"/>
    <n v="4"/>
    <s v="Admin"/>
    <n v="4"/>
    <s v="Good"/>
    <x v="1"/>
    <n v="16792"/>
    <x v="2"/>
    <n v="20462"/>
    <n v="9"/>
    <s v="Y"/>
    <s v="No"/>
    <n v="23"/>
    <x v="1"/>
    <s v="High Performance"/>
    <n v="4"/>
    <n v="80"/>
    <n v="1"/>
    <n v="22"/>
    <n v="1"/>
    <n v="3"/>
    <s v="Fair"/>
    <n v="20"/>
    <n v="8"/>
    <n v="11"/>
    <n v="8"/>
  </r>
  <r>
    <n v="1885928"/>
    <n v="29"/>
    <x v="2"/>
    <s v="No"/>
    <x v="0"/>
    <x v="0"/>
    <n v="718"/>
    <x v="1"/>
    <n v="8"/>
    <n v="1"/>
    <x v="2"/>
    <n v="1"/>
    <n v="2"/>
    <x v="1"/>
    <n v="79"/>
    <n v="2"/>
    <n v="2"/>
    <s v="Therapist"/>
    <n v="4"/>
    <s v="Good"/>
    <x v="1"/>
    <n v="5056"/>
    <x v="0"/>
    <n v="17689"/>
    <n v="1"/>
    <s v="Y"/>
    <s v="Yes"/>
    <n v="15"/>
    <x v="0"/>
    <s v="Low Performance"/>
    <n v="3"/>
    <n v="80"/>
    <n v="1"/>
    <n v="10"/>
    <n v="2"/>
    <n v="2"/>
    <s v="Poor"/>
    <n v="10"/>
    <n v="7"/>
    <n v="1"/>
    <n v="2"/>
  </r>
  <r>
    <n v="1213922"/>
    <n v="34"/>
    <x v="2"/>
    <s v="No"/>
    <x v="0"/>
    <x v="0"/>
    <n v="704"/>
    <x v="0"/>
    <n v="28"/>
    <n v="3"/>
    <x v="3"/>
    <n v="1"/>
    <n v="4"/>
    <x v="0"/>
    <n v="95"/>
    <n v="2"/>
    <n v="2"/>
    <s v="Therapist"/>
    <n v="3"/>
    <s v="Fair"/>
    <x v="1"/>
    <n v="6712"/>
    <x v="0"/>
    <n v="8978"/>
    <n v="1"/>
    <s v="Y"/>
    <s v="No"/>
    <n v="21"/>
    <x v="1"/>
    <s v="High Performance"/>
    <n v="4"/>
    <n v="80"/>
    <n v="2"/>
    <n v="8"/>
    <n v="2"/>
    <n v="3"/>
    <s v="Fair"/>
    <n v="8"/>
    <n v="7"/>
    <n v="1"/>
    <n v="7"/>
  </r>
  <r>
    <n v="1211512"/>
    <n v="27"/>
    <x v="2"/>
    <s v="No"/>
    <x v="0"/>
    <x v="0"/>
    <n v="269"/>
    <x v="2"/>
    <n v="5"/>
    <n v="1"/>
    <x v="4"/>
    <n v="1"/>
    <n v="3"/>
    <x v="1"/>
    <n v="42"/>
    <n v="2"/>
    <n v="3"/>
    <s v="Therapist"/>
    <n v="4"/>
    <s v="Good"/>
    <x v="2"/>
    <n v="12808"/>
    <x v="2"/>
    <n v="8842"/>
    <n v="1"/>
    <s v="Y"/>
    <s v="Yes"/>
    <n v="16"/>
    <x v="0"/>
    <s v="Low Performance"/>
    <n v="2"/>
    <n v="80"/>
    <n v="1"/>
    <n v="9"/>
    <n v="3"/>
    <n v="3"/>
    <s v="Fair"/>
    <n v="9"/>
    <n v="8"/>
    <n v="0"/>
    <n v="8"/>
  </r>
  <r>
    <n v="1159699"/>
    <n v="30"/>
    <x v="2"/>
    <s v="No"/>
    <x v="0"/>
    <x v="0"/>
    <n v="201"/>
    <x v="1"/>
    <n v="5"/>
    <n v="3"/>
    <x v="4"/>
    <n v="1"/>
    <n v="4"/>
    <x v="0"/>
    <n v="84"/>
    <n v="3"/>
    <n v="1"/>
    <s v="Nurse"/>
    <n v="1"/>
    <s v="Poor"/>
    <x v="2"/>
    <n v="3204"/>
    <x v="1"/>
    <n v="10415"/>
    <n v="5"/>
    <s v="Y"/>
    <s v="No"/>
    <n v="14"/>
    <x v="0"/>
    <s v="Low Performance"/>
    <n v="4"/>
    <n v="80"/>
    <n v="1"/>
    <n v="8"/>
    <n v="3"/>
    <n v="3"/>
    <s v="Fair"/>
    <n v="3"/>
    <n v="2"/>
    <n v="2"/>
    <n v="2"/>
  </r>
  <r>
    <n v="1677368"/>
    <n v="34"/>
    <x v="2"/>
    <s v="No"/>
    <x v="0"/>
    <x v="0"/>
    <n v="678"/>
    <x v="1"/>
    <n v="19"/>
    <n v="3"/>
    <x v="0"/>
    <n v="1"/>
    <n v="2"/>
    <x v="0"/>
    <n v="35"/>
    <n v="2"/>
    <n v="1"/>
    <s v="Nurse"/>
    <n v="4"/>
    <s v="Good"/>
    <x v="1"/>
    <n v="2929"/>
    <x v="1"/>
    <n v="20338"/>
    <n v="1"/>
    <s v="Y"/>
    <s v="No"/>
    <n v="12"/>
    <x v="0"/>
    <s v="Low Performance"/>
    <n v="2"/>
    <n v="80"/>
    <n v="0"/>
    <n v="10"/>
    <n v="3"/>
    <n v="3"/>
    <s v="Fair"/>
    <n v="10"/>
    <n v="9"/>
    <n v="8"/>
    <n v="7"/>
  </r>
  <r>
    <n v="1030882"/>
    <n v="31"/>
    <x v="2"/>
    <s v="No"/>
    <x v="0"/>
    <x v="0"/>
    <n v="670"/>
    <x v="1"/>
    <n v="26"/>
    <n v="1"/>
    <x v="0"/>
    <n v="1"/>
    <n v="1"/>
    <x v="1"/>
    <n v="31"/>
    <n v="3"/>
    <n v="1"/>
    <s v="Nurse"/>
    <n v="3"/>
    <s v="Fair"/>
    <x v="2"/>
    <n v="2911"/>
    <x v="1"/>
    <n v="15170"/>
    <n v="1"/>
    <s v="Y"/>
    <s v="No"/>
    <n v="17"/>
    <x v="0"/>
    <s v="Low Performance"/>
    <n v="4"/>
    <n v="80"/>
    <n v="1"/>
    <n v="5"/>
    <n v="1"/>
    <n v="2"/>
    <s v="Poor"/>
    <n v="5"/>
    <n v="2"/>
    <n v="4"/>
    <n v="3"/>
  </r>
  <r>
    <n v="1597825"/>
    <n v="27"/>
    <x v="2"/>
    <s v="No"/>
    <x v="0"/>
    <x v="1"/>
    <n v="829"/>
    <x v="0"/>
    <n v="8"/>
    <n v="1"/>
    <x v="3"/>
    <n v="1"/>
    <n v="3"/>
    <x v="1"/>
    <n v="84"/>
    <n v="3"/>
    <n v="2"/>
    <s v="Therapist"/>
    <n v="4"/>
    <s v="Good"/>
    <x v="1"/>
    <n v="4342"/>
    <x v="1"/>
    <n v="24008"/>
    <n v="0"/>
    <s v="Y"/>
    <s v="No"/>
    <n v="19"/>
    <x v="0"/>
    <s v="Low Performance"/>
    <n v="2"/>
    <n v="80"/>
    <n v="1"/>
    <n v="5"/>
    <n v="3"/>
    <n v="3"/>
    <s v="Fair"/>
    <n v="4"/>
    <n v="2"/>
    <n v="1"/>
    <n v="1"/>
  </r>
  <r>
    <n v="1822734"/>
    <n v="38"/>
    <x v="0"/>
    <s v="No"/>
    <x v="0"/>
    <x v="0"/>
    <n v="437"/>
    <x v="0"/>
    <n v="16"/>
    <n v="3"/>
    <x v="0"/>
    <n v="1"/>
    <n v="2"/>
    <x v="0"/>
    <n v="90"/>
    <n v="3"/>
    <n v="2"/>
    <s v="Therapist"/>
    <n v="2"/>
    <s v="Poor"/>
    <x v="0"/>
    <n v="4198"/>
    <x v="1"/>
    <n v="16379"/>
    <n v="2"/>
    <s v="Y"/>
    <s v="No"/>
    <n v="12"/>
    <x v="0"/>
    <s v="Low Performance"/>
    <n v="2"/>
    <n v="80"/>
    <n v="0"/>
    <n v="8"/>
    <n v="5"/>
    <n v="4"/>
    <s v="Good"/>
    <n v="3"/>
    <n v="2"/>
    <n v="1"/>
    <n v="2"/>
  </r>
  <r>
    <n v="1237678"/>
    <n v="27"/>
    <x v="2"/>
    <s v="No"/>
    <x v="0"/>
    <x v="1"/>
    <n v="1410"/>
    <x v="0"/>
    <n v="3"/>
    <n v="1"/>
    <x v="2"/>
    <n v="1"/>
    <n v="4"/>
    <x v="0"/>
    <n v="71"/>
    <n v="4"/>
    <n v="2"/>
    <s v="Therapist"/>
    <n v="4"/>
    <s v="Good"/>
    <x v="2"/>
    <n v="4647"/>
    <x v="1"/>
    <n v="16673"/>
    <n v="1"/>
    <s v="Y"/>
    <s v="Yes"/>
    <n v="20"/>
    <x v="1"/>
    <s v="High Performance"/>
    <n v="2"/>
    <n v="80"/>
    <n v="2"/>
    <n v="6"/>
    <n v="3"/>
    <n v="3"/>
    <s v="Fair"/>
    <n v="6"/>
    <n v="5"/>
    <n v="0"/>
    <n v="4"/>
  </r>
  <r>
    <n v="1178700"/>
    <n v="55"/>
    <x v="1"/>
    <s v="No"/>
    <x v="0"/>
    <x v="2"/>
    <n v="444"/>
    <x v="1"/>
    <n v="2"/>
    <n v="1"/>
    <x v="2"/>
    <n v="1"/>
    <n v="3"/>
    <x v="1"/>
    <n v="40"/>
    <n v="2"/>
    <n v="4"/>
    <s v="Admin"/>
    <n v="1"/>
    <s v="Poor"/>
    <x v="0"/>
    <n v="16756"/>
    <x v="2"/>
    <n v="17323"/>
    <n v="7"/>
    <s v="Y"/>
    <s v="No"/>
    <n v="15"/>
    <x v="0"/>
    <s v="Low Performance"/>
    <n v="2"/>
    <n v="80"/>
    <n v="0"/>
    <n v="31"/>
    <n v="3"/>
    <n v="4"/>
    <s v="Good"/>
    <n v="9"/>
    <n v="7"/>
    <n v="6"/>
    <n v="2"/>
  </r>
  <r>
    <n v="1854050"/>
    <n v="52"/>
    <x v="1"/>
    <s v="No"/>
    <x v="0"/>
    <x v="0"/>
    <n v="319"/>
    <x v="1"/>
    <n v="3"/>
    <n v="3"/>
    <x v="2"/>
    <n v="1"/>
    <n v="4"/>
    <x v="1"/>
    <n v="39"/>
    <n v="2"/>
    <n v="3"/>
    <s v="Therapist"/>
    <n v="3"/>
    <s v="Fair"/>
    <x v="1"/>
    <n v="7969"/>
    <x v="0"/>
    <n v="19609"/>
    <n v="2"/>
    <s v="Y"/>
    <s v="Yes"/>
    <n v="14"/>
    <x v="0"/>
    <s v="Low Performance"/>
    <n v="3"/>
    <n v="80"/>
    <n v="0"/>
    <n v="28"/>
    <n v="4"/>
    <n v="3"/>
    <s v="Fair"/>
    <n v="5"/>
    <n v="4"/>
    <n v="0"/>
    <n v="4"/>
  </r>
  <r>
    <n v="1833939"/>
    <n v="35"/>
    <x v="2"/>
    <s v="No"/>
    <x v="0"/>
    <x v="0"/>
    <n v="1029"/>
    <x v="1"/>
    <n v="16"/>
    <n v="3"/>
    <x v="0"/>
    <n v="1"/>
    <n v="4"/>
    <x v="0"/>
    <n v="91"/>
    <n v="2"/>
    <n v="3"/>
    <s v="Other"/>
    <n v="2"/>
    <s v="Poor"/>
    <x v="0"/>
    <n v="8606"/>
    <x v="0"/>
    <n v="21195"/>
    <n v="1"/>
    <s v="Y"/>
    <s v="No"/>
    <n v="19"/>
    <x v="0"/>
    <s v="Low Performance"/>
    <n v="4"/>
    <n v="80"/>
    <n v="0"/>
    <n v="11"/>
    <n v="3"/>
    <n v="1"/>
    <s v="Poor"/>
    <n v="11"/>
    <n v="8"/>
    <n v="3"/>
    <n v="3"/>
  </r>
  <r>
    <n v="1822695"/>
    <n v="53"/>
    <x v="1"/>
    <s v="No"/>
    <x v="0"/>
    <x v="0"/>
    <n v="346"/>
    <x v="2"/>
    <n v="6"/>
    <n v="3"/>
    <x v="0"/>
    <n v="1"/>
    <n v="4"/>
    <x v="1"/>
    <n v="86"/>
    <n v="3"/>
    <n v="2"/>
    <s v="Nurse"/>
    <n v="4"/>
    <s v="Good"/>
    <x v="0"/>
    <n v="2450"/>
    <x v="1"/>
    <n v="10919"/>
    <n v="2"/>
    <s v="Y"/>
    <s v="No"/>
    <n v="17"/>
    <x v="0"/>
    <s v="Low Performance"/>
    <n v="4"/>
    <n v="80"/>
    <n v="0"/>
    <n v="19"/>
    <n v="4"/>
    <n v="3"/>
    <s v="Fair"/>
    <n v="2"/>
    <n v="2"/>
    <n v="2"/>
    <n v="2"/>
  </r>
  <r>
    <n v="1252779"/>
    <n v="43"/>
    <x v="0"/>
    <s v="No"/>
    <x v="0"/>
    <x v="1"/>
    <n v="559"/>
    <x v="2"/>
    <n v="10"/>
    <n v="4"/>
    <x v="0"/>
    <n v="1"/>
    <n v="3"/>
    <x v="0"/>
    <n v="82"/>
    <n v="2"/>
    <n v="2"/>
    <s v="Nurse"/>
    <n v="3"/>
    <s v="Fair"/>
    <x v="2"/>
    <n v="5257"/>
    <x v="0"/>
    <n v="6227"/>
    <n v="1"/>
    <s v="Y"/>
    <s v="No"/>
    <n v="11"/>
    <x v="0"/>
    <s v="Low Performance"/>
    <n v="2"/>
    <n v="80"/>
    <n v="1"/>
    <n v="9"/>
    <n v="3"/>
    <n v="4"/>
    <s v="Good"/>
    <n v="9"/>
    <n v="7"/>
    <n v="0"/>
    <n v="0"/>
  </r>
  <r>
    <n v="1831971"/>
    <n v="27"/>
    <x v="2"/>
    <s v="No"/>
    <x v="0"/>
    <x v="0"/>
    <n v="1420"/>
    <x v="0"/>
    <n v="2"/>
    <n v="1"/>
    <x v="3"/>
    <n v="1"/>
    <n v="3"/>
    <x v="1"/>
    <n v="85"/>
    <n v="3"/>
    <n v="1"/>
    <s v="Other"/>
    <n v="1"/>
    <s v="Poor"/>
    <x v="2"/>
    <n v="3041"/>
    <x v="1"/>
    <n v="16346"/>
    <n v="0"/>
    <s v="Y"/>
    <s v="No"/>
    <n v="11"/>
    <x v="0"/>
    <s v="Low Performance"/>
    <n v="2"/>
    <n v="80"/>
    <n v="1"/>
    <n v="5"/>
    <n v="3"/>
    <n v="3"/>
    <s v="Fair"/>
    <n v="4"/>
    <n v="3"/>
    <n v="0"/>
    <n v="2"/>
  </r>
  <r>
    <n v="1473219"/>
    <n v="38"/>
    <x v="0"/>
    <s v="No"/>
    <x v="0"/>
    <x v="1"/>
    <n v="594"/>
    <x v="2"/>
    <n v="2"/>
    <n v="2"/>
    <x v="2"/>
    <n v="1"/>
    <n v="3"/>
    <x v="0"/>
    <n v="75"/>
    <n v="2"/>
    <n v="1"/>
    <s v="Nurse"/>
    <n v="2"/>
    <s v="Poor"/>
    <x v="1"/>
    <n v="2468"/>
    <x v="1"/>
    <n v="15963"/>
    <n v="4"/>
    <s v="Y"/>
    <s v="No"/>
    <n v="14"/>
    <x v="0"/>
    <s v="Low Performance"/>
    <n v="2"/>
    <n v="80"/>
    <n v="1"/>
    <n v="9"/>
    <n v="4"/>
    <n v="2"/>
    <s v="Poor"/>
    <n v="6"/>
    <n v="1"/>
    <n v="0"/>
    <n v="5"/>
  </r>
  <r>
    <n v="1178469"/>
    <n v="36"/>
    <x v="0"/>
    <s v="No"/>
    <x v="0"/>
    <x v="1"/>
    <n v="607"/>
    <x v="0"/>
    <n v="7"/>
    <n v="3"/>
    <x v="3"/>
    <n v="1"/>
    <n v="1"/>
    <x v="0"/>
    <n v="83"/>
    <n v="4"/>
    <n v="2"/>
    <s v="Therapist"/>
    <n v="1"/>
    <s v="Poor"/>
    <x v="1"/>
    <n v="4639"/>
    <x v="1"/>
    <n v="2261"/>
    <n v="2"/>
    <s v="Y"/>
    <s v="No"/>
    <n v="16"/>
    <x v="0"/>
    <s v="Low Performance"/>
    <n v="4"/>
    <n v="80"/>
    <n v="1"/>
    <n v="17"/>
    <n v="2"/>
    <n v="2"/>
    <s v="Poor"/>
    <n v="15"/>
    <n v="7"/>
    <n v="6"/>
    <n v="13"/>
  </r>
  <r>
    <n v="1075883"/>
    <n v="46"/>
    <x v="1"/>
    <s v="No"/>
    <x v="0"/>
    <x v="0"/>
    <n v="1125"/>
    <x v="0"/>
    <n v="10"/>
    <n v="3"/>
    <x v="3"/>
    <n v="1"/>
    <n v="3"/>
    <x v="0"/>
    <n v="94"/>
    <n v="2"/>
    <n v="3"/>
    <s v="Therapist"/>
    <n v="4"/>
    <s v="Good"/>
    <x v="1"/>
    <n v="9071"/>
    <x v="0"/>
    <n v="11563"/>
    <n v="2"/>
    <s v="Y"/>
    <s v="Yes"/>
    <n v="19"/>
    <x v="0"/>
    <s v="Low Performance"/>
    <n v="3"/>
    <n v="80"/>
    <n v="1"/>
    <n v="15"/>
    <n v="3"/>
    <n v="3"/>
    <s v="Fair"/>
    <n v="3"/>
    <n v="2"/>
    <n v="1"/>
    <n v="2"/>
  </r>
  <r>
    <n v="1853111"/>
    <n v="51"/>
    <x v="1"/>
    <s v="No"/>
    <x v="0"/>
    <x v="0"/>
    <n v="684"/>
    <x v="2"/>
    <n v="6"/>
    <n v="3"/>
    <x v="0"/>
    <n v="1"/>
    <n v="1"/>
    <x v="1"/>
    <n v="51"/>
    <n v="3"/>
    <n v="5"/>
    <s v="Therapist"/>
    <n v="3"/>
    <s v="Fair"/>
    <x v="0"/>
    <n v="19537"/>
    <x v="2"/>
    <n v="6462"/>
    <n v="7"/>
    <s v="Y"/>
    <s v="No"/>
    <n v="13"/>
    <x v="0"/>
    <s v="Low Performance"/>
    <n v="3"/>
    <n v="80"/>
    <n v="0"/>
    <n v="23"/>
    <n v="5"/>
    <n v="3"/>
    <s v="Fair"/>
    <n v="20"/>
    <n v="18"/>
    <n v="15"/>
    <n v="15"/>
  </r>
  <r>
    <n v="1455592"/>
    <n v="27"/>
    <x v="2"/>
    <s v="No"/>
    <x v="0"/>
    <x v="0"/>
    <n v="954"/>
    <x v="0"/>
    <n v="9"/>
    <n v="3"/>
    <x v="3"/>
    <n v="1"/>
    <n v="4"/>
    <x v="1"/>
    <n v="44"/>
    <n v="3"/>
    <n v="2"/>
    <s v="Therapist"/>
    <n v="4"/>
    <s v="Good"/>
    <x v="0"/>
    <n v="4105"/>
    <x v="1"/>
    <n v="5099"/>
    <n v="1"/>
    <s v="Y"/>
    <s v="No"/>
    <n v="14"/>
    <x v="0"/>
    <s v="Low Performance"/>
    <n v="1"/>
    <n v="80"/>
    <n v="0"/>
    <n v="7"/>
    <n v="5"/>
    <n v="3"/>
    <s v="Fair"/>
    <n v="7"/>
    <n v="7"/>
    <n v="0"/>
    <n v="7"/>
  </r>
  <r>
    <n v="1440762"/>
    <n v="30"/>
    <x v="2"/>
    <s v="No"/>
    <x v="0"/>
    <x v="0"/>
    <n v="1138"/>
    <x v="2"/>
    <n v="6"/>
    <n v="3"/>
    <x v="4"/>
    <n v="1"/>
    <n v="1"/>
    <x v="0"/>
    <n v="48"/>
    <n v="2"/>
    <n v="2"/>
    <s v="Nurse"/>
    <n v="4"/>
    <s v="Good"/>
    <x v="1"/>
    <n v="4627"/>
    <x v="1"/>
    <n v="23631"/>
    <n v="0"/>
    <s v="Y"/>
    <s v="No"/>
    <n v="12"/>
    <x v="0"/>
    <s v="Low Performance"/>
    <n v="1"/>
    <n v="80"/>
    <n v="1"/>
    <n v="10"/>
    <n v="6"/>
    <n v="3"/>
    <s v="Fair"/>
    <n v="9"/>
    <n v="2"/>
    <n v="6"/>
    <n v="7"/>
  </r>
  <r>
    <n v="1581448"/>
    <n v="28"/>
    <x v="2"/>
    <s v="No"/>
    <x v="0"/>
    <x v="0"/>
    <n v="821"/>
    <x v="0"/>
    <n v="5"/>
    <n v="4"/>
    <x v="2"/>
    <n v="1"/>
    <n v="1"/>
    <x v="1"/>
    <n v="98"/>
    <n v="3"/>
    <n v="2"/>
    <s v="Therapist"/>
    <n v="4"/>
    <s v="Good"/>
    <x v="0"/>
    <n v="4908"/>
    <x v="1"/>
    <n v="24252"/>
    <n v="1"/>
    <s v="Y"/>
    <s v="No"/>
    <n v="14"/>
    <x v="0"/>
    <s v="Low Performance"/>
    <n v="2"/>
    <n v="80"/>
    <n v="0"/>
    <n v="4"/>
    <n v="3"/>
    <n v="3"/>
    <s v="Fair"/>
    <n v="4"/>
    <n v="2"/>
    <n v="0"/>
    <n v="2"/>
  </r>
  <r>
    <n v="1085909"/>
    <n v="36"/>
    <x v="0"/>
    <s v="No"/>
    <x v="0"/>
    <x v="1"/>
    <n v="884"/>
    <x v="2"/>
    <n v="23"/>
    <n v="2"/>
    <x v="2"/>
    <n v="1"/>
    <n v="3"/>
    <x v="1"/>
    <n v="41"/>
    <n v="4"/>
    <n v="2"/>
    <s v="Nurse"/>
    <n v="4"/>
    <s v="Good"/>
    <x v="1"/>
    <n v="2571"/>
    <x v="1"/>
    <n v="12290"/>
    <n v="4"/>
    <s v="Y"/>
    <s v="No"/>
    <n v="17"/>
    <x v="0"/>
    <s v="Low Performance"/>
    <n v="3"/>
    <n v="80"/>
    <n v="1"/>
    <n v="17"/>
    <n v="3"/>
    <n v="3"/>
    <s v="Fair"/>
    <n v="5"/>
    <n v="2"/>
    <n v="0"/>
    <n v="3"/>
  </r>
  <r>
    <n v="1213892"/>
    <n v="31"/>
    <x v="2"/>
    <s v="No"/>
    <x v="0"/>
    <x v="2"/>
    <n v="1188"/>
    <x v="0"/>
    <n v="20"/>
    <n v="2"/>
    <x v="3"/>
    <n v="1"/>
    <n v="4"/>
    <x v="0"/>
    <n v="45"/>
    <n v="3"/>
    <n v="2"/>
    <s v="Therapist"/>
    <n v="3"/>
    <s v="Fair"/>
    <x v="1"/>
    <n v="6932"/>
    <x v="0"/>
    <n v="24406"/>
    <n v="1"/>
    <s v="Y"/>
    <s v="No"/>
    <n v="13"/>
    <x v="0"/>
    <s v="Low Performance"/>
    <n v="4"/>
    <n v="80"/>
    <n v="1"/>
    <n v="9"/>
    <n v="2"/>
    <n v="2"/>
    <s v="Poor"/>
    <n v="9"/>
    <n v="8"/>
    <n v="0"/>
    <n v="0"/>
  </r>
  <r>
    <n v="1461811"/>
    <n v="37"/>
    <x v="0"/>
    <s v="No"/>
    <x v="0"/>
    <x v="0"/>
    <n v="342"/>
    <x v="0"/>
    <n v="16"/>
    <n v="4"/>
    <x v="3"/>
    <n v="1"/>
    <n v="4"/>
    <x v="1"/>
    <n v="66"/>
    <n v="2"/>
    <n v="2"/>
    <s v="Therapist"/>
    <n v="3"/>
    <s v="Fair"/>
    <x v="2"/>
    <n v="6334"/>
    <x v="0"/>
    <n v="24558"/>
    <n v="4"/>
    <s v="Y"/>
    <s v="No"/>
    <n v="19"/>
    <x v="0"/>
    <s v="Low Performance"/>
    <n v="4"/>
    <n v="80"/>
    <n v="2"/>
    <n v="9"/>
    <n v="2"/>
    <n v="3"/>
    <s v="Fair"/>
    <n v="1"/>
    <n v="0"/>
    <n v="0"/>
    <n v="0"/>
  </r>
  <r>
    <n v="1501908"/>
    <n v="35"/>
    <x v="2"/>
    <s v="No"/>
    <x v="0"/>
    <x v="0"/>
    <n v="1276"/>
    <x v="1"/>
    <n v="16"/>
    <n v="3"/>
    <x v="0"/>
    <n v="1"/>
    <n v="4"/>
    <x v="1"/>
    <n v="72"/>
    <n v="3"/>
    <n v="3"/>
    <s v="Other"/>
    <n v="3"/>
    <s v="Fair"/>
    <x v="1"/>
    <n v="7632"/>
    <x v="0"/>
    <n v="14295"/>
    <n v="4"/>
    <s v="Y"/>
    <s v="Yes"/>
    <n v="12"/>
    <x v="0"/>
    <s v="Low Performance"/>
    <n v="3"/>
    <n v="80"/>
    <n v="0"/>
    <n v="10"/>
    <n v="2"/>
    <n v="3"/>
    <s v="Fair"/>
    <n v="8"/>
    <n v="7"/>
    <n v="0"/>
    <n v="0"/>
  </r>
  <r>
    <n v="1065186"/>
    <n v="49"/>
    <x v="1"/>
    <s v="No"/>
    <x v="0"/>
    <x v="0"/>
    <n v="1098"/>
    <x v="1"/>
    <n v="4"/>
    <n v="2"/>
    <x v="2"/>
    <n v="1"/>
    <n v="1"/>
    <x v="1"/>
    <n v="85"/>
    <n v="2"/>
    <n v="5"/>
    <s v="Admin"/>
    <n v="3"/>
    <s v="Fair"/>
    <x v="1"/>
    <n v="18711"/>
    <x v="2"/>
    <n v="12124"/>
    <n v="2"/>
    <s v="Y"/>
    <s v="No"/>
    <n v="13"/>
    <x v="0"/>
    <s v="Low Performance"/>
    <n v="3"/>
    <n v="80"/>
    <n v="1"/>
    <n v="23"/>
    <n v="2"/>
    <n v="4"/>
    <s v="Good"/>
    <n v="1"/>
    <n v="0"/>
    <n v="0"/>
    <n v="0"/>
  </r>
  <r>
    <n v="1382014"/>
    <n v="49"/>
    <x v="1"/>
    <s v="No"/>
    <x v="0"/>
    <x v="0"/>
    <n v="722"/>
    <x v="2"/>
    <n v="25"/>
    <n v="4"/>
    <x v="0"/>
    <n v="1"/>
    <n v="3"/>
    <x v="0"/>
    <n v="84"/>
    <n v="3"/>
    <n v="1"/>
    <s v="Nurse"/>
    <n v="1"/>
    <s v="Poor"/>
    <x v="1"/>
    <n v="3211"/>
    <x v="1"/>
    <n v="22102"/>
    <n v="1"/>
    <s v="Y"/>
    <s v="No"/>
    <n v="14"/>
    <x v="0"/>
    <s v="Low Performance"/>
    <n v="4"/>
    <n v="80"/>
    <n v="1"/>
    <n v="10"/>
    <n v="3"/>
    <n v="2"/>
    <s v="Poor"/>
    <n v="9"/>
    <n v="6"/>
    <n v="1"/>
    <n v="4"/>
  </r>
  <r>
    <n v="1850673"/>
    <n v="42"/>
    <x v="0"/>
    <s v="No"/>
    <x v="0"/>
    <x v="1"/>
    <n v="748"/>
    <x v="2"/>
    <n v="9"/>
    <n v="2"/>
    <x v="2"/>
    <n v="1"/>
    <n v="1"/>
    <x v="0"/>
    <n v="74"/>
    <n v="3"/>
    <n v="1"/>
    <s v="Nurse"/>
    <n v="4"/>
    <s v="Good"/>
    <x v="0"/>
    <n v="3673"/>
    <x v="1"/>
    <n v="16458"/>
    <n v="1"/>
    <s v="Y"/>
    <s v="No"/>
    <n v="13"/>
    <x v="0"/>
    <s v="Low Performance"/>
    <n v="3"/>
    <n v="80"/>
    <n v="0"/>
    <n v="12"/>
    <n v="3"/>
    <n v="3"/>
    <s v="Fair"/>
    <n v="12"/>
    <n v="9"/>
    <n v="5"/>
    <n v="8"/>
  </r>
  <r>
    <n v="1239516"/>
    <n v="31"/>
    <x v="2"/>
    <s v="No"/>
    <x v="0"/>
    <x v="0"/>
    <n v="1332"/>
    <x v="1"/>
    <n v="11"/>
    <n v="2"/>
    <x v="2"/>
    <n v="1"/>
    <n v="3"/>
    <x v="1"/>
    <n v="80"/>
    <n v="3"/>
    <n v="2"/>
    <s v="Other"/>
    <n v="1"/>
    <s v="Poor"/>
    <x v="1"/>
    <n v="6833"/>
    <x v="0"/>
    <n v="17089"/>
    <n v="1"/>
    <s v="Y"/>
    <s v="Yes"/>
    <n v="12"/>
    <x v="0"/>
    <s v="Low Performance"/>
    <n v="4"/>
    <n v="80"/>
    <n v="0"/>
    <n v="6"/>
    <n v="2"/>
    <n v="2"/>
    <s v="Poor"/>
    <n v="6"/>
    <n v="5"/>
    <n v="0"/>
    <n v="1"/>
  </r>
  <r>
    <n v="1290256"/>
    <n v="30"/>
    <x v="2"/>
    <s v="No"/>
    <x v="0"/>
    <x v="0"/>
    <n v="1427"/>
    <x v="2"/>
    <n v="2"/>
    <n v="1"/>
    <x v="2"/>
    <n v="1"/>
    <n v="2"/>
    <x v="1"/>
    <n v="35"/>
    <n v="2"/>
    <n v="1"/>
    <s v="Nurse"/>
    <n v="4"/>
    <s v="Good"/>
    <x v="0"/>
    <n v="2720"/>
    <x v="1"/>
    <n v="11162"/>
    <n v="0"/>
    <s v="Y"/>
    <s v="No"/>
    <n v="13"/>
    <x v="0"/>
    <s v="Low Performance"/>
    <n v="4"/>
    <n v="80"/>
    <n v="0"/>
    <n v="6"/>
    <n v="3"/>
    <n v="3"/>
    <s v="Fair"/>
    <n v="5"/>
    <n v="3"/>
    <n v="1"/>
    <n v="2"/>
  </r>
  <r>
    <n v="1239491"/>
    <n v="35"/>
    <x v="2"/>
    <s v="No"/>
    <x v="0"/>
    <x v="0"/>
    <n v="619"/>
    <x v="0"/>
    <n v="1"/>
    <n v="3"/>
    <x v="3"/>
    <n v="1"/>
    <n v="2"/>
    <x v="1"/>
    <n v="85"/>
    <n v="3"/>
    <n v="2"/>
    <s v="Therapist"/>
    <n v="3"/>
    <s v="Fair"/>
    <x v="1"/>
    <n v="4717"/>
    <x v="1"/>
    <n v="18659"/>
    <n v="9"/>
    <s v="Y"/>
    <s v="No"/>
    <n v="11"/>
    <x v="0"/>
    <s v="Low Performance"/>
    <n v="3"/>
    <n v="80"/>
    <n v="0"/>
    <n v="15"/>
    <n v="2"/>
    <n v="3"/>
    <s v="Fair"/>
    <n v="11"/>
    <n v="9"/>
    <n v="6"/>
    <n v="9"/>
  </r>
  <r>
    <n v="1822238"/>
    <n v="28"/>
    <x v="2"/>
    <s v="No"/>
    <x v="0"/>
    <x v="0"/>
    <n v="857"/>
    <x v="1"/>
    <n v="10"/>
    <n v="3"/>
    <x v="1"/>
    <n v="1"/>
    <n v="3"/>
    <x v="0"/>
    <n v="59"/>
    <n v="3"/>
    <n v="2"/>
    <s v="Nurse"/>
    <n v="3"/>
    <s v="Fair"/>
    <x v="0"/>
    <n v="3660"/>
    <x v="1"/>
    <n v="7909"/>
    <n v="3"/>
    <s v="Y"/>
    <s v="No"/>
    <n v="13"/>
    <x v="0"/>
    <s v="Low Performance"/>
    <n v="4"/>
    <n v="80"/>
    <n v="0"/>
    <n v="10"/>
    <n v="4"/>
    <n v="4"/>
    <s v="Good"/>
    <n v="8"/>
    <n v="7"/>
    <n v="1"/>
    <n v="7"/>
  </r>
  <r>
    <n v="1220579"/>
    <n v="39"/>
    <x v="0"/>
    <s v="No"/>
    <x v="0"/>
    <x v="0"/>
    <n v="360"/>
    <x v="1"/>
    <n v="23"/>
    <n v="3"/>
    <x v="2"/>
    <n v="1"/>
    <n v="3"/>
    <x v="1"/>
    <n v="93"/>
    <n v="3"/>
    <n v="1"/>
    <s v="Nurse"/>
    <n v="1"/>
    <s v="Poor"/>
    <x v="0"/>
    <n v="3904"/>
    <x v="1"/>
    <n v="22154"/>
    <n v="0"/>
    <s v="Y"/>
    <s v="No"/>
    <n v="13"/>
    <x v="0"/>
    <s v="Low Performance"/>
    <n v="1"/>
    <n v="80"/>
    <n v="0"/>
    <n v="6"/>
    <n v="2"/>
    <n v="3"/>
    <s v="Fair"/>
    <n v="5"/>
    <n v="2"/>
    <n v="0"/>
    <n v="3"/>
  </r>
  <r>
    <n v="1143606"/>
    <n v="48"/>
    <x v="1"/>
    <s v="No"/>
    <x v="0"/>
    <x v="0"/>
    <n v="817"/>
    <x v="0"/>
    <n v="2"/>
    <n v="1"/>
    <x v="3"/>
    <n v="1"/>
    <n v="2"/>
    <x v="1"/>
    <n v="56"/>
    <n v="4"/>
    <n v="2"/>
    <s v="Therapist"/>
    <n v="2"/>
    <s v="Poor"/>
    <x v="1"/>
    <n v="8120"/>
    <x v="0"/>
    <n v="18597"/>
    <n v="3"/>
    <s v="Y"/>
    <s v="No"/>
    <n v="12"/>
    <x v="0"/>
    <s v="Low Performance"/>
    <n v="4"/>
    <n v="80"/>
    <n v="0"/>
    <n v="12"/>
    <n v="3"/>
    <n v="3"/>
    <s v="Fair"/>
    <n v="2"/>
    <n v="2"/>
    <n v="2"/>
    <n v="2"/>
  </r>
  <r>
    <n v="1200749"/>
    <n v="34"/>
    <x v="2"/>
    <s v="No"/>
    <x v="0"/>
    <x v="0"/>
    <n v="401"/>
    <x v="2"/>
    <n v="1"/>
    <n v="3"/>
    <x v="0"/>
    <n v="1"/>
    <n v="4"/>
    <x v="0"/>
    <n v="86"/>
    <n v="2"/>
    <n v="1"/>
    <s v="Nurse"/>
    <n v="2"/>
    <s v="Poor"/>
    <x v="1"/>
    <n v="3294"/>
    <x v="1"/>
    <n v="3708"/>
    <n v="5"/>
    <s v="Y"/>
    <s v="No"/>
    <n v="17"/>
    <x v="0"/>
    <s v="Low Performance"/>
    <n v="1"/>
    <n v="80"/>
    <n v="1"/>
    <n v="7"/>
    <n v="2"/>
    <n v="2"/>
    <s v="Poor"/>
    <n v="5"/>
    <n v="4"/>
    <n v="0"/>
    <n v="2"/>
  </r>
  <r>
    <n v="1633070"/>
    <n v="55"/>
    <x v="1"/>
    <s v="No"/>
    <x v="0"/>
    <x v="0"/>
    <n v="282"/>
    <x v="1"/>
    <n v="2"/>
    <n v="2"/>
    <x v="2"/>
    <n v="1"/>
    <n v="4"/>
    <x v="0"/>
    <n v="58"/>
    <n v="1"/>
    <n v="5"/>
    <s v="Admin"/>
    <n v="3"/>
    <s v="Fair"/>
    <x v="1"/>
    <n v="19187"/>
    <x v="2"/>
    <n v="6992"/>
    <n v="4"/>
    <s v="Y"/>
    <s v="No"/>
    <n v="14"/>
    <x v="0"/>
    <s v="Low Performance"/>
    <n v="4"/>
    <n v="80"/>
    <n v="1"/>
    <n v="23"/>
    <n v="5"/>
    <n v="3"/>
    <s v="Fair"/>
    <n v="19"/>
    <n v="9"/>
    <n v="9"/>
    <n v="11"/>
  </r>
  <r>
    <n v="1066528"/>
    <n v="38"/>
    <x v="0"/>
    <s v="No"/>
    <x v="0"/>
    <x v="2"/>
    <n v="1336"/>
    <x v="2"/>
    <n v="2"/>
    <n v="3"/>
    <x v="5"/>
    <n v="1"/>
    <n v="1"/>
    <x v="1"/>
    <n v="100"/>
    <n v="3"/>
    <n v="1"/>
    <s v="Other"/>
    <n v="2"/>
    <s v="Poor"/>
    <x v="2"/>
    <n v="2592"/>
    <x v="1"/>
    <n v="7129"/>
    <n v="5"/>
    <s v="Y"/>
    <s v="No"/>
    <n v="13"/>
    <x v="0"/>
    <s v="Low Performance"/>
    <n v="4"/>
    <n v="80"/>
    <n v="3"/>
    <n v="13"/>
    <n v="3"/>
    <n v="3"/>
    <s v="Fair"/>
    <n v="11"/>
    <n v="10"/>
    <n v="3"/>
    <n v="8"/>
  </r>
  <r>
    <n v="1157111"/>
    <n v="37"/>
    <x v="0"/>
    <s v="No"/>
    <x v="0"/>
    <x v="0"/>
    <n v="309"/>
    <x v="0"/>
    <n v="10"/>
    <n v="4"/>
    <x v="0"/>
    <n v="1"/>
    <n v="4"/>
    <x v="0"/>
    <n v="88"/>
    <n v="2"/>
    <n v="2"/>
    <s v="Nurse"/>
    <n v="4"/>
    <s v="Good"/>
    <x v="2"/>
    <n v="6694"/>
    <x v="0"/>
    <n v="24223"/>
    <n v="2"/>
    <s v="Y"/>
    <s v="Yes"/>
    <n v="14"/>
    <x v="0"/>
    <s v="Low Performance"/>
    <n v="3"/>
    <n v="80"/>
    <n v="3"/>
    <n v="8"/>
    <n v="5"/>
    <n v="3"/>
    <s v="Fair"/>
    <n v="1"/>
    <n v="0"/>
    <n v="0"/>
    <n v="0"/>
  </r>
  <r>
    <n v="1792052"/>
    <n v="29"/>
    <x v="2"/>
    <s v="No"/>
    <x v="0"/>
    <x v="0"/>
    <n v="665"/>
    <x v="1"/>
    <n v="15"/>
    <n v="3"/>
    <x v="0"/>
    <n v="1"/>
    <n v="3"/>
    <x v="1"/>
    <n v="60"/>
    <n v="3"/>
    <n v="1"/>
    <s v="Nurse"/>
    <n v="4"/>
    <s v="Good"/>
    <x v="0"/>
    <n v="2340"/>
    <x v="1"/>
    <n v="22673"/>
    <n v="1"/>
    <s v="Y"/>
    <s v="No"/>
    <n v="19"/>
    <x v="0"/>
    <s v="Low Performance"/>
    <n v="1"/>
    <n v="80"/>
    <n v="0"/>
    <n v="6"/>
    <n v="1"/>
    <n v="3"/>
    <s v="Fair"/>
    <n v="6"/>
    <n v="5"/>
    <n v="1"/>
    <n v="5"/>
  </r>
  <r>
    <n v="1676128"/>
    <n v="35"/>
    <x v="2"/>
    <s v="No"/>
    <x v="0"/>
    <x v="2"/>
    <n v="727"/>
    <x v="2"/>
    <n v="3"/>
    <n v="3"/>
    <x v="0"/>
    <n v="1"/>
    <n v="3"/>
    <x v="1"/>
    <n v="41"/>
    <n v="2"/>
    <n v="1"/>
    <s v="Nurse"/>
    <n v="3"/>
    <s v="Fair"/>
    <x v="1"/>
    <n v="1281"/>
    <x v="1"/>
    <n v="16900"/>
    <n v="1"/>
    <s v="Y"/>
    <s v="No"/>
    <n v="18"/>
    <x v="0"/>
    <s v="Low Performance"/>
    <n v="3"/>
    <n v="80"/>
    <n v="2"/>
    <n v="1"/>
    <n v="3"/>
    <n v="3"/>
    <s v="Fair"/>
    <n v="1"/>
    <n v="0"/>
    <n v="0"/>
    <n v="0"/>
  </r>
  <r>
    <n v="1148181"/>
    <n v="33"/>
    <x v="2"/>
    <s v="No"/>
    <x v="0"/>
    <x v="1"/>
    <n v="1146"/>
    <x v="0"/>
    <n v="25"/>
    <n v="3"/>
    <x v="2"/>
    <n v="1"/>
    <n v="2"/>
    <x v="0"/>
    <n v="82"/>
    <n v="3"/>
    <n v="2"/>
    <s v="Nurse"/>
    <n v="3"/>
    <s v="Fair"/>
    <x v="1"/>
    <n v="4539"/>
    <x v="1"/>
    <n v="4905"/>
    <n v="1"/>
    <s v="Y"/>
    <s v="No"/>
    <n v="12"/>
    <x v="0"/>
    <s v="Low Performance"/>
    <n v="1"/>
    <n v="80"/>
    <n v="1"/>
    <n v="10"/>
    <n v="3"/>
    <n v="2"/>
    <s v="Poor"/>
    <n v="10"/>
    <n v="7"/>
    <n v="0"/>
    <n v="1"/>
  </r>
  <r>
    <n v="1844032"/>
    <n v="36"/>
    <x v="0"/>
    <s v="No"/>
    <x v="0"/>
    <x v="0"/>
    <n v="530"/>
    <x v="0"/>
    <n v="2"/>
    <n v="4"/>
    <x v="0"/>
    <n v="1"/>
    <n v="3"/>
    <x v="0"/>
    <n v="51"/>
    <n v="3"/>
    <n v="2"/>
    <s v="Other"/>
    <n v="4"/>
    <s v="Good"/>
    <x v="0"/>
    <n v="4502"/>
    <x v="1"/>
    <n v="7439"/>
    <n v="3"/>
    <s v="Y"/>
    <s v="No"/>
    <n v="15"/>
    <x v="0"/>
    <s v="Low Performance"/>
    <n v="3"/>
    <n v="80"/>
    <n v="0"/>
    <n v="17"/>
    <n v="2"/>
    <n v="2"/>
    <s v="Poor"/>
    <n v="13"/>
    <n v="7"/>
    <n v="6"/>
    <n v="7"/>
  </r>
  <r>
    <n v="1146009"/>
    <n v="23"/>
    <x v="4"/>
    <s v="No"/>
    <x v="0"/>
    <x v="0"/>
    <n v="977"/>
    <x v="1"/>
    <n v="10"/>
    <n v="3"/>
    <x v="4"/>
    <n v="1"/>
    <n v="4"/>
    <x v="1"/>
    <n v="45"/>
    <n v="4"/>
    <n v="1"/>
    <s v="Nurse"/>
    <n v="3"/>
    <s v="Fair"/>
    <x v="1"/>
    <n v="2073"/>
    <x v="1"/>
    <n v="12826"/>
    <n v="2"/>
    <s v="Y"/>
    <s v="No"/>
    <n v="16"/>
    <x v="0"/>
    <s v="Low Performance"/>
    <n v="4"/>
    <n v="80"/>
    <n v="1"/>
    <n v="4"/>
    <n v="2"/>
    <n v="3"/>
    <s v="Fair"/>
    <n v="2"/>
    <n v="2"/>
    <n v="2"/>
    <n v="2"/>
  </r>
  <r>
    <n v="1090887"/>
    <n v="32"/>
    <x v="2"/>
    <s v="No"/>
    <x v="0"/>
    <x v="1"/>
    <n v="1005"/>
    <x v="2"/>
    <n v="2"/>
    <n v="2"/>
    <x v="0"/>
    <n v="1"/>
    <n v="4"/>
    <x v="1"/>
    <n v="79"/>
    <n v="3"/>
    <n v="1"/>
    <s v="Nurse"/>
    <n v="4"/>
    <s v="Good"/>
    <x v="0"/>
    <n v="3068"/>
    <x v="1"/>
    <n v="11864"/>
    <n v="0"/>
    <s v="Y"/>
    <s v="No"/>
    <n v="13"/>
    <x v="0"/>
    <s v="Low Performance"/>
    <n v="3"/>
    <n v="80"/>
    <n v="0"/>
    <n v="8"/>
    <n v="2"/>
    <n v="2"/>
    <s v="Poor"/>
    <n v="7"/>
    <n v="7"/>
    <n v="3"/>
    <n v="6"/>
  </r>
  <r>
    <n v="1709085"/>
    <n v="36"/>
    <x v="0"/>
    <s v="No"/>
    <x v="0"/>
    <x v="0"/>
    <n v="884"/>
    <x v="0"/>
    <n v="1"/>
    <n v="4"/>
    <x v="0"/>
    <n v="1"/>
    <n v="2"/>
    <x v="0"/>
    <n v="73"/>
    <n v="3"/>
    <n v="2"/>
    <s v="Nurse"/>
    <n v="3"/>
    <s v="Fair"/>
    <x v="0"/>
    <n v="6815"/>
    <x v="0"/>
    <n v="21447"/>
    <n v="6"/>
    <s v="Y"/>
    <s v="No"/>
    <n v="13"/>
    <x v="0"/>
    <s v="Low Performance"/>
    <n v="1"/>
    <n v="80"/>
    <n v="0"/>
    <n v="15"/>
    <n v="5"/>
    <n v="3"/>
    <s v="Fair"/>
    <n v="1"/>
    <n v="0"/>
    <n v="0"/>
    <n v="0"/>
  </r>
  <r>
    <n v="1767733"/>
    <n v="42"/>
    <x v="0"/>
    <s v="No"/>
    <x v="0"/>
    <x v="1"/>
    <n v="288"/>
    <x v="1"/>
    <n v="2"/>
    <n v="3"/>
    <x v="0"/>
    <n v="1"/>
    <n v="4"/>
    <x v="1"/>
    <n v="40"/>
    <n v="3"/>
    <n v="3"/>
    <s v="Other"/>
    <n v="4"/>
    <s v="Good"/>
    <x v="1"/>
    <n v="10124"/>
    <x v="0"/>
    <n v="18611"/>
    <n v="2"/>
    <s v="Y"/>
    <s v="Yes"/>
    <n v="14"/>
    <x v="0"/>
    <s v="Low Performance"/>
    <n v="3"/>
    <n v="80"/>
    <n v="1"/>
    <n v="24"/>
    <n v="3"/>
    <n v="1"/>
    <s v="Poor"/>
    <n v="20"/>
    <n v="8"/>
    <n v="13"/>
    <n v="9"/>
  </r>
  <r>
    <n v="1790839"/>
    <n v="55"/>
    <x v="1"/>
    <s v="No"/>
    <x v="0"/>
    <x v="1"/>
    <n v="135"/>
    <x v="1"/>
    <n v="18"/>
    <n v="4"/>
    <x v="2"/>
    <n v="1"/>
    <n v="3"/>
    <x v="1"/>
    <n v="62"/>
    <n v="3"/>
    <n v="2"/>
    <s v="Other"/>
    <n v="2"/>
    <s v="Poor"/>
    <x v="1"/>
    <n v="6385"/>
    <x v="0"/>
    <n v="12992"/>
    <n v="3"/>
    <s v="Y"/>
    <s v="Yes"/>
    <n v="14"/>
    <x v="0"/>
    <s v="Low Performance"/>
    <n v="4"/>
    <n v="80"/>
    <n v="2"/>
    <n v="17"/>
    <n v="3"/>
    <n v="3"/>
    <s v="Fair"/>
    <n v="8"/>
    <n v="7"/>
    <n v="6"/>
    <n v="7"/>
  </r>
  <r>
    <n v="1629597"/>
    <n v="35"/>
    <x v="2"/>
    <s v="No"/>
    <x v="0"/>
    <x v="0"/>
    <n v="735"/>
    <x v="1"/>
    <n v="6"/>
    <n v="1"/>
    <x v="0"/>
    <n v="1"/>
    <n v="3"/>
    <x v="1"/>
    <n v="66"/>
    <n v="3"/>
    <n v="1"/>
    <s v="Nurse"/>
    <n v="3"/>
    <s v="Fair"/>
    <x v="1"/>
    <n v="3506"/>
    <x v="1"/>
    <n v="6020"/>
    <n v="0"/>
    <s v="Y"/>
    <s v="Yes"/>
    <n v="14"/>
    <x v="0"/>
    <s v="Low Performance"/>
    <n v="4"/>
    <n v="80"/>
    <n v="0"/>
    <n v="4"/>
    <n v="3"/>
    <n v="3"/>
    <s v="Fair"/>
    <n v="3"/>
    <n v="2"/>
    <n v="2"/>
    <n v="2"/>
  </r>
  <r>
    <n v="1209768"/>
    <n v="40"/>
    <x v="0"/>
    <s v="No"/>
    <x v="0"/>
    <x v="1"/>
    <n v="692"/>
    <x v="2"/>
    <n v="11"/>
    <n v="3"/>
    <x v="4"/>
    <n v="1"/>
    <n v="4"/>
    <x v="0"/>
    <n v="73"/>
    <n v="3"/>
    <n v="2"/>
    <s v="Nurse"/>
    <n v="3"/>
    <s v="Fair"/>
    <x v="1"/>
    <n v="6323"/>
    <x v="0"/>
    <n v="26849"/>
    <n v="1"/>
    <s v="Y"/>
    <s v="No"/>
    <n v="11"/>
    <x v="0"/>
    <s v="Low Performance"/>
    <n v="1"/>
    <n v="80"/>
    <n v="1"/>
    <n v="10"/>
    <n v="2"/>
    <n v="4"/>
    <s v="Good"/>
    <n v="10"/>
    <n v="9"/>
    <n v="9"/>
    <n v="4"/>
  </r>
  <r>
    <n v="1037474"/>
    <n v="28"/>
    <x v="2"/>
    <s v="No"/>
    <x v="0"/>
    <x v="2"/>
    <n v="1366"/>
    <x v="1"/>
    <n v="24"/>
    <n v="2"/>
    <x v="4"/>
    <n v="1"/>
    <n v="2"/>
    <x v="1"/>
    <n v="72"/>
    <n v="2"/>
    <n v="3"/>
    <s v="Other"/>
    <n v="1"/>
    <s v="Poor"/>
    <x v="0"/>
    <n v="8722"/>
    <x v="0"/>
    <n v="12355"/>
    <n v="1"/>
    <s v="Y"/>
    <s v="No"/>
    <n v="12"/>
    <x v="0"/>
    <s v="Low Performance"/>
    <n v="1"/>
    <n v="80"/>
    <n v="0"/>
    <n v="10"/>
    <n v="2"/>
    <n v="2"/>
    <s v="Poor"/>
    <n v="10"/>
    <n v="7"/>
    <n v="1"/>
    <n v="9"/>
  </r>
  <r>
    <n v="1110876"/>
    <n v="37"/>
    <x v="0"/>
    <s v="No"/>
    <x v="0"/>
    <x v="1"/>
    <n v="504"/>
    <x v="1"/>
    <n v="10"/>
    <n v="3"/>
    <x v="2"/>
    <n v="1"/>
    <n v="1"/>
    <x v="1"/>
    <n v="61"/>
    <n v="3"/>
    <n v="3"/>
    <s v="Therapist"/>
    <n v="3"/>
    <s v="Fair"/>
    <x v="2"/>
    <n v="10048"/>
    <x v="0"/>
    <n v="22573"/>
    <n v="6"/>
    <s v="Y"/>
    <s v="No"/>
    <n v="11"/>
    <x v="0"/>
    <s v="Low Performance"/>
    <n v="2"/>
    <n v="80"/>
    <n v="2"/>
    <n v="17"/>
    <n v="5"/>
    <n v="3"/>
    <s v="Fair"/>
    <n v="1"/>
    <n v="0"/>
    <n v="0"/>
    <n v="0"/>
  </r>
  <r>
    <n v="1302685"/>
    <n v="40"/>
    <x v="0"/>
    <s v="No"/>
    <x v="0"/>
    <x v="0"/>
    <n v="898"/>
    <x v="2"/>
    <n v="6"/>
    <n v="2"/>
    <x v="2"/>
    <n v="1"/>
    <n v="3"/>
    <x v="1"/>
    <n v="38"/>
    <n v="3"/>
    <n v="4"/>
    <s v="Admin"/>
    <n v="4"/>
    <s v="Good"/>
    <x v="0"/>
    <n v="16437"/>
    <x v="2"/>
    <n v="17381"/>
    <n v="1"/>
    <s v="Y"/>
    <s v="Yes"/>
    <n v="21"/>
    <x v="1"/>
    <s v="High Performance"/>
    <n v="4"/>
    <n v="80"/>
    <n v="0"/>
    <n v="21"/>
    <n v="2"/>
    <n v="3"/>
    <s v="Fair"/>
    <n v="21"/>
    <n v="7"/>
    <n v="7"/>
    <n v="7"/>
  </r>
  <r>
    <n v="1638565"/>
    <n v="28"/>
    <x v="2"/>
    <s v="No"/>
    <x v="0"/>
    <x v="0"/>
    <n v="440"/>
    <x v="1"/>
    <n v="21"/>
    <n v="3"/>
    <x v="2"/>
    <n v="1"/>
    <n v="3"/>
    <x v="1"/>
    <n v="42"/>
    <n v="3"/>
    <n v="1"/>
    <s v="Nurse"/>
    <n v="4"/>
    <s v="Good"/>
    <x v="1"/>
    <n v="2713"/>
    <x v="1"/>
    <n v="6672"/>
    <n v="1"/>
    <s v="Y"/>
    <s v="No"/>
    <n v="11"/>
    <x v="0"/>
    <s v="Low Performance"/>
    <n v="3"/>
    <n v="80"/>
    <n v="1"/>
    <n v="5"/>
    <n v="2"/>
    <n v="1"/>
    <s v="Poor"/>
    <n v="5"/>
    <n v="2"/>
    <n v="0"/>
    <n v="2"/>
  </r>
  <r>
    <n v="1075989"/>
    <n v="28"/>
    <x v="2"/>
    <s v="No"/>
    <x v="0"/>
    <x v="2"/>
    <n v="1476"/>
    <x v="2"/>
    <n v="1"/>
    <n v="3"/>
    <x v="0"/>
    <n v="1"/>
    <n v="3"/>
    <x v="0"/>
    <n v="55"/>
    <n v="1"/>
    <n v="2"/>
    <s v="Nurse"/>
    <n v="4"/>
    <s v="Good"/>
    <x v="1"/>
    <n v="6674"/>
    <x v="0"/>
    <n v="16392"/>
    <n v="0"/>
    <s v="Y"/>
    <s v="No"/>
    <n v="11"/>
    <x v="0"/>
    <s v="Low Performance"/>
    <n v="1"/>
    <n v="80"/>
    <n v="3"/>
    <n v="10"/>
    <n v="6"/>
    <n v="3"/>
    <s v="Fair"/>
    <n v="9"/>
    <n v="8"/>
    <n v="7"/>
    <n v="5"/>
  </r>
  <r>
    <n v="1440066"/>
    <n v="29"/>
    <x v="2"/>
    <s v="No"/>
    <x v="0"/>
    <x v="0"/>
    <n v="1082"/>
    <x v="2"/>
    <n v="9"/>
    <n v="4"/>
    <x v="2"/>
    <n v="1"/>
    <n v="4"/>
    <x v="0"/>
    <n v="43"/>
    <n v="3"/>
    <n v="1"/>
    <s v="Nurse"/>
    <n v="3"/>
    <s v="Fair"/>
    <x v="1"/>
    <n v="2974"/>
    <x v="1"/>
    <n v="25412"/>
    <n v="9"/>
    <s v="Y"/>
    <s v="No"/>
    <n v="17"/>
    <x v="0"/>
    <s v="Low Performance"/>
    <n v="3"/>
    <n v="80"/>
    <n v="1"/>
    <n v="9"/>
    <n v="2"/>
    <n v="3"/>
    <s v="Fair"/>
    <n v="5"/>
    <n v="3"/>
    <n v="1"/>
    <n v="2"/>
  </r>
  <r>
    <n v="1432464"/>
    <n v="36"/>
    <x v="0"/>
    <s v="No"/>
    <x v="0"/>
    <x v="1"/>
    <n v="566"/>
    <x v="2"/>
    <n v="18"/>
    <n v="4"/>
    <x v="0"/>
    <n v="1"/>
    <n v="3"/>
    <x v="1"/>
    <n v="81"/>
    <n v="4"/>
    <n v="1"/>
    <s v="Nurse"/>
    <n v="4"/>
    <s v="Good"/>
    <x v="1"/>
    <n v="3688"/>
    <x v="1"/>
    <n v="7122"/>
    <n v="4"/>
    <s v="Y"/>
    <s v="No"/>
    <n v="18"/>
    <x v="0"/>
    <s v="Low Performance"/>
    <n v="4"/>
    <n v="80"/>
    <n v="2"/>
    <n v="4"/>
    <n v="2"/>
    <n v="3"/>
    <s v="Fair"/>
    <n v="1"/>
    <n v="0"/>
    <n v="0"/>
    <n v="0"/>
  </r>
  <r>
    <n v="1051013"/>
    <n v="35"/>
    <x v="2"/>
    <s v="No"/>
    <x v="0"/>
    <x v="0"/>
    <n v="1017"/>
    <x v="1"/>
    <n v="6"/>
    <n v="4"/>
    <x v="0"/>
    <n v="1"/>
    <n v="2"/>
    <x v="1"/>
    <n v="82"/>
    <n v="1"/>
    <n v="2"/>
    <s v="Nurse"/>
    <n v="4"/>
    <s v="Good"/>
    <x v="0"/>
    <n v="6646"/>
    <x v="0"/>
    <n v="19368"/>
    <n v="1"/>
    <s v="Y"/>
    <s v="No"/>
    <n v="13"/>
    <x v="0"/>
    <s v="Low Performance"/>
    <n v="2"/>
    <n v="80"/>
    <n v="0"/>
    <n v="17"/>
    <n v="3"/>
    <n v="3"/>
    <s v="Fair"/>
    <n v="17"/>
    <n v="11"/>
    <n v="11"/>
    <n v="8"/>
  </r>
  <r>
    <n v="1800484"/>
    <n v="42"/>
    <x v="0"/>
    <s v="No"/>
    <x v="0"/>
    <x v="1"/>
    <n v="1474"/>
    <x v="2"/>
    <n v="5"/>
    <n v="2"/>
    <x v="1"/>
    <n v="1"/>
    <n v="2"/>
    <x v="1"/>
    <n v="97"/>
    <n v="3"/>
    <n v="1"/>
    <s v="Nurse"/>
    <n v="3"/>
    <s v="Fair"/>
    <x v="1"/>
    <n v="2093"/>
    <x v="1"/>
    <n v="9260"/>
    <n v="4"/>
    <s v="Y"/>
    <s v="No"/>
    <n v="17"/>
    <x v="0"/>
    <s v="Low Performance"/>
    <n v="4"/>
    <n v="80"/>
    <n v="1"/>
    <n v="8"/>
    <n v="4"/>
    <n v="3"/>
    <s v="Fair"/>
    <n v="2"/>
    <n v="2"/>
    <n v="2"/>
    <n v="0"/>
  </r>
  <r>
    <n v="1553672"/>
    <n v="47"/>
    <x v="1"/>
    <s v="No"/>
    <x v="0"/>
    <x v="2"/>
    <n v="666"/>
    <x v="1"/>
    <n v="29"/>
    <n v="4"/>
    <x v="0"/>
    <n v="1"/>
    <n v="1"/>
    <x v="1"/>
    <n v="88"/>
    <n v="3"/>
    <n v="3"/>
    <s v="Admin"/>
    <n v="2"/>
    <s v="Poor"/>
    <x v="1"/>
    <n v="11849"/>
    <x v="0"/>
    <n v="10268"/>
    <n v="1"/>
    <s v="Y"/>
    <s v="Yes"/>
    <n v="12"/>
    <x v="0"/>
    <s v="Low Performance"/>
    <n v="4"/>
    <n v="80"/>
    <n v="1"/>
    <n v="10"/>
    <n v="2"/>
    <n v="2"/>
    <s v="Poor"/>
    <n v="10"/>
    <n v="7"/>
    <n v="9"/>
    <n v="9"/>
  </r>
  <r>
    <n v="1619511"/>
    <n v="31"/>
    <x v="2"/>
    <s v="No"/>
    <x v="0"/>
    <x v="0"/>
    <n v="1222"/>
    <x v="1"/>
    <n v="11"/>
    <n v="4"/>
    <x v="0"/>
    <n v="1"/>
    <n v="4"/>
    <x v="1"/>
    <n v="48"/>
    <n v="3"/>
    <n v="1"/>
    <s v="Nurse"/>
    <n v="4"/>
    <s v="Good"/>
    <x v="1"/>
    <n v="2356"/>
    <x v="1"/>
    <n v="14871"/>
    <n v="3"/>
    <s v="Y"/>
    <s v="Yes"/>
    <n v="19"/>
    <x v="0"/>
    <s v="Low Performance"/>
    <n v="2"/>
    <n v="80"/>
    <n v="1"/>
    <n v="8"/>
    <n v="2"/>
    <n v="3"/>
    <s v="Fair"/>
    <n v="6"/>
    <n v="4"/>
    <n v="0"/>
    <n v="2"/>
  </r>
  <r>
    <n v="1575266"/>
    <n v="46"/>
    <x v="1"/>
    <s v="No"/>
    <x v="0"/>
    <x v="0"/>
    <n v="991"/>
    <x v="2"/>
    <n v="1"/>
    <n v="2"/>
    <x v="0"/>
    <n v="1"/>
    <n v="4"/>
    <x v="0"/>
    <n v="44"/>
    <n v="3"/>
    <n v="1"/>
    <s v="Other"/>
    <n v="1"/>
    <s v="Poor"/>
    <x v="0"/>
    <n v="3423"/>
    <x v="1"/>
    <n v="22957"/>
    <n v="6"/>
    <s v="Y"/>
    <s v="No"/>
    <n v="12"/>
    <x v="0"/>
    <s v="Low Performance"/>
    <n v="3"/>
    <n v="80"/>
    <n v="0"/>
    <n v="10"/>
    <n v="3"/>
    <n v="4"/>
    <s v="Good"/>
    <n v="7"/>
    <n v="6"/>
    <n v="5"/>
    <n v="7"/>
  </r>
  <r>
    <n v="1087770"/>
    <n v="45"/>
    <x v="0"/>
    <s v="No"/>
    <x v="0"/>
    <x v="0"/>
    <n v="930"/>
    <x v="0"/>
    <n v="9"/>
    <n v="3"/>
    <x v="3"/>
    <n v="1"/>
    <n v="4"/>
    <x v="1"/>
    <n v="74"/>
    <n v="3"/>
    <n v="3"/>
    <s v="Nurse"/>
    <n v="1"/>
    <s v="Poor"/>
    <x v="2"/>
    <n v="10761"/>
    <x v="0"/>
    <n v="19239"/>
    <n v="4"/>
    <s v="Y"/>
    <s v="Yes"/>
    <n v="12"/>
    <x v="0"/>
    <s v="Low Performance"/>
    <n v="3"/>
    <n v="80"/>
    <n v="1"/>
    <n v="18"/>
    <n v="2"/>
    <n v="3"/>
    <s v="Fair"/>
    <n v="5"/>
    <n v="4"/>
    <n v="0"/>
    <n v="2"/>
  </r>
  <r>
    <n v="1456073"/>
    <n v="38"/>
    <x v="0"/>
    <s v="No"/>
    <x v="0"/>
    <x v="0"/>
    <n v="1180"/>
    <x v="1"/>
    <n v="29"/>
    <n v="1"/>
    <x v="2"/>
    <n v="1"/>
    <n v="2"/>
    <x v="1"/>
    <n v="70"/>
    <n v="3"/>
    <n v="2"/>
    <s v="Other"/>
    <n v="1"/>
    <s v="Poor"/>
    <x v="1"/>
    <n v="6673"/>
    <x v="0"/>
    <n v="11354"/>
    <n v="7"/>
    <s v="Y"/>
    <s v="Yes"/>
    <n v="19"/>
    <x v="0"/>
    <s v="Low Performance"/>
    <n v="2"/>
    <n v="80"/>
    <n v="0"/>
    <n v="17"/>
    <n v="2"/>
    <n v="3"/>
    <s v="Fair"/>
    <n v="1"/>
    <n v="0"/>
    <n v="0"/>
    <n v="0"/>
  </r>
  <r>
    <n v="1637476"/>
    <n v="34"/>
    <x v="2"/>
    <s v="No"/>
    <x v="0"/>
    <x v="0"/>
    <n v="1107"/>
    <x v="2"/>
    <n v="9"/>
    <n v="4"/>
    <x v="4"/>
    <n v="1"/>
    <n v="1"/>
    <x v="0"/>
    <n v="52"/>
    <n v="3"/>
    <n v="1"/>
    <s v="Other"/>
    <n v="3"/>
    <s v="Fair"/>
    <x v="1"/>
    <n v="2742"/>
    <x v="1"/>
    <n v="3072"/>
    <n v="1"/>
    <s v="Y"/>
    <s v="No"/>
    <n v="15"/>
    <x v="0"/>
    <s v="Low Performance"/>
    <n v="4"/>
    <n v="80"/>
    <n v="0"/>
    <n v="2"/>
    <n v="0"/>
    <n v="3"/>
    <s v="Fair"/>
    <n v="2"/>
    <n v="2"/>
    <n v="2"/>
    <n v="2"/>
  </r>
  <r>
    <n v="1475807"/>
    <n v="46"/>
    <x v="1"/>
    <s v="No"/>
    <x v="0"/>
    <x v="0"/>
    <n v="526"/>
    <x v="0"/>
    <n v="1"/>
    <n v="2"/>
    <x v="3"/>
    <n v="1"/>
    <n v="2"/>
    <x v="0"/>
    <n v="92"/>
    <n v="3"/>
    <n v="3"/>
    <s v="Nurse"/>
    <n v="1"/>
    <s v="Poor"/>
    <x v="2"/>
    <n v="10453"/>
    <x v="0"/>
    <n v="2137"/>
    <n v="1"/>
    <s v="Y"/>
    <s v="No"/>
    <n v="25"/>
    <x v="1"/>
    <s v="High Performance"/>
    <n v="3"/>
    <n v="80"/>
    <n v="3"/>
    <n v="24"/>
    <n v="2"/>
    <n v="3"/>
    <s v="Fair"/>
    <n v="24"/>
    <n v="13"/>
    <n v="15"/>
    <n v="7"/>
  </r>
  <r>
    <n v="1085062"/>
    <n v="35"/>
    <x v="2"/>
    <s v="No"/>
    <x v="0"/>
    <x v="0"/>
    <n v="556"/>
    <x v="1"/>
    <n v="23"/>
    <n v="2"/>
    <x v="0"/>
    <n v="1"/>
    <n v="2"/>
    <x v="1"/>
    <n v="50"/>
    <n v="2"/>
    <n v="2"/>
    <s v="Therapist"/>
    <n v="3"/>
    <s v="Fair"/>
    <x v="1"/>
    <n v="5916"/>
    <x v="0"/>
    <n v="15497"/>
    <n v="3"/>
    <s v="Y"/>
    <s v="Yes"/>
    <n v="13"/>
    <x v="0"/>
    <s v="Low Performance"/>
    <n v="1"/>
    <n v="80"/>
    <n v="0"/>
    <n v="8"/>
    <n v="1"/>
    <n v="3"/>
    <s v="Fair"/>
    <n v="1"/>
    <n v="0"/>
    <n v="0"/>
    <n v="1"/>
  </r>
  <r>
    <n v="1640372"/>
    <n v="32"/>
    <x v="2"/>
    <s v="No"/>
    <x v="0"/>
    <x v="1"/>
    <n v="585"/>
    <x v="1"/>
    <n v="10"/>
    <n v="3"/>
    <x v="0"/>
    <n v="1"/>
    <n v="1"/>
    <x v="1"/>
    <n v="56"/>
    <n v="3"/>
    <n v="1"/>
    <s v="Nurse"/>
    <n v="3"/>
    <s v="Fair"/>
    <x v="1"/>
    <n v="3433"/>
    <x v="1"/>
    <n v="17360"/>
    <n v="6"/>
    <s v="Y"/>
    <s v="No"/>
    <n v="13"/>
    <x v="0"/>
    <s v="Low Performance"/>
    <n v="1"/>
    <n v="80"/>
    <n v="1"/>
    <n v="10"/>
    <n v="3"/>
    <n v="2"/>
    <s v="Poor"/>
    <n v="5"/>
    <n v="2"/>
    <n v="1"/>
    <n v="3"/>
  </r>
  <r>
    <n v="1309511"/>
    <n v="36"/>
    <x v="0"/>
    <s v="No"/>
    <x v="0"/>
    <x v="1"/>
    <n v="1302"/>
    <x v="2"/>
    <n v="6"/>
    <n v="4"/>
    <x v="0"/>
    <n v="1"/>
    <n v="1"/>
    <x v="1"/>
    <n v="80"/>
    <n v="4"/>
    <n v="2"/>
    <s v="Nurse"/>
    <n v="1"/>
    <s v="Poor"/>
    <x v="1"/>
    <n v="5562"/>
    <x v="0"/>
    <n v="19711"/>
    <n v="3"/>
    <s v="Y"/>
    <s v="Yes"/>
    <n v="13"/>
    <x v="0"/>
    <s v="Low Performance"/>
    <n v="4"/>
    <n v="80"/>
    <n v="1"/>
    <n v="9"/>
    <n v="3"/>
    <n v="3"/>
    <s v="Fair"/>
    <n v="3"/>
    <n v="2"/>
    <n v="0"/>
    <n v="2"/>
  </r>
  <r>
    <n v="1220459"/>
    <n v="49"/>
    <x v="1"/>
    <s v="No"/>
    <x v="0"/>
    <x v="1"/>
    <n v="636"/>
    <x v="2"/>
    <n v="10"/>
    <n v="4"/>
    <x v="0"/>
    <n v="1"/>
    <n v="3"/>
    <x v="0"/>
    <n v="35"/>
    <n v="3"/>
    <n v="5"/>
    <s v="Therapist"/>
    <n v="1"/>
    <s v="Poor"/>
    <x v="0"/>
    <n v="18665"/>
    <x v="2"/>
    <n v="25594"/>
    <n v="9"/>
    <s v="Y"/>
    <s v="Yes"/>
    <n v="11"/>
    <x v="0"/>
    <s v="Low Performance"/>
    <n v="4"/>
    <n v="80"/>
    <n v="0"/>
    <n v="22"/>
    <n v="4"/>
    <n v="3"/>
    <s v="Fair"/>
    <n v="3"/>
    <n v="2"/>
    <n v="1"/>
    <n v="2"/>
  </r>
  <r>
    <n v="1048015"/>
    <n v="36"/>
    <x v="0"/>
    <s v="No"/>
    <x v="0"/>
    <x v="0"/>
    <n v="311"/>
    <x v="2"/>
    <n v="7"/>
    <n v="3"/>
    <x v="0"/>
    <n v="1"/>
    <n v="1"/>
    <x v="1"/>
    <n v="77"/>
    <n v="3"/>
    <n v="1"/>
    <s v="Nurse"/>
    <n v="2"/>
    <s v="Poor"/>
    <x v="0"/>
    <n v="2013"/>
    <x v="1"/>
    <n v="10950"/>
    <n v="2"/>
    <s v="Y"/>
    <s v="No"/>
    <n v="11"/>
    <x v="0"/>
    <s v="Low Performance"/>
    <n v="3"/>
    <n v="80"/>
    <n v="0"/>
    <n v="15"/>
    <n v="4"/>
    <n v="3"/>
    <s v="Fair"/>
    <n v="4"/>
    <n v="3"/>
    <n v="1"/>
    <n v="3"/>
  </r>
  <r>
    <n v="1659102"/>
    <n v="43"/>
    <x v="0"/>
    <s v="No"/>
    <x v="0"/>
    <x v="1"/>
    <n v="957"/>
    <x v="1"/>
    <n v="28"/>
    <n v="3"/>
    <x v="2"/>
    <n v="1"/>
    <n v="2"/>
    <x v="0"/>
    <n v="72"/>
    <n v="4"/>
    <n v="1"/>
    <s v="Nurse"/>
    <n v="3"/>
    <s v="Fair"/>
    <x v="0"/>
    <n v="4739"/>
    <x v="1"/>
    <n v="16090"/>
    <n v="4"/>
    <s v="Y"/>
    <s v="No"/>
    <n v="12"/>
    <x v="0"/>
    <s v="Low Performance"/>
    <n v="4"/>
    <n v="80"/>
    <n v="0"/>
    <n v="18"/>
    <n v="2"/>
    <n v="3"/>
    <s v="Fair"/>
    <n v="3"/>
    <n v="2"/>
    <n v="1"/>
    <n v="2"/>
  </r>
  <r>
    <n v="1857447"/>
    <n v="27"/>
    <x v="2"/>
    <s v="No"/>
    <x v="0"/>
    <x v="2"/>
    <n v="1277"/>
    <x v="2"/>
    <n v="8"/>
    <n v="5"/>
    <x v="0"/>
    <n v="1"/>
    <n v="1"/>
    <x v="1"/>
    <n v="87"/>
    <n v="1"/>
    <n v="1"/>
    <s v="Nurse"/>
    <n v="3"/>
    <s v="Fair"/>
    <x v="1"/>
    <n v="4621"/>
    <x v="1"/>
    <n v="5869"/>
    <n v="1"/>
    <s v="Y"/>
    <s v="No"/>
    <n v="19"/>
    <x v="0"/>
    <s v="Low Performance"/>
    <n v="4"/>
    <n v="80"/>
    <n v="3"/>
    <n v="3"/>
    <n v="4"/>
    <n v="3"/>
    <s v="Fair"/>
    <n v="3"/>
    <n v="2"/>
    <n v="1"/>
    <n v="2"/>
  </r>
  <r>
    <n v="1586182"/>
    <n v="52"/>
    <x v="1"/>
    <s v="No"/>
    <x v="0"/>
    <x v="2"/>
    <n v="585"/>
    <x v="0"/>
    <n v="29"/>
    <n v="4"/>
    <x v="0"/>
    <n v="1"/>
    <n v="1"/>
    <x v="1"/>
    <n v="40"/>
    <n v="3"/>
    <n v="1"/>
    <s v="Other"/>
    <n v="4"/>
    <s v="Good"/>
    <x v="2"/>
    <n v="3482"/>
    <x v="1"/>
    <n v="19788"/>
    <n v="2"/>
    <s v="Y"/>
    <s v="No"/>
    <n v="15"/>
    <x v="0"/>
    <s v="Low Performance"/>
    <n v="2"/>
    <n v="80"/>
    <n v="2"/>
    <n v="16"/>
    <n v="3"/>
    <n v="2"/>
    <s v="Poor"/>
    <n v="9"/>
    <n v="8"/>
    <n v="0"/>
    <n v="0"/>
  </r>
  <r>
    <n v="1585668"/>
    <n v="58"/>
    <x v="3"/>
    <s v="No"/>
    <x v="0"/>
    <x v="0"/>
    <n v="601"/>
    <x v="1"/>
    <n v="7"/>
    <n v="4"/>
    <x v="2"/>
    <n v="1"/>
    <n v="3"/>
    <x v="0"/>
    <n v="53"/>
    <n v="2"/>
    <n v="3"/>
    <s v="Therapist"/>
    <n v="1"/>
    <s v="Poor"/>
    <x v="1"/>
    <n v="10008"/>
    <x v="0"/>
    <n v="12023"/>
    <n v="7"/>
    <s v="Y"/>
    <s v="Yes"/>
    <n v="14"/>
    <x v="0"/>
    <s v="Low Performance"/>
    <n v="4"/>
    <n v="80"/>
    <n v="0"/>
    <n v="31"/>
    <n v="0"/>
    <n v="2"/>
    <s v="Poor"/>
    <n v="10"/>
    <n v="9"/>
    <n v="5"/>
    <n v="9"/>
  </r>
  <r>
    <n v="1522053"/>
    <n v="53"/>
    <x v="1"/>
    <s v="No"/>
    <x v="0"/>
    <x v="0"/>
    <n v="661"/>
    <x v="0"/>
    <n v="7"/>
    <n v="2"/>
    <x v="3"/>
    <n v="1"/>
    <n v="1"/>
    <x v="0"/>
    <n v="78"/>
    <n v="2"/>
    <n v="3"/>
    <s v="Nurse"/>
    <n v="4"/>
    <s v="Good"/>
    <x v="1"/>
    <n v="10934"/>
    <x v="0"/>
    <n v="20715"/>
    <n v="7"/>
    <s v="Y"/>
    <s v="Yes"/>
    <n v="18"/>
    <x v="0"/>
    <s v="Low Performance"/>
    <n v="4"/>
    <n v="80"/>
    <n v="1"/>
    <n v="35"/>
    <n v="3"/>
    <n v="3"/>
    <s v="Fair"/>
    <n v="5"/>
    <n v="2"/>
    <n v="0"/>
    <n v="4"/>
  </r>
  <r>
    <n v="1685220"/>
    <n v="36"/>
    <x v="0"/>
    <s v="No"/>
    <x v="0"/>
    <x v="0"/>
    <n v="1456"/>
    <x v="0"/>
    <n v="13"/>
    <n v="5"/>
    <x v="3"/>
    <n v="1"/>
    <n v="2"/>
    <x v="1"/>
    <n v="96"/>
    <n v="2"/>
    <n v="2"/>
    <s v="Nurse"/>
    <n v="1"/>
    <s v="Poor"/>
    <x v="2"/>
    <n v="6134"/>
    <x v="0"/>
    <n v="8658"/>
    <n v="5"/>
    <s v="Y"/>
    <s v="Yes"/>
    <n v="13"/>
    <x v="0"/>
    <s v="Low Performance"/>
    <n v="2"/>
    <n v="80"/>
    <n v="3"/>
    <n v="16"/>
    <n v="3"/>
    <n v="3"/>
    <s v="Fair"/>
    <n v="2"/>
    <n v="2"/>
    <n v="2"/>
    <n v="2"/>
  </r>
  <r>
    <n v="1249536"/>
    <n v="25"/>
    <x v="4"/>
    <s v="No"/>
    <x v="0"/>
    <x v="0"/>
    <n v="583"/>
    <x v="0"/>
    <n v="4"/>
    <n v="1"/>
    <x v="3"/>
    <n v="1"/>
    <n v="3"/>
    <x v="1"/>
    <n v="87"/>
    <n v="2"/>
    <n v="2"/>
    <s v="Nurse"/>
    <n v="1"/>
    <s v="Poor"/>
    <x v="1"/>
    <n v="4256"/>
    <x v="1"/>
    <n v="18154"/>
    <n v="1"/>
    <s v="Y"/>
    <s v="No"/>
    <n v="12"/>
    <x v="0"/>
    <s v="Low Performance"/>
    <n v="1"/>
    <n v="80"/>
    <n v="0"/>
    <n v="5"/>
    <n v="1"/>
    <n v="4"/>
    <s v="Good"/>
    <n v="5"/>
    <n v="2"/>
    <n v="0"/>
    <n v="3"/>
  </r>
  <r>
    <n v="1104176"/>
    <n v="29"/>
    <x v="2"/>
    <s v="No"/>
    <x v="0"/>
    <x v="0"/>
    <n v="1283"/>
    <x v="1"/>
    <n v="23"/>
    <n v="3"/>
    <x v="0"/>
    <n v="1"/>
    <n v="4"/>
    <x v="1"/>
    <n v="54"/>
    <n v="3"/>
    <n v="1"/>
    <s v="Nurse"/>
    <n v="4"/>
    <s v="Good"/>
    <x v="0"/>
    <n v="2201"/>
    <x v="1"/>
    <n v="18168"/>
    <n v="9"/>
    <s v="Y"/>
    <s v="No"/>
    <n v="16"/>
    <x v="0"/>
    <s v="Low Performance"/>
    <n v="4"/>
    <n v="80"/>
    <n v="0"/>
    <n v="6"/>
    <n v="4"/>
    <n v="3"/>
    <s v="Fair"/>
    <n v="3"/>
    <n v="2"/>
    <n v="1"/>
    <n v="2"/>
  </r>
  <r>
    <n v="1602545"/>
    <n v="27"/>
    <x v="2"/>
    <s v="No"/>
    <x v="0"/>
    <x v="0"/>
    <n v="1240"/>
    <x v="2"/>
    <n v="2"/>
    <n v="4"/>
    <x v="0"/>
    <n v="1"/>
    <n v="4"/>
    <x v="0"/>
    <n v="33"/>
    <n v="3"/>
    <n v="1"/>
    <s v="Nurse"/>
    <n v="1"/>
    <s v="Poor"/>
    <x v="2"/>
    <n v="2341"/>
    <x v="1"/>
    <n v="19715"/>
    <n v="1"/>
    <s v="Y"/>
    <s v="No"/>
    <n v="13"/>
    <x v="0"/>
    <s v="Low Performance"/>
    <n v="4"/>
    <n v="80"/>
    <n v="1"/>
    <n v="1"/>
    <n v="6"/>
    <n v="3"/>
    <s v="Fair"/>
    <n v="1"/>
    <n v="0"/>
    <n v="0"/>
    <n v="0"/>
  </r>
  <r>
    <n v="1433107"/>
    <n v="28"/>
    <x v="2"/>
    <s v="No"/>
    <x v="0"/>
    <x v="0"/>
    <n v="1423"/>
    <x v="1"/>
    <n v="1"/>
    <n v="3"/>
    <x v="0"/>
    <n v="1"/>
    <n v="1"/>
    <x v="1"/>
    <n v="72"/>
    <n v="2"/>
    <n v="1"/>
    <s v="Nurse"/>
    <n v="3"/>
    <s v="Fair"/>
    <x v="2"/>
    <n v="1563"/>
    <x v="1"/>
    <n v="12530"/>
    <n v="1"/>
    <s v="Y"/>
    <s v="No"/>
    <n v="14"/>
    <x v="0"/>
    <s v="Low Performance"/>
    <n v="4"/>
    <n v="80"/>
    <n v="1"/>
    <n v="1"/>
    <n v="2"/>
    <n v="1"/>
    <s v="Poor"/>
    <n v="1"/>
    <n v="0"/>
    <n v="0"/>
    <n v="0"/>
  </r>
  <r>
    <n v="1232119"/>
    <n v="27"/>
    <x v="2"/>
    <s v="No"/>
    <x v="0"/>
    <x v="2"/>
    <n v="691"/>
    <x v="1"/>
    <n v="9"/>
    <n v="3"/>
    <x v="2"/>
    <n v="1"/>
    <n v="4"/>
    <x v="1"/>
    <n v="57"/>
    <n v="3"/>
    <n v="1"/>
    <s v="Nurse"/>
    <n v="2"/>
    <s v="Poor"/>
    <x v="2"/>
    <n v="2024"/>
    <x v="1"/>
    <n v="5970"/>
    <n v="6"/>
    <s v="Y"/>
    <s v="No"/>
    <n v="18"/>
    <x v="0"/>
    <s v="Low Performance"/>
    <n v="4"/>
    <n v="80"/>
    <n v="1"/>
    <n v="6"/>
    <n v="1"/>
    <n v="1"/>
    <s v="Poor"/>
    <n v="2"/>
    <n v="2"/>
    <n v="2"/>
    <n v="2"/>
  </r>
  <r>
    <n v="1876599"/>
    <n v="29"/>
    <x v="2"/>
    <s v="No"/>
    <x v="0"/>
    <x v="0"/>
    <n v="144"/>
    <x v="0"/>
    <n v="10"/>
    <n v="1"/>
    <x v="3"/>
    <n v="1"/>
    <n v="4"/>
    <x v="0"/>
    <n v="39"/>
    <n v="2"/>
    <n v="2"/>
    <s v="Nurse"/>
    <n v="2"/>
    <s v="Poor"/>
    <x v="2"/>
    <n v="8268"/>
    <x v="0"/>
    <n v="11866"/>
    <n v="1"/>
    <s v="Y"/>
    <s v="Yes"/>
    <n v="14"/>
    <x v="0"/>
    <s v="Low Performance"/>
    <n v="1"/>
    <n v="80"/>
    <n v="2"/>
    <n v="7"/>
    <n v="2"/>
    <n v="3"/>
    <s v="Fair"/>
    <n v="7"/>
    <n v="7"/>
    <n v="1"/>
    <n v="7"/>
  </r>
  <r>
    <n v="1389456"/>
    <n v="24"/>
    <x v="4"/>
    <s v="No"/>
    <x v="0"/>
    <x v="1"/>
    <n v="897"/>
    <x v="2"/>
    <n v="10"/>
    <n v="3"/>
    <x v="2"/>
    <n v="1"/>
    <n v="1"/>
    <x v="1"/>
    <n v="59"/>
    <n v="3"/>
    <n v="1"/>
    <s v="Other"/>
    <n v="4"/>
    <s v="Good"/>
    <x v="1"/>
    <n v="2145"/>
    <x v="1"/>
    <n v="2097"/>
    <n v="0"/>
    <s v="Y"/>
    <s v="No"/>
    <n v="14"/>
    <x v="0"/>
    <s v="Low Performance"/>
    <n v="4"/>
    <n v="80"/>
    <n v="1"/>
    <n v="3"/>
    <n v="2"/>
    <n v="3"/>
    <s v="Fair"/>
    <n v="2"/>
    <n v="2"/>
    <n v="2"/>
    <n v="1"/>
  </r>
  <r>
    <n v="1197555"/>
    <n v="38"/>
    <x v="0"/>
    <s v="No"/>
    <x v="0"/>
    <x v="0"/>
    <n v="364"/>
    <x v="1"/>
    <n v="3"/>
    <n v="5"/>
    <x v="4"/>
    <n v="1"/>
    <n v="4"/>
    <x v="0"/>
    <n v="32"/>
    <n v="3"/>
    <n v="2"/>
    <s v="Nurse"/>
    <n v="3"/>
    <s v="Fair"/>
    <x v="0"/>
    <n v="4317"/>
    <x v="1"/>
    <n v="2302"/>
    <n v="3"/>
    <s v="Y"/>
    <s v="Yes"/>
    <n v="20"/>
    <x v="1"/>
    <s v="High Performance"/>
    <n v="2"/>
    <n v="80"/>
    <n v="0"/>
    <n v="19"/>
    <n v="2"/>
    <n v="3"/>
    <s v="Fair"/>
    <n v="3"/>
    <n v="2"/>
    <n v="2"/>
    <n v="2"/>
  </r>
  <r>
    <n v="1285943"/>
    <n v="50"/>
    <x v="1"/>
    <s v="No"/>
    <x v="0"/>
    <x v="0"/>
    <n v="1207"/>
    <x v="2"/>
    <n v="28"/>
    <n v="1"/>
    <x v="2"/>
    <n v="1"/>
    <n v="4"/>
    <x v="1"/>
    <n v="74"/>
    <n v="4"/>
    <n v="1"/>
    <s v="Nurse"/>
    <n v="3"/>
    <s v="Fair"/>
    <x v="1"/>
    <n v="3221"/>
    <x v="1"/>
    <n v="3297"/>
    <n v="1"/>
    <s v="Y"/>
    <s v="Yes"/>
    <n v="11"/>
    <x v="0"/>
    <s v="Low Performance"/>
    <n v="3"/>
    <n v="80"/>
    <n v="3"/>
    <n v="20"/>
    <n v="3"/>
    <n v="3"/>
    <s v="Fair"/>
    <n v="20"/>
    <n v="8"/>
    <n v="3"/>
    <n v="8"/>
  </r>
  <r>
    <n v="1108108"/>
    <n v="29"/>
    <x v="2"/>
    <s v="No"/>
    <x v="0"/>
    <x v="1"/>
    <n v="574"/>
    <x v="2"/>
    <n v="20"/>
    <n v="1"/>
    <x v="2"/>
    <n v="1"/>
    <n v="4"/>
    <x v="1"/>
    <n v="40"/>
    <n v="3"/>
    <n v="1"/>
    <s v="Nurse"/>
    <n v="4"/>
    <s v="Good"/>
    <x v="1"/>
    <n v="3812"/>
    <x v="1"/>
    <n v="7003"/>
    <n v="1"/>
    <s v="Y"/>
    <s v="No"/>
    <n v="13"/>
    <x v="0"/>
    <s v="Low Performance"/>
    <n v="2"/>
    <n v="80"/>
    <n v="0"/>
    <n v="11"/>
    <n v="3"/>
    <n v="4"/>
    <s v="Good"/>
    <n v="11"/>
    <n v="8"/>
    <n v="3"/>
    <n v="10"/>
  </r>
  <r>
    <n v="1215433"/>
    <n v="25"/>
    <x v="4"/>
    <s v="No"/>
    <x v="0"/>
    <x v="0"/>
    <n v="622"/>
    <x v="0"/>
    <n v="13"/>
    <n v="1"/>
    <x v="2"/>
    <n v="1"/>
    <n v="2"/>
    <x v="1"/>
    <n v="40"/>
    <n v="3"/>
    <n v="1"/>
    <s v="Other"/>
    <n v="3"/>
    <s v="Fair"/>
    <x v="1"/>
    <n v="2096"/>
    <x v="1"/>
    <n v="26376"/>
    <n v="1"/>
    <s v="Y"/>
    <s v="No"/>
    <n v="11"/>
    <x v="0"/>
    <s v="Low Performance"/>
    <n v="3"/>
    <n v="80"/>
    <n v="0"/>
    <n v="7"/>
    <n v="1"/>
    <n v="3"/>
    <s v="Fair"/>
    <n v="7"/>
    <n v="4"/>
    <n v="0"/>
    <n v="6"/>
  </r>
  <r>
    <n v="1565509"/>
    <n v="32"/>
    <x v="2"/>
    <s v="No"/>
    <x v="0"/>
    <x v="2"/>
    <n v="1109"/>
    <x v="2"/>
    <n v="29"/>
    <n v="4"/>
    <x v="2"/>
    <n v="1"/>
    <n v="4"/>
    <x v="0"/>
    <n v="69"/>
    <n v="3"/>
    <n v="1"/>
    <s v="Nurse"/>
    <n v="3"/>
    <s v="Fair"/>
    <x v="0"/>
    <n v="4025"/>
    <x v="1"/>
    <n v="11135"/>
    <n v="9"/>
    <s v="Y"/>
    <s v="No"/>
    <n v="12"/>
    <x v="0"/>
    <s v="Low Performance"/>
    <n v="2"/>
    <n v="80"/>
    <n v="0"/>
    <n v="10"/>
    <n v="2"/>
    <n v="3"/>
    <s v="Fair"/>
    <n v="8"/>
    <n v="7"/>
    <n v="7"/>
    <n v="7"/>
  </r>
  <r>
    <n v="1845170"/>
    <n v="24"/>
    <x v="4"/>
    <s v="No"/>
    <x v="0"/>
    <x v="1"/>
    <n v="535"/>
    <x v="0"/>
    <n v="24"/>
    <n v="3"/>
    <x v="2"/>
    <n v="1"/>
    <n v="4"/>
    <x v="1"/>
    <n v="38"/>
    <n v="3"/>
    <n v="1"/>
    <s v="Other"/>
    <n v="4"/>
    <s v="Good"/>
    <x v="1"/>
    <n v="2400"/>
    <x v="1"/>
    <n v="5530"/>
    <n v="0"/>
    <s v="Y"/>
    <s v="No"/>
    <n v="13"/>
    <x v="0"/>
    <s v="Low Performance"/>
    <n v="3"/>
    <n v="80"/>
    <n v="2"/>
    <n v="3"/>
    <n v="3"/>
    <n v="3"/>
    <s v="Fair"/>
    <n v="2"/>
    <n v="2"/>
    <n v="2"/>
    <n v="1"/>
  </r>
  <r>
    <n v="1188199"/>
    <n v="33"/>
    <x v="2"/>
    <s v="No"/>
    <x v="0"/>
    <x v="0"/>
    <n v="118"/>
    <x v="0"/>
    <n v="16"/>
    <n v="3"/>
    <x v="3"/>
    <n v="1"/>
    <n v="1"/>
    <x v="0"/>
    <n v="69"/>
    <n v="3"/>
    <n v="2"/>
    <s v="Nurse"/>
    <n v="1"/>
    <s v="Poor"/>
    <x v="0"/>
    <n v="5324"/>
    <x v="0"/>
    <n v="26507"/>
    <n v="5"/>
    <s v="Y"/>
    <s v="No"/>
    <n v="15"/>
    <x v="0"/>
    <s v="Low Performance"/>
    <n v="3"/>
    <n v="80"/>
    <n v="0"/>
    <n v="6"/>
    <n v="3"/>
    <n v="3"/>
    <s v="Fair"/>
    <n v="3"/>
    <n v="2"/>
    <n v="0"/>
    <n v="2"/>
  </r>
  <r>
    <n v="1548215"/>
    <n v="37"/>
    <x v="0"/>
    <s v="No"/>
    <x v="0"/>
    <x v="0"/>
    <n v="290"/>
    <x v="1"/>
    <n v="21"/>
    <n v="3"/>
    <x v="0"/>
    <n v="1"/>
    <n v="2"/>
    <x v="1"/>
    <n v="65"/>
    <n v="4"/>
    <n v="1"/>
    <s v="Nurse"/>
    <n v="1"/>
    <s v="Poor"/>
    <x v="1"/>
    <n v="3564"/>
    <x v="1"/>
    <n v="22977"/>
    <n v="1"/>
    <s v="Y"/>
    <s v="Yes"/>
    <n v="12"/>
    <x v="0"/>
    <s v="Low Performance"/>
    <n v="1"/>
    <n v="80"/>
    <n v="1"/>
    <n v="8"/>
    <n v="3"/>
    <n v="2"/>
    <s v="Poor"/>
    <n v="8"/>
    <n v="7"/>
    <n v="1"/>
    <n v="7"/>
  </r>
  <r>
    <n v="1698428"/>
    <n v="27"/>
    <x v="2"/>
    <s v="No"/>
    <x v="0"/>
    <x v="0"/>
    <n v="975"/>
    <x v="1"/>
    <n v="7"/>
    <n v="3"/>
    <x v="2"/>
    <n v="1"/>
    <n v="4"/>
    <x v="0"/>
    <n v="55"/>
    <n v="2"/>
    <n v="2"/>
    <s v="Other"/>
    <n v="1"/>
    <s v="Poor"/>
    <x v="0"/>
    <n v="6811"/>
    <x v="0"/>
    <n v="23398"/>
    <n v="8"/>
    <s v="Y"/>
    <s v="No"/>
    <n v="19"/>
    <x v="0"/>
    <s v="Low Performance"/>
    <n v="1"/>
    <n v="80"/>
    <n v="0"/>
    <n v="9"/>
    <n v="2"/>
    <n v="1"/>
    <s v="Poor"/>
    <n v="7"/>
    <n v="6"/>
    <n v="0"/>
    <n v="7"/>
  </r>
  <r>
    <n v="1389834"/>
    <n v="44"/>
    <x v="0"/>
    <s v="No"/>
    <x v="0"/>
    <x v="1"/>
    <n v="383"/>
    <x v="0"/>
    <n v="1"/>
    <n v="5"/>
    <x v="3"/>
    <n v="1"/>
    <n v="1"/>
    <x v="0"/>
    <n v="79"/>
    <n v="3"/>
    <n v="2"/>
    <s v="Nurse"/>
    <n v="3"/>
    <s v="Fair"/>
    <x v="1"/>
    <n v="4768"/>
    <x v="1"/>
    <n v="9282"/>
    <n v="7"/>
    <s v="Y"/>
    <s v="No"/>
    <n v="12"/>
    <x v="0"/>
    <s v="Low Performance"/>
    <n v="3"/>
    <n v="80"/>
    <n v="1"/>
    <n v="11"/>
    <n v="4"/>
    <n v="2"/>
    <s v="Poor"/>
    <n v="1"/>
    <n v="0"/>
    <n v="0"/>
    <n v="0"/>
  </r>
  <r>
    <n v="1533883"/>
    <n v="38"/>
    <x v="0"/>
    <s v="No"/>
    <x v="0"/>
    <x v="0"/>
    <n v="723"/>
    <x v="0"/>
    <n v="2"/>
    <n v="4"/>
    <x v="3"/>
    <n v="1"/>
    <n v="2"/>
    <x v="0"/>
    <n v="77"/>
    <n v="1"/>
    <n v="2"/>
    <s v="Other"/>
    <n v="4"/>
    <s v="Good"/>
    <x v="1"/>
    <n v="5405"/>
    <x v="0"/>
    <n v="4244"/>
    <n v="2"/>
    <s v="Y"/>
    <s v="Yes"/>
    <n v="20"/>
    <x v="1"/>
    <s v="High Performance"/>
    <n v="1"/>
    <n v="80"/>
    <n v="2"/>
    <n v="20"/>
    <n v="4"/>
    <n v="2"/>
    <s v="Poor"/>
    <n v="4"/>
    <n v="2"/>
    <n v="0"/>
    <n v="3"/>
  </r>
  <r>
    <n v="1746047"/>
    <n v="36"/>
    <x v="0"/>
    <s v="No"/>
    <x v="0"/>
    <x v="0"/>
    <n v="318"/>
    <x v="1"/>
    <n v="9"/>
    <n v="3"/>
    <x v="2"/>
    <n v="1"/>
    <n v="4"/>
    <x v="1"/>
    <n v="79"/>
    <n v="2"/>
    <n v="1"/>
    <s v="Nurse"/>
    <n v="3"/>
    <s v="Fair"/>
    <x v="1"/>
    <n v="3388"/>
    <x v="1"/>
    <n v="21777"/>
    <n v="0"/>
    <s v="Y"/>
    <s v="Yes"/>
    <n v="17"/>
    <x v="0"/>
    <s v="Low Performance"/>
    <n v="1"/>
    <n v="80"/>
    <n v="1"/>
    <n v="2"/>
    <n v="0"/>
    <n v="2"/>
    <s v="Poor"/>
    <n v="1"/>
    <n v="0"/>
    <n v="0"/>
    <n v="0"/>
  </r>
  <r>
    <n v="1431094"/>
    <n v="26"/>
    <x v="2"/>
    <s v="No"/>
    <x v="0"/>
    <x v="0"/>
    <n v="583"/>
    <x v="1"/>
    <n v="4"/>
    <n v="2"/>
    <x v="0"/>
    <n v="1"/>
    <n v="3"/>
    <x v="1"/>
    <n v="53"/>
    <n v="3"/>
    <n v="1"/>
    <s v="Nurse"/>
    <n v="4"/>
    <s v="Good"/>
    <x v="0"/>
    <n v="2875"/>
    <x v="1"/>
    <n v="9973"/>
    <n v="1"/>
    <s v="Y"/>
    <s v="Yes"/>
    <n v="20"/>
    <x v="1"/>
    <s v="High Performance"/>
    <n v="2"/>
    <n v="80"/>
    <n v="0"/>
    <n v="8"/>
    <n v="2"/>
    <n v="2"/>
    <s v="Poor"/>
    <n v="8"/>
    <n v="5"/>
    <n v="2"/>
    <n v="2"/>
  </r>
  <r>
    <n v="1173245"/>
    <n v="31"/>
    <x v="2"/>
    <s v="No"/>
    <x v="0"/>
    <x v="1"/>
    <n v="444"/>
    <x v="0"/>
    <n v="5"/>
    <n v="3"/>
    <x v="3"/>
    <n v="1"/>
    <n v="4"/>
    <x v="0"/>
    <n v="84"/>
    <n v="3"/>
    <n v="1"/>
    <s v="Other"/>
    <n v="2"/>
    <s v="Poor"/>
    <x v="2"/>
    <n v="2789"/>
    <x v="1"/>
    <n v="3909"/>
    <n v="1"/>
    <s v="Y"/>
    <s v="No"/>
    <n v="11"/>
    <x v="0"/>
    <s v="Low Performance"/>
    <n v="3"/>
    <n v="80"/>
    <n v="1"/>
    <n v="2"/>
    <n v="5"/>
    <n v="2"/>
    <s v="Poor"/>
    <n v="2"/>
    <n v="2"/>
    <n v="2"/>
    <n v="2"/>
  </r>
  <r>
    <n v="1309082"/>
    <n v="29"/>
    <x v="2"/>
    <s v="No"/>
    <x v="0"/>
    <x v="0"/>
    <n v="352"/>
    <x v="2"/>
    <n v="6"/>
    <n v="1"/>
    <x v="2"/>
    <n v="1"/>
    <n v="4"/>
    <x v="1"/>
    <n v="87"/>
    <n v="2"/>
    <n v="1"/>
    <s v="Other"/>
    <n v="2"/>
    <s v="Poor"/>
    <x v="1"/>
    <n v="2804"/>
    <x v="1"/>
    <n v="15434"/>
    <n v="1"/>
    <s v="Y"/>
    <s v="No"/>
    <n v="11"/>
    <x v="0"/>
    <s v="Low Performance"/>
    <n v="4"/>
    <n v="80"/>
    <n v="0"/>
    <n v="1"/>
    <n v="3"/>
    <n v="3"/>
    <s v="Fair"/>
    <n v="1"/>
    <n v="0"/>
    <n v="0"/>
    <n v="0"/>
  </r>
  <r>
    <n v="1545418"/>
    <n v="35"/>
    <x v="2"/>
    <s v="No"/>
    <x v="0"/>
    <x v="0"/>
    <n v="144"/>
    <x v="2"/>
    <n v="22"/>
    <n v="3"/>
    <x v="0"/>
    <n v="1"/>
    <n v="4"/>
    <x v="1"/>
    <n v="46"/>
    <n v="1"/>
    <n v="1"/>
    <s v="Nurse"/>
    <n v="3"/>
    <s v="Fair"/>
    <x v="0"/>
    <n v="4230"/>
    <x v="1"/>
    <n v="19225"/>
    <n v="0"/>
    <s v="Y"/>
    <s v="No"/>
    <n v="15"/>
    <x v="0"/>
    <s v="Low Performance"/>
    <n v="3"/>
    <n v="80"/>
    <n v="0"/>
    <n v="6"/>
    <n v="2"/>
    <n v="3"/>
    <s v="Fair"/>
    <n v="5"/>
    <n v="4"/>
    <n v="4"/>
    <n v="3"/>
  </r>
  <r>
    <n v="1655170"/>
    <n v="47"/>
    <x v="1"/>
    <s v="No"/>
    <x v="0"/>
    <x v="1"/>
    <n v="217"/>
    <x v="0"/>
    <n v="3"/>
    <n v="3"/>
    <x v="2"/>
    <n v="1"/>
    <n v="4"/>
    <x v="0"/>
    <n v="49"/>
    <n v="3"/>
    <n v="4"/>
    <s v="Nurse"/>
    <n v="3"/>
    <s v="Fair"/>
    <x v="2"/>
    <n v="13770"/>
    <x v="2"/>
    <n v="10225"/>
    <n v="9"/>
    <s v="Y"/>
    <s v="Yes"/>
    <n v="12"/>
    <x v="0"/>
    <s v="Low Performance"/>
    <n v="4"/>
    <n v="80"/>
    <n v="2"/>
    <n v="28"/>
    <n v="2"/>
    <n v="2"/>
    <s v="Poor"/>
    <n v="22"/>
    <n v="2"/>
    <n v="11"/>
    <n v="13"/>
  </r>
  <r>
    <n v="1293281"/>
    <n v="20"/>
    <x v="4"/>
    <s v="No"/>
    <x v="0"/>
    <x v="0"/>
    <n v="500"/>
    <x v="0"/>
    <n v="2"/>
    <n v="3"/>
    <x v="2"/>
    <n v="1"/>
    <n v="3"/>
    <x v="0"/>
    <n v="49"/>
    <n v="2"/>
    <n v="1"/>
    <s v="Other"/>
    <n v="3"/>
    <s v="Fair"/>
    <x v="0"/>
    <n v="2044"/>
    <x v="1"/>
    <n v="22052"/>
    <n v="1"/>
    <s v="Y"/>
    <s v="No"/>
    <n v="13"/>
    <x v="0"/>
    <s v="Low Performance"/>
    <n v="4"/>
    <n v="80"/>
    <n v="0"/>
    <n v="2"/>
    <n v="3"/>
    <n v="2"/>
    <s v="Poor"/>
    <n v="2"/>
    <n v="2"/>
    <n v="0"/>
    <n v="2"/>
  </r>
  <r>
    <n v="1031059"/>
    <n v="42"/>
    <x v="0"/>
    <s v="No"/>
    <x v="0"/>
    <x v="0"/>
    <n v="916"/>
    <x v="1"/>
    <n v="17"/>
    <n v="2"/>
    <x v="0"/>
    <n v="1"/>
    <n v="4"/>
    <x v="0"/>
    <n v="82"/>
    <n v="4"/>
    <n v="2"/>
    <s v="Nurse"/>
    <n v="1"/>
    <s v="Poor"/>
    <x v="0"/>
    <n v="6545"/>
    <x v="0"/>
    <n v="23016"/>
    <n v="3"/>
    <s v="Y"/>
    <s v="Yes"/>
    <n v="13"/>
    <x v="0"/>
    <s v="Low Performance"/>
    <n v="3"/>
    <n v="80"/>
    <n v="0"/>
    <n v="10"/>
    <n v="1"/>
    <n v="3"/>
    <s v="Fair"/>
    <n v="3"/>
    <n v="2"/>
    <n v="0"/>
    <n v="2"/>
  </r>
  <r>
    <n v="1505419"/>
    <n v="50"/>
    <x v="1"/>
    <s v="No"/>
    <x v="0"/>
    <x v="0"/>
    <n v="410"/>
    <x v="0"/>
    <n v="28"/>
    <n v="3"/>
    <x v="3"/>
    <n v="1"/>
    <n v="4"/>
    <x v="1"/>
    <n v="39"/>
    <n v="2"/>
    <n v="3"/>
    <s v="Nurse"/>
    <n v="1"/>
    <s v="Poor"/>
    <x v="2"/>
    <n v="10854"/>
    <x v="0"/>
    <n v="16586"/>
    <n v="4"/>
    <s v="Y"/>
    <s v="Yes"/>
    <n v="13"/>
    <x v="0"/>
    <s v="Low Performance"/>
    <n v="2"/>
    <n v="80"/>
    <n v="1"/>
    <n v="20"/>
    <n v="3"/>
    <n v="3"/>
    <s v="Fair"/>
    <n v="3"/>
    <n v="2"/>
    <n v="2"/>
    <n v="0"/>
  </r>
  <r>
    <n v="1222421"/>
    <n v="32"/>
    <x v="2"/>
    <s v="No"/>
    <x v="0"/>
    <x v="0"/>
    <n v="371"/>
    <x v="0"/>
    <n v="19"/>
    <n v="3"/>
    <x v="0"/>
    <n v="1"/>
    <n v="4"/>
    <x v="1"/>
    <n v="80"/>
    <n v="1"/>
    <n v="3"/>
    <s v="Nurse"/>
    <n v="3"/>
    <s v="Fair"/>
    <x v="1"/>
    <n v="9610"/>
    <x v="0"/>
    <n v="3840"/>
    <n v="3"/>
    <s v="Y"/>
    <s v="No"/>
    <n v="13"/>
    <x v="0"/>
    <s v="Low Performance"/>
    <n v="3"/>
    <n v="80"/>
    <n v="1"/>
    <n v="10"/>
    <n v="2"/>
    <n v="1"/>
    <s v="Poor"/>
    <n v="4"/>
    <n v="3"/>
    <n v="0"/>
    <n v="2"/>
  </r>
  <r>
    <n v="1620322"/>
    <n v="26"/>
    <x v="2"/>
    <s v="No"/>
    <x v="0"/>
    <x v="0"/>
    <n v="1330"/>
    <x v="2"/>
    <n v="21"/>
    <n v="3"/>
    <x v="2"/>
    <n v="1"/>
    <n v="1"/>
    <x v="1"/>
    <n v="37"/>
    <n v="3"/>
    <n v="1"/>
    <s v="Nurse"/>
    <n v="3"/>
    <s v="Fair"/>
    <x v="2"/>
    <n v="2377"/>
    <x v="1"/>
    <n v="19373"/>
    <n v="1"/>
    <s v="Y"/>
    <s v="No"/>
    <n v="20"/>
    <x v="1"/>
    <s v="High Performance"/>
    <n v="3"/>
    <n v="80"/>
    <n v="1"/>
    <n v="1"/>
    <n v="0"/>
    <n v="2"/>
    <s v="Poor"/>
    <n v="1"/>
    <n v="1"/>
    <n v="0"/>
    <n v="0"/>
  </r>
  <r>
    <n v="1474227"/>
    <n v="25"/>
    <x v="4"/>
    <s v="No"/>
    <x v="0"/>
    <x v="0"/>
    <n v="383"/>
    <x v="0"/>
    <n v="9"/>
    <n v="2"/>
    <x v="0"/>
    <n v="1"/>
    <n v="1"/>
    <x v="1"/>
    <n v="68"/>
    <n v="2"/>
    <n v="1"/>
    <s v="Other"/>
    <n v="1"/>
    <s v="Poor"/>
    <x v="1"/>
    <n v="4400"/>
    <x v="1"/>
    <n v="15182"/>
    <n v="3"/>
    <s v="Y"/>
    <s v="No"/>
    <n v="12"/>
    <x v="0"/>
    <s v="Low Performance"/>
    <n v="1"/>
    <n v="80"/>
    <n v="0"/>
    <n v="6"/>
    <n v="2"/>
    <n v="3"/>
    <s v="Fair"/>
    <n v="3"/>
    <n v="2"/>
    <n v="2"/>
    <n v="2"/>
  </r>
  <r>
    <n v="1101293"/>
    <n v="44"/>
    <x v="0"/>
    <s v="No"/>
    <x v="0"/>
    <x v="2"/>
    <n v="381"/>
    <x v="2"/>
    <n v="24"/>
    <n v="3"/>
    <x v="2"/>
    <n v="1"/>
    <n v="1"/>
    <x v="1"/>
    <n v="49"/>
    <n v="1"/>
    <n v="1"/>
    <s v="Nurse"/>
    <n v="3"/>
    <s v="Fair"/>
    <x v="0"/>
    <n v="3708"/>
    <x v="1"/>
    <n v="2104"/>
    <n v="2"/>
    <s v="Y"/>
    <s v="No"/>
    <n v="14"/>
    <x v="0"/>
    <s v="Low Performance"/>
    <n v="3"/>
    <n v="80"/>
    <n v="0"/>
    <n v="9"/>
    <n v="5"/>
    <n v="3"/>
    <s v="Fair"/>
    <n v="5"/>
    <n v="2"/>
    <n v="1"/>
    <n v="4"/>
  </r>
  <r>
    <n v="1327800"/>
    <n v="34"/>
    <x v="2"/>
    <s v="No"/>
    <x v="0"/>
    <x v="0"/>
    <n v="204"/>
    <x v="0"/>
    <n v="14"/>
    <n v="3"/>
    <x v="4"/>
    <n v="1"/>
    <n v="3"/>
    <x v="0"/>
    <n v="31"/>
    <n v="3"/>
    <n v="1"/>
    <s v="Other"/>
    <n v="3"/>
    <s v="Fair"/>
    <x v="2"/>
    <n v="2579"/>
    <x v="1"/>
    <n v="2912"/>
    <n v="1"/>
    <s v="Y"/>
    <s v="Yes"/>
    <n v="18"/>
    <x v="0"/>
    <s v="Low Performance"/>
    <n v="4"/>
    <n v="80"/>
    <n v="2"/>
    <n v="8"/>
    <n v="3"/>
    <n v="3"/>
    <s v="Fair"/>
    <n v="8"/>
    <n v="2"/>
    <n v="0"/>
    <n v="6"/>
  </r>
  <r>
    <n v="1162185"/>
    <n v="28"/>
    <x v="2"/>
    <s v="Yes"/>
    <x v="1"/>
    <x v="1"/>
    <n v="773"/>
    <x v="1"/>
    <n v="6"/>
    <n v="3"/>
    <x v="0"/>
    <n v="1"/>
    <n v="3"/>
    <x v="1"/>
    <n v="39"/>
    <n v="2"/>
    <n v="1"/>
    <s v="Nurse"/>
    <n v="3"/>
    <s v="Fair"/>
    <x v="2"/>
    <n v="2703"/>
    <x v="1"/>
    <n v="22088"/>
    <n v="1"/>
    <s v="Y"/>
    <s v="Yes"/>
    <n v="14"/>
    <x v="0"/>
    <s v="Low Performance"/>
    <n v="4"/>
    <n v="80"/>
    <n v="1"/>
    <n v="3"/>
    <n v="2"/>
    <n v="3"/>
    <s v="Fair"/>
    <n v="3"/>
    <n v="1"/>
    <n v="0"/>
    <n v="2"/>
  </r>
  <r>
    <n v="1168729"/>
    <n v="19"/>
    <x v="4"/>
    <s v="Yes"/>
    <x v="1"/>
    <x v="0"/>
    <n v="303"/>
    <x v="2"/>
    <n v="2"/>
    <n v="3"/>
    <x v="0"/>
    <n v="1"/>
    <n v="2"/>
    <x v="1"/>
    <n v="47"/>
    <n v="2"/>
    <n v="1"/>
    <s v="Nurse"/>
    <n v="4"/>
    <s v="Good"/>
    <x v="0"/>
    <n v="1102"/>
    <x v="1"/>
    <n v="9241"/>
    <n v="1"/>
    <s v="Y"/>
    <s v="No"/>
    <n v="22"/>
    <x v="1"/>
    <s v="High Performance"/>
    <n v="3"/>
    <n v="80"/>
    <n v="0"/>
    <n v="1"/>
    <n v="3"/>
    <n v="2"/>
    <s v="Poor"/>
    <n v="1"/>
    <n v="0"/>
    <n v="1"/>
    <n v="0"/>
  </r>
  <r>
    <n v="1544044"/>
    <n v="31"/>
    <x v="2"/>
    <s v="Yes"/>
    <x v="1"/>
    <x v="1"/>
    <n v="754"/>
    <x v="0"/>
    <n v="26"/>
    <n v="4"/>
    <x v="3"/>
    <n v="1"/>
    <n v="1"/>
    <x v="1"/>
    <n v="63"/>
    <n v="3"/>
    <n v="2"/>
    <s v="Nurse"/>
    <n v="4"/>
    <s v="Good"/>
    <x v="1"/>
    <n v="5617"/>
    <x v="0"/>
    <n v="21075"/>
    <n v="1"/>
    <s v="Y"/>
    <s v="Yes"/>
    <n v="11"/>
    <x v="0"/>
    <s v="Low Performance"/>
    <n v="3"/>
    <n v="80"/>
    <n v="0"/>
    <n v="10"/>
    <n v="4"/>
    <n v="3"/>
    <s v="Fair"/>
    <n v="10"/>
    <n v="7"/>
    <n v="0"/>
    <n v="8"/>
  </r>
  <r>
    <n v="1114030"/>
    <n v="37"/>
    <x v="0"/>
    <s v="Yes"/>
    <x v="1"/>
    <x v="2"/>
    <n v="1252"/>
    <x v="0"/>
    <n v="19"/>
    <n v="2"/>
    <x v="2"/>
    <n v="1"/>
    <n v="1"/>
    <x v="1"/>
    <n v="32"/>
    <n v="3"/>
    <n v="3"/>
    <s v="Nurse"/>
    <n v="2"/>
    <s v="Poor"/>
    <x v="0"/>
    <n v="7642"/>
    <x v="0"/>
    <n v="4814"/>
    <n v="1"/>
    <s v="Y"/>
    <s v="Yes"/>
    <n v="13"/>
    <x v="0"/>
    <s v="Low Performance"/>
    <n v="4"/>
    <n v="80"/>
    <n v="0"/>
    <n v="10"/>
    <n v="2"/>
    <n v="3"/>
    <s v="Fair"/>
    <n v="10"/>
    <n v="0"/>
    <n v="0"/>
    <n v="9"/>
  </r>
  <r>
    <n v="1751929"/>
    <n v="22"/>
    <x v="4"/>
    <s v="Yes"/>
    <x v="1"/>
    <x v="1"/>
    <n v="1256"/>
    <x v="1"/>
    <n v="3"/>
    <n v="4"/>
    <x v="0"/>
    <n v="1"/>
    <n v="3"/>
    <x v="1"/>
    <n v="48"/>
    <n v="2"/>
    <n v="1"/>
    <s v="Nurse"/>
    <n v="4"/>
    <s v="Good"/>
    <x v="1"/>
    <n v="2853"/>
    <x v="1"/>
    <n v="4223"/>
    <n v="0"/>
    <s v="Y"/>
    <s v="Yes"/>
    <n v="11"/>
    <x v="0"/>
    <s v="Low Performance"/>
    <n v="2"/>
    <n v="80"/>
    <n v="1"/>
    <n v="1"/>
    <n v="5"/>
    <n v="3"/>
    <s v="Fair"/>
    <n v="0"/>
    <n v="0"/>
    <n v="0"/>
    <n v="0"/>
  </r>
  <r>
    <n v="1267282"/>
    <n v="31"/>
    <x v="2"/>
    <s v="Yes"/>
    <x v="1"/>
    <x v="0"/>
    <n v="202"/>
    <x v="1"/>
    <n v="8"/>
    <n v="3"/>
    <x v="0"/>
    <n v="1"/>
    <n v="1"/>
    <x v="0"/>
    <n v="34"/>
    <n v="2"/>
    <n v="1"/>
    <s v="Nurse"/>
    <n v="2"/>
    <s v="Poor"/>
    <x v="0"/>
    <n v="1261"/>
    <x v="1"/>
    <n v="22262"/>
    <n v="1"/>
    <s v="Y"/>
    <s v="No"/>
    <n v="12"/>
    <x v="0"/>
    <s v="Low Performance"/>
    <n v="3"/>
    <n v="80"/>
    <n v="0"/>
    <n v="1"/>
    <n v="3"/>
    <n v="4"/>
    <s v="Good"/>
    <n v="1"/>
    <n v="0"/>
    <n v="0"/>
    <n v="0"/>
  </r>
  <r>
    <n v="1855095"/>
    <n v="27"/>
    <x v="2"/>
    <s v="Yes"/>
    <x v="1"/>
    <x v="1"/>
    <n v="1297"/>
    <x v="2"/>
    <n v="5"/>
    <n v="2"/>
    <x v="0"/>
    <n v="1"/>
    <n v="4"/>
    <x v="0"/>
    <n v="53"/>
    <n v="3"/>
    <n v="1"/>
    <s v="Nurse"/>
    <n v="4"/>
    <s v="Good"/>
    <x v="0"/>
    <n v="2379"/>
    <x v="1"/>
    <n v="19826"/>
    <n v="0"/>
    <s v="Y"/>
    <s v="Yes"/>
    <n v="14"/>
    <x v="0"/>
    <s v="Low Performance"/>
    <n v="3"/>
    <n v="80"/>
    <n v="0"/>
    <n v="6"/>
    <n v="3"/>
    <n v="2"/>
    <s v="Poor"/>
    <n v="5"/>
    <n v="4"/>
    <n v="0"/>
    <n v="2"/>
  </r>
  <r>
    <n v="1837772"/>
    <n v="26"/>
    <x v="2"/>
    <s v="Yes"/>
    <x v="1"/>
    <x v="0"/>
    <n v="1443"/>
    <x v="0"/>
    <n v="23"/>
    <n v="3"/>
    <x v="3"/>
    <n v="1"/>
    <n v="3"/>
    <x v="0"/>
    <n v="47"/>
    <n v="2"/>
    <n v="2"/>
    <s v="Nurse"/>
    <n v="4"/>
    <s v="Good"/>
    <x v="1"/>
    <n v="4157"/>
    <x v="1"/>
    <n v="21436"/>
    <n v="7"/>
    <s v="Y"/>
    <s v="Yes"/>
    <n v="19"/>
    <x v="0"/>
    <s v="Low Performance"/>
    <n v="3"/>
    <n v="80"/>
    <n v="1"/>
    <n v="5"/>
    <n v="2"/>
    <n v="2"/>
    <s v="Poor"/>
    <n v="2"/>
    <n v="2"/>
    <n v="0"/>
    <n v="0"/>
  </r>
  <r>
    <n v="1704323"/>
    <n v="29"/>
    <x v="2"/>
    <s v="Yes"/>
    <x v="1"/>
    <x v="0"/>
    <n v="341"/>
    <x v="0"/>
    <n v="1"/>
    <n v="3"/>
    <x v="2"/>
    <n v="1"/>
    <n v="2"/>
    <x v="0"/>
    <n v="48"/>
    <n v="2"/>
    <n v="1"/>
    <s v="Other"/>
    <n v="3"/>
    <s v="Fair"/>
    <x v="2"/>
    <n v="2800"/>
    <x v="1"/>
    <n v="23522"/>
    <n v="6"/>
    <s v="Y"/>
    <s v="Yes"/>
    <n v="19"/>
    <x v="0"/>
    <s v="Low Performance"/>
    <n v="3"/>
    <n v="80"/>
    <n v="3"/>
    <n v="5"/>
    <n v="3"/>
    <n v="3"/>
    <s v="Fair"/>
    <n v="3"/>
    <n v="2"/>
    <n v="0"/>
    <n v="2"/>
  </r>
  <r>
    <n v="1622091"/>
    <n v="26"/>
    <x v="2"/>
    <s v="Yes"/>
    <x v="1"/>
    <x v="2"/>
    <n v="265"/>
    <x v="0"/>
    <n v="29"/>
    <n v="2"/>
    <x v="2"/>
    <n v="1"/>
    <n v="2"/>
    <x v="1"/>
    <n v="79"/>
    <n v="1"/>
    <n v="2"/>
    <s v="Nurse"/>
    <n v="1"/>
    <s v="Poor"/>
    <x v="0"/>
    <n v="4969"/>
    <x v="1"/>
    <n v="21813"/>
    <n v="8"/>
    <s v="Y"/>
    <s v="No"/>
    <n v="18"/>
    <x v="0"/>
    <s v="Low Performance"/>
    <n v="4"/>
    <n v="80"/>
    <n v="0"/>
    <n v="7"/>
    <n v="6"/>
    <n v="3"/>
    <s v="Fair"/>
    <n v="2"/>
    <n v="2"/>
    <n v="2"/>
    <n v="2"/>
  </r>
  <r>
    <n v="1734708"/>
    <n v="31"/>
    <x v="2"/>
    <s v="Yes"/>
    <x v="1"/>
    <x v="1"/>
    <n v="1060"/>
    <x v="0"/>
    <n v="1"/>
    <n v="3"/>
    <x v="0"/>
    <n v="1"/>
    <n v="4"/>
    <x v="0"/>
    <n v="54"/>
    <n v="3"/>
    <n v="1"/>
    <s v="Other"/>
    <n v="2"/>
    <s v="Poor"/>
    <x v="0"/>
    <n v="2302"/>
    <x v="1"/>
    <n v="8319"/>
    <n v="1"/>
    <s v="Y"/>
    <s v="Yes"/>
    <n v="11"/>
    <x v="0"/>
    <s v="Low Performance"/>
    <n v="1"/>
    <n v="80"/>
    <n v="0"/>
    <n v="3"/>
    <n v="2"/>
    <n v="4"/>
    <s v="Good"/>
    <n v="3"/>
    <n v="2"/>
    <n v="2"/>
    <n v="2"/>
  </r>
  <r>
    <n v="1747750"/>
    <n v="29"/>
    <x v="2"/>
    <s v="Yes"/>
    <x v="1"/>
    <x v="0"/>
    <n v="942"/>
    <x v="1"/>
    <n v="15"/>
    <n v="1"/>
    <x v="0"/>
    <n v="1"/>
    <n v="2"/>
    <x v="0"/>
    <n v="69"/>
    <n v="1"/>
    <n v="1"/>
    <s v="Nurse"/>
    <n v="4"/>
    <s v="Good"/>
    <x v="1"/>
    <n v="2168"/>
    <x v="1"/>
    <n v="26933"/>
    <n v="0"/>
    <s v="Y"/>
    <s v="Yes"/>
    <n v="18"/>
    <x v="0"/>
    <s v="Low Performance"/>
    <n v="1"/>
    <n v="80"/>
    <n v="1"/>
    <n v="6"/>
    <n v="2"/>
    <n v="2"/>
    <s v="Poor"/>
    <n v="5"/>
    <n v="4"/>
    <n v="1"/>
    <n v="3"/>
  </r>
  <r>
    <n v="1341748"/>
    <n v="26"/>
    <x v="2"/>
    <s v="Yes"/>
    <x v="1"/>
    <x v="1"/>
    <n v="426"/>
    <x v="2"/>
    <n v="17"/>
    <n v="4"/>
    <x v="0"/>
    <n v="1"/>
    <n v="2"/>
    <x v="0"/>
    <n v="58"/>
    <n v="3"/>
    <n v="1"/>
    <s v="Other"/>
    <n v="3"/>
    <s v="Fair"/>
    <x v="2"/>
    <n v="2741"/>
    <x v="1"/>
    <n v="22808"/>
    <n v="0"/>
    <s v="Y"/>
    <s v="Yes"/>
    <n v="11"/>
    <x v="0"/>
    <s v="Low Performance"/>
    <n v="2"/>
    <n v="80"/>
    <n v="1"/>
    <n v="8"/>
    <n v="2"/>
    <n v="2"/>
    <s v="Poor"/>
    <n v="7"/>
    <n v="7"/>
    <n v="1"/>
    <n v="0"/>
  </r>
  <r>
    <n v="1415325"/>
    <n v="23"/>
    <x v="4"/>
    <s v="Yes"/>
    <x v="1"/>
    <x v="0"/>
    <n v="1243"/>
    <x v="2"/>
    <n v="6"/>
    <n v="3"/>
    <x v="0"/>
    <n v="1"/>
    <n v="3"/>
    <x v="1"/>
    <n v="63"/>
    <n v="4"/>
    <n v="1"/>
    <s v="Nurse"/>
    <n v="1"/>
    <s v="Poor"/>
    <x v="1"/>
    <n v="1601"/>
    <x v="1"/>
    <n v="3445"/>
    <n v="1"/>
    <s v="Y"/>
    <s v="Yes"/>
    <n v="21"/>
    <x v="1"/>
    <s v="High Performance"/>
    <n v="3"/>
    <n v="80"/>
    <n v="2"/>
    <n v="1"/>
    <n v="2"/>
    <n v="3"/>
    <s v="Fair"/>
    <n v="0"/>
    <n v="0"/>
    <n v="0"/>
    <n v="0"/>
  </r>
  <r>
    <n v="1663404"/>
    <n v="34"/>
    <x v="2"/>
    <s v="Yes"/>
    <x v="1"/>
    <x v="0"/>
    <n v="790"/>
    <x v="0"/>
    <n v="24"/>
    <n v="4"/>
    <x v="2"/>
    <n v="1"/>
    <n v="1"/>
    <x v="0"/>
    <n v="40"/>
    <n v="2"/>
    <n v="2"/>
    <s v="Nurse"/>
    <n v="2"/>
    <s v="Poor"/>
    <x v="0"/>
    <n v="4599"/>
    <x v="1"/>
    <n v="7815"/>
    <n v="0"/>
    <s v="Y"/>
    <s v="Yes"/>
    <n v="23"/>
    <x v="1"/>
    <s v="High Performance"/>
    <n v="3"/>
    <n v="80"/>
    <n v="0"/>
    <n v="16"/>
    <n v="2"/>
    <n v="4"/>
    <s v="Good"/>
    <n v="15"/>
    <n v="9"/>
    <n v="10"/>
    <n v="10"/>
  </r>
  <r>
    <n v="1549806"/>
    <n v="21"/>
    <x v="4"/>
    <s v="Yes"/>
    <x v="1"/>
    <x v="1"/>
    <n v="251"/>
    <x v="2"/>
    <n v="10"/>
    <n v="2"/>
    <x v="0"/>
    <n v="1"/>
    <n v="1"/>
    <x v="0"/>
    <n v="45"/>
    <n v="2"/>
    <n v="1"/>
    <s v="Nurse"/>
    <n v="3"/>
    <s v="Fair"/>
    <x v="0"/>
    <n v="2625"/>
    <x v="1"/>
    <n v="25308"/>
    <n v="1"/>
    <s v="Y"/>
    <s v="No"/>
    <n v="20"/>
    <x v="1"/>
    <s v="High Performance"/>
    <n v="3"/>
    <n v="80"/>
    <n v="0"/>
    <n v="2"/>
    <n v="2"/>
    <n v="1"/>
    <s v="Poor"/>
    <n v="2"/>
    <n v="2"/>
    <n v="2"/>
    <n v="2"/>
  </r>
  <r>
    <n v="1874133"/>
    <n v="31"/>
    <x v="2"/>
    <s v="Yes"/>
    <x v="1"/>
    <x v="0"/>
    <n v="1276"/>
    <x v="2"/>
    <n v="2"/>
    <n v="1"/>
    <x v="2"/>
    <n v="1"/>
    <n v="4"/>
    <x v="0"/>
    <n v="59"/>
    <n v="1"/>
    <n v="1"/>
    <s v="Nurse"/>
    <n v="4"/>
    <s v="Good"/>
    <x v="2"/>
    <n v="1129"/>
    <x v="1"/>
    <n v="17536"/>
    <n v="1"/>
    <s v="Y"/>
    <s v="Yes"/>
    <n v="11"/>
    <x v="0"/>
    <s v="Low Performance"/>
    <n v="3"/>
    <n v="80"/>
    <n v="3"/>
    <n v="1"/>
    <n v="4"/>
    <n v="3"/>
    <s v="Fair"/>
    <n v="1"/>
    <n v="0"/>
    <n v="0"/>
    <n v="0"/>
  </r>
  <r>
    <n v="1175959"/>
    <n v="28"/>
    <x v="2"/>
    <s v="Yes"/>
    <x v="1"/>
    <x v="0"/>
    <n v="329"/>
    <x v="2"/>
    <n v="24"/>
    <n v="3"/>
    <x v="2"/>
    <n v="1"/>
    <n v="3"/>
    <x v="1"/>
    <n v="51"/>
    <n v="3"/>
    <n v="1"/>
    <s v="Nurse"/>
    <n v="2"/>
    <s v="Poor"/>
    <x v="1"/>
    <n v="2408"/>
    <x v="1"/>
    <n v="7324"/>
    <n v="1"/>
    <s v="Y"/>
    <s v="Yes"/>
    <n v="17"/>
    <x v="0"/>
    <s v="Low Performance"/>
    <n v="3"/>
    <n v="80"/>
    <n v="3"/>
    <n v="1"/>
    <n v="3"/>
    <n v="3"/>
    <s v="Fair"/>
    <n v="1"/>
    <n v="1"/>
    <n v="0"/>
    <n v="0"/>
  </r>
  <r>
    <n v="1655666"/>
    <n v="20"/>
    <x v="4"/>
    <s v="Yes"/>
    <x v="1"/>
    <x v="1"/>
    <n v="871"/>
    <x v="2"/>
    <n v="6"/>
    <n v="3"/>
    <x v="0"/>
    <n v="1"/>
    <n v="4"/>
    <x v="0"/>
    <n v="66"/>
    <n v="2"/>
    <n v="1"/>
    <s v="Nurse"/>
    <n v="4"/>
    <s v="Good"/>
    <x v="0"/>
    <n v="2926"/>
    <x v="1"/>
    <n v="19783"/>
    <n v="1"/>
    <s v="Y"/>
    <s v="Yes"/>
    <n v="18"/>
    <x v="0"/>
    <s v="Low Performance"/>
    <n v="2"/>
    <n v="80"/>
    <n v="0"/>
    <n v="1"/>
    <n v="5"/>
    <n v="3"/>
    <s v="Fair"/>
    <n v="1"/>
    <n v="0"/>
    <n v="1"/>
    <n v="0"/>
  </r>
  <r>
    <n v="1602218"/>
    <n v="33"/>
    <x v="2"/>
    <s v="Yes"/>
    <x v="1"/>
    <x v="0"/>
    <n v="1017"/>
    <x v="1"/>
    <n v="25"/>
    <n v="3"/>
    <x v="2"/>
    <n v="1"/>
    <n v="1"/>
    <x v="1"/>
    <n v="55"/>
    <n v="2"/>
    <n v="1"/>
    <s v="Nurse"/>
    <n v="2"/>
    <s v="Poor"/>
    <x v="0"/>
    <n v="2313"/>
    <x v="1"/>
    <n v="2993"/>
    <n v="4"/>
    <s v="Y"/>
    <s v="Yes"/>
    <n v="20"/>
    <x v="1"/>
    <s v="High Performance"/>
    <n v="2"/>
    <n v="80"/>
    <n v="0"/>
    <n v="5"/>
    <n v="0"/>
    <n v="3"/>
    <s v="Fair"/>
    <n v="2"/>
    <n v="2"/>
    <n v="2"/>
    <n v="2"/>
  </r>
  <r>
    <n v="1336016"/>
    <n v="28"/>
    <x v="2"/>
    <s v="Yes"/>
    <x v="1"/>
    <x v="0"/>
    <n v="654"/>
    <x v="1"/>
    <n v="1"/>
    <n v="2"/>
    <x v="0"/>
    <n v="1"/>
    <n v="1"/>
    <x v="0"/>
    <n v="67"/>
    <n v="1"/>
    <n v="1"/>
    <s v="Nurse"/>
    <n v="2"/>
    <s v="Poor"/>
    <x v="0"/>
    <n v="2216"/>
    <x v="1"/>
    <n v="3872"/>
    <n v="7"/>
    <s v="Y"/>
    <s v="Yes"/>
    <n v="13"/>
    <x v="0"/>
    <s v="Low Performance"/>
    <n v="4"/>
    <n v="80"/>
    <n v="0"/>
    <n v="10"/>
    <n v="4"/>
    <n v="3"/>
    <s v="Fair"/>
    <n v="7"/>
    <n v="7"/>
    <n v="3"/>
    <n v="7"/>
  </r>
  <r>
    <n v="1117656"/>
    <n v="26"/>
    <x v="2"/>
    <s v="Yes"/>
    <x v="1"/>
    <x v="0"/>
    <n v="471"/>
    <x v="2"/>
    <n v="24"/>
    <n v="3"/>
    <x v="4"/>
    <n v="1"/>
    <n v="3"/>
    <x v="1"/>
    <n v="66"/>
    <n v="1"/>
    <n v="1"/>
    <s v="Nurse"/>
    <n v="4"/>
    <s v="Good"/>
    <x v="0"/>
    <n v="2340"/>
    <x v="1"/>
    <n v="23213"/>
    <n v="1"/>
    <s v="Y"/>
    <s v="Yes"/>
    <n v="18"/>
    <x v="0"/>
    <s v="Low Performance"/>
    <n v="2"/>
    <n v="80"/>
    <n v="0"/>
    <n v="1"/>
    <n v="3"/>
    <n v="1"/>
    <s v="Poor"/>
    <n v="1"/>
    <n v="0"/>
    <n v="0"/>
    <n v="0"/>
  </r>
  <r>
    <n v="1152327"/>
    <n v="46"/>
    <x v="1"/>
    <s v="No"/>
    <x v="0"/>
    <x v="0"/>
    <n v="1125"/>
    <x v="0"/>
    <n v="10"/>
    <n v="3"/>
    <x v="3"/>
    <n v="1"/>
    <n v="3"/>
    <x v="0"/>
    <n v="94"/>
    <n v="2"/>
    <n v="3"/>
    <s v="Nurse"/>
    <n v="4"/>
    <s v="Good"/>
    <x v="1"/>
    <n v="9071"/>
    <x v="0"/>
    <n v="11563"/>
    <n v="2"/>
    <s v="Y"/>
    <s v="Yes"/>
    <n v="19"/>
    <x v="0"/>
    <s v="Low Performance"/>
    <n v="3"/>
    <n v="80"/>
    <n v="1"/>
    <n v="15"/>
    <n v="3"/>
    <n v="3"/>
    <s v="Fair"/>
    <n v="3"/>
    <n v="2"/>
    <n v="1"/>
    <n v="2"/>
  </r>
  <r>
    <n v="1812428"/>
    <n v="20"/>
    <x v="4"/>
    <s v="No"/>
    <x v="0"/>
    <x v="0"/>
    <n v="959"/>
    <x v="1"/>
    <n v="1"/>
    <n v="3"/>
    <x v="0"/>
    <n v="1"/>
    <n v="4"/>
    <x v="0"/>
    <n v="83"/>
    <n v="2"/>
    <n v="1"/>
    <s v="Other"/>
    <n v="2"/>
    <s v="Poor"/>
    <x v="0"/>
    <n v="2836"/>
    <x v="1"/>
    <n v="11757"/>
    <n v="1"/>
    <s v="Y"/>
    <s v="No"/>
    <n v="13"/>
    <x v="0"/>
    <s v="Low Performance"/>
    <n v="4"/>
    <n v="80"/>
    <n v="0"/>
    <n v="1"/>
    <n v="0"/>
    <n v="4"/>
    <s v="Good"/>
    <n v="1"/>
    <n v="0"/>
    <n v="0"/>
    <n v="0"/>
  </r>
  <r>
    <n v="1812429"/>
    <n v="39"/>
    <x v="0"/>
    <s v="No"/>
    <x v="0"/>
    <x v="0"/>
    <n v="466"/>
    <x v="2"/>
    <n v="1"/>
    <n v="1"/>
    <x v="0"/>
    <n v="1"/>
    <n v="4"/>
    <x v="0"/>
    <n v="65"/>
    <n v="2"/>
    <n v="4"/>
    <s v="Therapist"/>
    <n v="4"/>
    <s v="Good"/>
    <x v="1"/>
    <n v="12742"/>
    <x v="2"/>
    <n v="7060"/>
    <n v="1"/>
    <s v="Y"/>
    <s v="No"/>
    <n v="16"/>
    <x v="0"/>
    <s v="Low Performance"/>
    <n v="3"/>
    <n v="80"/>
    <n v="1"/>
    <n v="21"/>
    <n v="3"/>
    <n v="3"/>
    <s v="Fair"/>
    <n v="21"/>
    <n v="6"/>
    <n v="11"/>
    <n v="8"/>
  </r>
  <r>
    <n v="1152329"/>
    <n v="27"/>
    <x v="2"/>
    <s v="No"/>
    <x v="0"/>
    <x v="0"/>
    <n v="511"/>
    <x v="0"/>
    <n v="2"/>
    <n v="2"/>
    <x v="2"/>
    <n v="1"/>
    <n v="1"/>
    <x v="0"/>
    <n v="89"/>
    <n v="4"/>
    <n v="2"/>
    <s v="Nurse"/>
    <n v="3"/>
    <s v="Fair"/>
    <x v="0"/>
    <n v="6500"/>
    <x v="0"/>
    <n v="26997"/>
    <n v="0"/>
    <s v="Y"/>
    <s v="No"/>
    <n v="14"/>
    <x v="0"/>
    <s v="Low Performance"/>
    <n v="2"/>
    <n v="80"/>
    <n v="0"/>
    <n v="9"/>
    <n v="5"/>
    <n v="2"/>
    <s v="Poor"/>
    <n v="8"/>
    <n v="7"/>
    <n v="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F6226B-C867-2146-A833-3CA68950D915}"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41">
    <pivotField dataField="1" showAll="0"/>
    <pivotField showAll="0"/>
    <pivotField axis="axisRow" showAll="0" sortType="ascending">
      <items count="6">
        <item x="4"/>
        <item x="2"/>
        <item x="0"/>
        <item x="1"/>
        <item x="3"/>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4"/>
  </colFields>
  <colItems count="3">
    <i>
      <x/>
    </i>
    <i>
      <x v="1"/>
    </i>
    <i t="grand">
      <x/>
    </i>
  </colItems>
  <dataFields count="1">
    <dataField name="Count of EmployeeID" fld="0" subtotal="count" baseField="0" baseItem="0"/>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4" count="1" selected="0">
            <x v="0"/>
          </reference>
        </references>
      </pivotArea>
    </chartFormat>
    <chartFormat chart="2" format="10" series="1">
      <pivotArea type="data" outline="0" fieldPosition="0">
        <references count="2">
          <reference field="4294967294" count="1" selected="0">
            <x v="0"/>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0"/>
          </reference>
        </references>
      </pivotArea>
    </chartFormat>
    <chartFormat chart="0" format="8" series="1">
      <pivotArea type="data" outline="0" fieldPosition="0">
        <references count="2">
          <reference field="4294967294" count="1" selected="0">
            <x v="0"/>
          </reference>
          <reference field="4" count="1" selected="0">
            <x v="1"/>
          </reference>
        </references>
      </pivotArea>
    </chartFormat>
    <chartFormat chart="4" format="11" series="1">
      <pivotArea type="data" outline="0" fieldPosition="0">
        <references count="2">
          <reference field="4294967294" count="1" selected="0">
            <x v="0"/>
          </reference>
          <reference field="4" count="1" selected="0">
            <x v="0"/>
          </reference>
        </references>
      </pivotArea>
    </chartFormat>
    <chartFormat chart="4" format="12" series="1">
      <pivotArea type="data" outline="0" fieldPosition="0">
        <references count="2">
          <reference field="4294967294" count="1" selected="0">
            <x v="0"/>
          </reference>
          <reference field="4" count="1" selected="0">
            <x v="1"/>
          </reference>
        </references>
      </pivotArea>
    </chartFormat>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A5093A-B35C-9646-B439-BC853D9CB72A}"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41">
    <pivotField dataField="1" showAll="0"/>
    <pivotField showAll="0"/>
    <pivotField showAll="0" sortType="ascending">
      <items count="6">
        <item x="4"/>
        <item x="2"/>
        <item x="0"/>
        <item x="1"/>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numFmtId="164"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v="2"/>
    </i>
    <i>
      <x/>
    </i>
    <i>
      <x v="1"/>
    </i>
    <i t="grand">
      <x/>
    </i>
  </rowItems>
  <colItems count="1">
    <i/>
  </colItems>
  <dataFields count="1">
    <dataField name="Count of EmployeeID" fld="0" subtotal="count" baseField="0" baseItem="0"/>
  </dataFields>
  <chartFormats count="7">
    <chartFormat chart="0" format="5"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 chart="1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EE9346-91C2-584B-BF65-723104193E4C}"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41">
    <pivotField dataField="1" showAll="0"/>
    <pivotField showAll="0"/>
    <pivotField showAll="0">
      <items count="6">
        <item x="4"/>
        <item x="2"/>
        <item x="0"/>
        <item x="1"/>
        <item x="3"/>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4">
    <i>
      <x/>
    </i>
    <i>
      <x v="1"/>
    </i>
    <i>
      <x v="2"/>
    </i>
    <i t="grand">
      <x/>
    </i>
  </rowItems>
  <colFields count="1">
    <field x="4"/>
  </colFields>
  <colItems count="3">
    <i>
      <x/>
    </i>
    <i>
      <x v="1"/>
    </i>
    <i t="grand">
      <x/>
    </i>
  </colItems>
  <dataFields count="1">
    <dataField name="Count of EmployeeID" fld="0" subtotal="count" baseField="0" baseItem="0"/>
  </dataFields>
  <chartFormats count="7">
    <chartFormat chart="0" format="5"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4" count="1" selected="0">
            <x v="0"/>
          </reference>
        </references>
      </pivotArea>
    </chartFormat>
    <chartFormat chart="2" format="10" series="1">
      <pivotArea type="data" outline="0" fieldPosition="0">
        <references count="2">
          <reference field="4294967294" count="1" selected="0">
            <x v="0"/>
          </reference>
          <reference field="4" count="1" selected="0">
            <x v="1"/>
          </reference>
        </references>
      </pivotArea>
    </chartFormat>
    <chartFormat chart="4" format="15" series="1">
      <pivotArea type="data" outline="0" fieldPosition="0">
        <references count="2">
          <reference field="4294967294" count="1" selected="0">
            <x v="0"/>
          </reference>
          <reference field="4" count="1" selected="0">
            <x v="0"/>
          </reference>
        </references>
      </pivotArea>
    </chartFormat>
    <chartFormat chart="4" format="16" series="1">
      <pivotArea type="data" outline="0" fieldPosition="0">
        <references count="2">
          <reference field="4294967294" count="1" selected="0">
            <x v="0"/>
          </reference>
          <reference field="4" count="1" selected="0">
            <x v="1"/>
          </reference>
        </references>
      </pivotArea>
    </chartFormat>
    <chartFormat chart="7" format="17" series="1">
      <pivotArea type="data" outline="0" fieldPosition="0">
        <references count="2">
          <reference field="4294967294" count="1" selected="0">
            <x v="0"/>
          </reference>
          <reference field="4" count="1" selected="0">
            <x v="0"/>
          </reference>
        </references>
      </pivotArea>
    </chartFormat>
    <chartFormat chart="7" format="18"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88D2B-AD8F-AD4F-B7AE-B53B7A2EE9F4}"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41">
    <pivotField dataField="1" showAll="0"/>
    <pivotField showAll="0"/>
    <pivotField showAll="0">
      <items count="6">
        <item x="4"/>
        <item x="2"/>
        <item x="0"/>
        <item x="1"/>
        <item x="3"/>
        <item t="default"/>
      </items>
    </pivotField>
    <pivotField showAll="0"/>
    <pivotField showAll="0">
      <items count="3">
        <item x="0"/>
        <item x="1"/>
        <item t="default"/>
      </items>
    </pivotField>
    <pivotField axis="axisRow" showAll="0" sortType="descending">
      <items count="4">
        <item x="0"/>
        <item x="1"/>
        <item x="2"/>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ID" fld="0" subtotal="count" baseField="0" baseItem="0"/>
  </dataFields>
  <chartFormats count="13">
    <chartFormat chart="0" format="5"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2">
          <reference field="4294967294" count="1" selected="0">
            <x v="0"/>
          </reference>
          <reference field="5" count="1" selected="0">
            <x v="1"/>
          </reference>
        </references>
      </pivotArea>
    </chartFormat>
    <chartFormat chart="6" format="27">
      <pivotArea type="data" outline="0" fieldPosition="0">
        <references count="2">
          <reference field="4294967294" count="1" selected="0">
            <x v="0"/>
          </reference>
          <reference field="5" count="1" selected="0">
            <x v="0"/>
          </reference>
        </references>
      </pivotArea>
    </chartFormat>
    <chartFormat chart="4" format="20">
      <pivotArea type="data" outline="0" fieldPosition="0">
        <references count="2">
          <reference field="4294967294" count="1" selected="0">
            <x v="0"/>
          </reference>
          <reference field="5" count="1" selected="0">
            <x v="2"/>
          </reference>
        </references>
      </pivotArea>
    </chartFormat>
    <chartFormat chart="4" format="21">
      <pivotArea type="data" outline="0" fieldPosition="0">
        <references count="2">
          <reference field="4294967294" count="1" selected="0">
            <x v="0"/>
          </reference>
          <reference field="5" count="1" selected="0">
            <x v="1"/>
          </reference>
        </references>
      </pivotArea>
    </chartFormat>
    <chartFormat chart="4" format="22">
      <pivotArea type="data" outline="0" fieldPosition="0">
        <references count="2">
          <reference field="4294967294" count="1" selected="0">
            <x v="0"/>
          </reference>
          <reference field="5" count="1" selected="0">
            <x v="0"/>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5" count="1" selected="0">
            <x v="2"/>
          </reference>
        </references>
      </pivotArea>
    </chartFormat>
    <chartFormat chart="8" format="29">
      <pivotArea type="data" outline="0" fieldPosition="0">
        <references count="2">
          <reference field="4294967294" count="1" selected="0">
            <x v="0"/>
          </reference>
          <reference field="5" count="1" selected="0">
            <x v="1"/>
          </reference>
        </references>
      </pivotArea>
    </chartFormat>
    <chartFormat chart="8" format="30">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66779-DB67-3648-920E-9AB7513D2820}"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1" firstHeaderRow="1" firstDataRow="2" firstDataCol="1"/>
  <pivotFields count="41">
    <pivotField dataField="1" showAll="0"/>
    <pivotField showAll="0"/>
    <pivotField showAll="0">
      <items count="6">
        <item x="4"/>
        <item x="2"/>
        <item x="0"/>
        <item x="1"/>
        <item x="3"/>
        <item t="default"/>
      </items>
    </pivotField>
    <pivotField showAll="0"/>
    <pivotField axis="axisCol" showAll="0">
      <items count="3">
        <item x="0"/>
        <item x="1"/>
        <item t="default"/>
      </items>
    </pivotField>
    <pivotField showAll="0">
      <items count="4">
        <item x="2"/>
        <item x="1"/>
        <item x="0"/>
        <item t="default"/>
      </items>
    </pivotField>
    <pivotField showAll="0"/>
    <pivotField showAll="0"/>
    <pivotField showAll="0"/>
    <pivotField showAll="0"/>
    <pivotField axis="axisRow" showAll="0" sortType="descending">
      <items count="7">
        <item x="4"/>
        <item x="1"/>
        <item x="2"/>
        <item x="3"/>
        <item x="0"/>
        <item x="5"/>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Fields count="1">
    <field x="4"/>
  </colFields>
  <colItems count="3">
    <i>
      <x/>
    </i>
    <i>
      <x v="1"/>
    </i>
    <i t="grand">
      <x/>
    </i>
  </colItems>
  <dataFields count="1">
    <dataField name="Count of EmployeeID" fld="0" subtotal="count" baseField="0" baseItem="0"/>
  </dataFields>
  <chartFormats count="17">
    <chartFormat chart="0" format="5"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10" count="1" selected="0">
            <x v="5"/>
          </reference>
        </references>
      </pivotArea>
    </chartFormat>
    <chartFormat chart="8" format="31">
      <pivotArea type="data" outline="0" fieldPosition="0">
        <references count="2">
          <reference field="4294967294" count="1" selected="0">
            <x v="0"/>
          </reference>
          <reference field="10" count="1" selected="0">
            <x v="4"/>
          </reference>
        </references>
      </pivotArea>
    </chartFormat>
    <chartFormat chart="8" format="32">
      <pivotArea type="data" outline="0" fieldPosition="0">
        <references count="2">
          <reference field="4294967294" count="1" selected="0">
            <x v="0"/>
          </reference>
          <reference field="10" count="1" selected="0">
            <x v="3"/>
          </reference>
        </references>
      </pivotArea>
    </chartFormat>
    <chartFormat chart="8" format="33">
      <pivotArea type="data" outline="0" fieldPosition="0">
        <references count="2">
          <reference field="4294967294" count="1" selected="0">
            <x v="0"/>
          </reference>
          <reference field="10" count="1" selected="0">
            <x v="2"/>
          </reference>
        </references>
      </pivotArea>
    </chartFormat>
    <chartFormat chart="8" format="34">
      <pivotArea type="data" outline="0" fieldPosition="0">
        <references count="2">
          <reference field="4294967294" count="1" selected="0">
            <x v="0"/>
          </reference>
          <reference field="10" count="1" selected="0">
            <x v="1"/>
          </reference>
        </references>
      </pivotArea>
    </chartFormat>
    <chartFormat chart="8" format="35">
      <pivotArea type="data" outline="0" fieldPosition="0">
        <references count="2">
          <reference field="4294967294" count="1" selected="0">
            <x v="0"/>
          </reference>
          <reference field="10" count="1" selected="0">
            <x v="0"/>
          </reference>
        </references>
      </pivotArea>
    </chartFormat>
    <chartFormat chart="7" format="2" series="1">
      <pivotArea type="data" outline="0" fieldPosition="0">
        <references count="2">
          <reference field="4294967294" count="1" selected="0">
            <x v="0"/>
          </reference>
          <reference field="4" count="1" selected="0">
            <x v="0"/>
          </reference>
        </references>
      </pivotArea>
    </chartFormat>
    <chartFormat chart="7" format="3" series="1">
      <pivotArea type="data" outline="0" fieldPosition="0">
        <references count="2">
          <reference field="4294967294" count="1" selected="0">
            <x v="0"/>
          </reference>
          <reference field="4" count="1" selected="0">
            <x v="1"/>
          </reference>
        </references>
      </pivotArea>
    </chartFormat>
    <chartFormat chart="10" format="6" series="1">
      <pivotArea type="data" outline="0" fieldPosition="0">
        <references count="2">
          <reference field="4294967294" count="1" selected="0">
            <x v="0"/>
          </reference>
          <reference field="4" count="1" selected="0">
            <x v="0"/>
          </reference>
        </references>
      </pivotArea>
    </chartFormat>
    <chartFormat chart="10" format="7" series="1">
      <pivotArea type="data" outline="0" fieldPosition="0">
        <references count="2">
          <reference field="4294967294" count="1" selected="0">
            <x v="0"/>
          </reference>
          <reference field="4" count="1" selected="0">
            <x v="1"/>
          </reference>
        </references>
      </pivotArea>
    </chartFormat>
    <chartFormat chart="12" format="6" series="1">
      <pivotArea type="data" outline="0" fieldPosition="0">
        <references count="2">
          <reference field="4294967294" count="1" selected="0">
            <x v="0"/>
          </reference>
          <reference field="4" count="1" selected="0">
            <x v="0"/>
          </reference>
        </references>
      </pivotArea>
    </chartFormat>
    <chartFormat chart="12"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E99979-9A98-CB43-BB8E-C956AEDD241B}"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41">
    <pivotField dataField="1" showAll="0"/>
    <pivotField showAll="0"/>
    <pivotField showAll="0">
      <items count="6">
        <item x="4"/>
        <item x="2"/>
        <item x="0"/>
        <item x="1"/>
        <item x="3"/>
        <item t="default"/>
      </items>
    </pivotField>
    <pivotField showAll="0"/>
    <pivotField axis="axisCol" showAll="0">
      <items count="3">
        <item x="0"/>
        <item x="1"/>
        <item t="default"/>
      </items>
    </pivotField>
    <pivotField showAll="0">
      <items count="4">
        <item x="2"/>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Fields count="1">
    <field x="4"/>
  </colFields>
  <colItems count="3">
    <i>
      <x/>
    </i>
    <i>
      <x v="1"/>
    </i>
    <i t="grand">
      <x/>
    </i>
  </colItems>
  <dataFields count="1">
    <dataField name="Count of EmployeeID" fld="0" subtotal="count" showDataAs="percentOfRow" baseField="0" baseItem="0" numFmtId="10"/>
  </dataFields>
  <chartFormats count="14">
    <chartFormat chart="0" format="5"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11" series="1">
      <pivotArea type="data" outline="0" fieldPosition="0">
        <references count="2">
          <reference field="4294967294" count="1" selected="0">
            <x v="0"/>
          </reference>
          <reference field="4" count="1" selected="0">
            <x v="0"/>
          </reference>
        </references>
      </pivotArea>
    </chartFormat>
    <chartFormat chart="12" format="14" series="1">
      <pivotArea type="data" outline="0" fieldPosition="0">
        <references count="2">
          <reference field="4294967294" count="1" selected="0">
            <x v="0"/>
          </reference>
          <reference field="4" count="1" selected="0">
            <x v="0"/>
          </reference>
        </references>
      </pivotArea>
    </chartFormat>
    <chartFormat chart="12" format="15" series="1">
      <pivotArea type="data" outline="0" fieldPosition="0">
        <references count="2">
          <reference field="4294967294" count="1" selected="0">
            <x v="0"/>
          </reference>
          <reference field="4" count="1" selected="0">
            <x v="1"/>
          </reference>
        </references>
      </pivotArea>
    </chartFormat>
    <chartFormat chart="10" format="12" series="1">
      <pivotArea type="data" outline="0" fieldPosition="0">
        <references count="2">
          <reference field="4294967294" count="1" selected="0">
            <x v="0"/>
          </reference>
          <reference field="4" count="1" selected="0">
            <x v="1"/>
          </reference>
        </references>
      </pivotArea>
    </chartFormat>
    <chartFormat chart="14" format="15" series="1">
      <pivotArea type="data" outline="0" fieldPosition="0">
        <references count="2">
          <reference field="4294967294" count="1" selected="0">
            <x v="0"/>
          </reference>
          <reference field="4" count="1" selected="0">
            <x v="0"/>
          </reference>
        </references>
      </pivotArea>
    </chartFormat>
    <chartFormat chart="14" format="16" series="1">
      <pivotArea type="data" outline="0" fieldPosition="0">
        <references count="2">
          <reference field="4294967294" count="1" selected="0">
            <x v="0"/>
          </reference>
          <reference field="4" count="1" selected="0">
            <x v="1"/>
          </reference>
        </references>
      </pivotArea>
    </chartFormat>
    <chartFormat chart="14" format="17">
      <pivotArea type="data" outline="0" fieldPosition="0">
        <references count="3">
          <reference field="4294967294" count="1" selected="0">
            <x v="0"/>
          </reference>
          <reference field="4" count="1" selected="0">
            <x v="0"/>
          </reference>
          <reference field="13" count="1" selected="0">
            <x v="1"/>
          </reference>
        </references>
      </pivotArea>
    </chartFormat>
    <chartFormat chart="14" format="18">
      <pivotArea type="data" outline="0" fieldPosition="0">
        <references count="3">
          <reference field="4294967294" count="1" selected="0">
            <x v="0"/>
          </reference>
          <reference field="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18F330-29F6-374E-BA25-C830A0FE7155}"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41">
    <pivotField dataField="1" showAll="0"/>
    <pivotField showAll="0"/>
    <pivotField showAll="0">
      <items count="6">
        <item x="4"/>
        <item x="2"/>
        <item x="0"/>
        <item x="1"/>
        <item x="3"/>
        <item t="default"/>
      </items>
    </pivotField>
    <pivotField showAll="0"/>
    <pivotField showAll="0">
      <items count="3">
        <item x="0"/>
        <item x="1"/>
        <item t="default"/>
      </items>
    </pivotField>
    <pivotField showAll="0">
      <items count="4">
        <item x="2"/>
        <item x="1"/>
        <item x="0"/>
        <item t="default"/>
      </items>
    </pivotField>
    <pivotField showAll="0"/>
    <pivotField axis="axisRow" showAll="0">
      <items count="4">
        <item x="0"/>
        <item x="1"/>
        <item x="2"/>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EmployeeID" fld="0" subtotal="count" baseField="0" baseItem="0"/>
  </dataFields>
  <chartFormats count="18">
    <chartFormat chart="0" format="5"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7" count="1" selected="0">
            <x v="0"/>
          </reference>
        </references>
      </pivotArea>
    </chartFormat>
    <chartFormat chart="12" format="20">
      <pivotArea type="data" outline="0" fieldPosition="0">
        <references count="2">
          <reference field="4294967294" count="1" selected="0">
            <x v="0"/>
          </reference>
          <reference field="7" count="1" selected="0">
            <x v="1"/>
          </reference>
        </references>
      </pivotArea>
    </chartFormat>
    <chartFormat chart="12" format="21">
      <pivotArea type="data" outline="0" fieldPosition="0">
        <references count="2">
          <reference field="4294967294" count="1" selected="0">
            <x v="0"/>
          </reference>
          <reference field="7" count="1" selected="0">
            <x v="2"/>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7" count="1" selected="0">
            <x v="0"/>
          </reference>
        </references>
      </pivotArea>
    </chartFormat>
    <chartFormat chart="14" format="28">
      <pivotArea type="data" outline="0" fieldPosition="0">
        <references count="2">
          <reference field="4294967294" count="1" selected="0">
            <x v="0"/>
          </reference>
          <reference field="7" count="1" selected="0">
            <x v="1"/>
          </reference>
        </references>
      </pivotArea>
    </chartFormat>
    <chartFormat chart="14" format="29">
      <pivotArea type="data" outline="0" fieldPosition="0">
        <references count="2">
          <reference field="4294967294" count="1" selected="0">
            <x v="0"/>
          </reference>
          <reference field="7" count="1" selected="0">
            <x v="2"/>
          </reference>
        </references>
      </pivotArea>
    </chartFormat>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7" count="1" selected="0">
            <x v="0"/>
          </reference>
        </references>
      </pivotArea>
    </chartFormat>
    <chartFormat chart="16" format="28">
      <pivotArea type="data" outline="0" fieldPosition="0">
        <references count="2">
          <reference field="4294967294" count="1" selected="0">
            <x v="0"/>
          </reference>
          <reference field="7" count="1" selected="0">
            <x v="1"/>
          </reference>
        </references>
      </pivotArea>
    </chartFormat>
    <chartFormat chart="16" format="2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5FC66-88B0-EB46-822B-077C4790D588}"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41">
    <pivotField dataField="1" showAll="0"/>
    <pivotField showAll="0"/>
    <pivotField showAll="0">
      <items count="6">
        <item x="4"/>
        <item x="2"/>
        <item x="0"/>
        <item x="1"/>
        <item x="3"/>
        <item t="default"/>
      </items>
    </pivotField>
    <pivotField showAll="0"/>
    <pivotField axis="axisRow" showAll="0">
      <items count="3">
        <item x="0"/>
        <item x="1"/>
        <item t="default"/>
      </items>
    </pivotField>
    <pivotField showAll="0">
      <items count="4">
        <item x="2"/>
        <item x="1"/>
        <item x="0"/>
        <item t="default"/>
      </items>
    </pivotField>
    <pivotField showAll="0"/>
    <pivotField showAll="0">
      <items count="4">
        <item x="0"/>
        <item x="1"/>
        <item x="2"/>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loyeeID" fld="0" subtotal="count" baseField="0" baseItem="0"/>
  </dataFields>
  <chartFormats count="10">
    <chartFormat chart="0" format="5"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 chart="14" format="26" series="1">
      <pivotArea type="data" outline="0" fieldPosition="0">
        <references count="1">
          <reference field="4294967294" count="1" selected="0">
            <x v="0"/>
          </reference>
        </references>
      </pivotArea>
    </chartFormat>
    <chartFormat chart="14" format="33">
      <pivotArea type="data" outline="0" fieldPosition="0">
        <references count="2">
          <reference field="4294967294" count="1" selected="0">
            <x v="0"/>
          </reference>
          <reference field="4" count="1" selected="0">
            <x v="0"/>
          </reference>
        </references>
      </pivotArea>
    </chartFormat>
    <chartFormat chart="14" format="3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72716E-2359-7D45-B7DF-224EC859E9D2}" sourceName="Gender">
  <pivotTables>
    <pivotTable tabId="3" name="PivotTable4"/>
    <pivotTable tabId="13" name="PivotTable4"/>
    <pivotTable tabId="5" name="PivotTable4"/>
    <pivotTable tabId="8" name="PivotTable4"/>
    <pivotTable tabId="6" name="PivotTable4"/>
    <pivotTable tabId="7" name="PivotTable4"/>
    <pivotTable tabId="4" name="PivotTable4"/>
    <pivotTable tabId="10" name="PivotTable4"/>
  </pivotTables>
  <data>
    <tabular pivotCacheId="11433425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Group" xr10:uid="{DFAD184B-EABB-C046-95E4-29965D117829}" sourceName="Attrition Group">
  <pivotTables>
    <pivotTable tabId="3" name="PivotTable4"/>
    <pivotTable tabId="13" name="PivotTable4"/>
    <pivotTable tabId="5" name="PivotTable4"/>
    <pivotTable tabId="8" name="PivotTable4"/>
    <pivotTable tabId="6" name="PivotTable4"/>
    <pivotTable tabId="7" name="PivotTable4"/>
    <pivotTable tabId="4" name="PivotTable4"/>
    <pivotTable tabId="10" name="PivotTable4"/>
  </pivotTables>
  <data>
    <tabular pivotCacheId="11433425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455B87-C0B9-574F-9E25-524CFFE13F87}" cache="Slicer_Gender" caption="Filter By Gender" columnCount="2" style="SlicerStyleDark1 2" rowHeight="365760"/>
  <slicer name="Attrition Group" xr10:uid="{F701F647-AE53-F54F-B194-5878581E2DDB}" cache="Slicer_Attrition_Group" columnCount="2" style="SlicerStyleDark2 2" rowHeight="20116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192ECF-FE2F-ED47-BF2D-5E6B94BA9197}" name="Table1" displayName="Table1" ref="A1:AO1677" totalsRowShown="0">
  <autoFilter ref="A1:AO1677" xr:uid="{AC192ECF-FE2F-ED47-BF2D-5E6B94BA9197}"/>
  <tableColumns count="41">
    <tableColumn id="1" xr3:uid="{51BD27C4-8882-1B47-A4F8-B71EBBEFB9AC}" name="EmployeeID"/>
    <tableColumn id="2" xr3:uid="{FC18DE50-0962-434A-9592-0C6342407DC9}" name="Age"/>
    <tableColumn id="3" xr3:uid="{3C4DA843-E763-0A42-84C0-82F28BB82449}" name="Age Group">
      <calculatedColumnFormula array="1">_xlfn.IFS(B2&lt;=25,"15-25",B2&lt;=35,"26-35",B2&lt;=45,"36-45",B2&lt;=55,"46-55",B2&lt;=65,"56-65")</calculatedColumnFormula>
    </tableColumn>
    <tableColumn id="4" xr3:uid="{FCA90E93-1447-A44B-A813-C8996285D938}" name="Attrition"/>
    <tableColumn id="5" xr3:uid="{BBAC9501-563B-A745-A0F2-101553498598}" name="Attrition Group">
      <calculatedColumnFormula>IF(D2="No","Current Employee","Former Employee")</calculatedColumnFormula>
    </tableColumn>
    <tableColumn id="6" xr3:uid="{F06FE9E0-9811-DE44-B660-884F12BC4CF9}" name="BusinessTravel"/>
    <tableColumn id="7" xr3:uid="{D466A1F0-BB53-A243-8F24-DEC145AD2352}" name="DailyRate"/>
    <tableColumn id="8" xr3:uid="{5B27485B-D6A0-EA44-AE4B-46E544CE63D9}" name="Department"/>
    <tableColumn id="9" xr3:uid="{D960290D-61CD-2140-B2DE-929E7833D7D0}" name="DistanceFromHome"/>
    <tableColumn id="10" xr3:uid="{E6007B4D-3C01-B74B-A793-283CA020852A}" name="Education"/>
    <tableColumn id="11" xr3:uid="{A25E90FD-2B87-6C4A-9059-DEADCE98705E}" name="EducationField"/>
    <tableColumn id="12" xr3:uid="{740DAB36-D3A2-4542-ABE0-42A29ABF6CD0}" name="EmployeeCount"/>
    <tableColumn id="13" xr3:uid="{4A6DD6AB-ABA7-F541-9942-8E5C433B605E}" name="EnvironmentSatisfaction"/>
    <tableColumn id="14" xr3:uid="{B0B151F8-59BB-3541-822D-DADAFD67D7D4}" name="Gender"/>
    <tableColumn id="15" xr3:uid="{88F12545-6645-1445-B40A-2CEF30FEDF69}" name="HourlyRate"/>
    <tableColumn id="16" xr3:uid="{B28904B0-F12B-9948-A833-053CA9D2E399}" name="JobInvolvement"/>
    <tableColumn id="17" xr3:uid="{B73B92AB-CDCC-2847-8EAD-0A18FA89061E}" name="JobLevel"/>
    <tableColumn id="18" xr3:uid="{7BB3F341-7346-634D-8EBF-EF42AAA15AF5}" name="JobRole"/>
    <tableColumn id="19" xr3:uid="{46BAD967-85A7-F049-9A29-202F435C703A}" name="JobSatisfaction"/>
    <tableColumn id="20" xr3:uid="{E4B69D2D-FE17-484C-A854-D514910B10F9}" name="Job Satisfaction rating">
      <calculatedColumnFormula array="1">_xlfn.IFS(S2&lt;=2,"Poor",S2&lt;=3,"Fair",S2&gt;=4,"Good")</calculatedColumnFormula>
    </tableColumn>
    <tableColumn id="21" xr3:uid="{09F5013A-B834-BC46-8ED3-AD120C59C886}" name="MaritalStatus"/>
    <tableColumn id="22" xr3:uid="{EA1A3FB2-00B9-404B-8901-68414DEFDE83}" name="MonthlyIncome" dataDxfId="0" dataCellStyle="Currency"/>
    <tableColumn id="23" xr3:uid="{67DC084D-0C0D-DA43-97CD-B91DED75CED7}" name="Salary Group">
      <calculatedColumnFormula array="1">_xlfn.IFS(V2&lt;=5000,"Low Salary",V2&lt;=12000,"Good Salary",V2&gt;12000,"High Salary")</calculatedColumnFormula>
    </tableColumn>
    <tableColumn id="24" xr3:uid="{F8459DE2-9E65-A448-9183-5742D9A926FE}" name="MonthlyRate"/>
    <tableColumn id="25" xr3:uid="{1356E247-65B4-8A4D-9803-DBC9959654CB}" name="NumCompaniesWorked"/>
    <tableColumn id="26" xr3:uid="{9D882E71-2080-A547-ACAE-705E37B775F9}" name="Over18"/>
    <tableColumn id="27" xr3:uid="{F718F924-7FD4-F749-A041-C3A4F26643A1}" name="OverTime"/>
    <tableColumn id="28" xr3:uid="{BFA3BCE1-E1EC-3247-B667-A21C9BC6374D}" name="PercentSalaryHike"/>
    <tableColumn id="29" xr3:uid="{E37A9EF8-ECEC-AF4F-BA7B-DA9A1ECD547F}" name="PerformanceRating"/>
    <tableColumn id="30" xr3:uid="{15B8B675-F746-AA4C-9385-DB46C416C70A}" name="Performance Group">
      <calculatedColumnFormula>IF(AC2&lt;=3,"Low Performance","High Performance")</calculatedColumnFormula>
    </tableColumn>
    <tableColumn id="31" xr3:uid="{CCC92AA3-4230-BE4A-ABE8-50ECAE23DE2E}" name="RelationshipSatisfaction"/>
    <tableColumn id="32" xr3:uid="{E5399CB0-95BB-E248-9BF8-2BDFC7F81CE8}" name="StandardHours"/>
    <tableColumn id="33" xr3:uid="{5466549E-074D-3A41-85ED-66D72D52EE7C}" name="Shift"/>
    <tableColumn id="34" xr3:uid="{70F5C7F9-5FD3-544A-9BF8-DF303E0DF811}" name="TotalWorkingYears"/>
    <tableColumn id="35" xr3:uid="{3940A5E7-5DB9-3043-A2DD-2E4340BE7048}" name="TrainingTimesLastYear"/>
    <tableColumn id="36" xr3:uid="{642F23EC-DBCC-3349-BFF3-49F21CB094E8}" name="WorkLifeBalance"/>
    <tableColumn id="37" xr3:uid="{19A9E1DE-889A-5342-9B14-77F883F69CFF}" name="WLB Group">
      <calculatedColumnFormula array="1">_xlfn.IFS(AJ2&lt;=2,"Poor",AJ2&lt;=3,"Fair",AJ2&gt;3,"Good")</calculatedColumnFormula>
    </tableColumn>
    <tableColumn id="38" xr3:uid="{3809F612-D0EC-1344-B5AD-745A793E1981}" name="YearsAtCompany"/>
    <tableColumn id="39" xr3:uid="{801CD122-6AAE-3A4D-B8F1-4B3F085DD89F}" name="YearsInCurrentRole"/>
    <tableColumn id="40" xr3:uid="{ADBC004E-559A-0B41-AECB-9E6B349DD792}" name="YearsSinceLastPromotion"/>
    <tableColumn id="41" xr3:uid="{C09FC60D-0160-A744-BE93-66A4FC90B126}"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677"/>
  <sheetViews>
    <sheetView topLeftCell="T1" workbookViewId="0">
      <selection activeCell="E4" sqref="E4"/>
    </sheetView>
  </sheetViews>
  <sheetFormatPr baseColWidth="10" defaultRowHeight="16" x14ac:dyDescent="0.2"/>
  <cols>
    <col min="1" max="1" width="13.33203125" customWidth="1"/>
    <col min="2" max="2" width="6.6640625" customWidth="1"/>
    <col min="3" max="3" width="12" customWidth="1"/>
    <col min="4" max="4" width="10.33203125" customWidth="1"/>
    <col min="5" max="5" width="15.6640625" bestFit="1" customWidth="1"/>
    <col min="6" max="6" width="16" customWidth="1"/>
    <col min="7" max="7" width="11.5" customWidth="1"/>
    <col min="8" max="8" width="13.5" customWidth="1"/>
    <col min="9" max="9" width="20.33203125" customWidth="1"/>
    <col min="10" max="10" width="11.6640625" customWidth="1"/>
    <col min="11" max="11" width="15.83203125" bestFit="1" customWidth="1"/>
    <col min="12" max="12" width="16.5" customWidth="1"/>
    <col min="13" max="13" width="23.83203125" customWidth="1"/>
    <col min="14" max="14" width="9.5" customWidth="1"/>
    <col min="15" max="15" width="12.6640625" customWidth="1"/>
    <col min="16" max="16" width="16.1640625" customWidth="1"/>
    <col min="17" max="17" width="10.5" customWidth="1"/>
    <col min="18" max="18" width="12.83203125" bestFit="1" customWidth="1"/>
    <col min="19" max="19" width="16.1640625" customWidth="1"/>
    <col min="20" max="20" width="21.6640625" customWidth="1"/>
    <col min="21" max="21" width="14.6640625" customWidth="1"/>
    <col min="22" max="22" width="17.5" style="1" customWidth="1"/>
    <col min="23" max="24" width="13.83203125" customWidth="1"/>
    <col min="25" max="25" width="23.33203125" customWidth="1"/>
    <col min="26" max="26" width="9.33203125" customWidth="1"/>
    <col min="27" max="27" width="11.33203125" customWidth="1"/>
    <col min="28" max="28" width="18.83203125" customWidth="1"/>
    <col min="29" max="30" width="19.6640625" customWidth="1"/>
    <col min="31" max="31" width="23.83203125" customWidth="1"/>
    <col min="32" max="32" width="15.83203125" customWidth="1"/>
    <col min="33" max="33" width="7.33203125" customWidth="1"/>
    <col min="34" max="34" width="19" customWidth="1"/>
    <col min="35" max="35" width="22.33203125" customWidth="1"/>
    <col min="36" max="36" width="17.6640625" customWidth="1"/>
    <col min="37" max="37" width="14.83203125" customWidth="1"/>
    <col min="38" max="38" width="17.83203125" customWidth="1"/>
    <col min="39" max="39" width="19.6640625" customWidth="1"/>
    <col min="40" max="40" width="25" customWidth="1"/>
    <col min="41" max="41" width="22.83203125" customWidth="1"/>
  </cols>
  <sheetData>
    <row r="1" spans="1:41" x14ac:dyDescent="0.2">
      <c r="A1" t="s">
        <v>0</v>
      </c>
      <c r="B1" t="s">
        <v>1</v>
      </c>
      <c r="C1" t="s">
        <v>60</v>
      </c>
      <c r="D1" t="s">
        <v>2</v>
      </c>
      <c r="E1" t="s">
        <v>59</v>
      </c>
      <c r="F1" t="s">
        <v>3</v>
      </c>
      <c r="G1" t="s">
        <v>4</v>
      </c>
      <c r="H1" t="s">
        <v>5</v>
      </c>
      <c r="I1" t="s">
        <v>6</v>
      </c>
      <c r="J1" t="s">
        <v>7</v>
      </c>
      <c r="K1" t="s">
        <v>8</v>
      </c>
      <c r="L1" t="s">
        <v>9</v>
      </c>
      <c r="M1" t="s">
        <v>10</v>
      </c>
      <c r="N1" t="s">
        <v>11</v>
      </c>
      <c r="O1" t="s">
        <v>12</v>
      </c>
      <c r="P1" t="s">
        <v>13</v>
      </c>
      <c r="Q1" t="s">
        <v>14</v>
      </c>
      <c r="R1" t="s">
        <v>15</v>
      </c>
      <c r="S1" t="s">
        <v>16</v>
      </c>
      <c r="T1" t="s">
        <v>62</v>
      </c>
      <c r="U1" t="s">
        <v>17</v>
      </c>
      <c r="V1" s="1" t="s">
        <v>18</v>
      </c>
      <c r="W1" t="s">
        <v>61</v>
      </c>
      <c r="X1" t="s">
        <v>19</v>
      </c>
      <c r="Y1" t="s">
        <v>20</v>
      </c>
      <c r="Z1" t="s">
        <v>21</v>
      </c>
      <c r="AA1" t="s">
        <v>22</v>
      </c>
      <c r="AB1" t="s">
        <v>23</v>
      </c>
      <c r="AC1" t="s">
        <v>24</v>
      </c>
      <c r="AD1" t="s">
        <v>63</v>
      </c>
      <c r="AE1" t="s">
        <v>25</v>
      </c>
      <c r="AF1" t="s">
        <v>26</v>
      </c>
      <c r="AG1" t="s">
        <v>27</v>
      </c>
      <c r="AH1" t="s">
        <v>28</v>
      </c>
      <c r="AI1" t="s">
        <v>29</v>
      </c>
      <c r="AJ1" t="s">
        <v>30</v>
      </c>
      <c r="AK1" t="s">
        <v>64</v>
      </c>
      <c r="AL1" t="s">
        <v>31</v>
      </c>
      <c r="AM1" t="s">
        <v>32</v>
      </c>
      <c r="AN1" t="s">
        <v>33</v>
      </c>
      <c r="AO1" t="s">
        <v>34</v>
      </c>
    </row>
    <row r="2" spans="1:41" x14ac:dyDescent="0.2">
      <c r="A2">
        <v>1313919</v>
      </c>
      <c r="B2">
        <v>41</v>
      </c>
      <c r="C2" t="str" cm="1">
        <f t="array" ref="C2">_xlfn.IFS(B2&lt;=25,"15-25",B2&lt;=35,"26-35",B2&lt;=45,"36-45",B2&lt;=55,"46-55",B2&gt;55,"56-65")</f>
        <v>36-45</v>
      </c>
      <c r="D2" t="s">
        <v>35</v>
      </c>
      <c r="E2" t="str">
        <f>IF(D2="No","Current Employee","Former Employee")</f>
        <v>Current Employee</v>
      </c>
      <c r="F2" t="s">
        <v>36</v>
      </c>
      <c r="G2">
        <v>1102</v>
      </c>
      <c r="H2" t="s">
        <v>37</v>
      </c>
      <c r="I2">
        <v>1</v>
      </c>
      <c r="J2">
        <v>2</v>
      </c>
      <c r="K2" t="s">
        <v>38</v>
      </c>
      <c r="L2">
        <v>1</v>
      </c>
      <c r="M2">
        <v>2</v>
      </c>
      <c r="N2" t="s">
        <v>39</v>
      </c>
      <c r="O2">
        <v>94</v>
      </c>
      <c r="P2">
        <v>3</v>
      </c>
      <c r="Q2">
        <v>2</v>
      </c>
      <c r="R2" t="s">
        <v>40</v>
      </c>
      <c r="S2">
        <v>4</v>
      </c>
      <c r="T2" t="str" cm="1">
        <f t="array" ref="T2">_xlfn.IFS(S2&lt;=2,"Poor",S2&lt;=3,"Fair",S2&gt;=4,"Good")</f>
        <v>Good</v>
      </c>
      <c r="U2" t="s">
        <v>41</v>
      </c>
      <c r="V2" s="1">
        <v>5993</v>
      </c>
      <c r="W2" t="str" cm="1">
        <f t="array" ref="W2">_xlfn.IFS(V2&lt;=5000,"Low Salary",V2&lt;=12000,"Good Salary",V2&gt;12000,"High Salary")</f>
        <v>Good Salary</v>
      </c>
      <c r="X2">
        <v>19479</v>
      </c>
      <c r="Y2">
        <v>8</v>
      </c>
      <c r="Z2" t="s">
        <v>42</v>
      </c>
      <c r="AA2" t="s">
        <v>43</v>
      </c>
      <c r="AB2">
        <v>11</v>
      </c>
      <c r="AC2">
        <v>3</v>
      </c>
      <c r="AD2" t="str">
        <f>IF(AC2&lt;=3,"Low Performance","High Performance")</f>
        <v>Low Performance</v>
      </c>
      <c r="AE2">
        <v>1</v>
      </c>
      <c r="AF2">
        <v>80</v>
      </c>
      <c r="AG2">
        <v>0</v>
      </c>
      <c r="AH2">
        <v>8</v>
      </c>
      <c r="AI2">
        <v>0</v>
      </c>
      <c r="AJ2">
        <v>1</v>
      </c>
      <c r="AK2" t="str" cm="1">
        <f t="array" ref="AK2">_xlfn.IFS(AJ2&lt;=2,"Poor",AJ2&lt;=3,"Fair",AJ2&gt;3,"Good")</f>
        <v>Poor</v>
      </c>
      <c r="AL2">
        <v>6</v>
      </c>
      <c r="AM2">
        <v>4</v>
      </c>
      <c r="AN2">
        <v>0</v>
      </c>
      <c r="AO2">
        <v>5</v>
      </c>
    </row>
    <row r="3" spans="1:41" x14ac:dyDescent="0.2">
      <c r="A3">
        <v>1200302</v>
      </c>
      <c r="B3">
        <v>49</v>
      </c>
      <c r="C3" t="str" cm="1">
        <f t="array" ref="C3">_xlfn.IFS(B3&lt;=25,"15-25",B3&lt;=35,"26-35",B3&lt;=45,"36-45",B3&lt;=55,"46-55",B3&lt;=65,"56-65")</f>
        <v>46-55</v>
      </c>
      <c r="D3" t="s">
        <v>35</v>
      </c>
      <c r="E3" t="str">
        <f t="shared" ref="E3:E66" si="0">IF(D3="No","Current Employee","Former Employee")</f>
        <v>Current Employee</v>
      </c>
      <c r="F3" t="s">
        <v>44</v>
      </c>
      <c r="G3">
        <v>279</v>
      </c>
      <c r="H3" t="s">
        <v>45</v>
      </c>
      <c r="I3">
        <v>8</v>
      </c>
      <c r="J3">
        <v>1</v>
      </c>
      <c r="K3" t="s">
        <v>38</v>
      </c>
      <c r="L3">
        <v>1</v>
      </c>
      <c r="M3">
        <v>3</v>
      </c>
      <c r="N3" t="s">
        <v>46</v>
      </c>
      <c r="O3">
        <v>61</v>
      </c>
      <c r="P3">
        <v>2</v>
      </c>
      <c r="Q3">
        <v>2</v>
      </c>
      <c r="R3" t="s">
        <v>47</v>
      </c>
      <c r="S3">
        <v>2</v>
      </c>
      <c r="T3" t="str" cm="1">
        <f t="array" ref="T3">_xlfn.IFS(S3&lt;=2,"Poor",S3&lt;=3,"Fair",S3&gt;=4,"Good")</f>
        <v>Poor</v>
      </c>
      <c r="U3" t="s">
        <v>48</v>
      </c>
      <c r="V3" s="1">
        <v>5130</v>
      </c>
      <c r="W3" t="str" cm="1">
        <f t="array" ref="W3">_xlfn.IFS(V3&lt;=5000,"Low Salary",V3&lt;=12000,"Good Salary",V3&gt;12000,"High Salary")</f>
        <v>Good Salary</v>
      </c>
      <c r="X3">
        <v>24907</v>
      </c>
      <c r="Y3">
        <v>1</v>
      </c>
      <c r="Z3" t="s">
        <v>42</v>
      </c>
      <c r="AA3" t="s">
        <v>35</v>
      </c>
      <c r="AB3">
        <v>23</v>
      </c>
      <c r="AC3">
        <v>4</v>
      </c>
      <c r="AD3" t="str">
        <f t="shared" ref="AD3:AD66" si="1">IF(AC3&lt;=3,"Low Performance","High Performance")</f>
        <v>High Performance</v>
      </c>
      <c r="AE3">
        <v>4</v>
      </c>
      <c r="AF3">
        <v>80</v>
      </c>
      <c r="AG3">
        <v>1</v>
      </c>
      <c r="AH3">
        <v>10</v>
      </c>
      <c r="AI3">
        <v>3</v>
      </c>
      <c r="AJ3">
        <v>3</v>
      </c>
      <c r="AK3" t="str" cm="1">
        <f t="array" ref="AK3">_xlfn.IFS(AJ3&lt;=2,"Poor",AJ3&lt;=3,"Fair",AJ3&gt;3,"Good")</f>
        <v>Fair</v>
      </c>
      <c r="AL3">
        <v>10</v>
      </c>
      <c r="AM3">
        <v>7</v>
      </c>
      <c r="AN3">
        <v>1</v>
      </c>
      <c r="AO3">
        <v>7</v>
      </c>
    </row>
    <row r="4" spans="1:41" x14ac:dyDescent="0.2">
      <c r="A4">
        <v>1060315</v>
      </c>
      <c r="B4">
        <v>37</v>
      </c>
      <c r="C4" t="str" cm="1">
        <f t="array" ref="C4">_xlfn.IFS(B4&lt;=25,"15-25",B4&lt;=35,"26-35",B4&lt;=45,"36-45",B4&lt;=55,"46-55",B4&lt;=65,"56-65")</f>
        <v>36-45</v>
      </c>
      <c r="D4" t="s">
        <v>43</v>
      </c>
      <c r="E4" t="str">
        <f t="shared" si="0"/>
        <v>Former Employee</v>
      </c>
      <c r="F4" t="s">
        <v>36</v>
      </c>
      <c r="G4">
        <v>1373</v>
      </c>
      <c r="H4" t="s">
        <v>45</v>
      </c>
      <c r="I4">
        <v>2</v>
      </c>
      <c r="J4">
        <v>2</v>
      </c>
      <c r="K4" t="s">
        <v>47</v>
      </c>
      <c r="L4">
        <v>1</v>
      </c>
      <c r="M4">
        <v>4</v>
      </c>
      <c r="N4" t="s">
        <v>46</v>
      </c>
      <c r="O4">
        <v>92</v>
      </c>
      <c r="P4">
        <v>2</v>
      </c>
      <c r="Q4">
        <v>1</v>
      </c>
      <c r="R4" t="s">
        <v>40</v>
      </c>
      <c r="S4">
        <v>3</v>
      </c>
      <c r="T4" t="str" cm="1">
        <f t="array" ref="T4">_xlfn.IFS(S4&lt;=2,"Poor",S4&lt;=3,"Fair",S4&gt;=4,"Good")</f>
        <v>Fair</v>
      </c>
      <c r="U4" t="s">
        <v>41</v>
      </c>
      <c r="V4" s="1">
        <v>2090</v>
      </c>
      <c r="W4" t="str" cm="1">
        <f t="array" ref="W4">_xlfn.IFS(V4&lt;=5000,"Low Salary",V4&lt;=12000,"Good Salary",V4&gt;12000,"High Salary")</f>
        <v>Low Salary</v>
      </c>
      <c r="X4">
        <v>2396</v>
      </c>
      <c r="Y4">
        <v>6</v>
      </c>
      <c r="Z4" t="s">
        <v>42</v>
      </c>
      <c r="AA4" t="s">
        <v>43</v>
      </c>
      <c r="AB4">
        <v>15</v>
      </c>
      <c r="AC4">
        <v>3</v>
      </c>
      <c r="AD4" t="str">
        <f t="shared" si="1"/>
        <v>Low Performance</v>
      </c>
      <c r="AE4">
        <v>2</v>
      </c>
      <c r="AF4">
        <v>80</v>
      </c>
      <c r="AG4">
        <v>0</v>
      </c>
      <c r="AH4">
        <v>7</v>
      </c>
      <c r="AI4">
        <v>3</v>
      </c>
      <c r="AJ4">
        <v>3</v>
      </c>
      <c r="AK4" t="str" cm="1">
        <f t="array" ref="AK4">_xlfn.IFS(AJ4&lt;=2,"Poor",AJ4&lt;=3,"Fair",AJ4&gt;3,"Good")</f>
        <v>Fair</v>
      </c>
      <c r="AL4">
        <v>0</v>
      </c>
      <c r="AM4">
        <v>0</v>
      </c>
      <c r="AN4">
        <v>0</v>
      </c>
      <c r="AO4">
        <v>0</v>
      </c>
    </row>
    <row r="5" spans="1:41" x14ac:dyDescent="0.2">
      <c r="A5">
        <v>1272912</v>
      </c>
      <c r="B5">
        <v>33</v>
      </c>
      <c r="C5" t="str" cm="1">
        <f t="array" ref="C5">_xlfn.IFS(B5&lt;=25,"15-25",B5&lt;=35,"26-35",B5&lt;=45,"36-45",B5&lt;=55,"46-55",B5&lt;=65,"56-65")</f>
        <v>26-35</v>
      </c>
      <c r="D5" t="s">
        <v>35</v>
      </c>
      <c r="E5" t="str">
        <f t="shared" si="0"/>
        <v>Current Employee</v>
      </c>
      <c r="F5" t="s">
        <v>44</v>
      </c>
      <c r="G5">
        <v>1392</v>
      </c>
      <c r="H5" t="s">
        <v>45</v>
      </c>
      <c r="I5">
        <v>3</v>
      </c>
      <c r="J5">
        <v>4</v>
      </c>
      <c r="K5" t="s">
        <v>38</v>
      </c>
      <c r="L5">
        <v>1</v>
      </c>
      <c r="M5">
        <v>4</v>
      </c>
      <c r="N5" t="s">
        <v>39</v>
      </c>
      <c r="O5">
        <v>56</v>
      </c>
      <c r="P5">
        <v>3</v>
      </c>
      <c r="Q5">
        <v>1</v>
      </c>
      <c r="R5" t="s">
        <v>47</v>
      </c>
      <c r="S5">
        <v>3</v>
      </c>
      <c r="T5" t="str" cm="1">
        <f t="array" ref="T5">_xlfn.IFS(S5&lt;=2,"Poor",S5&lt;=3,"Fair",S5&gt;=4,"Good")</f>
        <v>Fair</v>
      </c>
      <c r="U5" t="s">
        <v>48</v>
      </c>
      <c r="V5" s="1">
        <v>2909</v>
      </c>
      <c r="W5" t="str" cm="1">
        <f t="array" ref="W5">_xlfn.IFS(V5&lt;=5000,"Low Salary",V5&lt;=12000,"Good Salary",V5&gt;12000,"High Salary")</f>
        <v>Low Salary</v>
      </c>
      <c r="X5">
        <v>23159</v>
      </c>
      <c r="Y5">
        <v>1</v>
      </c>
      <c r="Z5" t="s">
        <v>42</v>
      </c>
      <c r="AA5" t="s">
        <v>43</v>
      </c>
      <c r="AB5">
        <v>11</v>
      </c>
      <c r="AC5">
        <v>3</v>
      </c>
      <c r="AD5" t="str">
        <f t="shared" si="1"/>
        <v>Low Performance</v>
      </c>
      <c r="AE5">
        <v>3</v>
      </c>
      <c r="AF5">
        <v>80</v>
      </c>
      <c r="AG5">
        <v>0</v>
      </c>
      <c r="AH5">
        <v>8</v>
      </c>
      <c r="AI5">
        <v>3</v>
      </c>
      <c r="AJ5">
        <v>3</v>
      </c>
      <c r="AK5" t="str" cm="1">
        <f t="array" ref="AK5">_xlfn.IFS(AJ5&lt;=2,"Poor",AJ5&lt;=3,"Fair",AJ5&gt;3,"Good")</f>
        <v>Fair</v>
      </c>
      <c r="AL5">
        <v>8</v>
      </c>
      <c r="AM5">
        <v>7</v>
      </c>
      <c r="AN5">
        <v>3</v>
      </c>
      <c r="AO5">
        <v>0</v>
      </c>
    </row>
    <row r="6" spans="1:41" x14ac:dyDescent="0.2">
      <c r="A6">
        <v>1414939</v>
      </c>
      <c r="B6">
        <v>27</v>
      </c>
      <c r="C6" t="str" cm="1">
        <f t="array" ref="C6">_xlfn.IFS(B6&lt;=25,"15-25",B6&lt;=35,"26-35",B6&lt;=45,"36-45",B6&lt;=55,"46-55",B6&lt;=65,"56-65")</f>
        <v>26-35</v>
      </c>
      <c r="D6" t="s">
        <v>35</v>
      </c>
      <c r="E6" t="str">
        <f t="shared" si="0"/>
        <v>Current Employee</v>
      </c>
      <c r="F6" t="s">
        <v>36</v>
      </c>
      <c r="G6">
        <v>591</v>
      </c>
      <c r="H6" t="s">
        <v>45</v>
      </c>
      <c r="I6">
        <v>2</v>
      </c>
      <c r="J6">
        <v>1</v>
      </c>
      <c r="K6" t="s">
        <v>49</v>
      </c>
      <c r="L6">
        <v>1</v>
      </c>
      <c r="M6">
        <v>1</v>
      </c>
      <c r="N6" t="s">
        <v>46</v>
      </c>
      <c r="O6">
        <v>40</v>
      </c>
      <c r="P6">
        <v>3</v>
      </c>
      <c r="Q6">
        <v>1</v>
      </c>
      <c r="R6" t="s">
        <v>40</v>
      </c>
      <c r="S6">
        <v>2</v>
      </c>
      <c r="T6" t="str" cm="1">
        <f t="array" ref="T6">_xlfn.IFS(S6&lt;=2,"Poor",S6&lt;=3,"Fair",S6&gt;=4,"Good")</f>
        <v>Poor</v>
      </c>
      <c r="U6" t="s">
        <v>48</v>
      </c>
      <c r="V6" s="1">
        <v>3468</v>
      </c>
      <c r="W6" t="str" cm="1">
        <f t="array" ref="W6">_xlfn.IFS(V6&lt;=5000,"Low Salary",V6&lt;=12000,"Good Salary",V6&gt;12000,"High Salary")</f>
        <v>Low Salary</v>
      </c>
      <c r="X6">
        <v>16632</v>
      </c>
      <c r="Y6">
        <v>9</v>
      </c>
      <c r="Z6" t="s">
        <v>42</v>
      </c>
      <c r="AA6" t="s">
        <v>35</v>
      </c>
      <c r="AB6">
        <v>12</v>
      </c>
      <c r="AC6">
        <v>3</v>
      </c>
      <c r="AD6" t="str">
        <f t="shared" si="1"/>
        <v>Low Performance</v>
      </c>
      <c r="AE6">
        <v>4</v>
      </c>
      <c r="AF6">
        <v>80</v>
      </c>
      <c r="AG6">
        <v>1</v>
      </c>
      <c r="AH6">
        <v>6</v>
      </c>
      <c r="AI6">
        <v>3</v>
      </c>
      <c r="AJ6">
        <v>3</v>
      </c>
      <c r="AK6" t="str" cm="1">
        <f t="array" ref="AK6">_xlfn.IFS(AJ6&lt;=2,"Poor",AJ6&lt;=3,"Fair",AJ6&gt;3,"Good")</f>
        <v>Fair</v>
      </c>
      <c r="AL6">
        <v>2</v>
      </c>
      <c r="AM6">
        <v>2</v>
      </c>
      <c r="AN6">
        <v>2</v>
      </c>
      <c r="AO6">
        <v>2</v>
      </c>
    </row>
    <row r="7" spans="1:41" x14ac:dyDescent="0.2">
      <c r="A7">
        <v>1633361</v>
      </c>
      <c r="B7">
        <v>32</v>
      </c>
      <c r="C7" t="str" cm="1">
        <f t="array" ref="C7">_xlfn.IFS(B7&lt;=25,"15-25",B7&lt;=35,"26-35",B7&lt;=45,"36-45",B7&lt;=55,"46-55",B7&lt;=65,"56-65")</f>
        <v>26-35</v>
      </c>
      <c r="D7" t="s">
        <v>35</v>
      </c>
      <c r="E7" t="str">
        <f t="shared" si="0"/>
        <v>Current Employee</v>
      </c>
      <c r="F7" t="s">
        <v>44</v>
      </c>
      <c r="G7">
        <v>1005</v>
      </c>
      <c r="H7" t="s">
        <v>45</v>
      </c>
      <c r="I7">
        <v>2</v>
      </c>
      <c r="J7">
        <v>2</v>
      </c>
      <c r="K7" t="s">
        <v>38</v>
      </c>
      <c r="L7">
        <v>1</v>
      </c>
      <c r="M7">
        <v>4</v>
      </c>
      <c r="N7" t="s">
        <v>46</v>
      </c>
      <c r="O7">
        <v>79</v>
      </c>
      <c r="P7">
        <v>3</v>
      </c>
      <c r="Q7">
        <v>1</v>
      </c>
      <c r="R7" t="s">
        <v>40</v>
      </c>
      <c r="S7">
        <v>4</v>
      </c>
      <c r="T7" t="str" cm="1">
        <f t="array" ref="T7">_xlfn.IFS(S7&lt;=2,"Poor",S7&lt;=3,"Fair",S7&gt;=4,"Good")</f>
        <v>Good</v>
      </c>
      <c r="U7" t="s">
        <v>41</v>
      </c>
      <c r="V7" s="1">
        <v>3068</v>
      </c>
      <c r="W7" t="str" cm="1">
        <f t="array" ref="W7">_xlfn.IFS(V7&lt;=5000,"Low Salary",V7&lt;=12000,"Good Salary",V7&gt;12000,"High Salary")</f>
        <v>Low Salary</v>
      </c>
      <c r="X7">
        <v>11864</v>
      </c>
      <c r="Y7">
        <v>0</v>
      </c>
      <c r="Z7" t="s">
        <v>42</v>
      </c>
      <c r="AA7" t="s">
        <v>35</v>
      </c>
      <c r="AB7">
        <v>13</v>
      </c>
      <c r="AC7">
        <v>3</v>
      </c>
      <c r="AD7" t="str">
        <f t="shared" si="1"/>
        <v>Low Performance</v>
      </c>
      <c r="AE7">
        <v>3</v>
      </c>
      <c r="AF7">
        <v>80</v>
      </c>
      <c r="AG7">
        <v>0</v>
      </c>
      <c r="AH7">
        <v>8</v>
      </c>
      <c r="AI7">
        <v>2</v>
      </c>
      <c r="AJ7">
        <v>2</v>
      </c>
      <c r="AK7" t="str" cm="1">
        <f t="array" ref="AK7">_xlfn.IFS(AJ7&lt;=2,"Poor",AJ7&lt;=3,"Fair",AJ7&gt;3,"Good")</f>
        <v>Poor</v>
      </c>
      <c r="AL7">
        <v>7</v>
      </c>
      <c r="AM7">
        <v>7</v>
      </c>
      <c r="AN7">
        <v>3</v>
      </c>
      <c r="AO7">
        <v>6</v>
      </c>
    </row>
    <row r="8" spans="1:41" x14ac:dyDescent="0.2">
      <c r="A8">
        <v>1329390</v>
      </c>
      <c r="B8">
        <v>59</v>
      </c>
      <c r="C8" t="str" cm="1">
        <f t="array" ref="C8">_xlfn.IFS(B8&lt;=25,"15-25",B8&lt;=35,"26-35",B8&lt;=45,"36-45",B8&lt;=55,"46-55",B8&lt;=65,"56-65")</f>
        <v>56-65</v>
      </c>
      <c r="D8" t="s">
        <v>35</v>
      </c>
      <c r="E8" t="str">
        <f t="shared" si="0"/>
        <v>Current Employee</v>
      </c>
      <c r="F8" t="s">
        <v>36</v>
      </c>
      <c r="G8">
        <v>1324</v>
      </c>
      <c r="H8" t="s">
        <v>45</v>
      </c>
      <c r="I8">
        <v>3</v>
      </c>
      <c r="J8">
        <v>3</v>
      </c>
      <c r="K8" t="s">
        <v>49</v>
      </c>
      <c r="L8">
        <v>1</v>
      </c>
      <c r="M8">
        <v>3</v>
      </c>
      <c r="N8" t="s">
        <v>39</v>
      </c>
      <c r="O8">
        <v>81</v>
      </c>
      <c r="P8">
        <v>4</v>
      </c>
      <c r="Q8">
        <v>1</v>
      </c>
      <c r="R8" t="s">
        <v>40</v>
      </c>
      <c r="S8">
        <v>1</v>
      </c>
      <c r="T8" t="str" cm="1">
        <f t="array" ref="T8">_xlfn.IFS(S8&lt;=2,"Poor",S8&lt;=3,"Fair",S8&gt;=4,"Good")</f>
        <v>Poor</v>
      </c>
      <c r="U8" t="s">
        <v>48</v>
      </c>
      <c r="V8" s="1">
        <v>2670</v>
      </c>
      <c r="W8" t="str" cm="1">
        <f t="array" ref="W8">_xlfn.IFS(V8&lt;=5000,"Low Salary",V8&lt;=12000,"Good Salary",V8&gt;12000,"High Salary")</f>
        <v>Low Salary</v>
      </c>
      <c r="X8">
        <v>9964</v>
      </c>
      <c r="Y8">
        <v>4</v>
      </c>
      <c r="Z8" t="s">
        <v>42</v>
      </c>
      <c r="AA8" t="s">
        <v>43</v>
      </c>
      <c r="AB8">
        <v>20</v>
      </c>
      <c r="AC8">
        <v>4</v>
      </c>
      <c r="AD8" t="str">
        <f t="shared" si="1"/>
        <v>High Performance</v>
      </c>
      <c r="AE8">
        <v>1</v>
      </c>
      <c r="AF8">
        <v>80</v>
      </c>
      <c r="AG8">
        <v>3</v>
      </c>
      <c r="AH8">
        <v>12</v>
      </c>
      <c r="AI8">
        <v>3</v>
      </c>
      <c r="AJ8">
        <v>2</v>
      </c>
      <c r="AK8" t="str" cm="1">
        <f t="array" ref="AK8">_xlfn.IFS(AJ8&lt;=2,"Poor",AJ8&lt;=3,"Fair",AJ8&gt;3,"Good")</f>
        <v>Poor</v>
      </c>
      <c r="AL8">
        <v>1</v>
      </c>
      <c r="AM8">
        <v>0</v>
      </c>
      <c r="AN8">
        <v>0</v>
      </c>
      <c r="AO8">
        <v>0</v>
      </c>
    </row>
    <row r="9" spans="1:41" x14ac:dyDescent="0.2">
      <c r="A9">
        <v>1699288</v>
      </c>
      <c r="B9">
        <v>30</v>
      </c>
      <c r="C9" t="str" cm="1">
        <f t="array" ref="C9">_xlfn.IFS(B9&lt;=25,"15-25",B9&lt;=35,"26-35",B9&lt;=45,"36-45",B9&lt;=55,"46-55",B9&lt;=65,"56-65")</f>
        <v>26-35</v>
      </c>
      <c r="D9" t="s">
        <v>35</v>
      </c>
      <c r="E9" t="str">
        <f t="shared" si="0"/>
        <v>Current Employee</v>
      </c>
      <c r="F9" t="s">
        <v>36</v>
      </c>
      <c r="G9">
        <v>1358</v>
      </c>
      <c r="H9" t="s">
        <v>45</v>
      </c>
      <c r="I9">
        <v>24</v>
      </c>
      <c r="J9">
        <v>1</v>
      </c>
      <c r="K9" t="s">
        <v>38</v>
      </c>
      <c r="L9">
        <v>1</v>
      </c>
      <c r="M9">
        <v>4</v>
      </c>
      <c r="N9" t="s">
        <v>46</v>
      </c>
      <c r="O9">
        <v>67</v>
      </c>
      <c r="P9">
        <v>3</v>
      </c>
      <c r="Q9">
        <v>1</v>
      </c>
      <c r="R9" t="s">
        <v>40</v>
      </c>
      <c r="S9">
        <v>3</v>
      </c>
      <c r="T9" t="str" cm="1">
        <f t="array" ref="T9">_xlfn.IFS(S9&lt;=2,"Poor",S9&lt;=3,"Fair",S9&gt;=4,"Good")</f>
        <v>Fair</v>
      </c>
      <c r="U9" t="s">
        <v>50</v>
      </c>
      <c r="V9" s="1">
        <v>2693</v>
      </c>
      <c r="W9" t="str" cm="1">
        <f t="array" ref="W9">_xlfn.IFS(V9&lt;=5000,"Low Salary",V9&lt;=12000,"Good Salary",V9&gt;12000,"High Salary")</f>
        <v>Low Salary</v>
      </c>
      <c r="X9">
        <v>13335</v>
      </c>
      <c r="Y9">
        <v>1</v>
      </c>
      <c r="Z9" t="s">
        <v>42</v>
      </c>
      <c r="AA9" t="s">
        <v>35</v>
      </c>
      <c r="AB9">
        <v>22</v>
      </c>
      <c r="AC9">
        <v>4</v>
      </c>
      <c r="AD9" t="str">
        <f t="shared" si="1"/>
        <v>High Performance</v>
      </c>
      <c r="AE9">
        <v>2</v>
      </c>
      <c r="AF9">
        <v>80</v>
      </c>
      <c r="AG9">
        <v>1</v>
      </c>
      <c r="AH9">
        <v>1</v>
      </c>
      <c r="AI9">
        <v>2</v>
      </c>
      <c r="AJ9">
        <v>3</v>
      </c>
      <c r="AK9" t="str" cm="1">
        <f t="array" ref="AK9">_xlfn.IFS(AJ9&lt;=2,"Poor",AJ9&lt;=3,"Fair",AJ9&gt;3,"Good")</f>
        <v>Fair</v>
      </c>
      <c r="AL9">
        <v>1</v>
      </c>
      <c r="AM9">
        <v>0</v>
      </c>
      <c r="AN9">
        <v>0</v>
      </c>
      <c r="AO9">
        <v>0</v>
      </c>
    </row>
    <row r="10" spans="1:41" x14ac:dyDescent="0.2">
      <c r="A10">
        <v>1469740</v>
      </c>
      <c r="B10">
        <v>38</v>
      </c>
      <c r="C10" t="str" cm="1">
        <f t="array" ref="C10">_xlfn.IFS(B10&lt;=25,"15-25",B10&lt;=35,"26-35",B10&lt;=45,"36-45",B10&lt;=55,"46-55",B10&lt;=65,"56-65")</f>
        <v>36-45</v>
      </c>
      <c r="D10" t="s">
        <v>35</v>
      </c>
      <c r="E10" t="str">
        <f t="shared" si="0"/>
        <v>Current Employee</v>
      </c>
      <c r="F10" t="s">
        <v>44</v>
      </c>
      <c r="G10">
        <v>216</v>
      </c>
      <c r="H10" t="s">
        <v>45</v>
      </c>
      <c r="I10">
        <v>23</v>
      </c>
      <c r="J10">
        <v>3</v>
      </c>
      <c r="K10" t="s">
        <v>38</v>
      </c>
      <c r="L10">
        <v>1</v>
      </c>
      <c r="M10">
        <v>4</v>
      </c>
      <c r="N10" t="s">
        <v>46</v>
      </c>
      <c r="O10">
        <v>44</v>
      </c>
      <c r="P10">
        <v>2</v>
      </c>
      <c r="Q10">
        <v>3</v>
      </c>
      <c r="R10" t="s">
        <v>51</v>
      </c>
      <c r="S10">
        <v>3</v>
      </c>
      <c r="T10" t="str" cm="1">
        <f t="array" ref="T10">_xlfn.IFS(S10&lt;=2,"Poor",S10&lt;=3,"Fair",S10&gt;=4,"Good")</f>
        <v>Fair</v>
      </c>
      <c r="U10" t="s">
        <v>41</v>
      </c>
      <c r="V10" s="1">
        <v>9526</v>
      </c>
      <c r="W10" t="str" cm="1">
        <f t="array" ref="W10">_xlfn.IFS(V10&lt;=5000,"Low Salary",V10&lt;=12000,"Good Salary",V10&gt;12000,"High Salary")</f>
        <v>Good Salary</v>
      </c>
      <c r="X10">
        <v>8787</v>
      </c>
      <c r="Y10">
        <v>0</v>
      </c>
      <c r="Z10" t="s">
        <v>42</v>
      </c>
      <c r="AA10" t="s">
        <v>35</v>
      </c>
      <c r="AB10">
        <v>21</v>
      </c>
      <c r="AC10">
        <v>4</v>
      </c>
      <c r="AD10" t="str">
        <f t="shared" si="1"/>
        <v>High Performance</v>
      </c>
      <c r="AE10">
        <v>2</v>
      </c>
      <c r="AF10">
        <v>80</v>
      </c>
      <c r="AG10">
        <v>0</v>
      </c>
      <c r="AH10">
        <v>10</v>
      </c>
      <c r="AI10">
        <v>2</v>
      </c>
      <c r="AJ10">
        <v>3</v>
      </c>
      <c r="AK10" t="str" cm="1">
        <f t="array" ref="AK10">_xlfn.IFS(AJ10&lt;=2,"Poor",AJ10&lt;=3,"Fair",AJ10&gt;3,"Good")</f>
        <v>Fair</v>
      </c>
      <c r="AL10">
        <v>9</v>
      </c>
      <c r="AM10">
        <v>7</v>
      </c>
      <c r="AN10">
        <v>1</v>
      </c>
      <c r="AO10">
        <v>8</v>
      </c>
    </row>
    <row r="11" spans="1:41" x14ac:dyDescent="0.2">
      <c r="A11">
        <v>1101291</v>
      </c>
      <c r="B11">
        <v>36</v>
      </c>
      <c r="C11" t="str" cm="1">
        <f t="array" ref="C11">_xlfn.IFS(B11&lt;=25,"15-25",B11&lt;=35,"26-35",B11&lt;=45,"36-45",B11&lt;=55,"46-55",B11&lt;=65,"56-65")</f>
        <v>36-45</v>
      </c>
      <c r="D11" t="s">
        <v>35</v>
      </c>
      <c r="E11" t="str">
        <f t="shared" si="0"/>
        <v>Current Employee</v>
      </c>
      <c r="F11" t="s">
        <v>36</v>
      </c>
      <c r="G11">
        <v>1299</v>
      </c>
      <c r="H11" t="s">
        <v>45</v>
      </c>
      <c r="I11">
        <v>27</v>
      </c>
      <c r="J11">
        <v>3</v>
      </c>
      <c r="K11" t="s">
        <v>49</v>
      </c>
      <c r="L11">
        <v>1</v>
      </c>
      <c r="M11">
        <v>3</v>
      </c>
      <c r="N11" t="s">
        <v>46</v>
      </c>
      <c r="O11">
        <v>94</v>
      </c>
      <c r="P11">
        <v>3</v>
      </c>
      <c r="Q11">
        <v>2</v>
      </c>
      <c r="R11" t="s">
        <v>40</v>
      </c>
      <c r="S11">
        <v>3</v>
      </c>
      <c r="T11" t="str" cm="1">
        <f t="array" ref="T11">_xlfn.IFS(S11&lt;=2,"Poor",S11&lt;=3,"Fair",S11&gt;=4,"Good")</f>
        <v>Fair</v>
      </c>
      <c r="U11" t="s">
        <v>48</v>
      </c>
      <c r="V11" s="1">
        <v>5237</v>
      </c>
      <c r="W11" t="str" cm="1">
        <f t="array" ref="W11">_xlfn.IFS(V11&lt;=5000,"Low Salary",V11&lt;=12000,"Good Salary",V11&gt;12000,"High Salary")</f>
        <v>Good Salary</v>
      </c>
      <c r="X11">
        <v>16577</v>
      </c>
      <c r="Y11">
        <v>6</v>
      </c>
      <c r="Z11" t="s">
        <v>42</v>
      </c>
      <c r="AA11" t="s">
        <v>35</v>
      </c>
      <c r="AB11">
        <v>13</v>
      </c>
      <c r="AC11">
        <v>3</v>
      </c>
      <c r="AD11" t="str">
        <f t="shared" si="1"/>
        <v>Low Performance</v>
      </c>
      <c r="AE11">
        <v>2</v>
      </c>
      <c r="AF11">
        <v>80</v>
      </c>
      <c r="AG11">
        <v>2</v>
      </c>
      <c r="AH11">
        <v>17</v>
      </c>
      <c r="AI11">
        <v>3</v>
      </c>
      <c r="AJ11">
        <v>2</v>
      </c>
      <c r="AK11" t="str" cm="1">
        <f t="array" ref="AK11">_xlfn.IFS(AJ11&lt;=2,"Poor",AJ11&lt;=3,"Fair",AJ11&gt;3,"Good")</f>
        <v>Poor</v>
      </c>
      <c r="AL11">
        <v>7</v>
      </c>
      <c r="AM11">
        <v>7</v>
      </c>
      <c r="AN11">
        <v>7</v>
      </c>
      <c r="AO11">
        <v>7</v>
      </c>
    </row>
    <row r="12" spans="1:41" x14ac:dyDescent="0.2">
      <c r="A12">
        <v>1430504</v>
      </c>
      <c r="B12">
        <v>35</v>
      </c>
      <c r="C12" t="str" cm="1">
        <f t="array" ref="C12">_xlfn.IFS(B12&lt;=25,"15-25",B12&lt;=35,"26-35",B12&lt;=45,"36-45",B12&lt;=55,"46-55",B12&lt;=65,"56-65")</f>
        <v>26-35</v>
      </c>
      <c r="D12" t="s">
        <v>35</v>
      </c>
      <c r="E12" t="str">
        <f t="shared" si="0"/>
        <v>Current Employee</v>
      </c>
      <c r="F12" t="s">
        <v>36</v>
      </c>
      <c r="G12">
        <v>809</v>
      </c>
      <c r="H12" t="s">
        <v>45</v>
      </c>
      <c r="I12">
        <v>16</v>
      </c>
      <c r="J12">
        <v>3</v>
      </c>
      <c r="K12" t="s">
        <v>49</v>
      </c>
      <c r="L12">
        <v>1</v>
      </c>
      <c r="M12">
        <v>1</v>
      </c>
      <c r="N12" t="s">
        <v>46</v>
      </c>
      <c r="O12">
        <v>84</v>
      </c>
      <c r="P12">
        <v>4</v>
      </c>
      <c r="Q12">
        <v>1</v>
      </c>
      <c r="R12" t="s">
        <v>40</v>
      </c>
      <c r="S12">
        <v>2</v>
      </c>
      <c r="T12" t="str" cm="1">
        <f t="array" ref="T12">_xlfn.IFS(S12&lt;=2,"Poor",S12&lt;=3,"Fair",S12&gt;=4,"Good")</f>
        <v>Poor</v>
      </c>
      <c r="U12" t="s">
        <v>48</v>
      </c>
      <c r="V12" s="1">
        <v>2426</v>
      </c>
      <c r="W12" t="str" cm="1">
        <f t="array" ref="W12">_xlfn.IFS(V12&lt;=5000,"Low Salary",V12&lt;=12000,"Good Salary",V12&gt;12000,"High Salary")</f>
        <v>Low Salary</v>
      </c>
      <c r="X12">
        <v>16479</v>
      </c>
      <c r="Y12">
        <v>0</v>
      </c>
      <c r="Z12" t="s">
        <v>42</v>
      </c>
      <c r="AA12" t="s">
        <v>35</v>
      </c>
      <c r="AB12">
        <v>13</v>
      </c>
      <c r="AC12">
        <v>3</v>
      </c>
      <c r="AD12" t="str">
        <f t="shared" si="1"/>
        <v>Low Performance</v>
      </c>
      <c r="AE12">
        <v>3</v>
      </c>
      <c r="AF12">
        <v>80</v>
      </c>
      <c r="AG12">
        <v>1</v>
      </c>
      <c r="AH12">
        <v>6</v>
      </c>
      <c r="AI12">
        <v>5</v>
      </c>
      <c r="AJ12">
        <v>3</v>
      </c>
      <c r="AK12" t="str" cm="1">
        <f t="array" ref="AK12">_xlfn.IFS(AJ12&lt;=2,"Poor",AJ12&lt;=3,"Fair",AJ12&gt;3,"Good")</f>
        <v>Fair</v>
      </c>
      <c r="AL12">
        <v>5</v>
      </c>
      <c r="AM12">
        <v>4</v>
      </c>
      <c r="AN12">
        <v>0</v>
      </c>
      <c r="AO12">
        <v>3</v>
      </c>
    </row>
    <row r="13" spans="1:41" x14ac:dyDescent="0.2">
      <c r="A13">
        <v>1196281</v>
      </c>
      <c r="B13">
        <v>29</v>
      </c>
      <c r="C13" t="str" cm="1">
        <f t="array" ref="C13">_xlfn.IFS(B13&lt;=25,"15-25",B13&lt;=35,"26-35",B13&lt;=45,"36-45",B13&lt;=55,"46-55",B13&lt;=65,"56-65")</f>
        <v>26-35</v>
      </c>
      <c r="D13" t="s">
        <v>35</v>
      </c>
      <c r="E13" t="str">
        <f t="shared" si="0"/>
        <v>Current Employee</v>
      </c>
      <c r="F13" t="s">
        <v>36</v>
      </c>
      <c r="G13">
        <v>153</v>
      </c>
      <c r="H13" t="s">
        <v>45</v>
      </c>
      <c r="I13">
        <v>15</v>
      </c>
      <c r="J13">
        <v>2</v>
      </c>
      <c r="K13" t="s">
        <v>38</v>
      </c>
      <c r="L13">
        <v>1</v>
      </c>
      <c r="M13">
        <v>4</v>
      </c>
      <c r="N13" t="s">
        <v>39</v>
      </c>
      <c r="O13">
        <v>49</v>
      </c>
      <c r="P13">
        <v>2</v>
      </c>
      <c r="Q13">
        <v>2</v>
      </c>
      <c r="R13" t="s">
        <v>40</v>
      </c>
      <c r="S13">
        <v>3</v>
      </c>
      <c r="T13" t="str" cm="1">
        <f t="array" ref="T13">_xlfn.IFS(S13&lt;=2,"Poor",S13&lt;=3,"Fair",S13&gt;=4,"Good")</f>
        <v>Fair</v>
      </c>
      <c r="U13" t="s">
        <v>41</v>
      </c>
      <c r="V13" s="1">
        <v>4193</v>
      </c>
      <c r="W13" t="str" cm="1">
        <f t="array" ref="W13">_xlfn.IFS(V13&lt;=5000,"Low Salary",V13&lt;=12000,"Good Salary",V13&gt;12000,"High Salary")</f>
        <v>Low Salary</v>
      </c>
      <c r="X13">
        <v>12682</v>
      </c>
      <c r="Y13">
        <v>0</v>
      </c>
      <c r="Z13" t="s">
        <v>42</v>
      </c>
      <c r="AA13" t="s">
        <v>43</v>
      </c>
      <c r="AB13">
        <v>12</v>
      </c>
      <c r="AC13">
        <v>3</v>
      </c>
      <c r="AD13" t="str">
        <f t="shared" si="1"/>
        <v>Low Performance</v>
      </c>
      <c r="AE13">
        <v>4</v>
      </c>
      <c r="AF13">
        <v>80</v>
      </c>
      <c r="AG13">
        <v>0</v>
      </c>
      <c r="AH13">
        <v>10</v>
      </c>
      <c r="AI13">
        <v>3</v>
      </c>
      <c r="AJ13">
        <v>3</v>
      </c>
      <c r="AK13" t="str" cm="1">
        <f t="array" ref="AK13">_xlfn.IFS(AJ13&lt;=2,"Poor",AJ13&lt;=3,"Fair",AJ13&gt;3,"Good")</f>
        <v>Fair</v>
      </c>
      <c r="AL13">
        <v>9</v>
      </c>
      <c r="AM13">
        <v>5</v>
      </c>
      <c r="AN13">
        <v>0</v>
      </c>
      <c r="AO13">
        <v>8</v>
      </c>
    </row>
    <row r="14" spans="1:41" x14ac:dyDescent="0.2">
      <c r="A14">
        <v>1207951</v>
      </c>
      <c r="B14">
        <v>31</v>
      </c>
      <c r="C14" t="str" cm="1">
        <f t="array" ref="C14">_xlfn.IFS(B14&lt;=25,"15-25",B14&lt;=35,"26-35",B14&lt;=45,"36-45",B14&lt;=55,"46-55",B14&lt;=65,"56-65")</f>
        <v>26-35</v>
      </c>
      <c r="D14" t="s">
        <v>35</v>
      </c>
      <c r="E14" t="str">
        <f t="shared" si="0"/>
        <v>Current Employee</v>
      </c>
      <c r="F14" t="s">
        <v>36</v>
      </c>
      <c r="G14">
        <v>670</v>
      </c>
      <c r="H14" t="s">
        <v>45</v>
      </c>
      <c r="I14">
        <v>26</v>
      </c>
      <c r="J14">
        <v>1</v>
      </c>
      <c r="K14" t="s">
        <v>38</v>
      </c>
      <c r="L14">
        <v>1</v>
      </c>
      <c r="M14">
        <v>1</v>
      </c>
      <c r="N14" t="s">
        <v>46</v>
      </c>
      <c r="O14">
        <v>31</v>
      </c>
      <c r="P14">
        <v>3</v>
      </c>
      <c r="Q14">
        <v>1</v>
      </c>
      <c r="R14" t="s">
        <v>47</v>
      </c>
      <c r="S14">
        <v>3</v>
      </c>
      <c r="T14" t="str" cm="1">
        <f t="array" ref="T14">_xlfn.IFS(S14&lt;=2,"Poor",S14&lt;=3,"Fair",S14&gt;=4,"Good")</f>
        <v>Fair</v>
      </c>
      <c r="U14" t="s">
        <v>50</v>
      </c>
      <c r="V14" s="1">
        <v>2911</v>
      </c>
      <c r="W14" t="str" cm="1">
        <f t="array" ref="W14">_xlfn.IFS(V14&lt;=5000,"Low Salary",V14&lt;=12000,"Good Salary",V14&gt;12000,"High Salary")</f>
        <v>Low Salary</v>
      </c>
      <c r="X14">
        <v>15170</v>
      </c>
      <c r="Y14">
        <v>1</v>
      </c>
      <c r="Z14" t="s">
        <v>42</v>
      </c>
      <c r="AA14" t="s">
        <v>35</v>
      </c>
      <c r="AB14">
        <v>17</v>
      </c>
      <c r="AC14">
        <v>3</v>
      </c>
      <c r="AD14" t="str">
        <f t="shared" si="1"/>
        <v>Low Performance</v>
      </c>
      <c r="AE14">
        <v>4</v>
      </c>
      <c r="AF14">
        <v>80</v>
      </c>
      <c r="AG14">
        <v>1</v>
      </c>
      <c r="AH14">
        <v>5</v>
      </c>
      <c r="AI14">
        <v>1</v>
      </c>
      <c r="AJ14">
        <v>2</v>
      </c>
      <c r="AK14" t="str" cm="1">
        <f t="array" ref="AK14">_xlfn.IFS(AJ14&lt;=2,"Poor",AJ14&lt;=3,"Fair",AJ14&gt;3,"Good")</f>
        <v>Poor</v>
      </c>
      <c r="AL14">
        <v>5</v>
      </c>
      <c r="AM14">
        <v>2</v>
      </c>
      <c r="AN14">
        <v>4</v>
      </c>
      <c r="AO14">
        <v>3</v>
      </c>
    </row>
    <row r="15" spans="1:41" x14ac:dyDescent="0.2">
      <c r="A15">
        <v>1080660</v>
      </c>
      <c r="B15">
        <v>34</v>
      </c>
      <c r="C15" t="str" cm="1">
        <f t="array" ref="C15">_xlfn.IFS(B15&lt;=25,"15-25",B15&lt;=35,"26-35",B15&lt;=45,"36-45",B15&lt;=55,"46-55",B15&lt;=65,"56-65")</f>
        <v>26-35</v>
      </c>
      <c r="D15" t="s">
        <v>35</v>
      </c>
      <c r="E15" t="str">
        <f t="shared" si="0"/>
        <v>Current Employee</v>
      </c>
      <c r="F15" t="s">
        <v>36</v>
      </c>
      <c r="G15">
        <v>1346</v>
      </c>
      <c r="H15" t="s">
        <v>45</v>
      </c>
      <c r="I15">
        <v>19</v>
      </c>
      <c r="J15">
        <v>2</v>
      </c>
      <c r="K15" t="s">
        <v>49</v>
      </c>
      <c r="L15">
        <v>1</v>
      </c>
      <c r="M15">
        <v>2</v>
      </c>
      <c r="N15" t="s">
        <v>46</v>
      </c>
      <c r="O15">
        <v>93</v>
      </c>
      <c r="P15">
        <v>3</v>
      </c>
      <c r="Q15">
        <v>1</v>
      </c>
      <c r="R15" t="s">
        <v>40</v>
      </c>
      <c r="S15">
        <v>4</v>
      </c>
      <c r="T15" t="str" cm="1">
        <f t="array" ref="T15">_xlfn.IFS(S15&lt;=2,"Poor",S15&lt;=3,"Fair",S15&gt;=4,"Good")</f>
        <v>Good</v>
      </c>
      <c r="U15" t="s">
        <v>50</v>
      </c>
      <c r="V15" s="1">
        <v>2661</v>
      </c>
      <c r="W15" t="str" cm="1">
        <f t="array" ref="W15">_xlfn.IFS(V15&lt;=5000,"Low Salary",V15&lt;=12000,"Good Salary",V15&gt;12000,"High Salary")</f>
        <v>Low Salary</v>
      </c>
      <c r="X15">
        <v>8758</v>
      </c>
      <c r="Y15">
        <v>0</v>
      </c>
      <c r="Z15" t="s">
        <v>42</v>
      </c>
      <c r="AA15" t="s">
        <v>35</v>
      </c>
      <c r="AB15">
        <v>11</v>
      </c>
      <c r="AC15">
        <v>3</v>
      </c>
      <c r="AD15" t="str">
        <f t="shared" si="1"/>
        <v>Low Performance</v>
      </c>
      <c r="AE15">
        <v>3</v>
      </c>
      <c r="AF15">
        <v>80</v>
      </c>
      <c r="AG15">
        <v>1</v>
      </c>
      <c r="AH15">
        <v>3</v>
      </c>
      <c r="AI15">
        <v>2</v>
      </c>
      <c r="AJ15">
        <v>3</v>
      </c>
      <c r="AK15" t="str" cm="1">
        <f t="array" ref="AK15">_xlfn.IFS(AJ15&lt;=2,"Poor",AJ15&lt;=3,"Fair",AJ15&gt;3,"Good")</f>
        <v>Fair</v>
      </c>
      <c r="AL15">
        <v>2</v>
      </c>
      <c r="AM15">
        <v>2</v>
      </c>
      <c r="AN15">
        <v>1</v>
      </c>
      <c r="AO15">
        <v>2</v>
      </c>
    </row>
    <row r="16" spans="1:41" x14ac:dyDescent="0.2">
      <c r="A16">
        <v>1420391</v>
      </c>
      <c r="B16">
        <v>28</v>
      </c>
      <c r="C16" t="str" cm="1">
        <f t="array" ref="C16">_xlfn.IFS(B16&lt;=25,"15-25",B16&lt;=35,"26-35",B16&lt;=45,"36-45",B16&lt;=55,"46-55",B16&lt;=65,"56-65")</f>
        <v>26-35</v>
      </c>
      <c r="D16" t="s">
        <v>43</v>
      </c>
      <c r="E16" t="str">
        <f t="shared" si="0"/>
        <v>Former Employee</v>
      </c>
      <c r="F16" t="s">
        <v>36</v>
      </c>
      <c r="G16">
        <v>103</v>
      </c>
      <c r="H16" t="s">
        <v>45</v>
      </c>
      <c r="I16">
        <v>24</v>
      </c>
      <c r="J16">
        <v>3</v>
      </c>
      <c r="K16" t="s">
        <v>38</v>
      </c>
      <c r="L16">
        <v>1</v>
      </c>
      <c r="M16">
        <v>3</v>
      </c>
      <c r="N16" t="s">
        <v>46</v>
      </c>
      <c r="O16">
        <v>50</v>
      </c>
      <c r="P16">
        <v>2</v>
      </c>
      <c r="Q16">
        <v>1</v>
      </c>
      <c r="R16" t="s">
        <v>40</v>
      </c>
      <c r="S16">
        <v>3</v>
      </c>
      <c r="T16" t="str" cm="1">
        <f t="array" ref="T16">_xlfn.IFS(S16&lt;=2,"Poor",S16&lt;=3,"Fair",S16&gt;=4,"Good")</f>
        <v>Fair</v>
      </c>
      <c r="U16" t="s">
        <v>41</v>
      </c>
      <c r="V16" s="1">
        <v>2028</v>
      </c>
      <c r="W16" t="str" cm="1">
        <f t="array" ref="W16">_xlfn.IFS(V16&lt;=5000,"Low Salary",V16&lt;=12000,"Good Salary",V16&gt;12000,"High Salary")</f>
        <v>Low Salary</v>
      </c>
      <c r="X16">
        <v>12947</v>
      </c>
      <c r="Y16">
        <v>5</v>
      </c>
      <c r="Z16" t="s">
        <v>42</v>
      </c>
      <c r="AA16" t="s">
        <v>43</v>
      </c>
      <c r="AB16">
        <v>14</v>
      </c>
      <c r="AC16">
        <v>3</v>
      </c>
      <c r="AD16" t="str">
        <f t="shared" si="1"/>
        <v>Low Performance</v>
      </c>
      <c r="AE16">
        <v>2</v>
      </c>
      <c r="AF16">
        <v>80</v>
      </c>
      <c r="AG16">
        <v>0</v>
      </c>
      <c r="AH16">
        <v>6</v>
      </c>
      <c r="AI16">
        <v>4</v>
      </c>
      <c r="AJ16">
        <v>3</v>
      </c>
      <c r="AK16" t="str" cm="1">
        <f t="array" ref="AK16">_xlfn.IFS(AJ16&lt;=2,"Poor",AJ16&lt;=3,"Fair",AJ16&gt;3,"Good")</f>
        <v>Fair</v>
      </c>
      <c r="AL16">
        <v>4</v>
      </c>
      <c r="AM16">
        <v>2</v>
      </c>
      <c r="AN16">
        <v>0</v>
      </c>
      <c r="AO16">
        <v>3</v>
      </c>
    </row>
    <row r="17" spans="1:41" x14ac:dyDescent="0.2">
      <c r="A17">
        <v>1337254</v>
      </c>
      <c r="B17">
        <v>29</v>
      </c>
      <c r="C17" t="str" cm="1">
        <f t="array" ref="C17">_xlfn.IFS(B17&lt;=25,"15-25",B17&lt;=35,"26-35",B17&lt;=45,"36-45",B17&lt;=55,"46-55",B17&lt;=65,"56-65")</f>
        <v>26-35</v>
      </c>
      <c r="D17" t="s">
        <v>35</v>
      </c>
      <c r="E17" t="str">
        <f t="shared" si="0"/>
        <v>Current Employee</v>
      </c>
      <c r="F17" t="s">
        <v>36</v>
      </c>
      <c r="G17">
        <v>1389</v>
      </c>
      <c r="H17" t="s">
        <v>45</v>
      </c>
      <c r="I17">
        <v>21</v>
      </c>
      <c r="J17">
        <v>4</v>
      </c>
      <c r="K17" t="s">
        <v>38</v>
      </c>
      <c r="L17">
        <v>1</v>
      </c>
      <c r="M17">
        <v>2</v>
      </c>
      <c r="N17" t="s">
        <v>39</v>
      </c>
      <c r="O17">
        <v>51</v>
      </c>
      <c r="P17">
        <v>4</v>
      </c>
      <c r="Q17">
        <v>3</v>
      </c>
      <c r="R17" t="s">
        <v>51</v>
      </c>
      <c r="S17">
        <v>1</v>
      </c>
      <c r="T17" t="str" cm="1">
        <f t="array" ref="T17">_xlfn.IFS(S17&lt;=2,"Poor",S17&lt;=3,"Fair",S17&gt;=4,"Good")</f>
        <v>Poor</v>
      </c>
      <c r="U17" t="s">
        <v>50</v>
      </c>
      <c r="V17" s="1">
        <v>9980</v>
      </c>
      <c r="W17" t="str" cm="1">
        <f t="array" ref="W17">_xlfn.IFS(V17&lt;=5000,"Low Salary",V17&lt;=12000,"Good Salary",V17&gt;12000,"High Salary")</f>
        <v>Good Salary</v>
      </c>
      <c r="X17">
        <v>10195</v>
      </c>
      <c r="Y17">
        <v>1</v>
      </c>
      <c r="Z17" t="s">
        <v>42</v>
      </c>
      <c r="AA17" t="s">
        <v>35</v>
      </c>
      <c r="AB17">
        <v>11</v>
      </c>
      <c r="AC17">
        <v>3</v>
      </c>
      <c r="AD17" t="str">
        <f t="shared" si="1"/>
        <v>Low Performance</v>
      </c>
      <c r="AE17">
        <v>3</v>
      </c>
      <c r="AF17">
        <v>80</v>
      </c>
      <c r="AG17">
        <v>1</v>
      </c>
      <c r="AH17">
        <v>10</v>
      </c>
      <c r="AI17">
        <v>1</v>
      </c>
      <c r="AJ17">
        <v>3</v>
      </c>
      <c r="AK17" t="str" cm="1">
        <f t="array" ref="AK17">_xlfn.IFS(AJ17&lt;=2,"Poor",AJ17&lt;=3,"Fair",AJ17&gt;3,"Good")</f>
        <v>Fair</v>
      </c>
      <c r="AL17">
        <v>10</v>
      </c>
      <c r="AM17">
        <v>9</v>
      </c>
      <c r="AN17">
        <v>8</v>
      </c>
      <c r="AO17">
        <v>8</v>
      </c>
    </row>
    <row r="18" spans="1:41" x14ac:dyDescent="0.2">
      <c r="A18">
        <v>1421335</v>
      </c>
      <c r="B18">
        <v>32</v>
      </c>
      <c r="C18" t="str" cm="1">
        <f t="array" ref="C18">_xlfn.IFS(B18&lt;=25,"15-25",B18&lt;=35,"26-35",B18&lt;=45,"36-45",B18&lt;=55,"46-55",B18&lt;=65,"56-65")</f>
        <v>26-35</v>
      </c>
      <c r="D18" t="s">
        <v>35</v>
      </c>
      <c r="E18" t="str">
        <f t="shared" si="0"/>
        <v>Current Employee</v>
      </c>
      <c r="F18" t="s">
        <v>36</v>
      </c>
      <c r="G18">
        <v>334</v>
      </c>
      <c r="H18" t="s">
        <v>45</v>
      </c>
      <c r="I18">
        <v>5</v>
      </c>
      <c r="J18">
        <v>2</v>
      </c>
      <c r="K18" t="s">
        <v>38</v>
      </c>
      <c r="L18">
        <v>1</v>
      </c>
      <c r="M18">
        <v>1</v>
      </c>
      <c r="N18" t="s">
        <v>46</v>
      </c>
      <c r="O18">
        <v>80</v>
      </c>
      <c r="P18">
        <v>4</v>
      </c>
      <c r="Q18">
        <v>1</v>
      </c>
      <c r="R18" t="s">
        <v>47</v>
      </c>
      <c r="S18">
        <v>2</v>
      </c>
      <c r="T18" t="str" cm="1">
        <f t="array" ref="T18">_xlfn.IFS(S18&lt;=2,"Poor",S18&lt;=3,"Fair",S18&gt;=4,"Good")</f>
        <v>Poor</v>
      </c>
      <c r="U18" t="s">
        <v>50</v>
      </c>
      <c r="V18" s="1">
        <v>3298</v>
      </c>
      <c r="W18" t="str" cm="1">
        <f t="array" ref="W18">_xlfn.IFS(V18&lt;=5000,"Low Salary",V18&lt;=12000,"Good Salary",V18&gt;12000,"High Salary")</f>
        <v>Low Salary</v>
      </c>
      <c r="X18">
        <v>15053</v>
      </c>
      <c r="Y18">
        <v>0</v>
      </c>
      <c r="Z18" t="s">
        <v>42</v>
      </c>
      <c r="AA18" t="s">
        <v>43</v>
      </c>
      <c r="AB18">
        <v>12</v>
      </c>
      <c r="AC18">
        <v>3</v>
      </c>
      <c r="AD18" t="str">
        <f t="shared" si="1"/>
        <v>Low Performance</v>
      </c>
      <c r="AE18">
        <v>4</v>
      </c>
      <c r="AF18">
        <v>80</v>
      </c>
      <c r="AG18">
        <v>2</v>
      </c>
      <c r="AH18">
        <v>7</v>
      </c>
      <c r="AI18">
        <v>5</v>
      </c>
      <c r="AJ18">
        <v>2</v>
      </c>
      <c r="AK18" t="str" cm="1">
        <f t="array" ref="AK18">_xlfn.IFS(AJ18&lt;=2,"Poor",AJ18&lt;=3,"Fair",AJ18&gt;3,"Good")</f>
        <v>Poor</v>
      </c>
      <c r="AL18">
        <v>6</v>
      </c>
      <c r="AM18">
        <v>2</v>
      </c>
      <c r="AN18">
        <v>0</v>
      </c>
      <c r="AO18">
        <v>5</v>
      </c>
    </row>
    <row r="19" spans="1:41" x14ac:dyDescent="0.2">
      <c r="A19">
        <v>1262683</v>
      </c>
      <c r="B19">
        <v>22</v>
      </c>
      <c r="C19" t="str" cm="1">
        <f t="array" ref="C19">_xlfn.IFS(B19&lt;=25,"15-25",B19&lt;=35,"26-35",B19&lt;=45,"36-45",B19&lt;=55,"46-55",B19&lt;=65,"56-65")</f>
        <v>15-25</v>
      </c>
      <c r="D19" t="s">
        <v>35</v>
      </c>
      <c r="E19" t="str">
        <f t="shared" si="0"/>
        <v>Current Employee</v>
      </c>
      <c r="F19" t="s">
        <v>52</v>
      </c>
      <c r="G19">
        <v>1123</v>
      </c>
      <c r="H19" t="s">
        <v>45</v>
      </c>
      <c r="I19">
        <v>16</v>
      </c>
      <c r="J19">
        <v>2</v>
      </c>
      <c r="K19" t="s">
        <v>49</v>
      </c>
      <c r="L19">
        <v>1</v>
      </c>
      <c r="M19">
        <v>4</v>
      </c>
      <c r="N19" t="s">
        <v>46</v>
      </c>
      <c r="O19">
        <v>96</v>
      </c>
      <c r="P19">
        <v>4</v>
      </c>
      <c r="Q19">
        <v>1</v>
      </c>
      <c r="R19" t="s">
        <v>40</v>
      </c>
      <c r="S19">
        <v>4</v>
      </c>
      <c r="T19" t="str" cm="1">
        <f t="array" ref="T19">_xlfn.IFS(S19&lt;=2,"Poor",S19&lt;=3,"Fair",S19&gt;=4,"Good")</f>
        <v>Good</v>
      </c>
      <c r="U19" t="s">
        <v>50</v>
      </c>
      <c r="V19" s="1">
        <v>2935</v>
      </c>
      <c r="W19" t="str" cm="1">
        <f t="array" ref="W19">_xlfn.IFS(V19&lt;=5000,"Low Salary",V19&lt;=12000,"Good Salary",V19&gt;12000,"High Salary")</f>
        <v>Low Salary</v>
      </c>
      <c r="X19">
        <v>7324</v>
      </c>
      <c r="Y19">
        <v>1</v>
      </c>
      <c r="Z19" t="s">
        <v>42</v>
      </c>
      <c r="AA19" t="s">
        <v>43</v>
      </c>
      <c r="AB19">
        <v>13</v>
      </c>
      <c r="AC19">
        <v>3</v>
      </c>
      <c r="AD19" t="str">
        <f t="shared" si="1"/>
        <v>Low Performance</v>
      </c>
      <c r="AE19">
        <v>2</v>
      </c>
      <c r="AF19">
        <v>80</v>
      </c>
      <c r="AG19">
        <v>2</v>
      </c>
      <c r="AH19">
        <v>1</v>
      </c>
      <c r="AI19">
        <v>2</v>
      </c>
      <c r="AJ19">
        <v>2</v>
      </c>
      <c r="AK19" t="str" cm="1">
        <f t="array" ref="AK19">_xlfn.IFS(AJ19&lt;=2,"Poor",AJ19&lt;=3,"Fair",AJ19&gt;3,"Good")</f>
        <v>Poor</v>
      </c>
      <c r="AL19">
        <v>1</v>
      </c>
      <c r="AM19">
        <v>0</v>
      </c>
      <c r="AN19">
        <v>0</v>
      </c>
      <c r="AO19">
        <v>0</v>
      </c>
    </row>
    <row r="20" spans="1:41" x14ac:dyDescent="0.2">
      <c r="A20">
        <v>1599218</v>
      </c>
      <c r="B20">
        <v>53</v>
      </c>
      <c r="C20" t="str" cm="1">
        <f t="array" ref="C20">_xlfn.IFS(B20&lt;=25,"15-25",B20&lt;=35,"26-35",B20&lt;=45,"36-45",B20&lt;=55,"46-55",B20&lt;=65,"56-65")</f>
        <v>46-55</v>
      </c>
      <c r="D20" t="s">
        <v>35</v>
      </c>
      <c r="E20" t="str">
        <f t="shared" si="0"/>
        <v>Current Employee</v>
      </c>
      <c r="F20" t="s">
        <v>36</v>
      </c>
      <c r="G20">
        <v>1219</v>
      </c>
      <c r="H20" t="s">
        <v>37</v>
      </c>
      <c r="I20">
        <v>2</v>
      </c>
      <c r="J20">
        <v>4</v>
      </c>
      <c r="K20" t="s">
        <v>38</v>
      </c>
      <c r="L20">
        <v>1</v>
      </c>
      <c r="M20">
        <v>1</v>
      </c>
      <c r="N20" t="s">
        <v>39</v>
      </c>
      <c r="O20">
        <v>78</v>
      </c>
      <c r="P20">
        <v>2</v>
      </c>
      <c r="Q20">
        <v>4</v>
      </c>
      <c r="R20" t="s">
        <v>53</v>
      </c>
      <c r="S20">
        <v>4</v>
      </c>
      <c r="T20" t="str" cm="1">
        <f t="array" ref="T20">_xlfn.IFS(S20&lt;=2,"Poor",S20&lt;=3,"Fair",S20&gt;=4,"Good")</f>
        <v>Good</v>
      </c>
      <c r="U20" t="s">
        <v>48</v>
      </c>
      <c r="V20" s="1">
        <v>15427</v>
      </c>
      <c r="W20" t="str" cm="1">
        <f t="array" ref="W20">_xlfn.IFS(V20&lt;=5000,"Low Salary",V20&lt;=12000,"Good Salary",V20&gt;12000,"High Salary")</f>
        <v>High Salary</v>
      </c>
      <c r="X20">
        <v>22021</v>
      </c>
      <c r="Y20">
        <v>2</v>
      </c>
      <c r="Z20" t="s">
        <v>42</v>
      </c>
      <c r="AA20" t="s">
        <v>35</v>
      </c>
      <c r="AB20">
        <v>16</v>
      </c>
      <c r="AC20">
        <v>3</v>
      </c>
      <c r="AD20" t="str">
        <f t="shared" si="1"/>
        <v>Low Performance</v>
      </c>
      <c r="AE20">
        <v>3</v>
      </c>
      <c r="AF20">
        <v>80</v>
      </c>
      <c r="AG20">
        <v>0</v>
      </c>
      <c r="AH20">
        <v>31</v>
      </c>
      <c r="AI20">
        <v>3</v>
      </c>
      <c r="AJ20">
        <v>3</v>
      </c>
      <c r="AK20" t="str" cm="1">
        <f t="array" ref="AK20">_xlfn.IFS(AJ20&lt;=2,"Poor",AJ20&lt;=3,"Fair",AJ20&gt;3,"Good")</f>
        <v>Fair</v>
      </c>
      <c r="AL20">
        <v>25</v>
      </c>
      <c r="AM20">
        <v>8</v>
      </c>
      <c r="AN20">
        <v>3</v>
      </c>
      <c r="AO20">
        <v>7</v>
      </c>
    </row>
    <row r="21" spans="1:41" x14ac:dyDescent="0.2">
      <c r="A21">
        <v>1634788</v>
      </c>
      <c r="B21">
        <v>38</v>
      </c>
      <c r="C21" t="str" cm="1">
        <f t="array" ref="C21">_xlfn.IFS(B21&lt;=25,"15-25",B21&lt;=35,"26-35",B21&lt;=45,"36-45",B21&lt;=55,"46-55",B21&lt;=65,"56-65")</f>
        <v>36-45</v>
      </c>
      <c r="D21" t="s">
        <v>35</v>
      </c>
      <c r="E21" t="str">
        <f t="shared" si="0"/>
        <v>Current Employee</v>
      </c>
      <c r="F21" t="s">
        <v>36</v>
      </c>
      <c r="G21">
        <v>371</v>
      </c>
      <c r="H21" t="s">
        <v>45</v>
      </c>
      <c r="I21">
        <v>2</v>
      </c>
      <c r="J21">
        <v>3</v>
      </c>
      <c r="K21" t="s">
        <v>38</v>
      </c>
      <c r="L21">
        <v>1</v>
      </c>
      <c r="M21">
        <v>4</v>
      </c>
      <c r="N21" t="s">
        <v>46</v>
      </c>
      <c r="O21">
        <v>45</v>
      </c>
      <c r="P21">
        <v>3</v>
      </c>
      <c r="Q21">
        <v>1</v>
      </c>
      <c r="R21" t="s">
        <v>47</v>
      </c>
      <c r="S21">
        <v>4</v>
      </c>
      <c r="T21" t="str" cm="1">
        <f t="array" ref="T21">_xlfn.IFS(S21&lt;=2,"Poor",S21&lt;=3,"Fair",S21&gt;=4,"Good")</f>
        <v>Good</v>
      </c>
      <c r="U21" t="s">
        <v>41</v>
      </c>
      <c r="V21" s="1">
        <v>3944</v>
      </c>
      <c r="W21" t="str" cm="1">
        <f t="array" ref="W21">_xlfn.IFS(V21&lt;=5000,"Low Salary",V21&lt;=12000,"Good Salary",V21&gt;12000,"High Salary")</f>
        <v>Low Salary</v>
      </c>
      <c r="X21">
        <v>4306</v>
      </c>
      <c r="Y21">
        <v>5</v>
      </c>
      <c r="Z21" t="s">
        <v>42</v>
      </c>
      <c r="AA21" t="s">
        <v>43</v>
      </c>
      <c r="AB21">
        <v>11</v>
      </c>
      <c r="AC21">
        <v>3</v>
      </c>
      <c r="AD21" t="str">
        <f t="shared" si="1"/>
        <v>Low Performance</v>
      </c>
      <c r="AE21">
        <v>3</v>
      </c>
      <c r="AF21">
        <v>80</v>
      </c>
      <c r="AG21">
        <v>0</v>
      </c>
      <c r="AH21">
        <v>6</v>
      </c>
      <c r="AI21">
        <v>3</v>
      </c>
      <c r="AJ21">
        <v>3</v>
      </c>
      <c r="AK21" t="str" cm="1">
        <f t="array" ref="AK21">_xlfn.IFS(AJ21&lt;=2,"Poor",AJ21&lt;=3,"Fair",AJ21&gt;3,"Good")</f>
        <v>Fair</v>
      </c>
      <c r="AL21">
        <v>3</v>
      </c>
      <c r="AM21">
        <v>2</v>
      </c>
      <c r="AN21">
        <v>1</v>
      </c>
      <c r="AO21">
        <v>2</v>
      </c>
    </row>
    <row r="22" spans="1:41" x14ac:dyDescent="0.2">
      <c r="A22">
        <v>1334559</v>
      </c>
      <c r="B22">
        <v>24</v>
      </c>
      <c r="C22" t="str" cm="1">
        <f t="array" ref="C22">_xlfn.IFS(B22&lt;=25,"15-25",B22&lt;=35,"26-35",B22&lt;=45,"36-45",B22&lt;=55,"46-55",B22&lt;=65,"56-65")</f>
        <v>15-25</v>
      </c>
      <c r="D22" t="s">
        <v>35</v>
      </c>
      <c r="E22" t="str">
        <f t="shared" si="0"/>
        <v>Current Employee</v>
      </c>
      <c r="F22" t="s">
        <v>52</v>
      </c>
      <c r="G22">
        <v>673</v>
      </c>
      <c r="H22" t="s">
        <v>45</v>
      </c>
      <c r="I22">
        <v>11</v>
      </c>
      <c r="J22">
        <v>2</v>
      </c>
      <c r="K22" t="s">
        <v>47</v>
      </c>
      <c r="L22">
        <v>1</v>
      </c>
      <c r="M22">
        <v>1</v>
      </c>
      <c r="N22" t="s">
        <v>39</v>
      </c>
      <c r="O22">
        <v>96</v>
      </c>
      <c r="P22">
        <v>4</v>
      </c>
      <c r="Q22">
        <v>2</v>
      </c>
      <c r="R22" t="s">
        <v>51</v>
      </c>
      <c r="S22">
        <v>3</v>
      </c>
      <c r="T22" t="str" cm="1">
        <f t="array" ref="T22">_xlfn.IFS(S22&lt;=2,"Poor",S22&lt;=3,"Fair",S22&gt;=4,"Good")</f>
        <v>Fair</v>
      </c>
      <c r="U22" t="s">
        <v>50</v>
      </c>
      <c r="V22" s="1">
        <v>4011</v>
      </c>
      <c r="W22" t="str" cm="1">
        <f t="array" ref="W22">_xlfn.IFS(V22&lt;=5000,"Low Salary",V22&lt;=12000,"Good Salary",V22&gt;12000,"High Salary")</f>
        <v>Low Salary</v>
      </c>
      <c r="X22">
        <v>8232</v>
      </c>
      <c r="Y22">
        <v>0</v>
      </c>
      <c r="Z22" t="s">
        <v>42</v>
      </c>
      <c r="AA22" t="s">
        <v>35</v>
      </c>
      <c r="AB22">
        <v>18</v>
      </c>
      <c r="AC22">
        <v>3</v>
      </c>
      <c r="AD22" t="str">
        <f t="shared" si="1"/>
        <v>Low Performance</v>
      </c>
      <c r="AE22">
        <v>4</v>
      </c>
      <c r="AF22">
        <v>80</v>
      </c>
      <c r="AG22">
        <v>1</v>
      </c>
      <c r="AH22">
        <v>5</v>
      </c>
      <c r="AI22">
        <v>5</v>
      </c>
      <c r="AJ22">
        <v>2</v>
      </c>
      <c r="AK22" t="str" cm="1">
        <f t="array" ref="AK22">_xlfn.IFS(AJ22&lt;=2,"Poor",AJ22&lt;=3,"Fair",AJ22&gt;3,"Good")</f>
        <v>Poor</v>
      </c>
      <c r="AL22">
        <v>4</v>
      </c>
      <c r="AM22">
        <v>2</v>
      </c>
      <c r="AN22">
        <v>1</v>
      </c>
      <c r="AO22">
        <v>3</v>
      </c>
    </row>
    <row r="23" spans="1:41" x14ac:dyDescent="0.2">
      <c r="A23">
        <v>1402945</v>
      </c>
      <c r="B23">
        <v>36</v>
      </c>
      <c r="C23" t="str" cm="1">
        <f t="array" ref="C23">_xlfn.IFS(B23&lt;=25,"15-25",B23&lt;=35,"26-35",B23&lt;=45,"36-45",B23&lt;=55,"46-55",B23&lt;=65,"56-65")</f>
        <v>36-45</v>
      </c>
      <c r="D23" t="s">
        <v>35</v>
      </c>
      <c r="E23" t="str">
        <f t="shared" si="0"/>
        <v>Current Employee</v>
      </c>
      <c r="F23" t="s">
        <v>36</v>
      </c>
      <c r="G23">
        <v>1218</v>
      </c>
      <c r="H23" t="s">
        <v>37</v>
      </c>
      <c r="I23">
        <v>9</v>
      </c>
      <c r="J23">
        <v>4</v>
      </c>
      <c r="K23" t="s">
        <v>38</v>
      </c>
      <c r="L23">
        <v>1</v>
      </c>
      <c r="M23">
        <v>3</v>
      </c>
      <c r="N23" t="s">
        <v>46</v>
      </c>
      <c r="O23">
        <v>82</v>
      </c>
      <c r="P23">
        <v>2</v>
      </c>
      <c r="Q23">
        <v>1</v>
      </c>
      <c r="R23" t="s">
        <v>47</v>
      </c>
      <c r="S23">
        <v>1</v>
      </c>
      <c r="T23" t="str" cm="1">
        <f t="array" ref="T23">_xlfn.IFS(S23&lt;=2,"Poor",S23&lt;=3,"Fair",S23&gt;=4,"Good")</f>
        <v>Poor</v>
      </c>
      <c r="U23" t="s">
        <v>41</v>
      </c>
      <c r="V23" s="1">
        <v>3407</v>
      </c>
      <c r="W23" t="str" cm="1">
        <f t="array" ref="W23">_xlfn.IFS(V23&lt;=5000,"Low Salary",V23&lt;=12000,"Good Salary",V23&gt;12000,"High Salary")</f>
        <v>Low Salary</v>
      </c>
      <c r="X23">
        <v>6986</v>
      </c>
      <c r="Y23">
        <v>7</v>
      </c>
      <c r="Z23" t="s">
        <v>42</v>
      </c>
      <c r="AA23" t="s">
        <v>35</v>
      </c>
      <c r="AB23">
        <v>23</v>
      </c>
      <c r="AC23">
        <v>4</v>
      </c>
      <c r="AD23" t="str">
        <f t="shared" si="1"/>
        <v>High Performance</v>
      </c>
      <c r="AE23">
        <v>2</v>
      </c>
      <c r="AF23">
        <v>80</v>
      </c>
      <c r="AG23">
        <v>0</v>
      </c>
      <c r="AH23">
        <v>10</v>
      </c>
      <c r="AI23">
        <v>4</v>
      </c>
      <c r="AJ23">
        <v>3</v>
      </c>
      <c r="AK23" t="str" cm="1">
        <f t="array" ref="AK23">_xlfn.IFS(AJ23&lt;=2,"Poor",AJ23&lt;=3,"Fair",AJ23&gt;3,"Good")</f>
        <v>Fair</v>
      </c>
      <c r="AL23">
        <v>5</v>
      </c>
      <c r="AM23">
        <v>3</v>
      </c>
      <c r="AN23">
        <v>0</v>
      </c>
      <c r="AO23">
        <v>3</v>
      </c>
    </row>
    <row r="24" spans="1:41" x14ac:dyDescent="0.2">
      <c r="A24">
        <v>1705718</v>
      </c>
      <c r="B24">
        <v>34</v>
      </c>
      <c r="C24" t="str" cm="1">
        <f t="array" ref="C24">_xlfn.IFS(B24&lt;=25,"15-25",B24&lt;=35,"26-35",B24&lt;=45,"36-45",B24&lt;=55,"46-55",B24&lt;=65,"56-65")</f>
        <v>26-35</v>
      </c>
      <c r="D24" t="s">
        <v>35</v>
      </c>
      <c r="E24" t="str">
        <f t="shared" si="0"/>
        <v>Current Employee</v>
      </c>
      <c r="F24" t="s">
        <v>36</v>
      </c>
      <c r="G24">
        <v>419</v>
      </c>
      <c r="H24" t="s">
        <v>54</v>
      </c>
      <c r="I24">
        <v>7</v>
      </c>
      <c r="J24">
        <v>4</v>
      </c>
      <c r="K24" t="s">
        <v>38</v>
      </c>
      <c r="L24">
        <v>1</v>
      </c>
      <c r="M24">
        <v>1</v>
      </c>
      <c r="N24" t="s">
        <v>39</v>
      </c>
      <c r="O24">
        <v>53</v>
      </c>
      <c r="P24">
        <v>3</v>
      </c>
      <c r="Q24">
        <v>3</v>
      </c>
      <c r="R24" t="s">
        <v>47</v>
      </c>
      <c r="S24">
        <v>2</v>
      </c>
      <c r="T24" t="str" cm="1">
        <f t="array" ref="T24">_xlfn.IFS(S24&lt;=2,"Poor",S24&lt;=3,"Fair",S24&gt;=4,"Good")</f>
        <v>Poor</v>
      </c>
      <c r="U24" t="s">
        <v>41</v>
      </c>
      <c r="V24" s="1">
        <v>11994</v>
      </c>
      <c r="W24" t="str" cm="1">
        <f t="array" ref="W24">_xlfn.IFS(V24&lt;=5000,"Low Salary",V24&lt;=12000,"Good Salary",V24&gt;12000,"High Salary")</f>
        <v>Good Salary</v>
      </c>
      <c r="X24">
        <v>21293</v>
      </c>
      <c r="Y24">
        <v>0</v>
      </c>
      <c r="Z24" t="s">
        <v>42</v>
      </c>
      <c r="AA24" t="s">
        <v>35</v>
      </c>
      <c r="AB24">
        <v>11</v>
      </c>
      <c r="AC24">
        <v>3</v>
      </c>
      <c r="AD24" t="str">
        <f t="shared" si="1"/>
        <v>Low Performance</v>
      </c>
      <c r="AE24">
        <v>3</v>
      </c>
      <c r="AF24">
        <v>80</v>
      </c>
      <c r="AG24">
        <v>0</v>
      </c>
      <c r="AH24">
        <v>13</v>
      </c>
      <c r="AI24">
        <v>4</v>
      </c>
      <c r="AJ24">
        <v>3</v>
      </c>
      <c r="AK24" t="str" cm="1">
        <f t="array" ref="AK24">_xlfn.IFS(AJ24&lt;=2,"Poor",AJ24&lt;=3,"Fair",AJ24&gt;3,"Good")</f>
        <v>Fair</v>
      </c>
      <c r="AL24">
        <v>12</v>
      </c>
      <c r="AM24">
        <v>6</v>
      </c>
      <c r="AN24">
        <v>2</v>
      </c>
      <c r="AO24">
        <v>11</v>
      </c>
    </row>
    <row r="25" spans="1:41" x14ac:dyDescent="0.2">
      <c r="A25">
        <v>1880078</v>
      </c>
      <c r="B25">
        <v>21</v>
      </c>
      <c r="C25" t="str" cm="1">
        <f t="array" ref="C25">_xlfn.IFS(B25&lt;=25,"15-25",B25&lt;=35,"26-35",B25&lt;=45,"36-45",B25&lt;=55,"46-55",B25&lt;=65,"56-65")</f>
        <v>15-25</v>
      </c>
      <c r="D25" t="s">
        <v>35</v>
      </c>
      <c r="E25" t="str">
        <f t="shared" si="0"/>
        <v>Current Employee</v>
      </c>
      <c r="F25" t="s">
        <v>36</v>
      </c>
      <c r="G25">
        <v>391</v>
      </c>
      <c r="H25" t="s">
        <v>45</v>
      </c>
      <c r="I25">
        <v>15</v>
      </c>
      <c r="J25">
        <v>2</v>
      </c>
      <c r="K25" t="s">
        <v>38</v>
      </c>
      <c r="L25">
        <v>1</v>
      </c>
      <c r="M25">
        <v>3</v>
      </c>
      <c r="N25" t="s">
        <v>46</v>
      </c>
      <c r="O25">
        <v>96</v>
      </c>
      <c r="P25">
        <v>3</v>
      </c>
      <c r="Q25">
        <v>1</v>
      </c>
      <c r="R25" t="s">
        <v>47</v>
      </c>
      <c r="S25">
        <v>4</v>
      </c>
      <c r="T25" t="str" cm="1">
        <f t="array" ref="T25">_xlfn.IFS(S25&lt;=2,"Poor",S25&lt;=3,"Fair",S25&gt;=4,"Good")</f>
        <v>Good</v>
      </c>
      <c r="U25" t="s">
        <v>41</v>
      </c>
      <c r="V25" s="1">
        <v>1232</v>
      </c>
      <c r="W25" t="str" cm="1">
        <f t="array" ref="W25">_xlfn.IFS(V25&lt;=5000,"Low Salary",V25&lt;=12000,"Good Salary",V25&gt;12000,"High Salary")</f>
        <v>Low Salary</v>
      </c>
      <c r="X25">
        <v>19281</v>
      </c>
      <c r="Y25">
        <v>1</v>
      </c>
      <c r="Z25" t="s">
        <v>42</v>
      </c>
      <c r="AA25" t="s">
        <v>35</v>
      </c>
      <c r="AB25">
        <v>14</v>
      </c>
      <c r="AC25">
        <v>3</v>
      </c>
      <c r="AD25" t="str">
        <f t="shared" si="1"/>
        <v>Low Performance</v>
      </c>
      <c r="AE25">
        <v>4</v>
      </c>
      <c r="AF25">
        <v>80</v>
      </c>
      <c r="AG25">
        <v>0</v>
      </c>
      <c r="AH25">
        <v>0</v>
      </c>
      <c r="AI25">
        <v>6</v>
      </c>
      <c r="AJ25">
        <v>3</v>
      </c>
      <c r="AK25" t="str" cm="1">
        <f t="array" ref="AK25">_xlfn.IFS(AJ25&lt;=2,"Poor",AJ25&lt;=3,"Fair",AJ25&gt;3,"Good")</f>
        <v>Fair</v>
      </c>
      <c r="AL25">
        <v>0</v>
      </c>
      <c r="AM25">
        <v>0</v>
      </c>
      <c r="AN25">
        <v>0</v>
      </c>
      <c r="AO25">
        <v>0</v>
      </c>
    </row>
    <row r="26" spans="1:41" x14ac:dyDescent="0.2">
      <c r="A26">
        <v>1801346</v>
      </c>
      <c r="B26">
        <v>34</v>
      </c>
      <c r="C26" t="str" cm="1">
        <f t="array" ref="C26">_xlfn.IFS(B26&lt;=25,"15-25",B26&lt;=35,"26-35",B26&lt;=45,"36-45",B26&lt;=55,"46-55",B26&lt;=65,"56-65")</f>
        <v>26-35</v>
      </c>
      <c r="D26" t="s">
        <v>35</v>
      </c>
      <c r="E26" t="str">
        <f t="shared" si="0"/>
        <v>Current Employee</v>
      </c>
      <c r="F26" t="s">
        <v>36</v>
      </c>
      <c r="G26">
        <v>699</v>
      </c>
      <c r="H26" t="s">
        <v>45</v>
      </c>
      <c r="I26">
        <v>6</v>
      </c>
      <c r="J26">
        <v>1</v>
      </c>
      <c r="K26" t="s">
        <v>49</v>
      </c>
      <c r="L26">
        <v>1</v>
      </c>
      <c r="M26">
        <v>2</v>
      </c>
      <c r="N26" t="s">
        <v>46</v>
      </c>
      <c r="O26">
        <v>83</v>
      </c>
      <c r="P26">
        <v>3</v>
      </c>
      <c r="Q26">
        <v>1</v>
      </c>
      <c r="R26" t="s">
        <v>47</v>
      </c>
      <c r="S26">
        <v>1</v>
      </c>
      <c r="T26" t="str" cm="1">
        <f t="array" ref="T26">_xlfn.IFS(S26&lt;=2,"Poor",S26&lt;=3,"Fair",S26&gt;=4,"Good")</f>
        <v>Poor</v>
      </c>
      <c r="U26" t="s">
        <v>41</v>
      </c>
      <c r="V26" s="1">
        <v>2960</v>
      </c>
      <c r="W26" t="str" cm="1">
        <f t="array" ref="W26">_xlfn.IFS(V26&lt;=5000,"Low Salary",V26&lt;=12000,"Good Salary",V26&gt;12000,"High Salary")</f>
        <v>Low Salary</v>
      </c>
      <c r="X26">
        <v>17102</v>
      </c>
      <c r="Y26">
        <v>2</v>
      </c>
      <c r="Z26" t="s">
        <v>42</v>
      </c>
      <c r="AA26" t="s">
        <v>35</v>
      </c>
      <c r="AB26">
        <v>11</v>
      </c>
      <c r="AC26">
        <v>3</v>
      </c>
      <c r="AD26" t="str">
        <f t="shared" si="1"/>
        <v>Low Performance</v>
      </c>
      <c r="AE26">
        <v>3</v>
      </c>
      <c r="AF26">
        <v>80</v>
      </c>
      <c r="AG26">
        <v>0</v>
      </c>
      <c r="AH26">
        <v>8</v>
      </c>
      <c r="AI26">
        <v>2</v>
      </c>
      <c r="AJ26">
        <v>3</v>
      </c>
      <c r="AK26" t="str" cm="1">
        <f t="array" ref="AK26">_xlfn.IFS(AJ26&lt;=2,"Poor",AJ26&lt;=3,"Fair",AJ26&gt;3,"Good")</f>
        <v>Fair</v>
      </c>
      <c r="AL26">
        <v>4</v>
      </c>
      <c r="AM26">
        <v>2</v>
      </c>
      <c r="AN26">
        <v>1</v>
      </c>
      <c r="AO26">
        <v>3</v>
      </c>
    </row>
    <row r="27" spans="1:41" x14ac:dyDescent="0.2">
      <c r="A27">
        <v>1142160</v>
      </c>
      <c r="B27">
        <v>53</v>
      </c>
      <c r="C27" t="str" cm="1">
        <f t="array" ref="C27">_xlfn.IFS(B27&lt;=25,"15-25",B27&lt;=35,"26-35",B27&lt;=45,"36-45",B27&lt;=55,"46-55",B27&lt;=65,"56-65")</f>
        <v>46-55</v>
      </c>
      <c r="D27" t="s">
        <v>35</v>
      </c>
      <c r="E27" t="str">
        <f t="shared" si="0"/>
        <v>Current Employee</v>
      </c>
      <c r="F27" t="s">
        <v>36</v>
      </c>
      <c r="G27">
        <v>1282</v>
      </c>
      <c r="H27" t="s">
        <v>54</v>
      </c>
      <c r="I27">
        <v>5</v>
      </c>
      <c r="J27">
        <v>3</v>
      </c>
      <c r="K27" t="s">
        <v>47</v>
      </c>
      <c r="L27">
        <v>1</v>
      </c>
      <c r="M27">
        <v>3</v>
      </c>
      <c r="N27" t="s">
        <v>39</v>
      </c>
      <c r="O27">
        <v>58</v>
      </c>
      <c r="P27">
        <v>3</v>
      </c>
      <c r="Q27">
        <v>5</v>
      </c>
      <c r="R27" t="s">
        <v>47</v>
      </c>
      <c r="S27">
        <v>3</v>
      </c>
      <c r="T27" t="str" cm="1">
        <f t="array" ref="T27">_xlfn.IFS(S27&lt;=2,"Poor",S27&lt;=3,"Fair",S27&gt;=4,"Good")</f>
        <v>Fair</v>
      </c>
      <c r="U27" t="s">
        <v>50</v>
      </c>
      <c r="V27" s="1">
        <v>19094</v>
      </c>
      <c r="W27" t="str" cm="1">
        <f t="array" ref="W27">_xlfn.IFS(V27&lt;=5000,"Low Salary",V27&lt;=12000,"Good Salary",V27&gt;12000,"High Salary")</f>
        <v>High Salary</v>
      </c>
      <c r="X27">
        <v>10735</v>
      </c>
      <c r="Y27">
        <v>4</v>
      </c>
      <c r="Z27" t="s">
        <v>42</v>
      </c>
      <c r="AA27" t="s">
        <v>35</v>
      </c>
      <c r="AB27">
        <v>11</v>
      </c>
      <c r="AC27">
        <v>3</v>
      </c>
      <c r="AD27" t="str">
        <f t="shared" si="1"/>
        <v>Low Performance</v>
      </c>
      <c r="AE27">
        <v>4</v>
      </c>
      <c r="AF27">
        <v>80</v>
      </c>
      <c r="AG27">
        <v>1</v>
      </c>
      <c r="AH27">
        <v>26</v>
      </c>
      <c r="AI27">
        <v>3</v>
      </c>
      <c r="AJ27">
        <v>2</v>
      </c>
      <c r="AK27" t="str" cm="1">
        <f t="array" ref="AK27">_xlfn.IFS(AJ27&lt;=2,"Poor",AJ27&lt;=3,"Fair",AJ27&gt;3,"Good")</f>
        <v>Poor</v>
      </c>
      <c r="AL27">
        <v>14</v>
      </c>
      <c r="AM27">
        <v>13</v>
      </c>
      <c r="AN27">
        <v>4</v>
      </c>
      <c r="AO27">
        <v>8</v>
      </c>
    </row>
    <row r="28" spans="1:41" x14ac:dyDescent="0.2">
      <c r="A28">
        <v>1142062</v>
      </c>
      <c r="B28">
        <v>32</v>
      </c>
      <c r="C28" t="str" cm="1">
        <f t="array" ref="C28">_xlfn.IFS(B28&lt;=25,"15-25",B28&lt;=35,"26-35",B28&lt;=45,"36-45",B28&lt;=55,"46-55",B28&lt;=65,"56-65")</f>
        <v>26-35</v>
      </c>
      <c r="D28" t="s">
        <v>43</v>
      </c>
      <c r="E28" t="str">
        <f t="shared" si="0"/>
        <v>Former Employee</v>
      </c>
      <c r="F28" t="s">
        <v>44</v>
      </c>
      <c r="G28">
        <v>1125</v>
      </c>
      <c r="H28" t="s">
        <v>45</v>
      </c>
      <c r="I28">
        <v>16</v>
      </c>
      <c r="J28">
        <v>1</v>
      </c>
      <c r="K28" t="s">
        <v>38</v>
      </c>
      <c r="L28">
        <v>1</v>
      </c>
      <c r="M28">
        <v>2</v>
      </c>
      <c r="N28" t="s">
        <v>39</v>
      </c>
      <c r="O28">
        <v>72</v>
      </c>
      <c r="P28">
        <v>1</v>
      </c>
      <c r="Q28">
        <v>1</v>
      </c>
      <c r="R28" t="s">
        <v>47</v>
      </c>
      <c r="S28">
        <v>1</v>
      </c>
      <c r="T28" t="str" cm="1">
        <f t="array" ref="T28">_xlfn.IFS(S28&lt;=2,"Poor",S28&lt;=3,"Fair",S28&gt;=4,"Good")</f>
        <v>Poor</v>
      </c>
      <c r="U28" t="s">
        <v>41</v>
      </c>
      <c r="V28" s="1">
        <v>3919</v>
      </c>
      <c r="W28" t="str" cm="1">
        <f t="array" ref="W28">_xlfn.IFS(V28&lt;=5000,"Low Salary",V28&lt;=12000,"Good Salary",V28&gt;12000,"High Salary")</f>
        <v>Low Salary</v>
      </c>
      <c r="X28">
        <v>4681</v>
      </c>
      <c r="Y28">
        <v>1</v>
      </c>
      <c r="Z28" t="s">
        <v>42</v>
      </c>
      <c r="AA28" t="s">
        <v>43</v>
      </c>
      <c r="AB28">
        <v>22</v>
      </c>
      <c r="AC28">
        <v>4</v>
      </c>
      <c r="AD28" t="str">
        <f t="shared" si="1"/>
        <v>High Performance</v>
      </c>
      <c r="AE28">
        <v>2</v>
      </c>
      <c r="AF28">
        <v>80</v>
      </c>
      <c r="AG28">
        <v>0</v>
      </c>
      <c r="AH28">
        <v>10</v>
      </c>
      <c r="AI28">
        <v>5</v>
      </c>
      <c r="AJ28">
        <v>3</v>
      </c>
      <c r="AK28" t="str" cm="1">
        <f t="array" ref="AK28">_xlfn.IFS(AJ28&lt;=2,"Poor",AJ28&lt;=3,"Fair",AJ28&gt;3,"Good")</f>
        <v>Fair</v>
      </c>
      <c r="AL28">
        <v>10</v>
      </c>
      <c r="AM28">
        <v>2</v>
      </c>
      <c r="AN28">
        <v>6</v>
      </c>
      <c r="AO28">
        <v>7</v>
      </c>
    </row>
    <row r="29" spans="1:41" x14ac:dyDescent="0.2">
      <c r="A29">
        <v>1789756</v>
      </c>
      <c r="B29">
        <v>42</v>
      </c>
      <c r="C29" t="str" cm="1">
        <f t="array" ref="C29">_xlfn.IFS(B29&lt;=25,"15-25",B29&lt;=35,"26-35",B29&lt;=45,"36-45",B29&lt;=55,"46-55",B29&lt;=65,"56-65")</f>
        <v>36-45</v>
      </c>
      <c r="D29" t="s">
        <v>35</v>
      </c>
      <c r="E29" t="str">
        <f t="shared" si="0"/>
        <v>Current Employee</v>
      </c>
      <c r="F29" t="s">
        <v>36</v>
      </c>
      <c r="G29">
        <v>691</v>
      </c>
      <c r="H29" t="s">
        <v>37</v>
      </c>
      <c r="I29">
        <v>8</v>
      </c>
      <c r="J29">
        <v>4</v>
      </c>
      <c r="K29" t="s">
        <v>55</v>
      </c>
      <c r="L29">
        <v>1</v>
      </c>
      <c r="M29">
        <v>3</v>
      </c>
      <c r="N29" t="s">
        <v>46</v>
      </c>
      <c r="O29">
        <v>48</v>
      </c>
      <c r="P29">
        <v>3</v>
      </c>
      <c r="Q29">
        <v>2</v>
      </c>
      <c r="R29" t="s">
        <v>40</v>
      </c>
      <c r="S29">
        <v>2</v>
      </c>
      <c r="T29" t="str" cm="1">
        <f t="array" ref="T29">_xlfn.IFS(S29&lt;=2,"Poor",S29&lt;=3,"Fair",S29&gt;=4,"Good")</f>
        <v>Poor</v>
      </c>
      <c r="U29" t="s">
        <v>48</v>
      </c>
      <c r="V29" s="1">
        <v>6825</v>
      </c>
      <c r="W29" t="str" cm="1">
        <f t="array" ref="W29">_xlfn.IFS(V29&lt;=5000,"Low Salary",V29&lt;=12000,"Good Salary",V29&gt;12000,"High Salary")</f>
        <v>Good Salary</v>
      </c>
      <c r="X29">
        <v>21173</v>
      </c>
      <c r="Y29">
        <v>0</v>
      </c>
      <c r="Z29" t="s">
        <v>42</v>
      </c>
      <c r="AA29" t="s">
        <v>35</v>
      </c>
      <c r="AB29">
        <v>11</v>
      </c>
      <c r="AC29">
        <v>3</v>
      </c>
      <c r="AD29" t="str">
        <f t="shared" si="1"/>
        <v>Low Performance</v>
      </c>
      <c r="AE29">
        <v>4</v>
      </c>
      <c r="AF29">
        <v>80</v>
      </c>
      <c r="AG29">
        <v>1</v>
      </c>
      <c r="AH29">
        <v>10</v>
      </c>
      <c r="AI29">
        <v>2</v>
      </c>
      <c r="AJ29">
        <v>3</v>
      </c>
      <c r="AK29" t="str" cm="1">
        <f t="array" ref="AK29">_xlfn.IFS(AJ29&lt;=2,"Poor",AJ29&lt;=3,"Fair",AJ29&gt;3,"Good")</f>
        <v>Fair</v>
      </c>
      <c r="AL29">
        <v>9</v>
      </c>
      <c r="AM29">
        <v>7</v>
      </c>
      <c r="AN29">
        <v>4</v>
      </c>
      <c r="AO29">
        <v>2</v>
      </c>
    </row>
    <row r="30" spans="1:41" x14ac:dyDescent="0.2">
      <c r="A30">
        <v>1126009</v>
      </c>
      <c r="B30">
        <v>44</v>
      </c>
      <c r="C30" t="str" cm="1">
        <f t="array" ref="C30">_xlfn.IFS(B30&lt;=25,"15-25",B30&lt;=35,"26-35",B30&lt;=45,"36-45",B30&lt;=55,"46-55",B30&lt;=65,"56-65")</f>
        <v>36-45</v>
      </c>
      <c r="D30" t="s">
        <v>35</v>
      </c>
      <c r="E30" t="str">
        <f t="shared" si="0"/>
        <v>Current Employee</v>
      </c>
      <c r="F30" t="s">
        <v>36</v>
      </c>
      <c r="G30">
        <v>477</v>
      </c>
      <c r="H30" t="s">
        <v>45</v>
      </c>
      <c r="I30">
        <v>7</v>
      </c>
      <c r="J30">
        <v>4</v>
      </c>
      <c r="K30" t="s">
        <v>49</v>
      </c>
      <c r="L30">
        <v>1</v>
      </c>
      <c r="M30">
        <v>1</v>
      </c>
      <c r="N30" t="s">
        <v>39</v>
      </c>
      <c r="O30">
        <v>42</v>
      </c>
      <c r="P30">
        <v>2</v>
      </c>
      <c r="Q30">
        <v>3</v>
      </c>
      <c r="R30" t="s">
        <v>40</v>
      </c>
      <c r="S30">
        <v>4</v>
      </c>
      <c r="T30" t="str" cm="1">
        <f t="array" ref="T30">_xlfn.IFS(S30&lt;=2,"Poor",S30&lt;=3,"Fair",S30&gt;=4,"Good")</f>
        <v>Good</v>
      </c>
      <c r="U30" t="s">
        <v>48</v>
      </c>
      <c r="V30" s="1">
        <v>10248</v>
      </c>
      <c r="W30" t="str" cm="1">
        <f t="array" ref="W30">_xlfn.IFS(V30&lt;=5000,"Low Salary",V30&lt;=12000,"Good Salary",V30&gt;12000,"High Salary")</f>
        <v>Good Salary</v>
      </c>
      <c r="X30">
        <v>2094</v>
      </c>
      <c r="Y30">
        <v>3</v>
      </c>
      <c r="Z30" t="s">
        <v>42</v>
      </c>
      <c r="AA30" t="s">
        <v>35</v>
      </c>
      <c r="AB30">
        <v>14</v>
      </c>
      <c r="AC30">
        <v>3</v>
      </c>
      <c r="AD30" t="str">
        <f t="shared" si="1"/>
        <v>Low Performance</v>
      </c>
      <c r="AE30">
        <v>4</v>
      </c>
      <c r="AF30">
        <v>80</v>
      </c>
      <c r="AG30">
        <v>1</v>
      </c>
      <c r="AH30">
        <v>24</v>
      </c>
      <c r="AI30">
        <v>4</v>
      </c>
      <c r="AJ30">
        <v>3</v>
      </c>
      <c r="AK30" t="str" cm="1">
        <f t="array" ref="AK30">_xlfn.IFS(AJ30&lt;=2,"Poor",AJ30&lt;=3,"Fair",AJ30&gt;3,"Good")</f>
        <v>Fair</v>
      </c>
      <c r="AL30">
        <v>22</v>
      </c>
      <c r="AM30">
        <v>6</v>
      </c>
      <c r="AN30">
        <v>5</v>
      </c>
      <c r="AO30">
        <v>17</v>
      </c>
    </row>
    <row r="31" spans="1:41" x14ac:dyDescent="0.2">
      <c r="A31">
        <v>1552176</v>
      </c>
      <c r="B31">
        <v>46</v>
      </c>
      <c r="C31" t="str" cm="1">
        <f t="array" ref="C31">_xlfn.IFS(B31&lt;=25,"15-25",B31&lt;=35,"26-35",B31&lt;=45,"36-45",B31&lt;=55,"46-55",B31&lt;=65,"56-65")</f>
        <v>46-55</v>
      </c>
      <c r="D31" t="s">
        <v>35</v>
      </c>
      <c r="E31" t="str">
        <f t="shared" si="0"/>
        <v>Current Employee</v>
      </c>
      <c r="F31" t="s">
        <v>36</v>
      </c>
      <c r="G31">
        <v>705</v>
      </c>
      <c r="H31" t="s">
        <v>37</v>
      </c>
      <c r="I31">
        <v>2</v>
      </c>
      <c r="J31">
        <v>4</v>
      </c>
      <c r="K31" t="s">
        <v>55</v>
      </c>
      <c r="L31">
        <v>1</v>
      </c>
      <c r="M31">
        <v>2</v>
      </c>
      <c r="N31" t="s">
        <v>39</v>
      </c>
      <c r="O31">
        <v>83</v>
      </c>
      <c r="P31">
        <v>3</v>
      </c>
      <c r="Q31">
        <v>5</v>
      </c>
      <c r="R31" t="s">
        <v>53</v>
      </c>
      <c r="S31">
        <v>1</v>
      </c>
      <c r="T31" t="str" cm="1">
        <f t="array" ref="T31">_xlfn.IFS(S31&lt;=2,"Poor",S31&lt;=3,"Fair",S31&gt;=4,"Good")</f>
        <v>Poor</v>
      </c>
      <c r="U31" t="s">
        <v>41</v>
      </c>
      <c r="V31" s="1">
        <v>18947</v>
      </c>
      <c r="W31" t="str" cm="1">
        <f t="array" ref="W31">_xlfn.IFS(V31&lt;=5000,"Low Salary",V31&lt;=12000,"Good Salary",V31&gt;12000,"High Salary")</f>
        <v>High Salary</v>
      </c>
      <c r="X31">
        <v>22822</v>
      </c>
      <c r="Y31">
        <v>3</v>
      </c>
      <c r="Z31" t="s">
        <v>42</v>
      </c>
      <c r="AA31" t="s">
        <v>35</v>
      </c>
      <c r="AB31">
        <v>12</v>
      </c>
      <c r="AC31">
        <v>3</v>
      </c>
      <c r="AD31" t="str">
        <f t="shared" si="1"/>
        <v>Low Performance</v>
      </c>
      <c r="AE31">
        <v>4</v>
      </c>
      <c r="AF31">
        <v>80</v>
      </c>
      <c r="AG31">
        <v>0</v>
      </c>
      <c r="AH31">
        <v>22</v>
      </c>
      <c r="AI31">
        <v>2</v>
      </c>
      <c r="AJ31">
        <v>2</v>
      </c>
      <c r="AK31" t="str" cm="1">
        <f t="array" ref="AK31">_xlfn.IFS(AJ31&lt;=2,"Poor",AJ31&lt;=3,"Fair",AJ31&gt;3,"Good")</f>
        <v>Poor</v>
      </c>
      <c r="AL31">
        <v>2</v>
      </c>
      <c r="AM31">
        <v>2</v>
      </c>
      <c r="AN31">
        <v>2</v>
      </c>
      <c r="AO31">
        <v>1</v>
      </c>
    </row>
    <row r="32" spans="1:41" x14ac:dyDescent="0.2">
      <c r="A32">
        <v>1118605</v>
      </c>
      <c r="B32">
        <v>33</v>
      </c>
      <c r="C32" t="str" cm="1">
        <f t="array" ref="C32">_xlfn.IFS(B32&lt;=25,"15-25",B32&lt;=35,"26-35",B32&lt;=45,"36-45",B32&lt;=55,"46-55",B32&lt;=65,"56-65")</f>
        <v>26-35</v>
      </c>
      <c r="D32" t="s">
        <v>35</v>
      </c>
      <c r="E32" t="str">
        <f t="shared" si="0"/>
        <v>Current Employee</v>
      </c>
      <c r="F32" t="s">
        <v>36</v>
      </c>
      <c r="G32">
        <v>924</v>
      </c>
      <c r="H32" t="s">
        <v>45</v>
      </c>
      <c r="I32">
        <v>2</v>
      </c>
      <c r="J32">
        <v>3</v>
      </c>
      <c r="K32" t="s">
        <v>49</v>
      </c>
      <c r="L32">
        <v>1</v>
      </c>
      <c r="M32">
        <v>3</v>
      </c>
      <c r="N32" t="s">
        <v>46</v>
      </c>
      <c r="O32">
        <v>78</v>
      </c>
      <c r="P32">
        <v>3</v>
      </c>
      <c r="Q32">
        <v>1</v>
      </c>
      <c r="R32" t="s">
        <v>40</v>
      </c>
      <c r="S32">
        <v>4</v>
      </c>
      <c r="T32" t="str" cm="1">
        <f t="array" ref="T32">_xlfn.IFS(S32&lt;=2,"Poor",S32&lt;=3,"Fair",S32&gt;=4,"Good")</f>
        <v>Good</v>
      </c>
      <c r="U32" t="s">
        <v>41</v>
      </c>
      <c r="V32" s="1">
        <v>2496</v>
      </c>
      <c r="W32" t="str" cm="1">
        <f t="array" ref="W32">_xlfn.IFS(V32&lt;=5000,"Low Salary",V32&lt;=12000,"Good Salary",V32&gt;12000,"High Salary")</f>
        <v>Low Salary</v>
      </c>
      <c r="X32">
        <v>6670</v>
      </c>
      <c r="Y32">
        <v>4</v>
      </c>
      <c r="Z32" t="s">
        <v>42</v>
      </c>
      <c r="AA32" t="s">
        <v>35</v>
      </c>
      <c r="AB32">
        <v>11</v>
      </c>
      <c r="AC32">
        <v>3</v>
      </c>
      <c r="AD32" t="str">
        <f t="shared" si="1"/>
        <v>Low Performance</v>
      </c>
      <c r="AE32">
        <v>4</v>
      </c>
      <c r="AF32">
        <v>80</v>
      </c>
      <c r="AG32">
        <v>0</v>
      </c>
      <c r="AH32">
        <v>7</v>
      </c>
      <c r="AI32">
        <v>3</v>
      </c>
      <c r="AJ32">
        <v>3</v>
      </c>
      <c r="AK32" t="str" cm="1">
        <f t="array" ref="AK32">_xlfn.IFS(AJ32&lt;=2,"Poor",AJ32&lt;=3,"Fair",AJ32&gt;3,"Good")</f>
        <v>Fair</v>
      </c>
      <c r="AL32">
        <v>1</v>
      </c>
      <c r="AM32">
        <v>1</v>
      </c>
      <c r="AN32">
        <v>0</v>
      </c>
      <c r="AO32">
        <v>0</v>
      </c>
    </row>
    <row r="33" spans="1:41" x14ac:dyDescent="0.2">
      <c r="A33">
        <v>1397325</v>
      </c>
      <c r="B33">
        <v>44</v>
      </c>
      <c r="C33" t="str" cm="1">
        <f t="array" ref="C33">_xlfn.IFS(B33&lt;=25,"15-25",B33&lt;=35,"26-35",B33&lt;=45,"36-45",B33&lt;=55,"46-55",B33&lt;=65,"56-65")</f>
        <v>36-45</v>
      </c>
      <c r="D33" t="s">
        <v>35</v>
      </c>
      <c r="E33" t="str">
        <f t="shared" si="0"/>
        <v>Current Employee</v>
      </c>
      <c r="F33" t="s">
        <v>36</v>
      </c>
      <c r="G33">
        <v>1459</v>
      </c>
      <c r="H33" t="s">
        <v>45</v>
      </c>
      <c r="I33">
        <v>10</v>
      </c>
      <c r="J33">
        <v>4</v>
      </c>
      <c r="K33" t="s">
        <v>47</v>
      </c>
      <c r="L33">
        <v>1</v>
      </c>
      <c r="M33">
        <v>4</v>
      </c>
      <c r="N33" t="s">
        <v>46</v>
      </c>
      <c r="O33">
        <v>41</v>
      </c>
      <c r="P33">
        <v>3</v>
      </c>
      <c r="Q33">
        <v>2</v>
      </c>
      <c r="R33" t="s">
        <v>40</v>
      </c>
      <c r="S33">
        <v>4</v>
      </c>
      <c r="T33" t="str" cm="1">
        <f t="array" ref="T33">_xlfn.IFS(S33&lt;=2,"Poor",S33&lt;=3,"Fair",S33&gt;=4,"Good")</f>
        <v>Good</v>
      </c>
      <c r="U33" t="s">
        <v>48</v>
      </c>
      <c r="V33" s="1">
        <v>6465</v>
      </c>
      <c r="W33" t="str" cm="1">
        <f t="array" ref="W33">_xlfn.IFS(V33&lt;=5000,"Low Salary",V33&lt;=12000,"Good Salary",V33&gt;12000,"High Salary")</f>
        <v>Good Salary</v>
      </c>
      <c r="X33">
        <v>19121</v>
      </c>
      <c r="Y33">
        <v>2</v>
      </c>
      <c r="Z33" t="s">
        <v>42</v>
      </c>
      <c r="AA33" t="s">
        <v>43</v>
      </c>
      <c r="AB33">
        <v>13</v>
      </c>
      <c r="AC33">
        <v>3</v>
      </c>
      <c r="AD33" t="str">
        <f t="shared" si="1"/>
        <v>Low Performance</v>
      </c>
      <c r="AE33">
        <v>4</v>
      </c>
      <c r="AF33">
        <v>80</v>
      </c>
      <c r="AG33">
        <v>0</v>
      </c>
      <c r="AH33">
        <v>9</v>
      </c>
      <c r="AI33">
        <v>5</v>
      </c>
      <c r="AJ33">
        <v>4</v>
      </c>
      <c r="AK33" t="str" cm="1">
        <f t="array" ref="AK33">_xlfn.IFS(AJ33&lt;=2,"Poor",AJ33&lt;=3,"Fair",AJ33&gt;3,"Good")</f>
        <v>Good</v>
      </c>
      <c r="AL33">
        <v>4</v>
      </c>
      <c r="AM33">
        <v>2</v>
      </c>
      <c r="AN33">
        <v>1</v>
      </c>
      <c r="AO33">
        <v>3</v>
      </c>
    </row>
    <row r="34" spans="1:41" x14ac:dyDescent="0.2">
      <c r="A34">
        <v>1874834</v>
      </c>
      <c r="B34">
        <v>30</v>
      </c>
      <c r="C34" t="str" cm="1">
        <f t="array" ref="C34">_xlfn.IFS(B34&lt;=25,"15-25",B34&lt;=35,"26-35",B34&lt;=45,"36-45",B34&lt;=55,"46-55",B34&lt;=65,"56-65")</f>
        <v>26-35</v>
      </c>
      <c r="D34" t="s">
        <v>35</v>
      </c>
      <c r="E34" t="str">
        <f t="shared" si="0"/>
        <v>Current Employee</v>
      </c>
      <c r="F34" t="s">
        <v>36</v>
      </c>
      <c r="G34">
        <v>125</v>
      </c>
      <c r="H34" t="s">
        <v>45</v>
      </c>
      <c r="I34">
        <v>9</v>
      </c>
      <c r="J34">
        <v>2</v>
      </c>
      <c r="K34" t="s">
        <v>49</v>
      </c>
      <c r="L34">
        <v>1</v>
      </c>
      <c r="M34">
        <v>4</v>
      </c>
      <c r="N34" t="s">
        <v>46</v>
      </c>
      <c r="O34">
        <v>83</v>
      </c>
      <c r="P34">
        <v>2</v>
      </c>
      <c r="Q34">
        <v>1</v>
      </c>
      <c r="R34" t="s">
        <v>40</v>
      </c>
      <c r="S34">
        <v>3</v>
      </c>
      <c r="T34" t="str" cm="1">
        <f t="array" ref="T34">_xlfn.IFS(S34&lt;=2,"Poor",S34&lt;=3,"Fair",S34&gt;=4,"Good")</f>
        <v>Fair</v>
      </c>
      <c r="U34" t="s">
        <v>41</v>
      </c>
      <c r="V34" s="1">
        <v>2206</v>
      </c>
      <c r="W34" t="str" cm="1">
        <f t="array" ref="W34">_xlfn.IFS(V34&lt;=5000,"Low Salary",V34&lt;=12000,"Good Salary",V34&gt;12000,"High Salary")</f>
        <v>Low Salary</v>
      </c>
      <c r="X34">
        <v>16117</v>
      </c>
      <c r="Y34">
        <v>1</v>
      </c>
      <c r="Z34" t="s">
        <v>42</v>
      </c>
      <c r="AA34" t="s">
        <v>35</v>
      </c>
      <c r="AB34">
        <v>13</v>
      </c>
      <c r="AC34">
        <v>3</v>
      </c>
      <c r="AD34" t="str">
        <f t="shared" si="1"/>
        <v>Low Performance</v>
      </c>
      <c r="AE34">
        <v>1</v>
      </c>
      <c r="AF34">
        <v>80</v>
      </c>
      <c r="AG34">
        <v>0</v>
      </c>
      <c r="AH34">
        <v>10</v>
      </c>
      <c r="AI34">
        <v>5</v>
      </c>
      <c r="AJ34">
        <v>3</v>
      </c>
      <c r="AK34" t="str" cm="1">
        <f t="array" ref="AK34">_xlfn.IFS(AJ34&lt;=2,"Poor",AJ34&lt;=3,"Fair",AJ34&gt;3,"Good")</f>
        <v>Fair</v>
      </c>
      <c r="AL34">
        <v>10</v>
      </c>
      <c r="AM34">
        <v>0</v>
      </c>
      <c r="AN34">
        <v>1</v>
      </c>
      <c r="AO34">
        <v>8</v>
      </c>
    </row>
    <row r="35" spans="1:41" x14ac:dyDescent="0.2">
      <c r="A35">
        <v>1275746</v>
      </c>
      <c r="B35">
        <v>39</v>
      </c>
      <c r="C35" t="str" cm="1">
        <f t="array" ref="C35">_xlfn.IFS(B35&lt;=25,"15-25",B35&lt;=35,"26-35",B35&lt;=45,"36-45",B35&lt;=55,"46-55",B35&lt;=65,"56-65")</f>
        <v>36-45</v>
      </c>
      <c r="D35" t="s">
        <v>35</v>
      </c>
      <c r="E35" t="str">
        <f t="shared" si="0"/>
        <v>Current Employee</v>
      </c>
      <c r="F35" t="s">
        <v>36</v>
      </c>
      <c r="G35">
        <v>895</v>
      </c>
      <c r="H35" t="s">
        <v>37</v>
      </c>
      <c r="I35">
        <v>5</v>
      </c>
      <c r="J35">
        <v>3</v>
      </c>
      <c r="K35" t="s">
        <v>56</v>
      </c>
      <c r="L35">
        <v>1</v>
      </c>
      <c r="M35">
        <v>4</v>
      </c>
      <c r="N35" t="s">
        <v>46</v>
      </c>
      <c r="O35">
        <v>56</v>
      </c>
      <c r="P35">
        <v>3</v>
      </c>
      <c r="Q35">
        <v>2</v>
      </c>
      <c r="R35" t="s">
        <v>47</v>
      </c>
      <c r="S35">
        <v>4</v>
      </c>
      <c r="T35" t="str" cm="1">
        <f t="array" ref="T35">_xlfn.IFS(S35&lt;=2,"Poor",S35&lt;=3,"Fair",S35&gt;=4,"Good")</f>
        <v>Good</v>
      </c>
      <c r="U35" t="s">
        <v>48</v>
      </c>
      <c r="V35" s="1">
        <v>2086</v>
      </c>
      <c r="W35" t="str" cm="1">
        <f t="array" ref="W35">_xlfn.IFS(V35&lt;=5000,"Low Salary",V35&lt;=12000,"Good Salary",V35&gt;12000,"High Salary")</f>
        <v>Low Salary</v>
      </c>
      <c r="X35">
        <v>3335</v>
      </c>
      <c r="Y35">
        <v>3</v>
      </c>
      <c r="Z35" t="s">
        <v>42</v>
      </c>
      <c r="AA35" t="s">
        <v>35</v>
      </c>
      <c r="AB35">
        <v>14</v>
      </c>
      <c r="AC35">
        <v>3</v>
      </c>
      <c r="AD35" t="str">
        <f t="shared" si="1"/>
        <v>Low Performance</v>
      </c>
      <c r="AE35">
        <v>3</v>
      </c>
      <c r="AF35">
        <v>80</v>
      </c>
      <c r="AG35">
        <v>1</v>
      </c>
      <c r="AH35">
        <v>19</v>
      </c>
      <c r="AI35">
        <v>6</v>
      </c>
      <c r="AJ35">
        <v>4</v>
      </c>
      <c r="AK35" t="str" cm="1">
        <f t="array" ref="AK35">_xlfn.IFS(AJ35&lt;=2,"Poor",AJ35&lt;=3,"Fair",AJ35&gt;3,"Good")</f>
        <v>Good</v>
      </c>
      <c r="AL35">
        <v>1</v>
      </c>
      <c r="AM35">
        <v>0</v>
      </c>
      <c r="AN35">
        <v>0</v>
      </c>
      <c r="AO35">
        <v>0</v>
      </c>
    </row>
    <row r="36" spans="1:41" x14ac:dyDescent="0.2">
      <c r="A36">
        <v>1884939</v>
      </c>
      <c r="B36">
        <v>24</v>
      </c>
      <c r="C36" t="str" cm="1">
        <f t="array" ref="C36">_xlfn.IFS(B36&lt;=25,"15-25",B36&lt;=35,"26-35",B36&lt;=45,"36-45",B36&lt;=55,"46-55",B36&lt;=65,"56-65")</f>
        <v>15-25</v>
      </c>
      <c r="D36" t="s">
        <v>43</v>
      </c>
      <c r="E36" t="str">
        <f t="shared" si="0"/>
        <v>Former Employee</v>
      </c>
      <c r="F36" t="s">
        <v>36</v>
      </c>
      <c r="G36">
        <v>813</v>
      </c>
      <c r="H36" t="s">
        <v>45</v>
      </c>
      <c r="I36">
        <v>1</v>
      </c>
      <c r="J36">
        <v>3</v>
      </c>
      <c r="K36" t="s">
        <v>49</v>
      </c>
      <c r="L36">
        <v>1</v>
      </c>
      <c r="M36">
        <v>2</v>
      </c>
      <c r="N36" t="s">
        <v>46</v>
      </c>
      <c r="O36">
        <v>61</v>
      </c>
      <c r="P36">
        <v>3</v>
      </c>
      <c r="Q36">
        <v>1</v>
      </c>
      <c r="R36" t="s">
        <v>47</v>
      </c>
      <c r="S36">
        <v>4</v>
      </c>
      <c r="T36" t="str" cm="1">
        <f t="array" ref="T36">_xlfn.IFS(S36&lt;=2,"Poor",S36&lt;=3,"Fair",S36&gt;=4,"Good")</f>
        <v>Good</v>
      </c>
      <c r="U36" t="s">
        <v>48</v>
      </c>
      <c r="V36" s="1">
        <v>2293</v>
      </c>
      <c r="W36" t="str" cm="1">
        <f t="array" ref="W36">_xlfn.IFS(V36&lt;=5000,"Low Salary",V36&lt;=12000,"Good Salary",V36&gt;12000,"High Salary")</f>
        <v>Low Salary</v>
      </c>
      <c r="X36">
        <v>3020</v>
      </c>
      <c r="Y36">
        <v>2</v>
      </c>
      <c r="Z36" t="s">
        <v>42</v>
      </c>
      <c r="AA36" t="s">
        <v>43</v>
      </c>
      <c r="AB36">
        <v>16</v>
      </c>
      <c r="AC36">
        <v>3</v>
      </c>
      <c r="AD36" t="str">
        <f t="shared" si="1"/>
        <v>Low Performance</v>
      </c>
      <c r="AE36">
        <v>1</v>
      </c>
      <c r="AF36">
        <v>80</v>
      </c>
      <c r="AG36">
        <v>1</v>
      </c>
      <c r="AH36">
        <v>6</v>
      </c>
      <c r="AI36">
        <v>2</v>
      </c>
      <c r="AJ36">
        <v>2</v>
      </c>
      <c r="AK36" t="str" cm="1">
        <f t="array" ref="AK36">_xlfn.IFS(AJ36&lt;=2,"Poor",AJ36&lt;=3,"Fair",AJ36&gt;3,"Good")</f>
        <v>Poor</v>
      </c>
      <c r="AL36">
        <v>2</v>
      </c>
      <c r="AM36">
        <v>0</v>
      </c>
      <c r="AN36">
        <v>2</v>
      </c>
      <c r="AO36">
        <v>0</v>
      </c>
    </row>
    <row r="37" spans="1:41" x14ac:dyDescent="0.2">
      <c r="A37">
        <v>1650304</v>
      </c>
      <c r="B37">
        <v>43</v>
      </c>
      <c r="C37" t="str" cm="1">
        <f t="array" ref="C37">_xlfn.IFS(B37&lt;=25,"15-25",B37&lt;=35,"26-35",B37&lt;=45,"36-45",B37&lt;=55,"46-55",B37&lt;=65,"56-65")</f>
        <v>36-45</v>
      </c>
      <c r="D37" t="s">
        <v>35</v>
      </c>
      <c r="E37" t="str">
        <f t="shared" si="0"/>
        <v>Current Employee</v>
      </c>
      <c r="F37" t="s">
        <v>36</v>
      </c>
      <c r="G37">
        <v>1273</v>
      </c>
      <c r="H37" t="s">
        <v>45</v>
      </c>
      <c r="I37">
        <v>2</v>
      </c>
      <c r="J37">
        <v>2</v>
      </c>
      <c r="K37" t="s">
        <v>49</v>
      </c>
      <c r="L37">
        <v>1</v>
      </c>
      <c r="M37">
        <v>4</v>
      </c>
      <c r="N37" t="s">
        <v>39</v>
      </c>
      <c r="O37">
        <v>72</v>
      </c>
      <c r="P37">
        <v>4</v>
      </c>
      <c r="Q37">
        <v>1</v>
      </c>
      <c r="R37" t="s">
        <v>47</v>
      </c>
      <c r="S37">
        <v>3</v>
      </c>
      <c r="T37" t="str" cm="1">
        <f t="array" ref="T37">_xlfn.IFS(S37&lt;=2,"Poor",S37&lt;=3,"Fair",S37&gt;=4,"Good")</f>
        <v>Fair</v>
      </c>
      <c r="U37" t="s">
        <v>50</v>
      </c>
      <c r="V37" s="1">
        <v>2645</v>
      </c>
      <c r="W37" t="str" cm="1">
        <f t="array" ref="W37">_xlfn.IFS(V37&lt;=5000,"Low Salary",V37&lt;=12000,"Good Salary",V37&gt;12000,"High Salary")</f>
        <v>Low Salary</v>
      </c>
      <c r="X37">
        <v>21923</v>
      </c>
      <c r="Y37">
        <v>1</v>
      </c>
      <c r="Z37" t="s">
        <v>42</v>
      </c>
      <c r="AA37" t="s">
        <v>35</v>
      </c>
      <c r="AB37">
        <v>12</v>
      </c>
      <c r="AC37">
        <v>3</v>
      </c>
      <c r="AD37" t="str">
        <f t="shared" si="1"/>
        <v>Low Performance</v>
      </c>
      <c r="AE37">
        <v>4</v>
      </c>
      <c r="AF37">
        <v>80</v>
      </c>
      <c r="AG37">
        <v>2</v>
      </c>
      <c r="AH37">
        <v>6</v>
      </c>
      <c r="AI37">
        <v>3</v>
      </c>
      <c r="AJ37">
        <v>2</v>
      </c>
      <c r="AK37" t="str" cm="1">
        <f t="array" ref="AK37">_xlfn.IFS(AJ37&lt;=2,"Poor",AJ37&lt;=3,"Fair",AJ37&gt;3,"Good")</f>
        <v>Poor</v>
      </c>
      <c r="AL37">
        <v>5</v>
      </c>
      <c r="AM37">
        <v>3</v>
      </c>
      <c r="AN37">
        <v>1</v>
      </c>
      <c r="AO37">
        <v>4</v>
      </c>
    </row>
    <row r="38" spans="1:41" x14ac:dyDescent="0.2">
      <c r="A38">
        <v>1058169</v>
      </c>
      <c r="B38">
        <v>50</v>
      </c>
      <c r="C38" t="str" cm="1">
        <f t="array" ref="C38">_xlfn.IFS(B38&lt;=25,"15-25",B38&lt;=35,"26-35",B38&lt;=45,"36-45",B38&lt;=55,"46-55",B38&lt;=65,"56-65")</f>
        <v>46-55</v>
      </c>
      <c r="D38" t="s">
        <v>43</v>
      </c>
      <c r="E38" t="str">
        <f t="shared" si="0"/>
        <v>Former Employee</v>
      </c>
      <c r="F38" t="s">
        <v>36</v>
      </c>
      <c r="G38">
        <v>869</v>
      </c>
      <c r="H38" t="s">
        <v>37</v>
      </c>
      <c r="I38">
        <v>3</v>
      </c>
      <c r="J38">
        <v>2</v>
      </c>
      <c r="K38" t="s">
        <v>55</v>
      </c>
      <c r="L38">
        <v>1</v>
      </c>
      <c r="M38">
        <v>1</v>
      </c>
      <c r="N38" t="s">
        <v>46</v>
      </c>
      <c r="O38">
        <v>86</v>
      </c>
      <c r="P38">
        <v>2</v>
      </c>
      <c r="Q38">
        <v>1</v>
      </c>
      <c r="R38" t="s">
        <v>47</v>
      </c>
      <c r="S38">
        <v>3</v>
      </c>
      <c r="T38" t="str" cm="1">
        <f t="array" ref="T38">_xlfn.IFS(S38&lt;=2,"Poor",S38&lt;=3,"Fair",S38&gt;=4,"Good")</f>
        <v>Fair</v>
      </c>
      <c r="U38" t="s">
        <v>48</v>
      </c>
      <c r="V38" s="1">
        <v>2683</v>
      </c>
      <c r="W38" t="str" cm="1">
        <f t="array" ref="W38">_xlfn.IFS(V38&lt;=5000,"Low Salary",V38&lt;=12000,"Good Salary",V38&gt;12000,"High Salary")</f>
        <v>Low Salary</v>
      </c>
      <c r="X38">
        <v>3810</v>
      </c>
      <c r="Y38">
        <v>1</v>
      </c>
      <c r="Z38" t="s">
        <v>42</v>
      </c>
      <c r="AA38" t="s">
        <v>43</v>
      </c>
      <c r="AB38">
        <v>14</v>
      </c>
      <c r="AC38">
        <v>3</v>
      </c>
      <c r="AD38" t="str">
        <f t="shared" si="1"/>
        <v>Low Performance</v>
      </c>
      <c r="AE38">
        <v>3</v>
      </c>
      <c r="AF38">
        <v>80</v>
      </c>
      <c r="AG38">
        <v>0</v>
      </c>
      <c r="AH38">
        <v>3</v>
      </c>
      <c r="AI38">
        <v>2</v>
      </c>
      <c r="AJ38">
        <v>3</v>
      </c>
      <c r="AK38" t="str" cm="1">
        <f t="array" ref="AK38">_xlfn.IFS(AJ38&lt;=2,"Poor",AJ38&lt;=3,"Fair",AJ38&gt;3,"Good")</f>
        <v>Fair</v>
      </c>
      <c r="AL38">
        <v>3</v>
      </c>
      <c r="AM38">
        <v>2</v>
      </c>
      <c r="AN38">
        <v>0</v>
      </c>
      <c r="AO38">
        <v>2</v>
      </c>
    </row>
    <row r="39" spans="1:41" x14ac:dyDescent="0.2">
      <c r="A39">
        <v>1319183</v>
      </c>
      <c r="B39">
        <v>35</v>
      </c>
      <c r="C39" t="str" cm="1">
        <f t="array" ref="C39">_xlfn.IFS(B39&lt;=25,"15-25",B39&lt;=35,"26-35",B39&lt;=45,"36-45",B39&lt;=55,"46-55",B39&lt;=65,"56-65")</f>
        <v>26-35</v>
      </c>
      <c r="D39" t="s">
        <v>35</v>
      </c>
      <c r="E39" t="str">
        <f t="shared" si="0"/>
        <v>Current Employee</v>
      </c>
      <c r="F39" t="s">
        <v>36</v>
      </c>
      <c r="G39">
        <v>890</v>
      </c>
      <c r="H39" t="s">
        <v>37</v>
      </c>
      <c r="I39">
        <v>2</v>
      </c>
      <c r="J39">
        <v>3</v>
      </c>
      <c r="K39" t="s">
        <v>55</v>
      </c>
      <c r="L39">
        <v>1</v>
      </c>
      <c r="M39">
        <v>4</v>
      </c>
      <c r="N39" t="s">
        <v>39</v>
      </c>
      <c r="O39">
        <v>97</v>
      </c>
      <c r="P39">
        <v>3</v>
      </c>
      <c r="Q39">
        <v>1</v>
      </c>
      <c r="R39" t="s">
        <v>47</v>
      </c>
      <c r="S39">
        <v>4</v>
      </c>
      <c r="T39" t="str" cm="1">
        <f t="array" ref="T39">_xlfn.IFS(S39&lt;=2,"Poor",S39&lt;=3,"Fair",S39&gt;=4,"Good")</f>
        <v>Good</v>
      </c>
      <c r="U39" t="s">
        <v>48</v>
      </c>
      <c r="V39" s="1">
        <v>2014</v>
      </c>
      <c r="W39" t="str" cm="1">
        <f t="array" ref="W39">_xlfn.IFS(V39&lt;=5000,"Low Salary",V39&lt;=12000,"Good Salary",V39&gt;12000,"High Salary")</f>
        <v>Low Salary</v>
      </c>
      <c r="X39">
        <v>9687</v>
      </c>
      <c r="Y39">
        <v>1</v>
      </c>
      <c r="Z39" t="s">
        <v>42</v>
      </c>
      <c r="AA39" t="s">
        <v>35</v>
      </c>
      <c r="AB39">
        <v>13</v>
      </c>
      <c r="AC39">
        <v>3</v>
      </c>
      <c r="AD39" t="str">
        <f t="shared" si="1"/>
        <v>Low Performance</v>
      </c>
      <c r="AE39">
        <v>1</v>
      </c>
      <c r="AF39">
        <v>80</v>
      </c>
      <c r="AG39">
        <v>0</v>
      </c>
      <c r="AH39">
        <v>2</v>
      </c>
      <c r="AI39">
        <v>3</v>
      </c>
      <c r="AJ39">
        <v>3</v>
      </c>
      <c r="AK39" t="str" cm="1">
        <f t="array" ref="AK39">_xlfn.IFS(AJ39&lt;=2,"Poor",AJ39&lt;=3,"Fair",AJ39&gt;3,"Good")</f>
        <v>Fair</v>
      </c>
      <c r="AL39">
        <v>2</v>
      </c>
      <c r="AM39">
        <v>2</v>
      </c>
      <c r="AN39">
        <v>2</v>
      </c>
      <c r="AO39">
        <v>2</v>
      </c>
    </row>
    <row r="40" spans="1:41" x14ac:dyDescent="0.2">
      <c r="A40">
        <v>1872551</v>
      </c>
      <c r="B40">
        <v>36</v>
      </c>
      <c r="C40" t="str" cm="1">
        <f t="array" ref="C40">_xlfn.IFS(B40&lt;=25,"15-25",B40&lt;=35,"26-35",B40&lt;=45,"36-45",B40&lt;=55,"46-55",B40&lt;=65,"56-65")</f>
        <v>36-45</v>
      </c>
      <c r="D40" t="s">
        <v>35</v>
      </c>
      <c r="E40" t="str">
        <f t="shared" si="0"/>
        <v>Current Employee</v>
      </c>
      <c r="F40" t="s">
        <v>36</v>
      </c>
      <c r="G40">
        <v>852</v>
      </c>
      <c r="H40" t="s">
        <v>45</v>
      </c>
      <c r="I40">
        <v>5</v>
      </c>
      <c r="J40">
        <v>4</v>
      </c>
      <c r="K40" t="s">
        <v>38</v>
      </c>
      <c r="L40">
        <v>1</v>
      </c>
      <c r="M40">
        <v>2</v>
      </c>
      <c r="N40" t="s">
        <v>39</v>
      </c>
      <c r="O40">
        <v>82</v>
      </c>
      <c r="P40">
        <v>2</v>
      </c>
      <c r="Q40">
        <v>1</v>
      </c>
      <c r="R40" t="s">
        <v>47</v>
      </c>
      <c r="S40">
        <v>1</v>
      </c>
      <c r="T40" t="str" cm="1">
        <f t="array" ref="T40">_xlfn.IFS(S40&lt;=2,"Poor",S40&lt;=3,"Fair",S40&gt;=4,"Good")</f>
        <v>Poor</v>
      </c>
      <c r="U40" t="s">
        <v>48</v>
      </c>
      <c r="V40" s="1">
        <v>3419</v>
      </c>
      <c r="W40" t="str" cm="1">
        <f t="array" ref="W40">_xlfn.IFS(V40&lt;=5000,"Low Salary",V40&lt;=12000,"Good Salary",V40&gt;12000,"High Salary")</f>
        <v>Low Salary</v>
      </c>
      <c r="X40">
        <v>13072</v>
      </c>
      <c r="Y40">
        <v>9</v>
      </c>
      <c r="Z40" t="s">
        <v>42</v>
      </c>
      <c r="AA40" t="s">
        <v>43</v>
      </c>
      <c r="AB40">
        <v>14</v>
      </c>
      <c r="AC40">
        <v>3</v>
      </c>
      <c r="AD40" t="str">
        <f t="shared" si="1"/>
        <v>Low Performance</v>
      </c>
      <c r="AE40">
        <v>4</v>
      </c>
      <c r="AF40">
        <v>80</v>
      </c>
      <c r="AG40">
        <v>1</v>
      </c>
      <c r="AH40">
        <v>6</v>
      </c>
      <c r="AI40">
        <v>3</v>
      </c>
      <c r="AJ40">
        <v>4</v>
      </c>
      <c r="AK40" t="str" cm="1">
        <f t="array" ref="AK40">_xlfn.IFS(AJ40&lt;=2,"Poor",AJ40&lt;=3,"Fair",AJ40&gt;3,"Good")</f>
        <v>Good</v>
      </c>
      <c r="AL40">
        <v>1</v>
      </c>
      <c r="AM40">
        <v>1</v>
      </c>
      <c r="AN40">
        <v>0</v>
      </c>
      <c r="AO40">
        <v>0</v>
      </c>
    </row>
    <row r="41" spans="1:41" x14ac:dyDescent="0.2">
      <c r="A41">
        <v>1060693</v>
      </c>
      <c r="B41">
        <v>33</v>
      </c>
      <c r="C41" t="str" cm="1">
        <f t="array" ref="C41">_xlfn.IFS(B41&lt;=25,"15-25",B41&lt;=35,"26-35",B41&lt;=45,"36-45",B41&lt;=55,"46-55",B41&lt;=65,"56-65")</f>
        <v>26-35</v>
      </c>
      <c r="D41" t="s">
        <v>35</v>
      </c>
      <c r="E41" t="str">
        <f t="shared" si="0"/>
        <v>Current Employee</v>
      </c>
      <c r="F41" t="s">
        <v>44</v>
      </c>
      <c r="G41">
        <v>1141</v>
      </c>
      <c r="H41" t="s">
        <v>37</v>
      </c>
      <c r="I41">
        <v>1</v>
      </c>
      <c r="J41">
        <v>3</v>
      </c>
      <c r="K41" t="s">
        <v>38</v>
      </c>
      <c r="L41">
        <v>1</v>
      </c>
      <c r="M41">
        <v>3</v>
      </c>
      <c r="N41" t="s">
        <v>39</v>
      </c>
      <c r="O41">
        <v>42</v>
      </c>
      <c r="P41">
        <v>4</v>
      </c>
      <c r="Q41">
        <v>2</v>
      </c>
      <c r="R41" t="s">
        <v>40</v>
      </c>
      <c r="S41">
        <v>1</v>
      </c>
      <c r="T41" t="str" cm="1">
        <f t="array" ref="T41">_xlfn.IFS(S41&lt;=2,"Poor",S41&lt;=3,"Fair",S41&gt;=4,"Good")</f>
        <v>Poor</v>
      </c>
      <c r="U41" t="s">
        <v>48</v>
      </c>
      <c r="V41" s="1">
        <v>5376</v>
      </c>
      <c r="W41" t="str" cm="1">
        <f t="array" ref="W41">_xlfn.IFS(V41&lt;=5000,"Low Salary",V41&lt;=12000,"Good Salary",V41&gt;12000,"High Salary")</f>
        <v>Good Salary</v>
      </c>
      <c r="X41">
        <v>3193</v>
      </c>
      <c r="Y41">
        <v>2</v>
      </c>
      <c r="Z41" t="s">
        <v>42</v>
      </c>
      <c r="AA41" t="s">
        <v>35</v>
      </c>
      <c r="AB41">
        <v>19</v>
      </c>
      <c r="AC41">
        <v>3</v>
      </c>
      <c r="AD41" t="str">
        <f t="shared" si="1"/>
        <v>Low Performance</v>
      </c>
      <c r="AE41">
        <v>1</v>
      </c>
      <c r="AF41">
        <v>80</v>
      </c>
      <c r="AG41">
        <v>2</v>
      </c>
      <c r="AH41">
        <v>10</v>
      </c>
      <c r="AI41">
        <v>3</v>
      </c>
      <c r="AJ41">
        <v>3</v>
      </c>
      <c r="AK41" t="str" cm="1">
        <f t="array" ref="AK41">_xlfn.IFS(AJ41&lt;=2,"Poor",AJ41&lt;=3,"Fair",AJ41&gt;3,"Good")</f>
        <v>Fair</v>
      </c>
      <c r="AL41">
        <v>5</v>
      </c>
      <c r="AM41">
        <v>3</v>
      </c>
      <c r="AN41">
        <v>1</v>
      </c>
      <c r="AO41">
        <v>3</v>
      </c>
    </row>
    <row r="42" spans="1:41" x14ac:dyDescent="0.2">
      <c r="A42">
        <v>1110390</v>
      </c>
      <c r="B42">
        <v>35</v>
      </c>
      <c r="C42" t="str" cm="1">
        <f t="array" ref="C42">_xlfn.IFS(B42&lt;=25,"15-25",B42&lt;=35,"26-35",B42&lt;=45,"36-45",B42&lt;=55,"46-55",B42&lt;=65,"56-65")</f>
        <v>26-35</v>
      </c>
      <c r="D42" t="s">
        <v>35</v>
      </c>
      <c r="E42" t="str">
        <f t="shared" si="0"/>
        <v>Current Employee</v>
      </c>
      <c r="F42" t="s">
        <v>36</v>
      </c>
      <c r="G42">
        <v>464</v>
      </c>
      <c r="H42" t="s">
        <v>45</v>
      </c>
      <c r="I42">
        <v>4</v>
      </c>
      <c r="J42">
        <v>2</v>
      </c>
      <c r="K42" t="s">
        <v>47</v>
      </c>
      <c r="L42">
        <v>1</v>
      </c>
      <c r="M42">
        <v>3</v>
      </c>
      <c r="N42" t="s">
        <v>46</v>
      </c>
      <c r="O42">
        <v>75</v>
      </c>
      <c r="P42">
        <v>3</v>
      </c>
      <c r="Q42">
        <v>1</v>
      </c>
      <c r="R42" t="s">
        <v>40</v>
      </c>
      <c r="S42">
        <v>4</v>
      </c>
      <c r="T42" t="str" cm="1">
        <f t="array" ref="T42">_xlfn.IFS(S42&lt;=2,"Poor",S42&lt;=3,"Fair",S42&gt;=4,"Good")</f>
        <v>Good</v>
      </c>
      <c r="U42" t="s">
        <v>50</v>
      </c>
      <c r="V42" s="1">
        <v>1951</v>
      </c>
      <c r="W42" t="str" cm="1">
        <f t="array" ref="W42">_xlfn.IFS(V42&lt;=5000,"Low Salary",V42&lt;=12000,"Good Salary",V42&gt;12000,"High Salary")</f>
        <v>Low Salary</v>
      </c>
      <c r="X42">
        <v>10910</v>
      </c>
      <c r="Y42">
        <v>1</v>
      </c>
      <c r="Z42" t="s">
        <v>42</v>
      </c>
      <c r="AA42" t="s">
        <v>35</v>
      </c>
      <c r="AB42">
        <v>12</v>
      </c>
      <c r="AC42">
        <v>3</v>
      </c>
      <c r="AD42" t="str">
        <f t="shared" si="1"/>
        <v>Low Performance</v>
      </c>
      <c r="AE42">
        <v>3</v>
      </c>
      <c r="AF42">
        <v>80</v>
      </c>
      <c r="AG42">
        <v>1</v>
      </c>
      <c r="AH42">
        <v>1</v>
      </c>
      <c r="AI42">
        <v>3</v>
      </c>
      <c r="AJ42">
        <v>3</v>
      </c>
      <c r="AK42" t="str" cm="1">
        <f t="array" ref="AK42">_xlfn.IFS(AJ42&lt;=2,"Poor",AJ42&lt;=3,"Fair",AJ42&gt;3,"Good")</f>
        <v>Fair</v>
      </c>
      <c r="AL42">
        <v>1</v>
      </c>
      <c r="AM42">
        <v>0</v>
      </c>
      <c r="AN42">
        <v>0</v>
      </c>
      <c r="AO42">
        <v>0</v>
      </c>
    </row>
    <row r="43" spans="1:41" x14ac:dyDescent="0.2">
      <c r="A43">
        <v>1448895</v>
      </c>
      <c r="B43">
        <v>27</v>
      </c>
      <c r="C43" t="str" cm="1">
        <f t="array" ref="C43">_xlfn.IFS(B43&lt;=25,"15-25",B43&lt;=35,"26-35",B43&lt;=45,"36-45",B43&lt;=55,"46-55",B43&lt;=65,"56-65")</f>
        <v>26-35</v>
      </c>
      <c r="D43" t="s">
        <v>35</v>
      </c>
      <c r="E43" t="str">
        <f t="shared" si="0"/>
        <v>Current Employee</v>
      </c>
      <c r="F43" t="s">
        <v>36</v>
      </c>
      <c r="G43">
        <v>1240</v>
      </c>
      <c r="H43" t="s">
        <v>45</v>
      </c>
      <c r="I43">
        <v>2</v>
      </c>
      <c r="J43">
        <v>4</v>
      </c>
      <c r="K43" t="s">
        <v>38</v>
      </c>
      <c r="L43">
        <v>1</v>
      </c>
      <c r="M43">
        <v>4</v>
      </c>
      <c r="N43" t="s">
        <v>39</v>
      </c>
      <c r="O43">
        <v>33</v>
      </c>
      <c r="P43">
        <v>3</v>
      </c>
      <c r="Q43">
        <v>1</v>
      </c>
      <c r="R43" t="s">
        <v>40</v>
      </c>
      <c r="S43">
        <v>1</v>
      </c>
      <c r="T43" t="str" cm="1">
        <f t="array" ref="T43">_xlfn.IFS(S43&lt;=2,"Poor",S43&lt;=3,"Fair",S43&gt;=4,"Good")</f>
        <v>Poor</v>
      </c>
      <c r="U43" t="s">
        <v>50</v>
      </c>
      <c r="V43" s="1">
        <v>2341</v>
      </c>
      <c r="W43" t="str" cm="1">
        <f t="array" ref="W43">_xlfn.IFS(V43&lt;=5000,"Low Salary",V43&lt;=12000,"Good Salary",V43&gt;12000,"High Salary")</f>
        <v>Low Salary</v>
      </c>
      <c r="X43">
        <v>19715</v>
      </c>
      <c r="Y43">
        <v>1</v>
      </c>
      <c r="Z43" t="s">
        <v>42</v>
      </c>
      <c r="AA43" t="s">
        <v>35</v>
      </c>
      <c r="AB43">
        <v>13</v>
      </c>
      <c r="AC43">
        <v>3</v>
      </c>
      <c r="AD43" t="str">
        <f t="shared" si="1"/>
        <v>Low Performance</v>
      </c>
      <c r="AE43">
        <v>4</v>
      </c>
      <c r="AF43">
        <v>80</v>
      </c>
      <c r="AG43">
        <v>1</v>
      </c>
      <c r="AH43">
        <v>1</v>
      </c>
      <c r="AI43">
        <v>6</v>
      </c>
      <c r="AJ43">
        <v>3</v>
      </c>
      <c r="AK43" t="str" cm="1">
        <f t="array" ref="AK43">_xlfn.IFS(AJ43&lt;=2,"Poor",AJ43&lt;=3,"Fair",AJ43&gt;3,"Good")</f>
        <v>Fair</v>
      </c>
      <c r="AL43">
        <v>1</v>
      </c>
      <c r="AM43">
        <v>0</v>
      </c>
      <c r="AN43">
        <v>0</v>
      </c>
      <c r="AO43">
        <v>0</v>
      </c>
    </row>
    <row r="44" spans="1:41" x14ac:dyDescent="0.2">
      <c r="A44">
        <v>1547220</v>
      </c>
      <c r="B44">
        <v>26</v>
      </c>
      <c r="C44" t="str" cm="1">
        <f t="array" ref="C44">_xlfn.IFS(B44&lt;=25,"15-25",B44&lt;=35,"26-35",B44&lt;=45,"36-45",B44&lt;=55,"46-55",B44&lt;=65,"56-65")</f>
        <v>26-35</v>
      </c>
      <c r="D44" t="s">
        <v>43</v>
      </c>
      <c r="E44" t="str">
        <f t="shared" si="0"/>
        <v>Former Employee</v>
      </c>
      <c r="F44" t="s">
        <v>36</v>
      </c>
      <c r="G44">
        <v>1357</v>
      </c>
      <c r="H44" t="s">
        <v>45</v>
      </c>
      <c r="I44">
        <v>25</v>
      </c>
      <c r="J44">
        <v>3</v>
      </c>
      <c r="K44" t="s">
        <v>38</v>
      </c>
      <c r="L44">
        <v>1</v>
      </c>
      <c r="M44">
        <v>1</v>
      </c>
      <c r="N44" t="s">
        <v>46</v>
      </c>
      <c r="O44">
        <v>48</v>
      </c>
      <c r="P44">
        <v>1</v>
      </c>
      <c r="Q44">
        <v>1</v>
      </c>
      <c r="R44" t="s">
        <v>40</v>
      </c>
      <c r="S44">
        <v>3</v>
      </c>
      <c r="T44" t="str" cm="1">
        <f t="array" ref="T44">_xlfn.IFS(S44&lt;=2,"Poor",S44&lt;=3,"Fair",S44&gt;=4,"Good")</f>
        <v>Fair</v>
      </c>
      <c r="U44" t="s">
        <v>41</v>
      </c>
      <c r="V44" s="1">
        <v>2293</v>
      </c>
      <c r="W44" t="str" cm="1">
        <f t="array" ref="W44">_xlfn.IFS(V44&lt;=5000,"Low Salary",V44&lt;=12000,"Good Salary",V44&gt;12000,"High Salary")</f>
        <v>Low Salary</v>
      </c>
      <c r="X44">
        <v>10558</v>
      </c>
      <c r="Y44">
        <v>1</v>
      </c>
      <c r="Z44" t="s">
        <v>42</v>
      </c>
      <c r="AA44" t="s">
        <v>35</v>
      </c>
      <c r="AB44">
        <v>12</v>
      </c>
      <c r="AC44">
        <v>3</v>
      </c>
      <c r="AD44" t="str">
        <f t="shared" si="1"/>
        <v>Low Performance</v>
      </c>
      <c r="AE44">
        <v>3</v>
      </c>
      <c r="AF44">
        <v>80</v>
      </c>
      <c r="AG44">
        <v>0</v>
      </c>
      <c r="AH44">
        <v>1</v>
      </c>
      <c r="AI44">
        <v>2</v>
      </c>
      <c r="AJ44">
        <v>2</v>
      </c>
      <c r="AK44" t="str" cm="1">
        <f t="array" ref="AK44">_xlfn.IFS(AJ44&lt;=2,"Poor",AJ44&lt;=3,"Fair",AJ44&gt;3,"Good")</f>
        <v>Poor</v>
      </c>
      <c r="AL44">
        <v>1</v>
      </c>
      <c r="AM44">
        <v>0</v>
      </c>
      <c r="AN44">
        <v>0</v>
      </c>
      <c r="AO44">
        <v>1</v>
      </c>
    </row>
    <row r="45" spans="1:41" x14ac:dyDescent="0.2">
      <c r="A45">
        <v>1680993</v>
      </c>
      <c r="B45">
        <v>27</v>
      </c>
      <c r="C45" t="str" cm="1">
        <f t="array" ref="C45">_xlfn.IFS(B45&lt;=25,"15-25",B45&lt;=35,"26-35",B45&lt;=45,"36-45",B45&lt;=55,"46-55",B45&lt;=65,"56-65")</f>
        <v>26-35</v>
      </c>
      <c r="D45" t="s">
        <v>35</v>
      </c>
      <c r="E45" t="str">
        <f t="shared" si="0"/>
        <v>Current Employee</v>
      </c>
      <c r="F45" t="s">
        <v>44</v>
      </c>
      <c r="G45">
        <v>994</v>
      </c>
      <c r="H45" t="s">
        <v>37</v>
      </c>
      <c r="I45">
        <v>8</v>
      </c>
      <c r="J45">
        <v>3</v>
      </c>
      <c r="K45" t="s">
        <v>38</v>
      </c>
      <c r="L45">
        <v>1</v>
      </c>
      <c r="M45">
        <v>4</v>
      </c>
      <c r="N45" t="s">
        <v>46</v>
      </c>
      <c r="O45">
        <v>37</v>
      </c>
      <c r="P45">
        <v>3</v>
      </c>
      <c r="Q45">
        <v>3</v>
      </c>
      <c r="R45" t="s">
        <v>40</v>
      </c>
      <c r="S45">
        <v>3</v>
      </c>
      <c r="T45" t="str" cm="1">
        <f t="array" ref="T45">_xlfn.IFS(S45&lt;=2,"Poor",S45&lt;=3,"Fair",S45&gt;=4,"Good")</f>
        <v>Fair</v>
      </c>
      <c r="U45" t="s">
        <v>41</v>
      </c>
      <c r="V45" s="1">
        <v>8726</v>
      </c>
      <c r="W45" t="str" cm="1">
        <f t="array" ref="W45">_xlfn.IFS(V45&lt;=5000,"Low Salary",V45&lt;=12000,"Good Salary",V45&gt;12000,"High Salary")</f>
        <v>Good Salary</v>
      </c>
      <c r="X45">
        <v>2975</v>
      </c>
      <c r="Y45">
        <v>1</v>
      </c>
      <c r="Z45" t="s">
        <v>42</v>
      </c>
      <c r="AA45" t="s">
        <v>35</v>
      </c>
      <c r="AB45">
        <v>15</v>
      </c>
      <c r="AC45">
        <v>3</v>
      </c>
      <c r="AD45" t="str">
        <f t="shared" si="1"/>
        <v>Low Performance</v>
      </c>
      <c r="AE45">
        <v>4</v>
      </c>
      <c r="AF45">
        <v>80</v>
      </c>
      <c r="AG45">
        <v>0</v>
      </c>
      <c r="AH45">
        <v>9</v>
      </c>
      <c r="AI45">
        <v>0</v>
      </c>
      <c r="AJ45">
        <v>3</v>
      </c>
      <c r="AK45" t="str" cm="1">
        <f t="array" ref="AK45">_xlfn.IFS(AJ45&lt;=2,"Poor",AJ45&lt;=3,"Fair",AJ45&gt;3,"Good")</f>
        <v>Fair</v>
      </c>
      <c r="AL45">
        <v>9</v>
      </c>
      <c r="AM45">
        <v>8</v>
      </c>
      <c r="AN45">
        <v>1</v>
      </c>
      <c r="AO45">
        <v>7</v>
      </c>
    </row>
    <row r="46" spans="1:41" x14ac:dyDescent="0.2">
      <c r="A46">
        <v>1100187</v>
      </c>
      <c r="B46">
        <v>30</v>
      </c>
      <c r="C46" t="str" cm="1">
        <f t="array" ref="C46">_xlfn.IFS(B46&lt;=25,"15-25",B46&lt;=35,"26-35",B46&lt;=45,"36-45",B46&lt;=55,"46-55",B46&lt;=65,"56-65")</f>
        <v>26-35</v>
      </c>
      <c r="D46" t="s">
        <v>35</v>
      </c>
      <c r="E46" t="str">
        <f t="shared" si="0"/>
        <v>Current Employee</v>
      </c>
      <c r="F46" t="s">
        <v>44</v>
      </c>
      <c r="G46">
        <v>721</v>
      </c>
      <c r="H46" t="s">
        <v>45</v>
      </c>
      <c r="I46">
        <v>1</v>
      </c>
      <c r="J46">
        <v>2</v>
      </c>
      <c r="K46" t="s">
        <v>49</v>
      </c>
      <c r="L46">
        <v>1</v>
      </c>
      <c r="M46">
        <v>3</v>
      </c>
      <c r="N46" t="s">
        <v>39</v>
      </c>
      <c r="O46">
        <v>58</v>
      </c>
      <c r="P46">
        <v>3</v>
      </c>
      <c r="Q46">
        <v>2</v>
      </c>
      <c r="R46" t="s">
        <v>40</v>
      </c>
      <c r="S46">
        <v>4</v>
      </c>
      <c r="T46" t="str" cm="1">
        <f t="array" ref="T46">_xlfn.IFS(S46&lt;=2,"Poor",S46&lt;=3,"Fair",S46&gt;=4,"Good")</f>
        <v>Good</v>
      </c>
      <c r="U46" t="s">
        <v>41</v>
      </c>
      <c r="V46" s="1">
        <v>4011</v>
      </c>
      <c r="W46" t="str" cm="1">
        <f t="array" ref="W46">_xlfn.IFS(V46&lt;=5000,"Low Salary",V46&lt;=12000,"Good Salary",V46&gt;12000,"High Salary")</f>
        <v>Low Salary</v>
      </c>
      <c r="X46">
        <v>10781</v>
      </c>
      <c r="Y46">
        <v>1</v>
      </c>
      <c r="Z46" t="s">
        <v>42</v>
      </c>
      <c r="AA46" t="s">
        <v>35</v>
      </c>
      <c r="AB46">
        <v>23</v>
      </c>
      <c r="AC46">
        <v>4</v>
      </c>
      <c r="AD46" t="str">
        <f t="shared" si="1"/>
        <v>High Performance</v>
      </c>
      <c r="AE46">
        <v>4</v>
      </c>
      <c r="AF46">
        <v>80</v>
      </c>
      <c r="AG46">
        <v>0</v>
      </c>
      <c r="AH46">
        <v>12</v>
      </c>
      <c r="AI46">
        <v>2</v>
      </c>
      <c r="AJ46">
        <v>3</v>
      </c>
      <c r="AK46" t="str" cm="1">
        <f t="array" ref="AK46">_xlfn.IFS(AJ46&lt;=2,"Poor",AJ46&lt;=3,"Fair",AJ46&gt;3,"Good")</f>
        <v>Fair</v>
      </c>
      <c r="AL46">
        <v>12</v>
      </c>
      <c r="AM46">
        <v>8</v>
      </c>
      <c r="AN46">
        <v>3</v>
      </c>
      <c r="AO46">
        <v>7</v>
      </c>
    </row>
    <row r="47" spans="1:41" x14ac:dyDescent="0.2">
      <c r="A47">
        <v>1881631</v>
      </c>
      <c r="B47">
        <v>41</v>
      </c>
      <c r="C47" t="str" cm="1">
        <f t="array" ref="C47">_xlfn.IFS(B47&lt;=25,"15-25",B47&lt;=35,"26-35",B47&lt;=45,"36-45",B47&lt;=55,"46-55",B47&lt;=65,"56-65")</f>
        <v>36-45</v>
      </c>
      <c r="D47" t="s">
        <v>35</v>
      </c>
      <c r="E47" t="str">
        <f t="shared" si="0"/>
        <v>Current Employee</v>
      </c>
      <c r="F47" t="s">
        <v>36</v>
      </c>
      <c r="G47">
        <v>1360</v>
      </c>
      <c r="H47" t="s">
        <v>54</v>
      </c>
      <c r="I47">
        <v>12</v>
      </c>
      <c r="J47">
        <v>3</v>
      </c>
      <c r="K47" t="s">
        <v>56</v>
      </c>
      <c r="L47">
        <v>1</v>
      </c>
      <c r="M47">
        <v>2</v>
      </c>
      <c r="N47" t="s">
        <v>39</v>
      </c>
      <c r="O47">
        <v>49</v>
      </c>
      <c r="P47">
        <v>3</v>
      </c>
      <c r="Q47">
        <v>5</v>
      </c>
      <c r="R47" t="s">
        <v>47</v>
      </c>
      <c r="S47">
        <v>3</v>
      </c>
      <c r="T47" t="str" cm="1">
        <f t="array" ref="T47">_xlfn.IFS(S47&lt;=2,"Poor",S47&lt;=3,"Fair",S47&gt;=4,"Good")</f>
        <v>Fair</v>
      </c>
      <c r="U47" t="s">
        <v>48</v>
      </c>
      <c r="V47" s="1">
        <v>19545</v>
      </c>
      <c r="W47" t="str" cm="1">
        <f t="array" ref="W47">_xlfn.IFS(V47&lt;=5000,"Low Salary",V47&lt;=12000,"Good Salary",V47&gt;12000,"High Salary")</f>
        <v>High Salary</v>
      </c>
      <c r="X47">
        <v>16280</v>
      </c>
      <c r="Y47">
        <v>1</v>
      </c>
      <c r="Z47" t="s">
        <v>42</v>
      </c>
      <c r="AA47" t="s">
        <v>35</v>
      </c>
      <c r="AB47">
        <v>12</v>
      </c>
      <c r="AC47">
        <v>3</v>
      </c>
      <c r="AD47" t="str">
        <f t="shared" si="1"/>
        <v>Low Performance</v>
      </c>
      <c r="AE47">
        <v>4</v>
      </c>
      <c r="AF47">
        <v>80</v>
      </c>
      <c r="AG47">
        <v>0</v>
      </c>
      <c r="AH47">
        <v>23</v>
      </c>
      <c r="AI47">
        <v>0</v>
      </c>
      <c r="AJ47">
        <v>3</v>
      </c>
      <c r="AK47" t="str" cm="1">
        <f t="array" ref="AK47">_xlfn.IFS(AJ47&lt;=2,"Poor",AJ47&lt;=3,"Fair",AJ47&gt;3,"Good")</f>
        <v>Fair</v>
      </c>
      <c r="AL47">
        <v>22</v>
      </c>
      <c r="AM47">
        <v>15</v>
      </c>
      <c r="AN47">
        <v>15</v>
      </c>
      <c r="AO47">
        <v>8</v>
      </c>
    </row>
    <row r="48" spans="1:41" x14ac:dyDescent="0.2">
      <c r="A48">
        <v>1622068</v>
      </c>
      <c r="B48">
        <v>34</v>
      </c>
      <c r="C48" t="str" cm="1">
        <f t="array" ref="C48">_xlfn.IFS(B48&lt;=25,"15-25",B48&lt;=35,"26-35",B48&lt;=45,"36-45",B48&lt;=55,"46-55",B48&lt;=65,"56-65")</f>
        <v>26-35</v>
      </c>
      <c r="D48" t="s">
        <v>35</v>
      </c>
      <c r="E48" t="str">
        <f t="shared" si="0"/>
        <v>Current Employee</v>
      </c>
      <c r="F48" t="s">
        <v>52</v>
      </c>
      <c r="G48">
        <v>1065</v>
      </c>
      <c r="H48" t="s">
        <v>37</v>
      </c>
      <c r="I48">
        <v>23</v>
      </c>
      <c r="J48">
        <v>4</v>
      </c>
      <c r="K48" t="s">
        <v>55</v>
      </c>
      <c r="L48">
        <v>1</v>
      </c>
      <c r="M48">
        <v>2</v>
      </c>
      <c r="N48" t="s">
        <v>46</v>
      </c>
      <c r="O48">
        <v>72</v>
      </c>
      <c r="P48">
        <v>3</v>
      </c>
      <c r="Q48">
        <v>2</v>
      </c>
      <c r="R48" t="s">
        <v>40</v>
      </c>
      <c r="S48">
        <v>3</v>
      </c>
      <c r="T48" t="str" cm="1">
        <f t="array" ref="T48">_xlfn.IFS(S48&lt;=2,"Poor",S48&lt;=3,"Fair",S48&gt;=4,"Good")</f>
        <v>Fair</v>
      </c>
      <c r="U48" t="s">
        <v>41</v>
      </c>
      <c r="V48" s="1">
        <v>4568</v>
      </c>
      <c r="W48" t="str" cm="1">
        <f t="array" ref="W48">_xlfn.IFS(V48&lt;=5000,"Low Salary",V48&lt;=12000,"Good Salary",V48&gt;12000,"High Salary")</f>
        <v>Low Salary</v>
      </c>
      <c r="X48">
        <v>10034</v>
      </c>
      <c r="Y48">
        <v>0</v>
      </c>
      <c r="Z48" t="s">
        <v>42</v>
      </c>
      <c r="AA48" t="s">
        <v>35</v>
      </c>
      <c r="AB48">
        <v>20</v>
      </c>
      <c r="AC48">
        <v>4</v>
      </c>
      <c r="AD48" t="str">
        <f t="shared" si="1"/>
        <v>High Performance</v>
      </c>
      <c r="AE48">
        <v>3</v>
      </c>
      <c r="AF48">
        <v>80</v>
      </c>
      <c r="AG48">
        <v>0</v>
      </c>
      <c r="AH48">
        <v>10</v>
      </c>
      <c r="AI48">
        <v>2</v>
      </c>
      <c r="AJ48">
        <v>3</v>
      </c>
      <c r="AK48" t="str" cm="1">
        <f t="array" ref="AK48">_xlfn.IFS(AJ48&lt;=2,"Poor",AJ48&lt;=3,"Fair",AJ48&gt;3,"Good")</f>
        <v>Fair</v>
      </c>
      <c r="AL48">
        <v>9</v>
      </c>
      <c r="AM48">
        <v>5</v>
      </c>
      <c r="AN48">
        <v>8</v>
      </c>
      <c r="AO48">
        <v>7</v>
      </c>
    </row>
    <row r="49" spans="1:41" x14ac:dyDescent="0.2">
      <c r="A49">
        <v>1336903</v>
      </c>
      <c r="B49">
        <v>37</v>
      </c>
      <c r="C49" t="str" cm="1">
        <f t="array" ref="C49">_xlfn.IFS(B49&lt;=25,"15-25",B49&lt;=35,"26-35",B49&lt;=45,"36-45",B49&lt;=55,"46-55",B49&lt;=65,"56-65")</f>
        <v>36-45</v>
      </c>
      <c r="D49" t="s">
        <v>35</v>
      </c>
      <c r="E49" t="str">
        <f t="shared" si="0"/>
        <v>Current Employee</v>
      </c>
      <c r="F49" t="s">
        <v>36</v>
      </c>
      <c r="G49">
        <v>408</v>
      </c>
      <c r="H49" t="s">
        <v>45</v>
      </c>
      <c r="I49">
        <v>19</v>
      </c>
      <c r="J49">
        <v>2</v>
      </c>
      <c r="K49" t="s">
        <v>38</v>
      </c>
      <c r="L49">
        <v>1</v>
      </c>
      <c r="M49">
        <v>2</v>
      </c>
      <c r="N49" t="s">
        <v>46</v>
      </c>
      <c r="O49">
        <v>73</v>
      </c>
      <c r="P49">
        <v>3</v>
      </c>
      <c r="Q49">
        <v>1</v>
      </c>
      <c r="R49" t="s">
        <v>47</v>
      </c>
      <c r="S49">
        <v>2</v>
      </c>
      <c r="T49" t="str" cm="1">
        <f t="array" ref="T49">_xlfn.IFS(S49&lt;=2,"Poor",S49&lt;=3,"Fair",S49&gt;=4,"Good")</f>
        <v>Poor</v>
      </c>
      <c r="U49" t="s">
        <v>48</v>
      </c>
      <c r="V49" s="1">
        <v>3022</v>
      </c>
      <c r="W49" t="str" cm="1">
        <f t="array" ref="W49">_xlfn.IFS(V49&lt;=5000,"Low Salary",V49&lt;=12000,"Good Salary",V49&gt;12000,"High Salary")</f>
        <v>Low Salary</v>
      </c>
      <c r="X49">
        <v>10227</v>
      </c>
      <c r="Y49">
        <v>4</v>
      </c>
      <c r="Z49" t="s">
        <v>42</v>
      </c>
      <c r="AA49" t="s">
        <v>35</v>
      </c>
      <c r="AB49">
        <v>21</v>
      </c>
      <c r="AC49">
        <v>4</v>
      </c>
      <c r="AD49" t="str">
        <f t="shared" si="1"/>
        <v>High Performance</v>
      </c>
      <c r="AE49">
        <v>1</v>
      </c>
      <c r="AF49">
        <v>80</v>
      </c>
      <c r="AG49">
        <v>0</v>
      </c>
      <c r="AH49">
        <v>8</v>
      </c>
      <c r="AI49">
        <v>1</v>
      </c>
      <c r="AJ49">
        <v>3</v>
      </c>
      <c r="AK49" t="str" cm="1">
        <f t="array" ref="AK49">_xlfn.IFS(AJ49&lt;=2,"Poor",AJ49&lt;=3,"Fair",AJ49&gt;3,"Good")</f>
        <v>Fair</v>
      </c>
      <c r="AL49">
        <v>1</v>
      </c>
      <c r="AM49">
        <v>0</v>
      </c>
      <c r="AN49">
        <v>0</v>
      </c>
      <c r="AO49">
        <v>0</v>
      </c>
    </row>
    <row r="50" spans="1:41" x14ac:dyDescent="0.2">
      <c r="A50">
        <v>1126243</v>
      </c>
      <c r="B50">
        <v>46</v>
      </c>
      <c r="C50" t="str" cm="1">
        <f t="array" ref="C50">_xlfn.IFS(B50&lt;=25,"15-25",B50&lt;=35,"26-35",B50&lt;=45,"36-45",B50&lt;=55,"46-55",B50&lt;=65,"56-65")</f>
        <v>46-55</v>
      </c>
      <c r="D50" t="s">
        <v>35</v>
      </c>
      <c r="E50" t="str">
        <f t="shared" si="0"/>
        <v>Current Employee</v>
      </c>
      <c r="F50" t="s">
        <v>44</v>
      </c>
      <c r="G50">
        <v>1211</v>
      </c>
      <c r="H50" t="s">
        <v>37</v>
      </c>
      <c r="I50">
        <v>5</v>
      </c>
      <c r="J50">
        <v>4</v>
      </c>
      <c r="K50" t="s">
        <v>55</v>
      </c>
      <c r="L50">
        <v>1</v>
      </c>
      <c r="M50">
        <v>1</v>
      </c>
      <c r="N50" t="s">
        <v>46</v>
      </c>
      <c r="O50">
        <v>98</v>
      </c>
      <c r="P50">
        <v>3</v>
      </c>
      <c r="Q50">
        <v>2</v>
      </c>
      <c r="R50" t="s">
        <v>40</v>
      </c>
      <c r="S50">
        <v>4</v>
      </c>
      <c r="T50" t="str" cm="1">
        <f t="array" ref="T50">_xlfn.IFS(S50&lt;=2,"Poor",S50&lt;=3,"Fair",S50&gt;=4,"Good")</f>
        <v>Good</v>
      </c>
      <c r="U50" t="s">
        <v>41</v>
      </c>
      <c r="V50" s="1">
        <v>5772</v>
      </c>
      <c r="W50" t="str" cm="1">
        <f t="array" ref="W50">_xlfn.IFS(V50&lt;=5000,"Low Salary",V50&lt;=12000,"Good Salary",V50&gt;12000,"High Salary")</f>
        <v>Good Salary</v>
      </c>
      <c r="X50">
        <v>20445</v>
      </c>
      <c r="Y50">
        <v>4</v>
      </c>
      <c r="Z50" t="s">
        <v>42</v>
      </c>
      <c r="AA50" t="s">
        <v>43</v>
      </c>
      <c r="AB50">
        <v>21</v>
      </c>
      <c r="AC50">
        <v>4</v>
      </c>
      <c r="AD50" t="str">
        <f t="shared" si="1"/>
        <v>High Performance</v>
      </c>
      <c r="AE50">
        <v>3</v>
      </c>
      <c r="AF50">
        <v>80</v>
      </c>
      <c r="AG50">
        <v>0</v>
      </c>
      <c r="AH50">
        <v>14</v>
      </c>
      <c r="AI50">
        <v>4</v>
      </c>
      <c r="AJ50">
        <v>3</v>
      </c>
      <c r="AK50" t="str" cm="1">
        <f t="array" ref="AK50">_xlfn.IFS(AJ50&lt;=2,"Poor",AJ50&lt;=3,"Fair",AJ50&gt;3,"Good")</f>
        <v>Fair</v>
      </c>
      <c r="AL50">
        <v>9</v>
      </c>
      <c r="AM50">
        <v>6</v>
      </c>
      <c r="AN50">
        <v>0</v>
      </c>
      <c r="AO50">
        <v>8</v>
      </c>
    </row>
    <row r="51" spans="1:41" x14ac:dyDescent="0.2">
      <c r="A51">
        <v>1053707</v>
      </c>
      <c r="B51">
        <v>35</v>
      </c>
      <c r="C51" t="str" cm="1">
        <f t="array" ref="C51">_xlfn.IFS(B51&lt;=25,"15-25",B51&lt;=35,"26-35",B51&lt;=45,"36-45",B51&lt;=55,"46-55",B51&lt;=65,"56-65")</f>
        <v>26-35</v>
      </c>
      <c r="D51" t="s">
        <v>35</v>
      </c>
      <c r="E51" t="str">
        <f t="shared" si="0"/>
        <v>Current Employee</v>
      </c>
      <c r="F51" t="s">
        <v>36</v>
      </c>
      <c r="G51">
        <v>1229</v>
      </c>
      <c r="H51" t="s">
        <v>45</v>
      </c>
      <c r="I51">
        <v>8</v>
      </c>
      <c r="J51">
        <v>1</v>
      </c>
      <c r="K51" t="s">
        <v>38</v>
      </c>
      <c r="L51">
        <v>1</v>
      </c>
      <c r="M51">
        <v>4</v>
      </c>
      <c r="N51" t="s">
        <v>46</v>
      </c>
      <c r="O51">
        <v>36</v>
      </c>
      <c r="P51">
        <v>4</v>
      </c>
      <c r="Q51">
        <v>1</v>
      </c>
      <c r="R51" t="s">
        <v>40</v>
      </c>
      <c r="S51">
        <v>4</v>
      </c>
      <c r="T51" t="str" cm="1">
        <f t="array" ref="T51">_xlfn.IFS(S51&lt;=2,"Poor",S51&lt;=3,"Fair",S51&gt;=4,"Good")</f>
        <v>Good</v>
      </c>
      <c r="U51" t="s">
        <v>48</v>
      </c>
      <c r="V51" s="1">
        <v>2269</v>
      </c>
      <c r="W51" t="str" cm="1">
        <f t="array" ref="W51">_xlfn.IFS(V51&lt;=5000,"Low Salary",V51&lt;=12000,"Good Salary",V51&gt;12000,"High Salary")</f>
        <v>Low Salary</v>
      </c>
      <c r="X51">
        <v>4892</v>
      </c>
      <c r="Y51">
        <v>1</v>
      </c>
      <c r="Z51" t="s">
        <v>42</v>
      </c>
      <c r="AA51" t="s">
        <v>35</v>
      </c>
      <c r="AB51">
        <v>19</v>
      </c>
      <c r="AC51">
        <v>3</v>
      </c>
      <c r="AD51" t="str">
        <f t="shared" si="1"/>
        <v>Low Performance</v>
      </c>
      <c r="AE51">
        <v>4</v>
      </c>
      <c r="AF51">
        <v>80</v>
      </c>
      <c r="AG51">
        <v>0</v>
      </c>
      <c r="AH51">
        <v>1</v>
      </c>
      <c r="AI51">
        <v>2</v>
      </c>
      <c r="AJ51">
        <v>3</v>
      </c>
      <c r="AK51" t="str" cm="1">
        <f t="array" ref="AK51">_xlfn.IFS(AJ51&lt;=2,"Poor",AJ51&lt;=3,"Fair",AJ51&gt;3,"Good")</f>
        <v>Fair</v>
      </c>
      <c r="AL51">
        <v>1</v>
      </c>
      <c r="AM51">
        <v>0</v>
      </c>
      <c r="AN51">
        <v>0</v>
      </c>
      <c r="AO51">
        <v>1</v>
      </c>
    </row>
    <row r="52" spans="1:41" x14ac:dyDescent="0.2">
      <c r="A52">
        <v>1708688</v>
      </c>
      <c r="B52">
        <v>48</v>
      </c>
      <c r="C52" t="str" cm="1">
        <f t="array" ref="C52">_xlfn.IFS(B52&lt;=25,"15-25",B52&lt;=35,"26-35",B52&lt;=45,"36-45",B52&lt;=55,"46-55",B52&lt;=65,"56-65")</f>
        <v>46-55</v>
      </c>
      <c r="D52" t="s">
        <v>43</v>
      </c>
      <c r="E52" t="str">
        <f t="shared" si="0"/>
        <v>Former Employee</v>
      </c>
      <c r="F52" t="s">
        <v>36</v>
      </c>
      <c r="G52">
        <v>626</v>
      </c>
      <c r="H52" t="s">
        <v>45</v>
      </c>
      <c r="I52">
        <v>1</v>
      </c>
      <c r="J52">
        <v>2</v>
      </c>
      <c r="K52" t="s">
        <v>38</v>
      </c>
      <c r="L52">
        <v>1</v>
      </c>
      <c r="M52">
        <v>1</v>
      </c>
      <c r="N52" t="s">
        <v>46</v>
      </c>
      <c r="O52">
        <v>98</v>
      </c>
      <c r="P52">
        <v>2</v>
      </c>
      <c r="Q52">
        <v>3</v>
      </c>
      <c r="R52" t="s">
        <v>40</v>
      </c>
      <c r="S52">
        <v>3</v>
      </c>
      <c r="T52" t="str" cm="1">
        <f t="array" ref="T52">_xlfn.IFS(S52&lt;=2,"Poor",S52&lt;=3,"Fair",S52&gt;=4,"Good")</f>
        <v>Fair</v>
      </c>
      <c r="U52" t="s">
        <v>41</v>
      </c>
      <c r="V52" s="1">
        <v>5381</v>
      </c>
      <c r="W52" t="str" cm="1">
        <f t="array" ref="W52">_xlfn.IFS(V52&lt;=5000,"Low Salary",V52&lt;=12000,"Good Salary",V52&gt;12000,"High Salary")</f>
        <v>Good Salary</v>
      </c>
      <c r="X52">
        <v>19294</v>
      </c>
      <c r="Y52">
        <v>9</v>
      </c>
      <c r="Z52" t="s">
        <v>42</v>
      </c>
      <c r="AA52" t="s">
        <v>43</v>
      </c>
      <c r="AB52">
        <v>13</v>
      </c>
      <c r="AC52">
        <v>3</v>
      </c>
      <c r="AD52" t="str">
        <f t="shared" si="1"/>
        <v>Low Performance</v>
      </c>
      <c r="AE52">
        <v>4</v>
      </c>
      <c r="AF52">
        <v>80</v>
      </c>
      <c r="AG52">
        <v>0</v>
      </c>
      <c r="AH52">
        <v>23</v>
      </c>
      <c r="AI52">
        <v>2</v>
      </c>
      <c r="AJ52">
        <v>3</v>
      </c>
      <c r="AK52" t="str" cm="1">
        <f t="array" ref="AK52">_xlfn.IFS(AJ52&lt;=2,"Poor",AJ52&lt;=3,"Fair",AJ52&gt;3,"Good")</f>
        <v>Fair</v>
      </c>
      <c r="AL52">
        <v>1</v>
      </c>
      <c r="AM52">
        <v>0</v>
      </c>
      <c r="AN52">
        <v>0</v>
      </c>
      <c r="AO52">
        <v>0</v>
      </c>
    </row>
    <row r="53" spans="1:41" x14ac:dyDescent="0.2">
      <c r="A53">
        <v>1208582</v>
      </c>
      <c r="B53">
        <v>28</v>
      </c>
      <c r="C53" t="str" cm="1">
        <f t="array" ref="C53">_xlfn.IFS(B53&lt;=25,"15-25",B53&lt;=35,"26-35",B53&lt;=45,"36-45",B53&lt;=55,"46-55",B53&lt;=65,"56-65")</f>
        <v>26-35</v>
      </c>
      <c r="D53" t="s">
        <v>43</v>
      </c>
      <c r="E53" t="str">
        <f t="shared" si="0"/>
        <v>Former Employee</v>
      </c>
      <c r="F53" t="s">
        <v>36</v>
      </c>
      <c r="G53">
        <v>1434</v>
      </c>
      <c r="H53" t="s">
        <v>45</v>
      </c>
      <c r="I53">
        <v>5</v>
      </c>
      <c r="J53">
        <v>4</v>
      </c>
      <c r="K53" t="s">
        <v>56</v>
      </c>
      <c r="L53">
        <v>1</v>
      </c>
      <c r="M53">
        <v>3</v>
      </c>
      <c r="N53" t="s">
        <v>46</v>
      </c>
      <c r="O53">
        <v>50</v>
      </c>
      <c r="P53">
        <v>3</v>
      </c>
      <c r="Q53">
        <v>1</v>
      </c>
      <c r="R53" t="s">
        <v>40</v>
      </c>
      <c r="S53">
        <v>3</v>
      </c>
      <c r="T53" t="str" cm="1">
        <f t="array" ref="T53">_xlfn.IFS(S53&lt;=2,"Poor",S53&lt;=3,"Fair",S53&gt;=4,"Good")</f>
        <v>Fair</v>
      </c>
      <c r="U53" t="s">
        <v>41</v>
      </c>
      <c r="V53" s="1">
        <v>3441</v>
      </c>
      <c r="W53" t="str" cm="1">
        <f t="array" ref="W53">_xlfn.IFS(V53&lt;=5000,"Low Salary",V53&lt;=12000,"Good Salary",V53&gt;12000,"High Salary")</f>
        <v>Low Salary</v>
      </c>
      <c r="X53">
        <v>11179</v>
      </c>
      <c r="Y53">
        <v>1</v>
      </c>
      <c r="Z53" t="s">
        <v>42</v>
      </c>
      <c r="AA53" t="s">
        <v>43</v>
      </c>
      <c r="AB53">
        <v>13</v>
      </c>
      <c r="AC53">
        <v>3</v>
      </c>
      <c r="AD53" t="str">
        <f t="shared" si="1"/>
        <v>Low Performance</v>
      </c>
      <c r="AE53">
        <v>3</v>
      </c>
      <c r="AF53">
        <v>80</v>
      </c>
      <c r="AG53">
        <v>0</v>
      </c>
      <c r="AH53">
        <v>2</v>
      </c>
      <c r="AI53">
        <v>3</v>
      </c>
      <c r="AJ53">
        <v>2</v>
      </c>
      <c r="AK53" t="str" cm="1">
        <f t="array" ref="AK53">_xlfn.IFS(AJ53&lt;=2,"Poor",AJ53&lt;=3,"Fair",AJ53&gt;3,"Good")</f>
        <v>Poor</v>
      </c>
      <c r="AL53">
        <v>2</v>
      </c>
      <c r="AM53">
        <v>2</v>
      </c>
      <c r="AN53">
        <v>2</v>
      </c>
      <c r="AO53">
        <v>2</v>
      </c>
    </row>
    <row r="54" spans="1:41" x14ac:dyDescent="0.2">
      <c r="A54">
        <v>1127416</v>
      </c>
      <c r="B54">
        <v>44</v>
      </c>
      <c r="C54" t="str" cm="1">
        <f t="array" ref="C54">_xlfn.IFS(B54&lt;=25,"15-25",B54&lt;=35,"26-35",B54&lt;=45,"36-45",B54&lt;=55,"46-55",B54&lt;=65,"56-65")</f>
        <v>36-45</v>
      </c>
      <c r="D54" t="s">
        <v>35</v>
      </c>
      <c r="E54" t="str">
        <f t="shared" si="0"/>
        <v>Current Employee</v>
      </c>
      <c r="F54" t="s">
        <v>36</v>
      </c>
      <c r="G54">
        <v>1488</v>
      </c>
      <c r="H54" t="s">
        <v>37</v>
      </c>
      <c r="I54">
        <v>1</v>
      </c>
      <c r="J54">
        <v>5</v>
      </c>
      <c r="K54" t="s">
        <v>55</v>
      </c>
      <c r="L54">
        <v>1</v>
      </c>
      <c r="M54">
        <v>2</v>
      </c>
      <c r="N54" t="s">
        <v>39</v>
      </c>
      <c r="O54">
        <v>75</v>
      </c>
      <c r="P54">
        <v>3</v>
      </c>
      <c r="Q54">
        <v>2</v>
      </c>
      <c r="R54" t="s">
        <v>40</v>
      </c>
      <c r="S54">
        <v>1</v>
      </c>
      <c r="T54" t="str" cm="1">
        <f t="array" ref="T54">_xlfn.IFS(S54&lt;=2,"Poor",S54&lt;=3,"Fair",S54&gt;=4,"Good")</f>
        <v>Poor</v>
      </c>
      <c r="U54" t="s">
        <v>50</v>
      </c>
      <c r="V54" s="1">
        <v>5454</v>
      </c>
      <c r="W54" t="str" cm="1">
        <f t="array" ref="W54">_xlfn.IFS(V54&lt;=5000,"Low Salary",V54&lt;=12000,"Good Salary",V54&gt;12000,"High Salary")</f>
        <v>Good Salary</v>
      </c>
      <c r="X54">
        <v>4009</v>
      </c>
      <c r="Y54">
        <v>5</v>
      </c>
      <c r="Z54" t="s">
        <v>42</v>
      </c>
      <c r="AA54" t="s">
        <v>43</v>
      </c>
      <c r="AB54">
        <v>21</v>
      </c>
      <c r="AC54">
        <v>4</v>
      </c>
      <c r="AD54" t="str">
        <f t="shared" si="1"/>
        <v>High Performance</v>
      </c>
      <c r="AE54">
        <v>3</v>
      </c>
      <c r="AF54">
        <v>80</v>
      </c>
      <c r="AG54">
        <v>1</v>
      </c>
      <c r="AH54">
        <v>9</v>
      </c>
      <c r="AI54">
        <v>2</v>
      </c>
      <c r="AJ54">
        <v>2</v>
      </c>
      <c r="AK54" t="str" cm="1">
        <f t="array" ref="AK54">_xlfn.IFS(AJ54&lt;=2,"Poor",AJ54&lt;=3,"Fair",AJ54&gt;3,"Good")</f>
        <v>Poor</v>
      </c>
      <c r="AL54">
        <v>4</v>
      </c>
      <c r="AM54">
        <v>3</v>
      </c>
      <c r="AN54">
        <v>1</v>
      </c>
      <c r="AO54">
        <v>3</v>
      </c>
    </row>
    <row r="55" spans="1:41" x14ac:dyDescent="0.2">
      <c r="A55">
        <v>1710090</v>
      </c>
      <c r="B55">
        <v>35</v>
      </c>
      <c r="C55" t="str" cm="1">
        <f t="array" ref="C55">_xlfn.IFS(B55&lt;=25,"15-25",B55&lt;=35,"26-35",B55&lt;=45,"36-45",B55&lt;=55,"46-55",B55&lt;=65,"56-65")</f>
        <v>26-35</v>
      </c>
      <c r="D55" t="s">
        <v>35</v>
      </c>
      <c r="E55" t="str">
        <f t="shared" si="0"/>
        <v>Current Employee</v>
      </c>
      <c r="F55" t="s">
        <v>52</v>
      </c>
      <c r="G55">
        <v>1097</v>
      </c>
      <c r="H55" t="s">
        <v>45</v>
      </c>
      <c r="I55">
        <v>11</v>
      </c>
      <c r="J55">
        <v>2</v>
      </c>
      <c r="K55" t="s">
        <v>49</v>
      </c>
      <c r="L55">
        <v>1</v>
      </c>
      <c r="M55">
        <v>3</v>
      </c>
      <c r="N55" t="s">
        <v>46</v>
      </c>
      <c r="O55">
        <v>79</v>
      </c>
      <c r="P55">
        <v>2</v>
      </c>
      <c r="Q55">
        <v>3</v>
      </c>
      <c r="R55" t="s">
        <v>40</v>
      </c>
      <c r="S55">
        <v>1</v>
      </c>
      <c r="T55" t="str" cm="1">
        <f t="array" ref="T55">_xlfn.IFS(S55&lt;=2,"Poor",S55&lt;=3,"Fair",S55&gt;=4,"Good")</f>
        <v>Poor</v>
      </c>
      <c r="U55" t="s">
        <v>48</v>
      </c>
      <c r="V55" s="1">
        <v>9884</v>
      </c>
      <c r="W55" t="str" cm="1">
        <f t="array" ref="W55">_xlfn.IFS(V55&lt;=5000,"Low Salary",V55&lt;=12000,"Good Salary",V55&gt;12000,"High Salary")</f>
        <v>Good Salary</v>
      </c>
      <c r="X55">
        <v>8302</v>
      </c>
      <c r="Y55">
        <v>2</v>
      </c>
      <c r="Z55" t="s">
        <v>42</v>
      </c>
      <c r="AA55" t="s">
        <v>43</v>
      </c>
      <c r="AB55">
        <v>13</v>
      </c>
      <c r="AC55">
        <v>3</v>
      </c>
      <c r="AD55" t="str">
        <f t="shared" si="1"/>
        <v>Low Performance</v>
      </c>
      <c r="AE55">
        <v>3</v>
      </c>
      <c r="AF55">
        <v>80</v>
      </c>
      <c r="AG55">
        <v>1</v>
      </c>
      <c r="AH55">
        <v>10</v>
      </c>
      <c r="AI55">
        <v>3</v>
      </c>
      <c r="AJ55">
        <v>3</v>
      </c>
      <c r="AK55" t="str" cm="1">
        <f t="array" ref="AK55">_xlfn.IFS(AJ55&lt;=2,"Poor",AJ55&lt;=3,"Fair",AJ55&gt;3,"Good")</f>
        <v>Fair</v>
      </c>
      <c r="AL55">
        <v>4</v>
      </c>
      <c r="AM55">
        <v>0</v>
      </c>
      <c r="AN55">
        <v>2</v>
      </c>
      <c r="AO55">
        <v>3</v>
      </c>
    </row>
    <row r="56" spans="1:41" x14ac:dyDescent="0.2">
      <c r="A56">
        <v>1146606</v>
      </c>
      <c r="B56">
        <v>26</v>
      </c>
      <c r="C56" t="str" cm="1">
        <f t="array" ref="C56">_xlfn.IFS(B56&lt;=25,"15-25",B56&lt;=35,"26-35",B56&lt;=45,"36-45",B56&lt;=55,"46-55",B56&lt;=65,"56-65")</f>
        <v>26-35</v>
      </c>
      <c r="D56" t="s">
        <v>43</v>
      </c>
      <c r="E56" t="str">
        <f t="shared" si="0"/>
        <v>Former Employee</v>
      </c>
      <c r="F56" t="s">
        <v>36</v>
      </c>
      <c r="G56">
        <v>1443</v>
      </c>
      <c r="H56" t="s">
        <v>37</v>
      </c>
      <c r="I56">
        <v>23</v>
      </c>
      <c r="J56">
        <v>3</v>
      </c>
      <c r="K56" t="s">
        <v>55</v>
      </c>
      <c r="L56">
        <v>1</v>
      </c>
      <c r="M56">
        <v>3</v>
      </c>
      <c r="N56" t="s">
        <v>39</v>
      </c>
      <c r="O56">
        <v>47</v>
      </c>
      <c r="P56">
        <v>2</v>
      </c>
      <c r="Q56">
        <v>2</v>
      </c>
      <c r="R56" t="s">
        <v>40</v>
      </c>
      <c r="S56">
        <v>4</v>
      </c>
      <c r="T56" t="str" cm="1">
        <f t="array" ref="T56">_xlfn.IFS(S56&lt;=2,"Poor",S56&lt;=3,"Fair",S56&gt;=4,"Good")</f>
        <v>Good</v>
      </c>
      <c r="U56" t="s">
        <v>48</v>
      </c>
      <c r="V56" s="1">
        <v>4157</v>
      </c>
      <c r="W56" t="str" cm="1">
        <f t="array" ref="W56">_xlfn.IFS(V56&lt;=5000,"Low Salary",V56&lt;=12000,"Good Salary",V56&gt;12000,"High Salary")</f>
        <v>Low Salary</v>
      </c>
      <c r="X56">
        <v>21436</v>
      </c>
      <c r="Y56">
        <v>7</v>
      </c>
      <c r="Z56" t="s">
        <v>42</v>
      </c>
      <c r="AA56" t="s">
        <v>43</v>
      </c>
      <c r="AB56">
        <v>19</v>
      </c>
      <c r="AC56">
        <v>3</v>
      </c>
      <c r="AD56" t="str">
        <f t="shared" si="1"/>
        <v>Low Performance</v>
      </c>
      <c r="AE56">
        <v>3</v>
      </c>
      <c r="AF56">
        <v>80</v>
      </c>
      <c r="AG56">
        <v>1</v>
      </c>
      <c r="AH56">
        <v>5</v>
      </c>
      <c r="AI56">
        <v>2</v>
      </c>
      <c r="AJ56">
        <v>2</v>
      </c>
      <c r="AK56" t="str" cm="1">
        <f t="array" ref="AK56">_xlfn.IFS(AJ56&lt;=2,"Poor",AJ56&lt;=3,"Fair",AJ56&gt;3,"Good")</f>
        <v>Poor</v>
      </c>
      <c r="AL56">
        <v>2</v>
      </c>
      <c r="AM56">
        <v>2</v>
      </c>
      <c r="AN56">
        <v>0</v>
      </c>
      <c r="AO56">
        <v>0</v>
      </c>
    </row>
    <row r="57" spans="1:41" x14ac:dyDescent="0.2">
      <c r="A57">
        <v>1674685</v>
      </c>
      <c r="B57">
        <v>33</v>
      </c>
      <c r="C57" t="str" cm="1">
        <f t="array" ref="C57">_xlfn.IFS(B57&lt;=25,"15-25",B57&lt;=35,"26-35",B57&lt;=45,"36-45",B57&lt;=55,"46-55",B57&lt;=65,"56-65")</f>
        <v>26-35</v>
      </c>
      <c r="D57" t="s">
        <v>35</v>
      </c>
      <c r="E57" t="str">
        <f t="shared" si="0"/>
        <v>Current Employee</v>
      </c>
      <c r="F57" t="s">
        <v>44</v>
      </c>
      <c r="G57">
        <v>515</v>
      </c>
      <c r="H57" t="s">
        <v>54</v>
      </c>
      <c r="I57">
        <v>1</v>
      </c>
      <c r="J57">
        <v>2</v>
      </c>
      <c r="K57" t="s">
        <v>38</v>
      </c>
      <c r="L57">
        <v>1</v>
      </c>
      <c r="M57">
        <v>1</v>
      </c>
      <c r="N57" t="s">
        <v>39</v>
      </c>
      <c r="O57">
        <v>98</v>
      </c>
      <c r="P57">
        <v>3</v>
      </c>
      <c r="Q57">
        <v>3</v>
      </c>
      <c r="R57" t="s">
        <v>47</v>
      </c>
      <c r="S57">
        <v>4</v>
      </c>
      <c r="T57" t="str" cm="1">
        <f t="array" ref="T57">_xlfn.IFS(S57&lt;=2,"Poor",S57&lt;=3,"Fair",S57&gt;=4,"Good")</f>
        <v>Good</v>
      </c>
      <c r="U57" t="s">
        <v>41</v>
      </c>
      <c r="V57" s="1">
        <v>13458</v>
      </c>
      <c r="W57" t="str" cm="1">
        <f t="array" ref="W57">_xlfn.IFS(V57&lt;=5000,"Low Salary",V57&lt;=12000,"Good Salary",V57&gt;12000,"High Salary")</f>
        <v>High Salary</v>
      </c>
      <c r="X57">
        <v>15146</v>
      </c>
      <c r="Y57">
        <v>1</v>
      </c>
      <c r="Z57" t="s">
        <v>42</v>
      </c>
      <c r="AA57" t="s">
        <v>43</v>
      </c>
      <c r="AB57">
        <v>12</v>
      </c>
      <c r="AC57">
        <v>3</v>
      </c>
      <c r="AD57" t="str">
        <f t="shared" si="1"/>
        <v>Low Performance</v>
      </c>
      <c r="AE57">
        <v>3</v>
      </c>
      <c r="AF57">
        <v>80</v>
      </c>
      <c r="AG57">
        <v>0</v>
      </c>
      <c r="AH57">
        <v>15</v>
      </c>
      <c r="AI57">
        <v>1</v>
      </c>
      <c r="AJ57">
        <v>3</v>
      </c>
      <c r="AK57" t="str" cm="1">
        <f t="array" ref="AK57">_xlfn.IFS(AJ57&lt;=2,"Poor",AJ57&lt;=3,"Fair",AJ57&gt;3,"Good")</f>
        <v>Fair</v>
      </c>
      <c r="AL57">
        <v>15</v>
      </c>
      <c r="AM57">
        <v>14</v>
      </c>
      <c r="AN57">
        <v>8</v>
      </c>
      <c r="AO57">
        <v>12</v>
      </c>
    </row>
    <row r="58" spans="1:41" x14ac:dyDescent="0.2">
      <c r="A58">
        <v>1477077</v>
      </c>
      <c r="B58">
        <v>35</v>
      </c>
      <c r="C58" t="str" cm="1">
        <f t="array" ref="C58">_xlfn.IFS(B58&lt;=25,"15-25",B58&lt;=35,"26-35",B58&lt;=45,"36-45",B58&lt;=55,"46-55",B58&lt;=65,"56-65")</f>
        <v>26-35</v>
      </c>
      <c r="D58" t="s">
        <v>35</v>
      </c>
      <c r="E58" t="str">
        <f t="shared" si="0"/>
        <v>Current Employee</v>
      </c>
      <c r="F58" t="s">
        <v>44</v>
      </c>
      <c r="G58">
        <v>853</v>
      </c>
      <c r="H58" t="s">
        <v>37</v>
      </c>
      <c r="I58">
        <v>18</v>
      </c>
      <c r="J58">
        <v>5</v>
      </c>
      <c r="K58" t="s">
        <v>38</v>
      </c>
      <c r="L58">
        <v>1</v>
      </c>
      <c r="M58">
        <v>2</v>
      </c>
      <c r="N58" t="s">
        <v>46</v>
      </c>
      <c r="O58">
        <v>71</v>
      </c>
      <c r="P58">
        <v>3</v>
      </c>
      <c r="Q58">
        <v>3</v>
      </c>
      <c r="R58" t="s">
        <v>40</v>
      </c>
      <c r="S58">
        <v>1</v>
      </c>
      <c r="T58" t="str" cm="1">
        <f t="array" ref="T58">_xlfn.IFS(S58&lt;=2,"Poor",S58&lt;=3,"Fair",S58&gt;=4,"Good")</f>
        <v>Poor</v>
      </c>
      <c r="U58" t="s">
        <v>48</v>
      </c>
      <c r="V58" s="1">
        <v>9069</v>
      </c>
      <c r="W58" t="str" cm="1">
        <f t="array" ref="W58">_xlfn.IFS(V58&lt;=5000,"Low Salary",V58&lt;=12000,"Good Salary",V58&gt;12000,"High Salary")</f>
        <v>Good Salary</v>
      </c>
      <c r="X58">
        <v>11031</v>
      </c>
      <c r="Y58">
        <v>1</v>
      </c>
      <c r="Z58" t="s">
        <v>42</v>
      </c>
      <c r="AA58" t="s">
        <v>35</v>
      </c>
      <c r="AB58">
        <v>22</v>
      </c>
      <c r="AC58">
        <v>4</v>
      </c>
      <c r="AD58" t="str">
        <f t="shared" si="1"/>
        <v>High Performance</v>
      </c>
      <c r="AE58">
        <v>4</v>
      </c>
      <c r="AF58">
        <v>80</v>
      </c>
      <c r="AG58">
        <v>1</v>
      </c>
      <c r="AH58">
        <v>9</v>
      </c>
      <c r="AI58">
        <v>3</v>
      </c>
      <c r="AJ58">
        <v>2</v>
      </c>
      <c r="AK58" t="str" cm="1">
        <f t="array" ref="AK58">_xlfn.IFS(AJ58&lt;=2,"Poor",AJ58&lt;=3,"Fair",AJ58&gt;3,"Good")</f>
        <v>Poor</v>
      </c>
      <c r="AL58">
        <v>9</v>
      </c>
      <c r="AM58">
        <v>8</v>
      </c>
      <c r="AN58">
        <v>1</v>
      </c>
      <c r="AO58">
        <v>8</v>
      </c>
    </row>
    <row r="59" spans="1:41" x14ac:dyDescent="0.2">
      <c r="A59">
        <v>1269275</v>
      </c>
      <c r="B59">
        <v>35</v>
      </c>
      <c r="C59" t="str" cm="1">
        <f t="array" ref="C59">_xlfn.IFS(B59&lt;=25,"15-25",B59&lt;=35,"26-35",B59&lt;=45,"36-45",B59&lt;=55,"46-55",B59&lt;=65,"56-65")</f>
        <v>26-35</v>
      </c>
      <c r="D59" t="s">
        <v>35</v>
      </c>
      <c r="E59" t="str">
        <f t="shared" si="0"/>
        <v>Current Employee</v>
      </c>
      <c r="F59" t="s">
        <v>36</v>
      </c>
      <c r="G59">
        <v>1142</v>
      </c>
      <c r="H59" t="s">
        <v>45</v>
      </c>
      <c r="I59">
        <v>23</v>
      </c>
      <c r="J59">
        <v>4</v>
      </c>
      <c r="K59" t="s">
        <v>49</v>
      </c>
      <c r="L59">
        <v>1</v>
      </c>
      <c r="M59">
        <v>3</v>
      </c>
      <c r="N59" t="s">
        <v>39</v>
      </c>
      <c r="O59">
        <v>30</v>
      </c>
      <c r="P59">
        <v>3</v>
      </c>
      <c r="Q59">
        <v>1</v>
      </c>
      <c r="R59" t="s">
        <v>40</v>
      </c>
      <c r="S59">
        <v>1</v>
      </c>
      <c r="T59" t="str" cm="1">
        <f t="array" ref="T59">_xlfn.IFS(S59&lt;=2,"Poor",S59&lt;=3,"Fair",S59&gt;=4,"Good")</f>
        <v>Poor</v>
      </c>
      <c r="U59" t="s">
        <v>48</v>
      </c>
      <c r="V59" s="1">
        <v>4014</v>
      </c>
      <c r="W59" t="str" cm="1">
        <f t="array" ref="W59">_xlfn.IFS(V59&lt;=5000,"Low Salary",V59&lt;=12000,"Good Salary",V59&gt;12000,"High Salary")</f>
        <v>Low Salary</v>
      </c>
      <c r="X59">
        <v>16002</v>
      </c>
      <c r="Y59">
        <v>3</v>
      </c>
      <c r="Z59" t="s">
        <v>42</v>
      </c>
      <c r="AA59" t="s">
        <v>43</v>
      </c>
      <c r="AB59">
        <v>15</v>
      </c>
      <c r="AC59">
        <v>3</v>
      </c>
      <c r="AD59" t="str">
        <f t="shared" si="1"/>
        <v>Low Performance</v>
      </c>
      <c r="AE59">
        <v>3</v>
      </c>
      <c r="AF59">
        <v>80</v>
      </c>
      <c r="AG59">
        <v>1</v>
      </c>
      <c r="AH59">
        <v>4</v>
      </c>
      <c r="AI59">
        <v>3</v>
      </c>
      <c r="AJ59">
        <v>3</v>
      </c>
      <c r="AK59" t="str" cm="1">
        <f t="array" ref="AK59">_xlfn.IFS(AJ59&lt;=2,"Poor",AJ59&lt;=3,"Fair",AJ59&gt;3,"Good")</f>
        <v>Fair</v>
      </c>
      <c r="AL59">
        <v>2</v>
      </c>
      <c r="AM59">
        <v>2</v>
      </c>
      <c r="AN59">
        <v>2</v>
      </c>
      <c r="AO59">
        <v>2</v>
      </c>
    </row>
    <row r="60" spans="1:41" x14ac:dyDescent="0.2">
      <c r="A60">
        <v>1620694</v>
      </c>
      <c r="B60">
        <v>31</v>
      </c>
      <c r="C60" t="str" cm="1">
        <f t="array" ref="C60">_xlfn.IFS(B60&lt;=25,"15-25",B60&lt;=35,"26-35",B60&lt;=45,"36-45",B60&lt;=55,"46-55",B60&lt;=65,"56-65")</f>
        <v>26-35</v>
      </c>
      <c r="D60" t="s">
        <v>35</v>
      </c>
      <c r="E60" t="str">
        <f t="shared" si="0"/>
        <v>Current Employee</v>
      </c>
      <c r="F60" t="s">
        <v>36</v>
      </c>
      <c r="G60">
        <v>655</v>
      </c>
      <c r="H60" t="s">
        <v>45</v>
      </c>
      <c r="I60">
        <v>7</v>
      </c>
      <c r="J60">
        <v>4</v>
      </c>
      <c r="K60" t="s">
        <v>38</v>
      </c>
      <c r="L60">
        <v>1</v>
      </c>
      <c r="M60">
        <v>4</v>
      </c>
      <c r="N60" t="s">
        <v>46</v>
      </c>
      <c r="O60">
        <v>48</v>
      </c>
      <c r="P60">
        <v>3</v>
      </c>
      <c r="Q60">
        <v>2</v>
      </c>
      <c r="R60" t="s">
        <v>40</v>
      </c>
      <c r="S60">
        <v>4</v>
      </c>
      <c r="T60" t="str" cm="1">
        <f t="array" ref="T60">_xlfn.IFS(S60&lt;=2,"Poor",S60&lt;=3,"Fair",S60&gt;=4,"Good")</f>
        <v>Good</v>
      </c>
      <c r="U60" t="s">
        <v>50</v>
      </c>
      <c r="V60" s="1">
        <v>5915</v>
      </c>
      <c r="W60" t="str" cm="1">
        <f t="array" ref="W60">_xlfn.IFS(V60&lt;=5000,"Low Salary",V60&lt;=12000,"Good Salary",V60&gt;12000,"High Salary")</f>
        <v>Good Salary</v>
      </c>
      <c r="X60">
        <v>9528</v>
      </c>
      <c r="Y60">
        <v>3</v>
      </c>
      <c r="Z60" t="s">
        <v>42</v>
      </c>
      <c r="AA60" t="s">
        <v>35</v>
      </c>
      <c r="AB60">
        <v>22</v>
      </c>
      <c r="AC60">
        <v>4</v>
      </c>
      <c r="AD60" t="str">
        <f t="shared" si="1"/>
        <v>High Performance</v>
      </c>
      <c r="AE60">
        <v>4</v>
      </c>
      <c r="AF60">
        <v>80</v>
      </c>
      <c r="AG60">
        <v>1</v>
      </c>
      <c r="AH60">
        <v>10</v>
      </c>
      <c r="AI60">
        <v>3</v>
      </c>
      <c r="AJ60">
        <v>2</v>
      </c>
      <c r="AK60" t="str" cm="1">
        <f t="array" ref="AK60">_xlfn.IFS(AJ60&lt;=2,"Poor",AJ60&lt;=3,"Fair",AJ60&gt;3,"Good")</f>
        <v>Poor</v>
      </c>
      <c r="AL60">
        <v>7</v>
      </c>
      <c r="AM60">
        <v>7</v>
      </c>
      <c r="AN60">
        <v>1</v>
      </c>
      <c r="AO60">
        <v>7</v>
      </c>
    </row>
    <row r="61" spans="1:41" x14ac:dyDescent="0.2">
      <c r="A61">
        <v>1618486</v>
      </c>
      <c r="B61">
        <v>37</v>
      </c>
      <c r="C61" t="str" cm="1">
        <f t="array" ref="C61">_xlfn.IFS(B61&lt;=25,"15-25",B61&lt;=35,"26-35",B61&lt;=45,"36-45",B61&lt;=55,"46-55",B61&lt;=65,"56-65")</f>
        <v>36-45</v>
      </c>
      <c r="D61" t="s">
        <v>35</v>
      </c>
      <c r="E61" t="str">
        <f t="shared" si="0"/>
        <v>Current Employee</v>
      </c>
      <c r="F61" t="s">
        <v>36</v>
      </c>
      <c r="G61">
        <v>1115</v>
      </c>
      <c r="H61" t="s">
        <v>54</v>
      </c>
      <c r="I61">
        <v>1</v>
      </c>
      <c r="J61">
        <v>4</v>
      </c>
      <c r="K61" t="s">
        <v>38</v>
      </c>
      <c r="L61">
        <v>1</v>
      </c>
      <c r="M61">
        <v>1</v>
      </c>
      <c r="N61" t="s">
        <v>46</v>
      </c>
      <c r="O61">
        <v>51</v>
      </c>
      <c r="P61">
        <v>2</v>
      </c>
      <c r="Q61">
        <v>2</v>
      </c>
      <c r="R61" t="s">
        <v>51</v>
      </c>
      <c r="S61">
        <v>3</v>
      </c>
      <c r="T61" t="str" cm="1">
        <f t="array" ref="T61">_xlfn.IFS(S61&lt;=2,"Poor",S61&lt;=3,"Fair",S61&gt;=4,"Good")</f>
        <v>Fair</v>
      </c>
      <c r="U61" t="s">
        <v>50</v>
      </c>
      <c r="V61" s="1">
        <v>5993</v>
      </c>
      <c r="W61" t="str" cm="1">
        <f t="array" ref="W61">_xlfn.IFS(V61&lt;=5000,"Low Salary",V61&lt;=12000,"Good Salary",V61&gt;12000,"High Salary")</f>
        <v>Good Salary</v>
      </c>
      <c r="X61">
        <v>2689</v>
      </c>
      <c r="Y61">
        <v>1</v>
      </c>
      <c r="Z61" t="s">
        <v>42</v>
      </c>
      <c r="AA61" t="s">
        <v>35</v>
      </c>
      <c r="AB61">
        <v>18</v>
      </c>
      <c r="AC61">
        <v>3</v>
      </c>
      <c r="AD61" t="str">
        <f t="shared" si="1"/>
        <v>Low Performance</v>
      </c>
      <c r="AE61">
        <v>3</v>
      </c>
      <c r="AF61">
        <v>80</v>
      </c>
      <c r="AG61">
        <v>1</v>
      </c>
      <c r="AH61">
        <v>7</v>
      </c>
      <c r="AI61">
        <v>2</v>
      </c>
      <c r="AJ61">
        <v>4</v>
      </c>
      <c r="AK61" t="str" cm="1">
        <f t="array" ref="AK61">_xlfn.IFS(AJ61&lt;=2,"Poor",AJ61&lt;=3,"Fair",AJ61&gt;3,"Good")</f>
        <v>Good</v>
      </c>
      <c r="AL61">
        <v>7</v>
      </c>
      <c r="AM61">
        <v>5</v>
      </c>
      <c r="AN61">
        <v>0</v>
      </c>
      <c r="AO61">
        <v>7</v>
      </c>
    </row>
    <row r="62" spans="1:41" x14ac:dyDescent="0.2">
      <c r="A62">
        <v>1208054</v>
      </c>
      <c r="B62">
        <v>32</v>
      </c>
      <c r="C62" t="str" cm="1">
        <f t="array" ref="C62">_xlfn.IFS(B62&lt;=25,"15-25",B62&lt;=35,"26-35",B62&lt;=45,"36-45",B62&lt;=55,"46-55",B62&lt;=65,"56-65")</f>
        <v>26-35</v>
      </c>
      <c r="D62" t="s">
        <v>35</v>
      </c>
      <c r="E62" t="str">
        <f t="shared" si="0"/>
        <v>Current Employee</v>
      </c>
      <c r="F62" t="s">
        <v>36</v>
      </c>
      <c r="G62">
        <v>427</v>
      </c>
      <c r="H62" t="s">
        <v>54</v>
      </c>
      <c r="I62">
        <v>1</v>
      </c>
      <c r="J62">
        <v>3</v>
      </c>
      <c r="K62" t="s">
        <v>49</v>
      </c>
      <c r="L62">
        <v>1</v>
      </c>
      <c r="M62">
        <v>1</v>
      </c>
      <c r="N62" t="s">
        <v>46</v>
      </c>
      <c r="O62">
        <v>33</v>
      </c>
      <c r="P62">
        <v>3</v>
      </c>
      <c r="Q62">
        <v>2</v>
      </c>
      <c r="R62" t="s">
        <v>51</v>
      </c>
      <c r="S62">
        <v>4</v>
      </c>
      <c r="T62" t="str" cm="1">
        <f t="array" ref="T62">_xlfn.IFS(S62&lt;=2,"Poor",S62&lt;=3,"Fair",S62&gt;=4,"Good")</f>
        <v>Good</v>
      </c>
      <c r="U62" t="s">
        <v>48</v>
      </c>
      <c r="V62" s="1">
        <v>6162</v>
      </c>
      <c r="W62" t="str" cm="1">
        <f t="array" ref="W62">_xlfn.IFS(V62&lt;=5000,"Low Salary",V62&lt;=12000,"Good Salary",V62&gt;12000,"High Salary")</f>
        <v>Good Salary</v>
      </c>
      <c r="X62">
        <v>10877</v>
      </c>
      <c r="Y62">
        <v>1</v>
      </c>
      <c r="Z62" t="s">
        <v>42</v>
      </c>
      <c r="AA62" t="s">
        <v>43</v>
      </c>
      <c r="AB62">
        <v>22</v>
      </c>
      <c r="AC62">
        <v>4</v>
      </c>
      <c r="AD62" t="str">
        <f t="shared" si="1"/>
        <v>High Performance</v>
      </c>
      <c r="AE62">
        <v>2</v>
      </c>
      <c r="AF62">
        <v>80</v>
      </c>
      <c r="AG62">
        <v>1</v>
      </c>
      <c r="AH62">
        <v>9</v>
      </c>
      <c r="AI62">
        <v>3</v>
      </c>
      <c r="AJ62">
        <v>3</v>
      </c>
      <c r="AK62" t="str" cm="1">
        <f t="array" ref="AK62">_xlfn.IFS(AJ62&lt;=2,"Poor",AJ62&lt;=3,"Fair",AJ62&gt;3,"Good")</f>
        <v>Fair</v>
      </c>
      <c r="AL62">
        <v>9</v>
      </c>
      <c r="AM62">
        <v>8</v>
      </c>
      <c r="AN62">
        <v>7</v>
      </c>
      <c r="AO62">
        <v>8</v>
      </c>
    </row>
    <row r="63" spans="1:41" x14ac:dyDescent="0.2">
      <c r="A63">
        <v>1545352</v>
      </c>
      <c r="B63">
        <v>38</v>
      </c>
      <c r="C63" t="str" cm="1">
        <f t="array" ref="C63">_xlfn.IFS(B63&lt;=25,"15-25",B63&lt;=35,"26-35",B63&lt;=45,"36-45",B63&lt;=55,"46-55",B63&lt;=65,"56-65")</f>
        <v>36-45</v>
      </c>
      <c r="D63" t="s">
        <v>35</v>
      </c>
      <c r="E63" t="str">
        <f t="shared" si="0"/>
        <v>Current Employee</v>
      </c>
      <c r="F63" t="s">
        <v>44</v>
      </c>
      <c r="G63">
        <v>653</v>
      </c>
      <c r="H63" t="s">
        <v>45</v>
      </c>
      <c r="I63">
        <v>29</v>
      </c>
      <c r="J63">
        <v>5</v>
      </c>
      <c r="K63" t="s">
        <v>38</v>
      </c>
      <c r="L63">
        <v>1</v>
      </c>
      <c r="M63">
        <v>4</v>
      </c>
      <c r="N63" t="s">
        <v>39</v>
      </c>
      <c r="O63">
        <v>50</v>
      </c>
      <c r="P63">
        <v>3</v>
      </c>
      <c r="Q63">
        <v>2</v>
      </c>
      <c r="R63" t="s">
        <v>40</v>
      </c>
      <c r="S63">
        <v>4</v>
      </c>
      <c r="T63" t="str" cm="1">
        <f t="array" ref="T63">_xlfn.IFS(S63&lt;=2,"Poor",S63&lt;=3,"Fair",S63&gt;=4,"Good")</f>
        <v>Good</v>
      </c>
      <c r="U63" t="s">
        <v>41</v>
      </c>
      <c r="V63" s="1">
        <v>2406</v>
      </c>
      <c r="W63" t="str" cm="1">
        <f t="array" ref="W63">_xlfn.IFS(V63&lt;=5000,"Low Salary",V63&lt;=12000,"Good Salary",V63&gt;12000,"High Salary")</f>
        <v>Low Salary</v>
      </c>
      <c r="X63">
        <v>5456</v>
      </c>
      <c r="Y63">
        <v>1</v>
      </c>
      <c r="Z63" t="s">
        <v>42</v>
      </c>
      <c r="AA63" t="s">
        <v>35</v>
      </c>
      <c r="AB63">
        <v>11</v>
      </c>
      <c r="AC63">
        <v>3</v>
      </c>
      <c r="AD63" t="str">
        <f t="shared" si="1"/>
        <v>Low Performance</v>
      </c>
      <c r="AE63">
        <v>4</v>
      </c>
      <c r="AF63">
        <v>80</v>
      </c>
      <c r="AG63">
        <v>0</v>
      </c>
      <c r="AH63">
        <v>10</v>
      </c>
      <c r="AI63">
        <v>2</v>
      </c>
      <c r="AJ63">
        <v>3</v>
      </c>
      <c r="AK63" t="str" cm="1">
        <f t="array" ref="AK63">_xlfn.IFS(AJ63&lt;=2,"Poor",AJ63&lt;=3,"Fair",AJ63&gt;3,"Good")</f>
        <v>Fair</v>
      </c>
      <c r="AL63">
        <v>10</v>
      </c>
      <c r="AM63">
        <v>3</v>
      </c>
      <c r="AN63">
        <v>9</v>
      </c>
      <c r="AO63">
        <v>9</v>
      </c>
    </row>
    <row r="64" spans="1:41" x14ac:dyDescent="0.2">
      <c r="A64">
        <v>1665908</v>
      </c>
      <c r="B64">
        <v>50</v>
      </c>
      <c r="C64" t="str" cm="1">
        <f t="array" ref="C64">_xlfn.IFS(B64&lt;=25,"15-25",B64&lt;=35,"26-35",B64&lt;=45,"36-45",B64&lt;=55,"46-55",B64&lt;=65,"56-65")</f>
        <v>46-55</v>
      </c>
      <c r="D64" t="s">
        <v>35</v>
      </c>
      <c r="E64" t="str">
        <f t="shared" si="0"/>
        <v>Current Employee</v>
      </c>
      <c r="F64" t="s">
        <v>36</v>
      </c>
      <c r="G64">
        <v>989</v>
      </c>
      <c r="H64" t="s">
        <v>54</v>
      </c>
      <c r="I64">
        <v>7</v>
      </c>
      <c r="J64">
        <v>2</v>
      </c>
      <c r="K64" t="s">
        <v>49</v>
      </c>
      <c r="L64">
        <v>1</v>
      </c>
      <c r="M64">
        <v>2</v>
      </c>
      <c r="N64" t="s">
        <v>39</v>
      </c>
      <c r="O64">
        <v>43</v>
      </c>
      <c r="P64">
        <v>2</v>
      </c>
      <c r="Q64">
        <v>5</v>
      </c>
      <c r="R64" t="s">
        <v>47</v>
      </c>
      <c r="S64">
        <v>3</v>
      </c>
      <c r="T64" t="str" cm="1">
        <f t="array" ref="T64">_xlfn.IFS(S64&lt;=2,"Poor",S64&lt;=3,"Fair",S64&gt;=4,"Good")</f>
        <v>Fair</v>
      </c>
      <c r="U64" t="s">
        <v>50</v>
      </c>
      <c r="V64" s="1">
        <v>18740</v>
      </c>
      <c r="W64" t="str" cm="1">
        <f t="array" ref="W64">_xlfn.IFS(V64&lt;=5000,"Low Salary",V64&lt;=12000,"Good Salary",V64&gt;12000,"High Salary")</f>
        <v>High Salary</v>
      </c>
      <c r="X64">
        <v>16701</v>
      </c>
      <c r="Y64">
        <v>5</v>
      </c>
      <c r="Z64" t="s">
        <v>42</v>
      </c>
      <c r="AA64" t="s">
        <v>43</v>
      </c>
      <c r="AB64">
        <v>12</v>
      </c>
      <c r="AC64">
        <v>3</v>
      </c>
      <c r="AD64" t="str">
        <f t="shared" si="1"/>
        <v>Low Performance</v>
      </c>
      <c r="AE64">
        <v>4</v>
      </c>
      <c r="AF64">
        <v>80</v>
      </c>
      <c r="AG64">
        <v>1</v>
      </c>
      <c r="AH64">
        <v>29</v>
      </c>
      <c r="AI64">
        <v>2</v>
      </c>
      <c r="AJ64">
        <v>2</v>
      </c>
      <c r="AK64" t="str" cm="1">
        <f t="array" ref="AK64">_xlfn.IFS(AJ64&lt;=2,"Poor",AJ64&lt;=3,"Fair",AJ64&gt;3,"Good")</f>
        <v>Poor</v>
      </c>
      <c r="AL64">
        <v>27</v>
      </c>
      <c r="AM64">
        <v>3</v>
      </c>
      <c r="AN64">
        <v>13</v>
      </c>
      <c r="AO64">
        <v>8</v>
      </c>
    </row>
    <row r="65" spans="1:41" x14ac:dyDescent="0.2">
      <c r="A65">
        <v>1312106</v>
      </c>
      <c r="B65">
        <v>59</v>
      </c>
      <c r="C65" t="str" cm="1">
        <f t="array" ref="C65">_xlfn.IFS(B65&lt;=25,"15-25",B65&lt;=35,"26-35",B65&lt;=45,"36-45",B65&lt;=55,"46-55",B65&lt;=65,"56-65")</f>
        <v>56-65</v>
      </c>
      <c r="D65" t="s">
        <v>35</v>
      </c>
      <c r="E65" t="str">
        <f t="shared" si="0"/>
        <v>Current Employee</v>
      </c>
      <c r="F65" t="s">
        <v>36</v>
      </c>
      <c r="G65">
        <v>1435</v>
      </c>
      <c r="H65" t="s">
        <v>37</v>
      </c>
      <c r="I65">
        <v>25</v>
      </c>
      <c r="J65">
        <v>3</v>
      </c>
      <c r="K65" t="s">
        <v>38</v>
      </c>
      <c r="L65">
        <v>1</v>
      </c>
      <c r="M65">
        <v>1</v>
      </c>
      <c r="N65" t="s">
        <v>39</v>
      </c>
      <c r="O65">
        <v>99</v>
      </c>
      <c r="P65">
        <v>3</v>
      </c>
      <c r="Q65">
        <v>3</v>
      </c>
      <c r="R65" t="s">
        <v>40</v>
      </c>
      <c r="S65">
        <v>1</v>
      </c>
      <c r="T65" t="str" cm="1">
        <f t="array" ref="T65">_xlfn.IFS(S65&lt;=2,"Poor",S65&lt;=3,"Fair",S65&gt;=4,"Good")</f>
        <v>Poor</v>
      </c>
      <c r="U65" t="s">
        <v>41</v>
      </c>
      <c r="V65" s="1">
        <v>7637</v>
      </c>
      <c r="W65" t="str" cm="1">
        <f t="array" ref="W65">_xlfn.IFS(V65&lt;=5000,"Low Salary",V65&lt;=12000,"Good Salary",V65&gt;12000,"High Salary")</f>
        <v>Good Salary</v>
      </c>
      <c r="X65">
        <v>2354</v>
      </c>
      <c r="Y65">
        <v>7</v>
      </c>
      <c r="Z65" t="s">
        <v>42</v>
      </c>
      <c r="AA65" t="s">
        <v>35</v>
      </c>
      <c r="AB65">
        <v>11</v>
      </c>
      <c r="AC65">
        <v>3</v>
      </c>
      <c r="AD65" t="str">
        <f t="shared" si="1"/>
        <v>Low Performance</v>
      </c>
      <c r="AE65">
        <v>4</v>
      </c>
      <c r="AF65">
        <v>80</v>
      </c>
      <c r="AG65">
        <v>0</v>
      </c>
      <c r="AH65">
        <v>28</v>
      </c>
      <c r="AI65">
        <v>3</v>
      </c>
      <c r="AJ65">
        <v>2</v>
      </c>
      <c r="AK65" t="str" cm="1">
        <f t="array" ref="AK65">_xlfn.IFS(AJ65&lt;=2,"Poor",AJ65&lt;=3,"Fair",AJ65&gt;3,"Good")</f>
        <v>Poor</v>
      </c>
      <c r="AL65">
        <v>21</v>
      </c>
      <c r="AM65">
        <v>16</v>
      </c>
      <c r="AN65">
        <v>7</v>
      </c>
      <c r="AO65">
        <v>9</v>
      </c>
    </row>
    <row r="66" spans="1:41" x14ac:dyDescent="0.2">
      <c r="A66">
        <v>1391215</v>
      </c>
      <c r="B66">
        <v>36</v>
      </c>
      <c r="C66" t="str" cm="1">
        <f t="array" ref="C66">_xlfn.IFS(B66&lt;=25,"15-25",B66&lt;=35,"26-35",B66&lt;=45,"36-45",B66&lt;=55,"46-55",B66&lt;=65,"56-65")</f>
        <v>36-45</v>
      </c>
      <c r="D66" t="s">
        <v>35</v>
      </c>
      <c r="E66" t="str">
        <f t="shared" si="0"/>
        <v>Current Employee</v>
      </c>
      <c r="F66" t="s">
        <v>36</v>
      </c>
      <c r="G66">
        <v>1223</v>
      </c>
      <c r="H66" t="s">
        <v>45</v>
      </c>
      <c r="I66">
        <v>8</v>
      </c>
      <c r="J66">
        <v>3</v>
      </c>
      <c r="K66" t="s">
        <v>56</v>
      </c>
      <c r="L66">
        <v>1</v>
      </c>
      <c r="M66">
        <v>3</v>
      </c>
      <c r="N66" t="s">
        <v>39</v>
      </c>
      <c r="O66">
        <v>59</v>
      </c>
      <c r="P66">
        <v>3</v>
      </c>
      <c r="Q66">
        <v>3</v>
      </c>
      <c r="R66" t="s">
        <v>40</v>
      </c>
      <c r="S66">
        <v>3</v>
      </c>
      <c r="T66" t="str" cm="1">
        <f t="array" ref="T66">_xlfn.IFS(S66&lt;=2,"Poor",S66&lt;=3,"Fair",S66&gt;=4,"Good")</f>
        <v>Fair</v>
      </c>
      <c r="U66" t="s">
        <v>50</v>
      </c>
      <c r="V66" s="1">
        <v>10096</v>
      </c>
      <c r="W66" t="str" cm="1">
        <f t="array" ref="W66">_xlfn.IFS(V66&lt;=5000,"Low Salary",V66&lt;=12000,"Good Salary",V66&gt;12000,"High Salary")</f>
        <v>Good Salary</v>
      </c>
      <c r="X66">
        <v>8202</v>
      </c>
      <c r="Y66">
        <v>1</v>
      </c>
      <c r="Z66" t="s">
        <v>42</v>
      </c>
      <c r="AA66" t="s">
        <v>35</v>
      </c>
      <c r="AB66">
        <v>13</v>
      </c>
      <c r="AC66">
        <v>3</v>
      </c>
      <c r="AD66" t="str">
        <f t="shared" si="1"/>
        <v>Low Performance</v>
      </c>
      <c r="AE66">
        <v>2</v>
      </c>
      <c r="AF66">
        <v>80</v>
      </c>
      <c r="AG66">
        <v>3</v>
      </c>
      <c r="AH66">
        <v>17</v>
      </c>
      <c r="AI66">
        <v>2</v>
      </c>
      <c r="AJ66">
        <v>3</v>
      </c>
      <c r="AK66" t="str" cm="1">
        <f t="array" ref="AK66">_xlfn.IFS(AJ66&lt;=2,"Poor",AJ66&lt;=3,"Fair",AJ66&gt;3,"Good")</f>
        <v>Fair</v>
      </c>
      <c r="AL66">
        <v>17</v>
      </c>
      <c r="AM66">
        <v>14</v>
      </c>
      <c r="AN66">
        <v>12</v>
      </c>
      <c r="AO66">
        <v>8</v>
      </c>
    </row>
    <row r="67" spans="1:41" x14ac:dyDescent="0.2">
      <c r="A67">
        <v>1677994</v>
      </c>
      <c r="B67">
        <v>55</v>
      </c>
      <c r="C67" t="str" cm="1">
        <f t="array" ref="C67">_xlfn.IFS(B67&lt;=25,"15-25",B67&lt;=35,"26-35",B67&lt;=45,"36-45",B67&lt;=55,"46-55",B67&lt;=65,"56-65")</f>
        <v>46-55</v>
      </c>
      <c r="D67" t="s">
        <v>35</v>
      </c>
      <c r="E67" t="str">
        <f t="shared" ref="E67:E130" si="2">IF(D67="No","Current Employee","Former Employee")</f>
        <v>Current Employee</v>
      </c>
      <c r="F67" t="s">
        <v>36</v>
      </c>
      <c r="G67">
        <v>836</v>
      </c>
      <c r="H67" t="s">
        <v>54</v>
      </c>
      <c r="I67">
        <v>8</v>
      </c>
      <c r="J67">
        <v>3</v>
      </c>
      <c r="K67" t="s">
        <v>49</v>
      </c>
      <c r="L67">
        <v>1</v>
      </c>
      <c r="M67">
        <v>4</v>
      </c>
      <c r="N67" t="s">
        <v>39</v>
      </c>
      <c r="O67">
        <v>33</v>
      </c>
      <c r="P67">
        <v>3</v>
      </c>
      <c r="Q67">
        <v>4</v>
      </c>
      <c r="R67" t="s">
        <v>47</v>
      </c>
      <c r="S67">
        <v>3</v>
      </c>
      <c r="T67" t="str" cm="1">
        <f t="array" ref="T67">_xlfn.IFS(S67&lt;=2,"Poor",S67&lt;=3,"Fair",S67&gt;=4,"Good")</f>
        <v>Fair</v>
      </c>
      <c r="U67" t="s">
        <v>50</v>
      </c>
      <c r="V67" s="1">
        <v>14756</v>
      </c>
      <c r="W67" t="str" cm="1">
        <f t="array" ref="W67">_xlfn.IFS(V67&lt;=5000,"Low Salary",V67&lt;=12000,"Good Salary",V67&gt;12000,"High Salary")</f>
        <v>High Salary</v>
      </c>
      <c r="X67">
        <v>19730</v>
      </c>
      <c r="Y67">
        <v>2</v>
      </c>
      <c r="Z67" t="s">
        <v>42</v>
      </c>
      <c r="AA67" t="s">
        <v>43</v>
      </c>
      <c r="AB67">
        <v>14</v>
      </c>
      <c r="AC67">
        <v>3</v>
      </c>
      <c r="AD67" t="str">
        <f t="shared" ref="AD67:AD130" si="3">IF(AC67&lt;=3,"Low Performance","High Performance")</f>
        <v>Low Performance</v>
      </c>
      <c r="AE67">
        <v>3</v>
      </c>
      <c r="AF67">
        <v>80</v>
      </c>
      <c r="AG67">
        <v>3</v>
      </c>
      <c r="AH67">
        <v>21</v>
      </c>
      <c r="AI67">
        <v>2</v>
      </c>
      <c r="AJ67">
        <v>3</v>
      </c>
      <c r="AK67" t="str" cm="1">
        <f t="array" ref="AK67">_xlfn.IFS(AJ67&lt;=2,"Poor",AJ67&lt;=3,"Fair",AJ67&gt;3,"Good")</f>
        <v>Fair</v>
      </c>
      <c r="AL67">
        <v>5</v>
      </c>
      <c r="AM67">
        <v>0</v>
      </c>
      <c r="AN67">
        <v>0</v>
      </c>
      <c r="AO67">
        <v>2</v>
      </c>
    </row>
    <row r="68" spans="1:41" x14ac:dyDescent="0.2">
      <c r="A68">
        <v>1216003</v>
      </c>
      <c r="B68">
        <v>36</v>
      </c>
      <c r="C68" t="str" cm="1">
        <f t="array" ref="C68">_xlfn.IFS(B68&lt;=25,"15-25",B68&lt;=35,"26-35",B68&lt;=45,"36-45",B68&lt;=55,"46-55",B68&lt;=65,"56-65")</f>
        <v>36-45</v>
      </c>
      <c r="D68" t="s">
        <v>35</v>
      </c>
      <c r="E68" t="str">
        <f t="shared" si="2"/>
        <v>Current Employee</v>
      </c>
      <c r="F68" t="s">
        <v>44</v>
      </c>
      <c r="G68">
        <v>1195</v>
      </c>
      <c r="H68" t="s">
        <v>45</v>
      </c>
      <c r="I68">
        <v>11</v>
      </c>
      <c r="J68">
        <v>3</v>
      </c>
      <c r="K68" t="s">
        <v>38</v>
      </c>
      <c r="L68">
        <v>1</v>
      </c>
      <c r="M68">
        <v>2</v>
      </c>
      <c r="N68" t="s">
        <v>46</v>
      </c>
      <c r="O68">
        <v>95</v>
      </c>
      <c r="P68">
        <v>2</v>
      </c>
      <c r="Q68">
        <v>2</v>
      </c>
      <c r="R68" t="s">
        <v>51</v>
      </c>
      <c r="S68">
        <v>2</v>
      </c>
      <c r="T68" t="str" cm="1">
        <f t="array" ref="T68">_xlfn.IFS(S68&lt;=2,"Poor",S68&lt;=3,"Fair",S68&gt;=4,"Good")</f>
        <v>Poor</v>
      </c>
      <c r="U68" t="s">
        <v>41</v>
      </c>
      <c r="V68" s="1">
        <v>6499</v>
      </c>
      <c r="W68" t="str" cm="1">
        <f t="array" ref="W68">_xlfn.IFS(V68&lt;=5000,"Low Salary",V68&lt;=12000,"Good Salary",V68&gt;12000,"High Salary")</f>
        <v>Good Salary</v>
      </c>
      <c r="X68">
        <v>22656</v>
      </c>
      <c r="Y68">
        <v>1</v>
      </c>
      <c r="Z68" t="s">
        <v>42</v>
      </c>
      <c r="AA68" t="s">
        <v>35</v>
      </c>
      <c r="AB68">
        <v>13</v>
      </c>
      <c r="AC68">
        <v>3</v>
      </c>
      <c r="AD68" t="str">
        <f t="shared" si="3"/>
        <v>Low Performance</v>
      </c>
      <c r="AE68">
        <v>3</v>
      </c>
      <c r="AF68">
        <v>80</v>
      </c>
      <c r="AG68">
        <v>0</v>
      </c>
      <c r="AH68">
        <v>6</v>
      </c>
      <c r="AI68">
        <v>3</v>
      </c>
      <c r="AJ68">
        <v>3</v>
      </c>
      <c r="AK68" t="str" cm="1">
        <f t="array" ref="AK68">_xlfn.IFS(AJ68&lt;=2,"Poor",AJ68&lt;=3,"Fair",AJ68&gt;3,"Good")</f>
        <v>Fair</v>
      </c>
      <c r="AL68">
        <v>6</v>
      </c>
      <c r="AM68">
        <v>5</v>
      </c>
      <c r="AN68">
        <v>0</v>
      </c>
      <c r="AO68">
        <v>3</v>
      </c>
    </row>
    <row r="69" spans="1:41" x14ac:dyDescent="0.2">
      <c r="A69">
        <v>1503437</v>
      </c>
      <c r="B69">
        <v>45</v>
      </c>
      <c r="C69" t="str" cm="1">
        <f t="array" ref="C69">_xlfn.IFS(B69&lt;=25,"15-25",B69&lt;=35,"26-35",B69&lt;=45,"36-45",B69&lt;=55,"46-55",B69&lt;=65,"56-65")</f>
        <v>36-45</v>
      </c>
      <c r="D69" t="s">
        <v>35</v>
      </c>
      <c r="E69" t="str">
        <f t="shared" si="2"/>
        <v>Current Employee</v>
      </c>
      <c r="F69" t="s">
        <v>36</v>
      </c>
      <c r="G69">
        <v>1339</v>
      </c>
      <c r="H69" t="s">
        <v>45</v>
      </c>
      <c r="I69">
        <v>7</v>
      </c>
      <c r="J69">
        <v>3</v>
      </c>
      <c r="K69" t="s">
        <v>38</v>
      </c>
      <c r="L69">
        <v>1</v>
      </c>
      <c r="M69">
        <v>2</v>
      </c>
      <c r="N69" t="s">
        <v>46</v>
      </c>
      <c r="O69">
        <v>59</v>
      </c>
      <c r="P69">
        <v>3</v>
      </c>
      <c r="Q69">
        <v>3</v>
      </c>
      <c r="R69" t="s">
        <v>47</v>
      </c>
      <c r="S69">
        <v>1</v>
      </c>
      <c r="T69" t="str" cm="1">
        <f t="array" ref="T69">_xlfn.IFS(S69&lt;=2,"Poor",S69&lt;=3,"Fair",S69&gt;=4,"Good")</f>
        <v>Poor</v>
      </c>
      <c r="U69" t="s">
        <v>50</v>
      </c>
      <c r="V69" s="1">
        <v>9724</v>
      </c>
      <c r="W69" t="str" cm="1">
        <f t="array" ref="W69">_xlfn.IFS(V69&lt;=5000,"Low Salary",V69&lt;=12000,"Good Salary",V69&gt;12000,"High Salary")</f>
        <v>Good Salary</v>
      </c>
      <c r="X69">
        <v>18787</v>
      </c>
      <c r="Y69">
        <v>2</v>
      </c>
      <c r="Z69" t="s">
        <v>42</v>
      </c>
      <c r="AA69" t="s">
        <v>35</v>
      </c>
      <c r="AB69">
        <v>17</v>
      </c>
      <c r="AC69">
        <v>3</v>
      </c>
      <c r="AD69" t="str">
        <f t="shared" si="3"/>
        <v>Low Performance</v>
      </c>
      <c r="AE69">
        <v>3</v>
      </c>
      <c r="AF69">
        <v>80</v>
      </c>
      <c r="AG69">
        <v>1</v>
      </c>
      <c r="AH69">
        <v>25</v>
      </c>
      <c r="AI69">
        <v>2</v>
      </c>
      <c r="AJ69">
        <v>3</v>
      </c>
      <c r="AK69" t="str" cm="1">
        <f t="array" ref="AK69">_xlfn.IFS(AJ69&lt;=2,"Poor",AJ69&lt;=3,"Fair",AJ69&gt;3,"Good")</f>
        <v>Fair</v>
      </c>
      <c r="AL69">
        <v>1</v>
      </c>
      <c r="AM69">
        <v>0</v>
      </c>
      <c r="AN69">
        <v>0</v>
      </c>
      <c r="AO69">
        <v>0</v>
      </c>
    </row>
    <row r="70" spans="1:41" x14ac:dyDescent="0.2">
      <c r="A70">
        <v>1381585</v>
      </c>
      <c r="B70">
        <v>35</v>
      </c>
      <c r="C70" t="str" cm="1">
        <f t="array" ref="C70">_xlfn.IFS(B70&lt;=25,"15-25",B70&lt;=35,"26-35",B70&lt;=45,"36-45",B70&lt;=55,"46-55",B70&lt;=65,"56-65")</f>
        <v>26-35</v>
      </c>
      <c r="D70" t="s">
        <v>35</v>
      </c>
      <c r="E70" t="str">
        <f t="shared" si="2"/>
        <v>Current Employee</v>
      </c>
      <c r="F70" t="s">
        <v>44</v>
      </c>
      <c r="G70">
        <v>664</v>
      </c>
      <c r="H70" t="s">
        <v>45</v>
      </c>
      <c r="I70">
        <v>1</v>
      </c>
      <c r="J70">
        <v>3</v>
      </c>
      <c r="K70" t="s">
        <v>49</v>
      </c>
      <c r="L70">
        <v>1</v>
      </c>
      <c r="M70">
        <v>2</v>
      </c>
      <c r="N70" t="s">
        <v>46</v>
      </c>
      <c r="O70">
        <v>79</v>
      </c>
      <c r="P70">
        <v>3</v>
      </c>
      <c r="Q70">
        <v>1</v>
      </c>
      <c r="R70" t="s">
        <v>47</v>
      </c>
      <c r="S70">
        <v>1</v>
      </c>
      <c r="T70" t="str" cm="1">
        <f t="array" ref="T70">_xlfn.IFS(S70&lt;=2,"Poor",S70&lt;=3,"Fair",S70&gt;=4,"Good")</f>
        <v>Poor</v>
      </c>
      <c r="U70" t="s">
        <v>48</v>
      </c>
      <c r="V70" s="1">
        <v>2194</v>
      </c>
      <c r="W70" t="str" cm="1">
        <f t="array" ref="W70">_xlfn.IFS(V70&lt;=5000,"Low Salary",V70&lt;=12000,"Good Salary",V70&gt;12000,"High Salary")</f>
        <v>Low Salary</v>
      </c>
      <c r="X70">
        <v>5868</v>
      </c>
      <c r="Y70">
        <v>4</v>
      </c>
      <c r="Z70" t="s">
        <v>42</v>
      </c>
      <c r="AA70" t="s">
        <v>35</v>
      </c>
      <c r="AB70">
        <v>13</v>
      </c>
      <c r="AC70">
        <v>3</v>
      </c>
      <c r="AD70" t="str">
        <f t="shared" si="3"/>
        <v>Low Performance</v>
      </c>
      <c r="AE70">
        <v>4</v>
      </c>
      <c r="AF70">
        <v>80</v>
      </c>
      <c r="AG70">
        <v>1</v>
      </c>
      <c r="AH70">
        <v>5</v>
      </c>
      <c r="AI70">
        <v>2</v>
      </c>
      <c r="AJ70">
        <v>2</v>
      </c>
      <c r="AK70" t="str" cm="1">
        <f t="array" ref="AK70">_xlfn.IFS(AJ70&lt;=2,"Poor",AJ70&lt;=3,"Fair",AJ70&gt;3,"Good")</f>
        <v>Poor</v>
      </c>
      <c r="AL70">
        <v>3</v>
      </c>
      <c r="AM70">
        <v>2</v>
      </c>
      <c r="AN70">
        <v>1</v>
      </c>
      <c r="AO70">
        <v>2</v>
      </c>
    </row>
    <row r="71" spans="1:41" x14ac:dyDescent="0.2">
      <c r="A71">
        <v>1312369</v>
      </c>
      <c r="B71">
        <v>36</v>
      </c>
      <c r="C71" t="str" cm="1">
        <f t="array" ref="C71">_xlfn.IFS(B71&lt;=25,"15-25",B71&lt;=35,"26-35",B71&lt;=45,"36-45",B71&lt;=55,"46-55",B71&lt;=65,"56-65")</f>
        <v>36-45</v>
      </c>
      <c r="D71" t="s">
        <v>43</v>
      </c>
      <c r="E71" t="str">
        <f t="shared" si="2"/>
        <v>Former Employee</v>
      </c>
      <c r="F71" t="s">
        <v>36</v>
      </c>
      <c r="G71">
        <v>318</v>
      </c>
      <c r="H71" t="s">
        <v>45</v>
      </c>
      <c r="I71">
        <v>9</v>
      </c>
      <c r="J71">
        <v>3</v>
      </c>
      <c r="K71" t="s">
        <v>49</v>
      </c>
      <c r="L71">
        <v>1</v>
      </c>
      <c r="M71">
        <v>4</v>
      </c>
      <c r="N71" t="s">
        <v>46</v>
      </c>
      <c r="O71">
        <v>79</v>
      </c>
      <c r="P71">
        <v>2</v>
      </c>
      <c r="Q71">
        <v>1</v>
      </c>
      <c r="R71" t="s">
        <v>47</v>
      </c>
      <c r="S71">
        <v>3</v>
      </c>
      <c r="T71" t="str" cm="1">
        <f t="array" ref="T71">_xlfn.IFS(S71&lt;=2,"Poor",S71&lt;=3,"Fair",S71&gt;=4,"Good")</f>
        <v>Fair</v>
      </c>
      <c r="U71" t="s">
        <v>48</v>
      </c>
      <c r="V71" s="1">
        <v>3388</v>
      </c>
      <c r="W71" t="str" cm="1">
        <f t="array" ref="W71">_xlfn.IFS(V71&lt;=5000,"Low Salary",V71&lt;=12000,"Good Salary",V71&gt;12000,"High Salary")</f>
        <v>Low Salary</v>
      </c>
      <c r="X71">
        <v>21777</v>
      </c>
      <c r="Y71">
        <v>0</v>
      </c>
      <c r="Z71" t="s">
        <v>42</v>
      </c>
      <c r="AA71" t="s">
        <v>43</v>
      </c>
      <c r="AB71">
        <v>17</v>
      </c>
      <c r="AC71">
        <v>3</v>
      </c>
      <c r="AD71" t="str">
        <f t="shared" si="3"/>
        <v>Low Performance</v>
      </c>
      <c r="AE71">
        <v>1</v>
      </c>
      <c r="AF71">
        <v>80</v>
      </c>
      <c r="AG71">
        <v>1</v>
      </c>
      <c r="AH71">
        <v>2</v>
      </c>
      <c r="AI71">
        <v>0</v>
      </c>
      <c r="AJ71">
        <v>2</v>
      </c>
      <c r="AK71" t="str" cm="1">
        <f t="array" ref="AK71">_xlfn.IFS(AJ71&lt;=2,"Poor",AJ71&lt;=3,"Fair",AJ71&gt;3,"Good")</f>
        <v>Poor</v>
      </c>
      <c r="AL71">
        <v>1</v>
      </c>
      <c r="AM71">
        <v>0</v>
      </c>
      <c r="AN71">
        <v>0</v>
      </c>
      <c r="AO71">
        <v>0</v>
      </c>
    </row>
    <row r="72" spans="1:41" x14ac:dyDescent="0.2">
      <c r="A72">
        <v>1576355</v>
      </c>
      <c r="B72">
        <v>59</v>
      </c>
      <c r="C72" t="str" cm="1">
        <f t="array" ref="C72">_xlfn.IFS(B72&lt;=25,"15-25",B72&lt;=35,"26-35",B72&lt;=45,"36-45",B72&lt;=55,"46-55",B72&lt;=65,"56-65")</f>
        <v>56-65</v>
      </c>
      <c r="D72" t="s">
        <v>35</v>
      </c>
      <c r="E72" t="str">
        <f t="shared" si="2"/>
        <v>Current Employee</v>
      </c>
      <c r="F72" t="s">
        <v>44</v>
      </c>
      <c r="G72">
        <v>1225</v>
      </c>
      <c r="H72" t="s">
        <v>37</v>
      </c>
      <c r="I72">
        <v>1</v>
      </c>
      <c r="J72">
        <v>1</v>
      </c>
      <c r="K72" t="s">
        <v>38</v>
      </c>
      <c r="L72">
        <v>1</v>
      </c>
      <c r="M72">
        <v>1</v>
      </c>
      <c r="N72" t="s">
        <v>39</v>
      </c>
      <c r="O72">
        <v>57</v>
      </c>
      <c r="P72">
        <v>2</v>
      </c>
      <c r="Q72">
        <v>2</v>
      </c>
      <c r="R72" t="s">
        <v>40</v>
      </c>
      <c r="S72">
        <v>3</v>
      </c>
      <c r="T72" t="str" cm="1">
        <f t="array" ref="T72">_xlfn.IFS(S72&lt;=2,"Poor",S72&lt;=3,"Fair",S72&gt;=4,"Good")</f>
        <v>Fair</v>
      </c>
      <c r="U72" t="s">
        <v>41</v>
      </c>
      <c r="V72" s="1">
        <v>5473</v>
      </c>
      <c r="W72" t="str" cm="1">
        <f t="array" ref="W72">_xlfn.IFS(V72&lt;=5000,"Low Salary",V72&lt;=12000,"Good Salary",V72&gt;12000,"High Salary")</f>
        <v>Good Salary</v>
      </c>
      <c r="X72">
        <v>24668</v>
      </c>
      <c r="Y72">
        <v>7</v>
      </c>
      <c r="Z72" t="s">
        <v>42</v>
      </c>
      <c r="AA72" t="s">
        <v>35</v>
      </c>
      <c r="AB72">
        <v>11</v>
      </c>
      <c r="AC72">
        <v>3</v>
      </c>
      <c r="AD72" t="str">
        <f t="shared" si="3"/>
        <v>Low Performance</v>
      </c>
      <c r="AE72">
        <v>4</v>
      </c>
      <c r="AF72">
        <v>80</v>
      </c>
      <c r="AG72">
        <v>0</v>
      </c>
      <c r="AH72">
        <v>20</v>
      </c>
      <c r="AI72">
        <v>2</v>
      </c>
      <c r="AJ72">
        <v>2</v>
      </c>
      <c r="AK72" t="str" cm="1">
        <f t="array" ref="AK72">_xlfn.IFS(AJ72&lt;=2,"Poor",AJ72&lt;=3,"Fair",AJ72&gt;3,"Good")</f>
        <v>Poor</v>
      </c>
      <c r="AL72">
        <v>4</v>
      </c>
      <c r="AM72">
        <v>3</v>
      </c>
      <c r="AN72">
        <v>1</v>
      </c>
      <c r="AO72">
        <v>3</v>
      </c>
    </row>
    <row r="73" spans="1:41" x14ac:dyDescent="0.2">
      <c r="A73">
        <v>1659485</v>
      </c>
      <c r="B73">
        <v>29</v>
      </c>
      <c r="C73" t="str" cm="1">
        <f t="array" ref="C73">_xlfn.IFS(B73&lt;=25,"15-25",B73&lt;=35,"26-35",B73&lt;=45,"36-45",B73&lt;=55,"46-55",B73&lt;=65,"56-65")</f>
        <v>26-35</v>
      </c>
      <c r="D73" t="s">
        <v>35</v>
      </c>
      <c r="E73" t="str">
        <f t="shared" si="2"/>
        <v>Current Employee</v>
      </c>
      <c r="F73" t="s">
        <v>36</v>
      </c>
      <c r="G73">
        <v>1328</v>
      </c>
      <c r="H73" t="s">
        <v>45</v>
      </c>
      <c r="I73">
        <v>2</v>
      </c>
      <c r="J73">
        <v>3</v>
      </c>
      <c r="K73" t="s">
        <v>38</v>
      </c>
      <c r="L73">
        <v>1</v>
      </c>
      <c r="M73">
        <v>3</v>
      </c>
      <c r="N73" t="s">
        <v>46</v>
      </c>
      <c r="O73">
        <v>76</v>
      </c>
      <c r="P73">
        <v>3</v>
      </c>
      <c r="Q73">
        <v>1</v>
      </c>
      <c r="R73" t="s">
        <v>47</v>
      </c>
      <c r="S73">
        <v>2</v>
      </c>
      <c r="T73" t="str" cm="1">
        <f t="array" ref="T73">_xlfn.IFS(S73&lt;=2,"Poor",S73&lt;=3,"Fair",S73&gt;=4,"Good")</f>
        <v>Poor</v>
      </c>
      <c r="U73" t="s">
        <v>48</v>
      </c>
      <c r="V73" s="1">
        <v>2703</v>
      </c>
      <c r="W73" t="str" cm="1">
        <f t="array" ref="W73">_xlfn.IFS(V73&lt;=5000,"Low Salary",V73&lt;=12000,"Good Salary",V73&gt;12000,"High Salary")</f>
        <v>Low Salary</v>
      </c>
      <c r="X73">
        <v>4956</v>
      </c>
      <c r="Y73">
        <v>0</v>
      </c>
      <c r="Z73" t="s">
        <v>42</v>
      </c>
      <c r="AA73" t="s">
        <v>35</v>
      </c>
      <c r="AB73">
        <v>23</v>
      </c>
      <c r="AC73">
        <v>4</v>
      </c>
      <c r="AD73" t="str">
        <f t="shared" si="3"/>
        <v>High Performance</v>
      </c>
      <c r="AE73">
        <v>4</v>
      </c>
      <c r="AF73">
        <v>80</v>
      </c>
      <c r="AG73">
        <v>1</v>
      </c>
      <c r="AH73">
        <v>6</v>
      </c>
      <c r="AI73">
        <v>3</v>
      </c>
      <c r="AJ73">
        <v>3</v>
      </c>
      <c r="AK73" t="str" cm="1">
        <f t="array" ref="AK73">_xlfn.IFS(AJ73&lt;=2,"Poor",AJ73&lt;=3,"Fair",AJ73&gt;3,"Good")</f>
        <v>Fair</v>
      </c>
      <c r="AL73">
        <v>5</v>
      </c>
      <c r="AM73">
        <v>4</v>
      </c>
      <c r="AN73">
        <v>0</v>
      </c>
      <c r="AO73">
        <v>4</v>
      </c>
    </row>
    <row r="74" spans="1:41" x14ac:dyDescent="0.2">
      <c r="A74">
        <v>1530200</v>
      </c>
      <c r="B74">
        <v>31</v>
      </c>
      <c r="C74" t="str" cm="1">
        <f t="array" ref="C74">_xlfn.IFS(B74&lt;=25,"15-25",B74&lt;=35,"26-35",B74&lt;=45,"36-45",B74&lt;=55,"46-55",B74&lt;=65,"56-65")</f>
        <v>26-35</v>
      </c>
      <c r="D74" t="s">
        <v>35</v>
      </c>
      <c r="E74" t="str">
        <f t="shared" si="2"/>
        <v>Current Employee</v>
      </c>
      <c r="F74" t="s">
        <v>36</v>
      </c>
      <c r="G74">
        <v>1082</v>
      </c>
      <c r="H74" t="s">
        <v>45</v>
      </c>
      <c r="I74">
        <v>1</v>
      </c>
      <c r="J74">
        <v>4</v>
      </c>
      <c r="K74" t="s">
        <v>49</v>
      </c>
      <c r="L74">
        <v>1</v>
      </c>
      <c r="M74">
        <v>3</v>
      </c>
      <c r="N74" t="s">
        <v>46</v>
      </c>
      <c r="O74">
        <v>87</v>
      </c>
      <c r="P74">
        <v>3</v>
      </c>
      <c r="Q74">
        <v>1</v>
      </c>
      <c r="R74" t="s">
        <v>47</v>
      </c>
      <c r="S74">
        <v>2</v>
      </c>
      <c r="T74" t="str" cm="1">
        <f t="array" ref="T74">_xlfn.IFS(S74&lt;=2,"Poor",S74&lt;=3,"Fair",S74&gt;=4,"Good")</f>
        <v>Poor</v>
      </c>
      <c r="U74" t="s">
        <v>41</v>
      </c>
      <c r="V74" s="1">
        <v>2501</v>
      </c>
      <c r="W74" t="str" cm="1">
        <f t="array" ref="W74">_xlfn.IFS(V74&lt;=5000,"Low Salary",V74&lt;=12000,"Good Salary",V74&gt;12000,"High Salary")</f>
        <v>Low Salary</v>
      </c>
      <c r="X74">
        <v>18775</v>
      </c>
      <c r="Y74">
        <v>1</v>
      </c>
      <c r="Z74" t="s">
        <v>42</v>
      </c>
      <c r="AA74" t="s">
        <v>35</v>
      </c>
      <c r="AB74">
        <v>17</v>
      </c>
      <c r="AC74">
        <v>3</v>
      </c>
      <c r="AD74" t="str">
        <f t="shared" si="3"/>
        <v>Low Performance</v>
      </c>
      <c r="AE74">
        <v>2</v>
      </c>
      <c r="AF74">
        <v>80</v>
      </c>
      <c r="AG74">
        <v>0</v>
      </c>
      <c r="AH74">
        <v>1</v>
      </c>
      <c r="AI74">
        <v>4</v>
      </c>
      <c r="AJ74">
        <v>3</v>
      </c>
      <c r="AK74" t="str" cm="1">
        <f t="array" ref="AK74">_xlfn.IFS(AJ74&lt;=2,"Poor",AJ74&lt;=3,"Fair",AJ74&gt;3,"Good")</f>
        <v>Fair</v>
      </c>
      <c r="AL74">
        <v>1</v>
      </c>
      <c r="AM74">
        <v>1</v>
      </c>
      <c r="AN74">
        <v>1</v>
      </c>
      <c r="AO74">
        <v>0</v>
      </c>
    </row>
    <row r="75" spans="1:41" x14ac:dyDescent="0.2">
      <c r="A75">
        <v>1773482</v>
      </c>
      <c r="B75">
        <v>32</v>
      </c>
      <c r="C75" t="str" cm="1">
        <f t="array" ref="C75">_xlfn.IFS(B75&lt;=25,"15-25",B75&lt;=35,"26-35",B75&lt;=45,"36-45",B75&lt;=55,"46-55",B75&lt;=65,"56-65")</f>
        <v>26-35</v>
      </c>
      <c r="D75" t="s">
        <v>35</v>
      </c>
      <c r="E75" t="str">
        <f t="shared" si="2"/>
        <v>Current Employee</v>
      </c>
      <c r="F75" t="s">
        <v>36</v>
      </c>
      <c r="G75">
        <v>548</v>
      </c>
      <c r="H75" t="s">
        <v>45</v>
      </c>
      <c r="I75">
        <v>1</v>
      </c>
      <c r="J75">
        <v>3</v>
      </c>
      <c r="K75" t="s">
        <v>38</v>
      </c>
      <c r="L75">
        <v>1</v>
      </c>
      <c r="M75">
        <v>2</v>
      </c>
      <c r="N75" t="s">
        <v>46</v>
      </c>
      <c r="O75">
        <v>66</v>
      </c>
      <c r="P75">
        <v>3</v>
      </c>
      <c r="Q75">
        <v>2</v>
      </c>
      <c r="R75" t="s">
        <v>47</v>
      </c>
      <c r="S75">
        <v>2</v>
      </c>
      <c r="T75" t="str" cm="1">
        <f t="array" ref="T75">_xlfn.IFS(S75&lt;=2,"Poor",S75&lt;=3,"Fair",S75&gt;=4,"Good")</f>
        <v>Poor</v>
      </c>
      <c r="U75" t="s">
        <v>48</v>
      </c>
      <c r="V75" s="1">
        <v>6220</v>
      </c>
      <c r="W75" t="str" cm="1">
        <f t="array" ref="W75">_xlfn.IFS(V75&lt;=5000,"Low Salary",V75&lt;=12000,"Good Salary",V75&gt;12000,"High Salary")</f>
        <v>Good Salary</v>
      </c>
      <c r="X75">
        <v>7346</v>
      </c>
      <c r="Y75">
        <v>1</v>
      </c>
      <c r="Z75" t="s">
        <v>42</v>
      </c>
      <c r="AA75" t="s">
        <v>35</v>
      </c>
      <c r="AB75">
        <v>17</v>
      </c>
      <c r="AC75">
        <v>3</v>
      </c>
      <c r="AD75" t="str">
        <f t="shared" si="3"/>
        <v>Low Performance</v>
      </c>
      <c r="AE75">
        <v>2</v>
      </c>
      <c r="AF75">
        <v>80</v>
      </c>
      <c r="AG75">
        <v>2</v>
      </c>
      <c r="AH75">
        <v>10</v>
      </c>
      <c r="AI75">
        <v>3</v>
      </c>
      <c r="AJ75">
        <v>3</v>
      </c>
      <c r="AK75" t="str" cm="1">
        <f t="array" ref="AK75">_xlfn.IFS(AJ75&lt;=2,"Poor",AJ75&lt;=3,"Fair",AJ75&gt;3,"Good")</f>
        <v>Fair</v>
      </c>
      <c r="AL75">
        <v>10</v>
      </c>
      <c r="AM75">
        <v>4</v>
      </c>
      <c r="AN75">
        <v>0</v>
      </c>
      <c r="AO75">
        <v>9</v>
      </c>
    </row>
    <row r="76" spans="1:41" x14ac:dyDescent="0.2">
      <c r="A76">
        <v>1188108</v>
      </c>
      <c r="B76">
        <v>36</v>
      </c>
      <c r="C76" t="str" cm="1">
        <f t="array" ref="C76">_xlfn.IFS(B76&lt;=25,"15-25",B76&lt;=35,"26-35",B76&lt;=45,"36-45",B76&lt;=55,"46-55",B76&lt;=65,"56-65")</f>
        <v>36-45</v>
      </c>
      <c r="D76" t="s">
        <v>35</v>
      </c>
      <c r="E76" t="str">
        <f t="shared" si="2"/>
        <v>Current Employee</v>
      </c>
      <c r="F76" t="s">
        <v>36</v>
      </c>
      <c r="G76">
        <v>132</v>
      </c>
      <c r="H76" t="s">
        <v>45</v>
      </c>
      <c r="I76">
        <v>6</v>
      </c>
      <c r="J76">
        <v>3</v>
      </c>
      <c r="K76" t="s">
        <v>38</v>
      </c>
      <c r="L76">
        <v>1</v>
      </c>
      <c r="M76">
        <v>2</v>
      </c>
      <c r="N76" t="s">
        <v>39</v>
      </c>
      <c r="O76">
        <v>55</v>
      </c>
      <c r="P76">
        <v>4</v>
      </c>
      <c r="Q76">
        <v>1</v>
      </c>
      <c r="R76" t="s">
        <v>40</v>
      </c>
      <c r="S76">
        <v>4</v>
      </c>
      <c r="T76" t="str" cm="1">
        <f t="array" ref="T76">_xlfn.IFS(S76&lt;=2,"Poor",S76&lt;=3,"Fair",S76&gt;=4,"Good")</f>
        <v>Good</v>
      </c>
      <c r="U76" t="s">
        <v>48</v>
      </c>
      <c r="V76" s="1">
        <v>3038</v>
      </c>
      <c r="W76" t="str" cm="1">
        <f t="array" ref="W76">_xlfn.IFS(V76&lt;=5000,"Low Salary",V76&lt;=12000,"Good Salary",V76&gt;12000,"High Salary")</f>
        <v>Low Salary</v>
      </c>
      <c r="X76">
        <v>22002</v>
      </c>
      <c r="Y76">
        <v>3</v>
      </c>
      <c r="Z76" t="s">
        <v>42</v>
      </c>
      <c r="AA76" t="s">
        <v>35</v>
      </c>
      <c r="AB76">
        <v>12</v>
      </c>
      <c r="AC76">
        <v>3</v>
      </c>
      <c r="AD76" t="str">
        <f t="shared" si="3"/>
        <v>Low Performance</v>
      </c>
      <c r="AE76">
        <v>2</v>
      </c>
      <c r="AF76">
        <v>80</v>
      </c>
      <c r="AG76">
        <v>0</v>
      </c>
      <c r="AH76">
        <v>5</v>
      </c>
      <c r="AI76">
        <v>3</v>
      </c>
      <c r="AJ76">
        <v>3</v>
      </c>
      <c r="AK76" t="str" cm="1">
        <f t="array" ref="AK76">_xlfn.IFS(AJ76&lt;=2,"Poor",AJ76&lt;=3,"Fair",AJ76&gt;3,"Good")</f>
        <v>Fair</v>
      </c>
      <c r="AL76">
        <v>1</v>
      </c>
      <c r="AM76">
        <v>0</v>
      </c>
      <c r="AN76">
        <v>0</v>
      </c>
      <c r="AO76">
        <v>0</v>
      </c>
    </row>
    <row r="77" spans="1:41" x14ac:dyDescent="0.2">
      <c r="A77">
        <v>1471418</v>
      </c>
      <c r="B77">
        <v>31</v>
      </c>
      <c r="C77" t="str" cm="1">
        <f t="array" ref="C77">_xlfn.IFS(B77&lt;=25,"15-25",B77&lt;=35,"26-35",B77&lt;=45,"36-45",B77&lt;=55,"46-55",B77&lt;=65,"56-65")</f>
        <v>26-35</v>
      </c>
      <c r="D77" t="s">
        <v>35</v>
      </c>
      <c r="E77" t="str">
        <f t="shared" si="2"/>
        <v>Current Employee</v>
      </c>
      <c r="F77" t="s">
        <v>36</v>
      </c>
      <c r="G77">
        <v>746</v>
      </c>
      <c r="H77" t="s">
        <v>37</v>
      </c>
      <c r="I77">
        <v>8</v>
      </c>
      <c r="J77">
        <v>4</v>
      </c>
      <c r="K77" t="s">
        <v>38</v>
      </c>
      <c r="L77">
        <v>1</v>
      </c>
      <c r="M77">
        <v>3</v>
      </c>
      <c r="N77" t="s">
        <v>39</v>
      </c>
      <c r="O77">
        <v>61</v>
      </c>
      <c r="P77">
        <v>3</v>
      </c>
      <c r="Q77">
        <v>2</v>
      </c>
      <c r="R77" t="s">
        <v>51</v>
      </c>
      <c r="S77">
        <v>4</v>
      </c>
      <c r="T77" t="str" cm="1">
        <f t="array" ref="T77">_xlfn.IFS(S77&lt;=2,"Poor",S77&lt;=3,"Fair",S77&gt;=4,"Good")</f>
        <v>Good</v>
      </c>
      <c r="U77" t="s">
        <v>41</v>
      </c>
      <c r="V77" s="1">
        <v>4424</v>
      </c>
      <c r="W77" t="str" cm="1">
        <f t="array" ref="W77">_xlfn.IFS(V77&lt;=5000,"Low Salary",V77&lt;=12000,"Good Salary",V77&gt;12000,"High Salary")</f>
        <v>Low Salary</v>
      </c>
      <c r="X77">
        <v>20682</v>
      </c>
      <c r="Y77">
        <v>1</v>
      </c>
      <c r="Z77" t="s">
        <v>42</v>
      </c>
      <c r="AA77" t="s">
        <v>35</v>
      </c>
      <c r="AB77">
        <v>23</v>
      </c>
      <c r="AC77">
        <v>4</v>
      </c>
      <c r="AD77" t="str">
        <f t="shared" si="3"/>
        <v>High Performance</v>
      </c>
      <c r="AE77">
        <v>4</v>
      </c>
      <c r="AF77">
        <v>80</v>
      </c>
      <c r="AG77">
        <v>0</v>
      </c>
      <c r="AH77">
        <v>11</v>
      </c>
      <c r="AI77">
        <v>2</v>
      </c>
      <c r="AJ77">
        <v>3</v>
      </c>
      <c r="AK77" t="str" cm="1">
        <f t="array" ref="AK77">_xlfn.IFS(AJ77&lt;=2,"Poor",AJ77&lt;=3,"Fair",AJ77&gt;3,"Good")</f>
        <v>Fair</v>
      </c>
      <c r="AL77">
        <v>11</v>
      </c>
      <c r="AM77">
        <v>7</v>
      </c>
      <c r="AN77">
        <v>1</v>
      </c>
      <c r="AO77">
        <v>8</v>
      </c>
    </row>
    <row r="78" spans="1:41" x14ac:dyDescent="0.2">
      <c r="A78">
        <v>1081842</v>
      </c>
      <c r="B78">
        <v>35</v>
      </c>
      <c r="C78" t="str" cm="1">
        <f t="array" ref="C78">_xlfn.IFS(B78&lt;=25,"15-25",B78&lt;=35,"26-35",B78&lt;=45,"36-45",B78&lt;=55,"46-55",B78&lt;=65,"56-65")</f>
        <v>26-35</v>
      </c>
      <c r="D78" t="s">
        <v>35</v>
      </c>
      <c r="E78" t="str">
        <f t="shared" si="2"/>
        <v>Current Employee</v>
      </c>
      <c r="F78" t="s">
        <v>36</v>
      </c>
      <c r="G78">
        <v>776</v>
      </c>
      <c r="H78" t="s">
        <v>37</v>
      </c>
      <c r="I78">
        <v>1</v>
      </c>
      <c r="J78">
        <v>4</v>
      </c>
      <c r="K78" t="s">
        <v>55</v>
      </c>
      <c r="L78">
        <v>1</v>
      </c>
      <c r="M78">
        <v>3</v>
      </c>
      <c r="N78" t="s">
        <v>46</v>
      </c>
      <c r="O78">
        <v>32</v>
      </c>
      <c r="P78">
        <v>2</v>
      </c>
      <c r="Q78">
        <v>2</v>
      </c>
      <c r="R78" t="s">
        <v>40</v>
      </c>
      <c r="S78">
        <v>1</v>
      </c>
      <c r="T78" t="str" cm="1">
        <f t="array" ref="T78">_xlfn.IFS(S78&lt;=2,"Poor",S78&lt;=3,"Fair",S78&gt;=4,"Good")</f>
        <v>Poor</v>
      </c>
      <c r="U78" t="s">
        <v>41</v>
      </c>
      <c r="V78" s="1">
        <v>4312</v>
      </c>
      <c r="W78" t="str" cm="1">
        <f t="array" ref="W78">_xlfn.IFS(V78&lt;=5000,"Low Salary",V78&lt;=12000,"Good Salary",V78&gt;12000,"High Salary")</f>
        <v>Low Salary</v>
      </c>
      <c r="X78">
        <v>23016</v>
      </c>
      <c r="Y78">
        <v>0</v>
      </c>
      <c r="Z78" t="s">
        <v>42</v>
      </c>
      <c r="AA78" t="s">
        <v>35</v>
      </c>
      <c r="AB78">
        <v>14</v>
      </c>
      <c r="AC78">
        <v>3</v>
      </c>
      <c r="AD78" t="str">
        <f t="shared" si="3"/>
        <v>Low Performance</v>
      </c>
      <c r="AE78">
        <v>2</v>
      </c>
      <c r="AF78">
        <v>80</v>
      </c>
      <c r="AG78">
        <v>0</v>
      </c>
      <c r="AH78">
        <v>16</v>
      </c>
      <c r="AI78">
        <v>2</v>
      </c>
      <c r="AJ78">
        <v>3</v>
      </c>
      <c r="AK78" t="str" cm="1">
        <f t="array" ref="AK78">_xlfn.IFS(AJ78&lt;=2,"Poor",AJ78&lt;=3,"Fair",AJ78&gt;3,"Good")</f>
        <v>Fair</v>
      </c>
      <c r="AL78">
        <v>15</v>
      </c>
      <c r="AM78">
        <v>13</v>
      </c>
      <c r="AN78">
        <v>2</v>
      </c>
      <c r="AO78">
        <v>8</v>
      </c>
    </row>
    <row r="79" spans="1:41" x14ac:dyDescent="0.2">
      <c r="A79">
        <v>1146021</v>
      </c>
      <c r="B79">
        <v>45</v>
      </c>
      <c r="C79" t="str" cm="1">
        <f t="array" ref="C79">_xlfn.IFS(B79&lt;=25,"15-25",B79&lt;=35,"26-35",B79&lt;=45,"36-45",B79&lt;=55,"46-55",B79&lt;=65,"56-65")</f>
        <v>36-45</v>
      </c>
      <c r="D79" t="s">
        <v>35</v>
      </c>
      <c r="E79" t="str">
        <f t="shared" si="2"/>
        <v>Current Employee</v>
      </c>
      <c r="F79" t="s">
        <v>36</v>
      </c>
      <c r="G79">
        <v>193</v>
      </c>
      <c r="H79" t="s">
        <v>54</v>
      </c>
      <c r="I79">
        <v>6</v>
      </c>
      <c r="J79">
        <v>4</v>
      </c>
      <c r="K79" t="s">
        <v>47</v>
      </c>
      <c r="L79">
        <v>1</v>
      </c>
      <c r="M79">
        <v>4</v>
      </c>
      <c r="N79" t="s">
        <v>46</v>
      </c>
      <c r="O79">
        <v>52</v>
      </c>
      <c r="P79">
        <v>3</v>
      </c>
      <c r="Q79">
        <v>3</v>
      </c>
      <c r="R79" t="s">
        <v>47</v>
      </c>
      <c r="S79">
        <v>1</v>
      </c>
      <c r="T79" t="str" cm="1">
        <f t="array" ref="T79">_xlfn.IFS(S79&lt;=2,"Poor",S79&lt;=3,"Fair",S79&gt;=4,"Good")</f>
        <v>Poor</v>
      </c>
      <c r="U79" t="s">
        <v>48</v>
      </c>
      <c r="V79" s="1">
        <v>13245</v>
      </c>
      <c r="W79" t="str" cm="1">
        <f t="array" ref="W79">_xlfn.IFS(V79&lt;=5000,"Low Salary",V79&lt;=12000,"Good Salary",V79&gt;12000,"High Salary")</f>
        <v>High Salary</v>
      </c>
      <c r="X79">
        <v>15067</v>
      </c>
      <c r="Y79">
        <v>4</v>
      </c>
      <c r="Z79" t="s">
        <v>42</v>
      </c>
      <c r="AA79" t="s">
        <v>43</v>
      </c>
      <c r="AB79">
        <v>14</v>
      </c>
      <c r="AC79">
        <v>3</v>
      </c>
      <c r="AD79" t="str">
        <f t="shared" si="3"/>
        <v>Low Performance</v>
      </c>
      <c r="AE79">
        <v>2</v>
      </c>
      <c r="AF79">
        <v>80</v>
      </c>
      <c r="AG79">
        <v>0</v>
      </c>
      <c r="AH79">
        <v>17</v>
      </c>
      <c r="AI79">
        <v>3</v>
      </c>
      <c r="AJ79">
        <v>4</v>
      </c>
      <c r="AK79" t="str" cm="1">
        <f t="array" ref="AK79">_xlfn.IFS(AJ79&lt;=2,"Poor",AJ79&lt;=3,"Fair",AJ79&gt;3,"Good")</f>
        <v>Good</v>
      </c>
      <c r="AL79">
        <v>0</v>
      </c>
      <c r="AM79">
        <v>0</v>
      </c>
      <c r="AN79">
        <v>0</v>
      </c>
      <c r="AO79">
        <v>0</v>
      </c>
    </row>
    <row r="80" spans="1:41" x14ac:dyDescent="0.2">
      <c r="A80">
        <v>1880248</v>
      </c>
      <c r="B80">
        <v>37</v>
      </c>
      <c r="C80" t="str" cm="1">
        <f t="array" ref="C80">_xlfn.IFS(B80&lt;=25,"15-25",B80&lt;=35,"26-35",B80&lt;=45,"36-45",B80&lt;=55,"46-55",B80&lt;=65,"56-65")</f>
        <v>36-45</v>
      </c>
      <c r="D80" t="s">
        <v>35</v>
      </c>
      <c r="E80" t="str">
        <f t="shared" si="2"/>
        <v>Current Employee</v>
      </c>
      <c r="F80" t="s">
        <v>36</v>
      </c>
      <c r="G80">
        <v>397</v>
      </c>
      <c r="H80" t="s">
        <v>54</v>
      </c>
      <c r="I80">
        <v>7</v>
      </c>
      <c r="J80">
        <v>4</v>
      </c>
      <c r="K80" t="s">
        <v>49</v>
      </c>
      <c r="L80">
        <v>1</v>
      </c>
      <c r="M80">
        <v>1</v>
      </c>
      <c r="N80" t="s">
        <v>46</v>
      </c>
      <c r="O80">
        <v>30</v>
      </c>
      <c r="P80">
        <v>3</v>
      </c>
      <c r="Q80">
        <v>3</v>
      </c>
      <c r="R80" t="s">
        <v>47</v>
      </c>
      <c r="S80">
        <v>3</v>
      </c>
      <c r="T80" t="str" cm="1">
        <f t="array" ref="T80">_xlfn.IFS(S80&lt;=2,"Poor",S80&lt;=3,"Fair",S80&gt;=4,"Good")</f>
        <v>Fair</v>
      </c>
      <c r="U80" t="s">
        <v>41</v>
      </c>
      <c r="V80" s="1">
        <v>13664</v>
      </c>
      <c r="W80" t="str" cm="1">
        <f t="array" ref="W80">_xlfn.IFS(V80&lt;=5000,"Low Salary",V80&lt;=12000,"Good Salary",V80&gt;12000,"High Salary")</f>
        <v>High Salary</v>
      </c>
      <c r="X80">
        <v>25258</v>
      </c>
      <c r="Y80">
        <v>4</v>
      </c>
      <c r="Z80" t="s">
        <v>42</v>
      </c>
      <c r="AA80" t="s">
        <v>35</v>
      </c>
      <c r="AB80">
        <v>13</v>
      </c>
      <c r="AC80">
        <v>3</v>
      </c>
      <c r="AD80" t="str">
        <f t="shared" si="3"/>
        <v>Low Performance</v>
      </c>
      <c r="AE80">
        <v>1</v>
      </c>
      <c r="AF80">
        <v>80</v>
      </c>
      <c r="AG80">
        <v>0</v>
      </c>
      <c r="AH80">
        <v>16</v>
      </c>
      <c r="AI80">
        <v>3</v>
      </c>
      <c r="AJ80">
        <v>4</v>
      </c>
      <c r="AK80" t="str" cm="1">
        <f t="array" ref="AK80">_xlfn.IFS(AJ80&lt;=2,"Poor",AJ80&lt;=3,"Fair",AJ80&gt;3,"Good")</f>
        <v>Good</v>
      </c>
      <c r="AL80">
        <v>5</v>
      </c>
      <c r="AM80">
        <v>2</v>
      </c>
      <c r="AN80">
        <v>0</v>
      </c>
      <c r="AO80">
        <v>2</v>
      </c>
    </row>
    <row r="81" spans="1:41" x14ac:dyDescent="0.2">
      <c r="A81">
        <v>1267807</v>
      </c>
      <c r="B81">
        <v>46</v>
      </c>
      <c r="C81" t="str" cm="1">
        <f t="array" ref="C81">_xlfn.IFS(B81&lt;=25,"15-25",B81&lt;=35,"26-35",B81&lt;=45,"36-45",B81&lt;=55,"46-55",B81&lt;=65,"56-65")</f>
        <v>46-55</v>
      </c>
      <c r="D81" t="s">
        <v>35</v>
      </c>
      <c r="E81" t="str">
        <f t="shared" si="2"/>
        <v>Current Employee</v>
      </c>
      <c r="F81" t="s">
        <v>36</v>
      </c>
      <c r="G81">
        <v>945</v>
      </c>
      <c r="H81" t="s">
        <v>54</v>
      </c>
      <c r="I81">
        <v>5</v>
      </c>
      <c r="J81">
        <v>2</v>
      </c>
      <c r="K81" t="s">
        <v>49</v>
      </c>
      <c r="L81">
        <v>1</v>
      </c>
      <c r="M81">
        <v>2</v>
      </c>
      <c r="N81" t="s">
        <v>46</v>
      </c>
      <c r="O81">
        <v>80</v>
      </c>
      <c r="P81">
        <v>3</v>
      </c>
      <c r="Q81">
        <v>2</v>
      </c>
      <c r="R81" t="s">
        <v>47</v>
      </c>
      <c r="S81">
        <v>2</v>
      </c>
      <c r="T81" t="str" cm="1">
        <f t="array" ref="T81">_xlfn.IFS(S81&lt;=2,"Poor",S81&lt;=3,"Fair",S81&gt;=4,"Good")</f>
        <v>Poor</v>
      </c>
      <c r="U81" t="s">
        <v>50</v>
      </c>
      <c r="V81" s="1">
        <v>5021</v>
      </c>
      <c r="W81" t="str" cm="1">
        <f t="array" ref="W81">_xlfn.IFS(V81&lt;=5000,"Low Salary",V81&lt;=12000,"Good Salary",V81&gt;12000,"High Salary")</f>
        <v>Good Salary</v>
      </c>
      <c r="X81">
        <v>10425</v>
      </c>
      <c r="Y81">
        <v>8</v>
      </c>
      <c r="Z81" t="s">
        <v>42</v>
      </c>
      <c r="AA81" t="s">
        <v>43</v>
      </c>
      <c r="AB81">
        <v>22</v>
      </c>
      <c r="AC81">
        <v>4</v>
      </c>
      <c r="AD81" t="str">
        <f t="shared" si="3"/>
        <v>High Performance</v>
      </c>
      <c r="AE81">
        <v>4</v>
      </c>
      <c r="AF81">
        <v>80</v>
      </c>
      <c r="AG81">
        <v>1</v>
      </c>
      <c r="AH81">
        <v>16</v>
      </c>
      <c r="AI81">
        <v>2</v>
      </c>
      <c r="AJ81">
        <v>3</v>
      </c>
      <c r="AK81" t="str" cm="1">
        <f t="array" ref="AK81">_xlfn.IFS(AJ81&lt;=2,"Poor",AJ81&lt;=3,"Fair",AJ81&gt;3,"Good")</f>
        <v>Fair</v>
      </c>
      <c r="AL81">
        <v>4</v>
      </c>
      <c r="AM81">
        <v>2</v>
      </c>
      <c r="AN81">
        <v>0</v>
      </c>
      <c r="AO81">
        <v>2</v>
      </c>
    </row>
    <row r="82" spans="1:41" x14ac:dyDescent="0.2">
      <c r="A82">
        <v>1247348</v>
      </c>
      <c r="B82">
        <v>30</v>
      </c>
      <c r="C82" t="str" cm="1">
        <f t="array" ref="C82">_xlfn.IFS(B82&lt;=25,"15-25",B82&lt;=35,"26-35",B82&lt;=45,"36-45",B82&lt;=55,"46-55",B82&lt;=65,"56-65")</f>
        <v>26-35</v>
      </c>
      <c r="D82" t="s">
        <v>35</v>
      </c>
      <c r="E82" t="str">
        <f t="shared" si="2"/>
        <v>Current Employee</v>
      </c>
      <c r="F82" t="s">
        <v>36</v>
      </c>
      <c r="G82">
        <v>852</v>
      </c>
      <c r="H82" t="s">
        <v>45</v>
      </c>
      <c r="I82">
        <v>1</v>
      </c>
      <c r="J82">
        <v>1</v>
      </c>
      <c r="K82" t="s">
        <v>38</v>
      </c>
      <c r="L82">
        <v>1</v>
      </c>
      <c r="M82">
        <v>4</v>
      </c>
      <c r="N82" t="s">
        <v>46</v>
      </c>
      <c r="O82">
        <v>55</v>
      </c>
      <c r="P82">
        <v>2</v>
      </c>
      <c r="Q82">
        <v>2</v>
      </c>
      <c r="R82" t="s">
        <v>40</v>
      </c>
      <c r="S82">
        <v>4</v>
      </c>
      <c r="T82" t="str" cm="1">
        <f t="array" ref="T82">_xlfn.IFS(S82&lt;=2,"Poor",S82&lt;=3,"Fair",S82&gt;=4,"Good")</f>
        <v>Good</v>
      </c>
      <c r="U82" t="s">
        <v>48</v>
      </c>
      <c r="V82" s="1">
        <v>5126</v>
      </c>
      <c r="W82" t="str" cm="1">
        <f t="array" ref="W82">_xlfn.IFS(V82&lt;=5000,"Low Salary",V82&lt;=12000,"Good Salary",V82&gt;12000,"High Salary")</f>
        <v>Good Salary</v>
      </c>
      <c r="X82">
        <v>15998</v>
      </c>
      <c r="Y82">
        <v>1</v>
      </c>
      <c r="Z82" t="s">
        <v>42</v>
      </c>
      <c r="AA82" t="s">
        <v>43</v>
      </c>
      <c r="AB82">
        <v>12</v>
      </c>
      <c r="AC82">
        <v>3</v>
      </c>
      <c r="AD82" t="str">
        <f t="shared" si="3"/>
        <v>Low Performance</v>
      </c>
      <c r="AE82">
        <v>3</v>
      </c>
      <c r="AF82">
        <v>80</v>
      </c>
      <c r="AG82">
        <v>2</v>
      </c>
      <c r="AH82">
        <v>10</v>
      </c>
      <c r="AI82">
        <v>1</v>
      </c>
      <c r="AJ82">
        <v>2</v>
      </c>
      <c r="AK82" t="str" cm="1">
        <f t="array" ref="AK82">_xlfn.IFS(AJ82&lt;=2,"Poor",AJ82&lt;=3,"Fair",AJ82&gt;3,"Good")</f>
        <v>Poor</v>
      </c>
      <c r="AL82">
        <v>10</v>
      </c>
      <c r="AM82">
        <v>8</v>
      </c>
      <c r="AN82">
        <v>3</v>
      </c>
      <c r="AO82">
        <v>0</v>
      </c>
    </row>
    <row r="83" spans="1:41" x14ac:dyDescent="0.2">
      <c r="A83">
        <v>1886039</v>
      </c>
      <c r="B83">
        <v>35</v>
      </c>
      <c r="C83" t="str" cm="1">
        <f t="array" ref="C83">_xlfn.IFS(B83&lt;=25,"15-25",B83&lt;=35,"26-35",B83&lt;=45,"36-45",B83&lt;=55,"46-55",B83&lt;=65,"56-65")</f>
        <v>26-35</v>
      </c>
      <c r="D83" t="s">
        <v>35</v>
      </c>
      <c r="E83" t="str">
        <f t="shared" si="2"/>
        <v>Current Employee</v>
      </c>
      <c r="F83" t="s">
        <v>36</v>
      </c>
      <c r="G83">
        <v>1214</v>
      </c>
      <c r="H83" t="s">
        <v>45</v>
      </c>
      <c r="I83">
        <v>1</v>
      </c>
      <c r="J83">
        <v>3</v>
      </c>
      <c r="K83" t="s">
        <v>49</v>
      </c>
      <c r="L83">
        <v>1</v>
      </c>
      <c r="M83">
        <v>2</v>
      </c>
      <c r="N83" t="s">
        <v>46</v>
      </c>
      <c r="O83">
        <v>30</v>
      </c>
      <c r="P83">
        <v>2</v>
      </c>
      <c r="Q83">
        <v>1</v>
      </c>
      <c r="R83" t="s">
        <v>47</v>
      </c>
      <c r="S83">
        <v>3</v>
      </c>
      <c r="T83" t="str" cm="1">
        <f t="array" ref="T83">_xlfn.IFS(S83&lt;=2,"Poor",S83&lt;=3,"Fair",S83&gt;=4,"Good")</f>
        <v>Fair</v>
      </c>
      <c r="U83" t="s">
        <v>41</v>
      </c>
      <c r="V83" s="1">
        <v>2859</v>
      </c>
      <c r="W83" t="str" cm="1">
        <f t="array" ref="W83">_xlfn.IFS(V83&lt;=5000,"Low Salary",V83&lt;=12000,"Good Salary",V83&gt;12000,"High Salary")</f>
        <v>Low Salary</v>
      </c>
      <c r="X83">
        <v>26278</v>
      </c>
      <c r="Y83">
        <v>1</v>
      </c>
      <c r="Z83" t="s">
        <v>42</v>
      </c>
      <c r="AA83" t="s">
        <v>35</v>
      </c>
      <c r="AB83">
        <v>18</v>
      </c>
      <c r="AC83">
        <v>3</v>
      </c>
      <c r="AD83" t="str">
        <f t="shared" si="3"/>
        <v>Low Performance</v>
      </c>
      <c r="AE83">
        <v>1</v>
      </c>
      <c r="AF83">
        <v>80</v>
      </c>
      <c r="AG83">
        <v>0</v>
      </c>
      <c r="AH83">
        <v>6</v>
      </c>
      <c r="AI83">
        <v>3</v>
      </c>
      <c r="AJ83">
        <v>3</v>
      </c>
      <c r="AK83" t="str" cm="1">
        <f t="array" ref="AK83">_xlfn.IFS(AJ83&lt;=2,"Poor",AJ83&lt;=3,"Fair",AJ83&gt;3,"Good")</f>
        <v>Fair</v>
      </c>
      <c r="AL83">
        <v>6</v>
      </c>
      <c r="AM83">
        <v>4</v>
      </c>
      <c r="AN83">
        <v>0</v>
      </c>
      <c r="AO83">
        <v>4</v>
      </c>
    </row>
    <row r="84" spans="1:41" x14ac:dyDescent="0.2">
      <c r="A84">
        <v>1134060</v>
      </c>
      <c r="B84">
        <v>55</v>
      </c>
      <c r="C84" t="str" cm="1">
        <f t="array" ref="C84">_xlfn.IFS(B84&lt;=25,"15-25",B84&lt;=35,"26-35",B84&lt;=45,"36-45",B84&lt;=55,"46-55",B84&lt;=65,"56-65")</f>
        <v>46-55</v>
      </c>
      <c r="D84" t="s">
        <v>35</v>
      </c>
      <c r="E84" t="str">
        <f t="shared" si="2"/>
        <v>Current Employee</v>
      </c>
      <c r="F84" t="s">
        <v>36</v>
      </c>
      <c r="G84">
        <v>111</v>
      </c>
      <c r="H84" t="s">
        <v>37</v>
      </c>
      <c r="I84">
        <v>1</v>
      </c>
      <c r="J84">
        <v>2</v>
      </c>
      <c r="K84" t="s">
        <v>38</v>
      </c>
      <c r="L84">
        <v>1</v>
      </c>
      <c r="M84">
        <v>1</v>
      </c>
      <c r="N84" t="s">
        <v>46</v>
      </c>
      <c r="O84">
        <v>70</v>
      </c>
      <c r="P84">
        <v>3</v>
      </c>
      <c r="Q84">
        <v>3</v>
      </c>
      <c r="R84" t="s">
        <v>40</v>
      </c>
      <c r="S84">
        <v>4</v>
      </c>
      <c r="T84" t="str" cm="1">
        <f t="array" ref="T84">_xlfn.IFS(S84&lt;=2,"Poor",S84&lt;=3,"Fair",S84&gt;=4,"Good")</f>
        <v>Good</v>
      </c>
      <c r="U84" t="s">
        <v>48</v>
      </c>
      <c r="V84" s="1">
        <v>10239</v>
      </c>
      <c r="W84" t="str" cm="1">
        <f t="array" ref="W84">_xlfn.IFS(V84&lt;=5000,"Low Salary",V84&lt;=12000,"Good Salary",V84&gt;12000,"High Salary")</f>
        <v>Good Salary</v>
      </c>
      <c r="X84">
        <v>18092</v>
      </c>
      <c r="Y84">
        <v>3</v>
      </c>
      <c r="Z84" t="s">
        <v>42</v>
      </c>
      <c r="AA84" t="s">
        <v>35</v>
      </c>
      <c r="AB84">
        <v>14</v>
      </c>
      <c r="AC84">
        <v>3</v>
      </c>
      <c r="AD84" t="str">
        <f t="shared" si="3"/>
        <v>Low Performance</v>
      </c>
      <c r="AE84">
        <v>4</v>
      </c>
      <c r="AF84">
        <v>80</v>
      </c>
      <c r="AG84">
        <v>1</v>
      </c>
      <c r="AH84">
        <v>24</v>
      </c>
      <c r="AI84">
        <v>4</v>
      </c>
      <c r="AJ84">
        <v>3</v>
      </c>
      <c r="AK84" t="str" cm="1">
        <f t="array" ref="AK84">_xlfn.IFS(AJ84&lt;=2,"Poor",AJ84&lt;=3,"Fair",AJ84&gt;3,"Good")</f>
        <v>Fair</v>
      </c>
      <c r="AL84">
        <v>1</v>
      </c>
      <c r="AM84">
        <v>0</v>
      </c>
      <c r="AN84">
        <v>1</v>
      </c>
      <c r="AO84">
        <v>0</v>
      </c>
    </row>
    <row r="85" spans="1:41" x14ac:dyDescent="0.2">
      <c r="A85">
        <v>1403326</v>
      </c>
      <c r="B85">
        <v>38</v>
      </c>
      <c r="C85" t="str" cm="1">
        <f t="array" ref="C85">_xlfn.IFS(B85&lt;=25,"15-25",B85&lt;=35,"26-35",B85&lt;=45,"36-45",B85&lt;=55,"46-55",B85&lt;=65,"56-65")</f>
        <v>36-45</v>
      </c>
      <c r="D85" t="s">
        <v>35</v>
      </c>
      <c r="E85" t="str">
        <f t="shared" si="2"/>
        <v>Current Employee</v>
      </c>
      <c r="F85" t="s">
        <v>52</v>
      </c>
      <c r="G85">
        <v>573</v>
      </c>
      <c r="H85" t="s">
        <v>45</v>
      </c>
      <c r="I85">
        <v>6</v>
      </c>
      <c r="J85">
        <v>3</v>
      </c>
      <c r="K85" t="s">
        <v>49</v>
      </c>
      <c r="L85">
        <v>1</v>
      </c>
      <c r="M85">
        <v>2</v>
      </c>
      <c r="N85" t="s">
        <v>39</v>
      </c>
      <c r="O85">
        <v>79</v>
      </c>
      <c r="P85">
        <v>1</v>
      </c>
      <c r="Q85">
        <v>2</v>
      </c>
      <c r="R85" t="s">
        <v>47</v>
      </c>
      <c r="S85">
        <v>4</v>
      </c>
      <c r="T85" t="str" cm="1">
        <f t="array" ref="T85">_xlfn.IFS(S85&lt;=2,"Poor",S85&lt;=3,"Fair",S85&gt;=4,"Good")</f>
        <v>Good</v>
      </c>
      <c r="U85" t="s">
        <v>50</v>
      </c>
      <c r="V85" s="1">
        <v>5329</v>
      </c>
      <c r="W85" t="str" cm="1">
        <f t="array" ref="W85">_xlfn.IFS(V85&lt;=5000,"Low Salary",V85&lt;=12000,"Good Salary",V85&gt;12000,"High Salary")</f>
        <v>Good Salary</v>
      </c>
      <c r="X85">
        <v>15717</v>
      </c>
      <c r="Y85">
        <v>7</v>
      </c>
      <c r="Z85" t="s">
        <v>42</v>
      </c>
      <c r="AA85" t="s">
        <v>43</v>
      </c>
      <c r="AB85">
        <v>12</v>
      </c>
      <c r="AC85">
        <v>3</v>
      </c>
      <c r="AD85" t="str">
        <f t="shared" si="3"/>
        <v>Low Performance</v>
      </c>
      <c r="AE85">
        <v>4</v>
      </c>
      <c r="AF85">
        <v>80</v>
      </c>
      <c r="AG85">
        <v>3</v>
      </c>
      <c r="AH85">
        <v>17</v>
      </c>
      <c r="AI85">
        <v>3</v>
      </c>
      <c r="AJ85">
        <v>3</v>
      </c>
      <c r="AK85" t="str" cm="1">
        <f t="array" ref="AK85">_xlfn.IFS(AJ85&lt;=2,"Poor",AJ85&lt;=3,"Fair",AJ85&gt;3,"Good")</f>
        <v>Fair</v>
      </c>
      <c r="AL85">
        <v>13</v>
      </c>
      <c r="AM85">
        <v>11</v>
      </c>
      <c r="AN85">
        <v>1</v>
      </c>
      <c r="AO85">
        <v>9</v>
      </c>
    </row>
    <row r="86" spans="1:41" x14ac:dyDescent="0.2">
      <c r="A86">
        <v>1689558</v>
      </c>
      <c r="B86">
        <v>34</v>
      </c>
      <c r="C86" t="str" cm="1">
        <f t="array" ref="C86">_xlfn.IFS(B86&lt;=25,"15-25",B86&lt;=35,"26-35",B86&lt;=45,"36-45",B86&lt;=55,"46-55",B86&lt;=65,"56-65")</f>
        <v>26-35</v>
      </c>
      <c r="D86" t="s">
        <v>35</v>
      </c>
      <c r="E86" t="str">
        <f t="shared" si="2"/>
        <v>Current Employee</v>
      </c>
      <c r="F86" t="s">
        <v>36</v>
      </c>
      <c r="G86">
        <v>1153</v>
      </c>
      <c r="H86" t="s">
        <v>54</v>
      </c>
      <c r="I86">
        <v>1</v>
      </c>
      <c r="J86">
        <v>2</v>
      </c>
      <c r="K86" t="s">
        <v>49</v>
      </c>
      <c r="L86">
        <v>1</v>
      </c>
      <c r="M86">
        <v>1</v>
      </c>
      <c r="N86" t="s">
        <v>46</v>
      </c>
      <c r="O86">
        <v>94</v>
      </c>
      <c r="P86">
        <v>3</v>
      </c>
      <c r="Q86">
        <v>2</v>
      </c>
      <c r="R86" t="s">
        <v>51</v>
      </c>
      <c r="S86">
        <v>2</v>
      </c>
      <c r="T86" t="str" cm="1">
        <f t="array" ref="T86">_xlfn.IFS(S86&lt;=2,"Poor",S86&lt;=3,"Fair",S86&gt;=4,"Good")</f>
        <v>Poor</v>
      </c>
      <c r="U86" t="s">
        <v>48</v>
      </c>
      <c r="V86" s="1">
        <v>4325</v>
      </c>
      <c r="W86" t="str" cm="1">
        <f t="array" ref="W86">_xlfn.IFS(V86&lt;=5000,"Low Salary",V86&lt;=12000,"Good Salary",V86&gt;12000,"High Salary")</f>
        <v>Low Salary</v>
      </c>
      <c r="X86">
        <v>17736</v>
      </c>
      <c r="Y86">
        <v>1</v>
      </c>
      <c r="Z86" t="s">
        <v>42</v>
      </c>
      <c r="AA86" t="s">
        <v>35</v>
      </c>
      <c r="AB86">
        <v>15</v>
      </c>
      <c r="AC86">
        <v>3</v>
      </c>
      <c r="AD86" t="str">
        <f t="shared" si="3"/>
        <v>Low Performance</v>
      </c>
      <c r="AE86">
        <v>3</v>
      </c>
      <c r="AF86">
        <v>80</v>
      </c>
      <c r="AG86">
        <v>0</v>
      </c>
      <c r="AH86">
        <v>5</v>
      </c>
      <c r="AI86">
        <v>2</v>
      </c>
      <c r="AJ86">
        <v>3</v>
      </c>
      <c r="AK86" t="str" cm="1">
        <f t="array" ref="AK86">_xlfn.IFS(AJ86&lt;=2,"Poor",AJ86&lt;=3,"Fair",AJ86&gt;3,"Good")</f>
        <v>Fair</v>
      </c>
      <c r="AL86">
        <v>5</v>
      </c>
      <c r="AM86">
        <v>2</v>
      </c>
      <c r="AN86">
        <v>1</v>
      </c>
      <c r="AO86">
        <v>3</v>
      </c>
    </row>
    <row r="87" spans="1:41" x14ac:dyDescent="0.2">
      <c r="A87">
        <v>1122798</v>
      </c>
      <c r="B87">
        <v>56</v>
      </c>
      <c r="C87" t="str" cm="1">
        <f t="array" ref="C87">_xlfn.IFS(B87&lt;=25,"15-25",B87&lt;=35,"26-35",B87&lt;=45,"36-45",B87&lt;=55,"46-55",B87&lt;=65,"56-65")</f>
        <v>56-65</v>
      </c>
      <c r="D87" t="s">
        <v>35</v>
      </c>
      <c r="E87" t="str">
        <f t="shared" si="2"/>
        <v>Current Employee</v>
      </c>
      <c r="F87" t="s">
        <v>36</v>
      </c>
      <c r="G87">
        <v>1400</v>
      </c>
      <c r="H87" t="s">
        <v>54</v>
      </c>
      <c r="I87">
        <v>7</v>
      </c>
      <c r="J87">
        <v>3</v>
      </c>
      <c r="K87" t="s">
        <v>38</v>
      </c>
      <c r="L87">
        <v>1</v>
      </c>
      <c r="M87">
        <v>4</v>
      </c>
      <c r="N87" t="s">
        <v>46</v>
      </c>
      <c r="O87">
        <v>49</v>
      </c>
      <c r="P87">
        <v>1</v>
      </c>
      <c r="Q87">
        <v>3</v>
      </c>
      <c r="R87" t="s">
        <v>51</v>
      </c>
      <c r="S87">
        <v>4</v>
      </c>
      <c r="T87" t="str" cm="1">
        <f t="array" ref="T87">_xlfn.IFS(S87&lt;=2,"Poor",S87&lt;=3,"Fair",S87&gt;=4,"Good")</f>
        <v>Good</v>
      </c>
      <c r="U87" t="s">
        <v>41</v>
      </c>
      <c r="V87" s="1">
        <v>7260</v>
      </c>
      <c r="W87" t="str" cm="1">
        <f t="array" ref="W87">_xlfn.IFS(V87&lt;=5000,"Low Salary",V87&lt;=12000,"Good Salary",V87&gt;12000,"High Salary")</f>
        <v>Good Salary</v>
      </c>
      <c r="X87">
        <v>21698</v>
      </c>
      <c r="Y87">
        <v>4</v>
      </c>
      <c r="Z87" t="s">
        <v>42</v>
      </c>
      <c r="AA87" t="s">
        <v>35</v>
      </c>
      <c r="AB87">
        <v>11</v>
      </c>
      <c r="AC87">
        <v>3</v>
      </c>
      <c r="AD87" t="str">
        <f t="shared" si="3"/>
        <v>Low Performance</v>
      </c>
      <c r="AE87">
        <v>1</v>
      </c>
      <c r="AF87">
        <v>80</v>
      </c>
      <c r="AG87">
        <v>0</v>
      </c>
      <c r="AH87">
        <v>37</v>
      </c>
      <c r="AI87">
        <v>3</v>
      </c>
      <c r="AJ87">
        <v>2</v>
      </c>
      <c r="AK87" t="str" cm="1">
        <f t="array" ref="AK87">_xlfn.IFS(AJ87&lt;=2,"Poor",AJ87&lt;=3,"Fair",AJ87&gt;3,"Good")</f>
        <v>Poor</v>
      </c>
      <c r="AL87">
        <v>6</v>
      </c>
      <c r="AM87">
        <v>4</v>
      </c>
      <c r="AN87">
        <v>0</v>
      </c>
      <c r="AO87">
        <v>2</v>
      </c>
    </row>
    <row r="88" spans="1:41" x14ac:dyDescent="0.2">
      <c r="A88">
        <v>1477348</v>
      </c>
      <c r="B88">
        <v>23</v>
      </c>
      <c r="C88" t="str" cm="1">
        <f t="array" ref="C88">_xlfn.IFS(B88&lt;=25,"15-25",B88&lt;=35,"26-35",B88&lt;=45,"36-45",B88&lt;=55,"46-55",B88&lt;=65,"56-65")</f>
        <v>15-25</v>
      </c>
      <c r="D88" t="s">
        <v>35</v>
      </c>
      <c r="E88" t="str">
        <f t="shared" si="2"/>
        <v>Current Employee</v>
      </c>
      <c r="F88" t="s">
        <v>36</v>
      </c>
      <c r="G88">
        <v>541</v>
      </c>
      <c r="H88" t="s">
        <v>37</v>
      </c>
      <c r="I88">
        <v>2</v>
      </c>
      <c r="J88">
        <v>1</v>
      </c>
      <c r="K88" t="s">
        <v>56</v>
      </c>
      <c r="L88">
        <v>1</v>
      </c>
      <c r="M88">
        <v>3</v>
      </c>
      <c r="N88" t="s">
        <v>46</v>
      </c>
      <c r="O88">
        <v>62</v>
      </c>
      <c r="P88">
        <v>3</v>
      </c>
      <c r="Q88">
        <v>1</v>
      </c>
      <c r="R88" t="s">
        <v>47</v>
      </c>
      <c r="S88">
        <v>1</v>
      </c>
      <c r="T88" t="str" cm="1">
        <f t="array" ref="T88">_xlfn.IFS(S88&lt;=2,"Poor",S88&lt;=3,"Fair",S88&gt;=4,"Good")</f>
        <v>Poor</v>
      </c>
      <c r="U88" t="s">
        <v>50</v>
      </c>
      <c r="V88" s="1">
        <v>2322</v>
      </c>
      <c r="W88" t="str" cm="1">
        <f t="array" ref="W88">_xlfn.IFS(V88&lt;=5000,"Low Salary",V88&lt;=12000,"Good Salary",V88&gt;12000,"High Salary")</f>
        <v>Low Salary</v>
      </c>
      <c r="X88">
        <v>9518</v>
      </c>
      <c r="Y88">
        <v>3</v>
      </c>
      <c r="Z88" t="s">
        <v>42</v>
      </c>
      <c r="AA88" t="s">
        <v>35</v>
      </c>
      <c r="AB88">
        <v>13</v>
      </c>
      <c r="AC88">
        <v>3</v>
      </c>
      <c r="AD88" t="str">
        <f t="shared" si="3"/>
        <v>Low Performance</v>
      </c>
      <c r="AE88">
        <v>3</v>
      </c>
      <c r="AF88">
        <v>80</v>
      </c>
      <c r="AG88">
        <v>1</v>
      </c>
      <c r="AH88">
        <v>3</v>
      </c>
      <c r="AI88">
        <v>3</v>
      </c>
      <c r="AJ88">
        <v>3</v>
      </c>
      <c r="AK88" t="str" cm="1">
        <f t="array" ref="AK88">_xlfn.IFS(AJ88&lt;=2,"Poor",AJ88&lt;=3,"Fair",AJ88&gt;3,"Good")</f>
        <v>Fair</v>
      </c>
      <c r="AL88">
        <v>0</v>
      </c>
      <c r="AM88">
        <v>0</v>
      </c>
      <c r="AN88">
        <v>0</v>
      </c>
      <c r="AO88">
        <v>0</v>
      </c>
    </row>
    <row r="89" spans="1:41" x14ac:dyDescent="0.2">
      <c r="A89">
        <v>1061371</v>
      </c>
      <c r="B89">
        <v>51</v>
      </c>
      <c r="C89" t="str" cm="1">
        <f t="array" ref="C89">_xlfn.IFS(B89&lt;=25,"15-25",B89&lt;=35,"26-35",B89&lt;=45,"36-45",B89&lt;=55,"46-55",B89&lt;=65,"56-65")</f>
        <v>46-55</v>
      </c>
      <c r="D89" t="s">
        <v>35</v>
      </c>
      <c r="E89" t="str">
        <f t="shared" si="2"/>
        <v>Current Employee</v>
      </c>
      <c r="F89" t="s">
        <v>36</v>
      </c>
      <c r="G89">
        <v>432</v>
      </c>
      <c r="H89" t="s">
        <v>45</v>
      </c>
      <c r="I89">
        <v>9</v>
      </c>
      <c r="J89">
        <v>4</v>
      </c>
      <c r="K89" t="s">
        <v>38</v>
      </c>
      <c r="L89">
        <v>1</v>
      </c>
      <c r="M89">
        <v>4</v>
      </c>
      <c r="N89" t="s">
        <v>46</v>
      </c>
      <c r="O89">
        <v>96</v>
      </c>
      <c r="P89">
        <v>3</v>
      </c>
      <c r="Q89">
        <v>1</v>
      </c>
      <c r="R89" t="s">
        <v>40</v>
      </c>
      <c r="S89">
        <v>4</v>
      </c>
      <c r="T89" t="str" cm="1">
        <f t="array" ref="T89">_xlfn.IFS(S89&lt;=2,"Poor",S89&lt;=3,"Fair",S89&gt;=4,"Good")</f>
        <v>Good</v>
      </c>
      <c r="U89" t="s">
        <v>48</v>
      </c>
      <c r="V89" s="1">
        <v>2075</v>
      </c>
      <c r="W89" t="str" cm="1">
        <f t="array" ref="W89">_xlfn.IFS(V89&lt;=5000,"Low Salary",V89&lt;=12000,"Good Salary",V89&gt;12000,"High Salary")</f>
        <v>Low Salary</v>
      </c>
      <c r="X89">
        <v>18725</v>
      </c>
      <c r="Y89">
        <v>3</v>
      </c>
      <c r="Z89" t="s">
        <v>42</v>
      </c>
      <c r="AA89" t="s">
        <v>35</v>
      </c>
      <c r="AB89">
        <v>23</v>
      </c>
      <c r="AC89">
        <v>4</v>
      </c>
      <c r="AD89" t="str">
        <f t="shared" si="3"/>
        <v>High Performance</v>
      </c>
      <c r="AE89">
        <v>2</v>
      </c>
      <c r="AF89">
        <v>80</v>
      </c>
      <c r="AG89">
        <v>2</v>
      </c>
      <c r="AH89">
        <v>10</v>
      </c>
      <c r="AI89">
        <v>4</v>
      </c>
      <c r="AJ89">
        <v>3</v>
      </c>
      <c r="AK89" t="str" cm="1">
        <f t="array" ref="AK89">_xlfn.IFS(AJ89&lt;=2,"Poor",AJ89&lt;=3,"Fair",AJ89&gt;3,"Good")</f>
        <v>Fair</v>
      </c>
      <c r="AL89">
        <v>4</v>
      </c>
      <c r="AM89">
        <v>2</v>
      </c>
      <c r="AN89">
        <v>0</v>
      </c>
      <c r="AO89">
        <v>3</v>
      </c>
    </row>
    <row r="90" spans="1:41" x14ac:dyDescent="0.2">
      <c r="A90">
        <v>1535342</v>
      </c>
      <c r="B90">
        <v>30</v>
      </c>
      <c r="C90" t="str" cm="1">
        <f t="array" ref="C90">_xlfn.IFS(B90&lt;=25,"15-25",B90&lt;=35,"26-35",B90&lt;=45,"36-45",B90&lt;=55,"46-55",B90&lt;=65,"56-65")</f>
        <v>26-35</v>
      </c>
      <c r="D90" t="s">
        <v>35</v>
      </c>
      <c r="E90" t="str">
        <f t="shared" si="2"/>
        <v>Current Employee</v>
      </c>
      <c r="F90" t="s">
        <v>36</v>
      </c>
      <c r="G90">
        <v>288</v>
      </c>
      <c r="H90" t="s">
        <v>45</v>
      </c>
      <c r="I90">
        <v>2</v>
      </c>
      <c r="J90">
        <v>3</v>
      </c>
      <c r="K90" t="s">
        <v>38</v>
      </c>
      <c r="L90">
        <v>1</v>
      </c>
      <c r="M90">
        <v>3</v>
      </c>
      <c r="N90" t="s">
        <v>46</v>
      </c>
      <c r="O90">
        <v>99</v>
      </c>
      <c r="P90">
        <v>2</v>
      </c>
      <c r="Q90">
        <v>2</v>
      </c>
      <c r="R90" t="s">
        <v>40</v>
      </c>
      <c r="S90">
        <v>4</v>
      </c>
      <c r="T90" t="str" cm="1">
        <f t="array" ref="T90">_xlfn.IFS(S90&lt;=2,"Poor",S90&lt;=3,"Fair",S90&gt;=4,"Good")</f>
        <v>Good</v>
      </c>
      <c r="U90" t="s">
        <v>48</v>
      </c>
      <c r="V90" s="1">
        <v>4152</v>
      </c>
      <c r="W90" t="str" cm="1">
        <f t="array" ref="W90">_xlfn.IFS(V90&lt;=5000,"Low Salary",V90&lt;=12000,"Good Salary",V90&gt;12000,"High Salary")</f>
        <v>Low Salary</v>
      </c>
      <c r="X90">
        <v>15830</v>
      </c>
      <c r="Y90">
        <v>1</v>
      </c>
      <c r="Z90" t="s">
        <v>42</v>
      </c>
      <c r="AA90" t="s">
        <v>35</v>
      </c>
      <c r="AB90">
        <v>19</v>
      </c>
      <c r="AC90">
        <v>3</v>
      </c>
      <c r="AD90" t="str">
        <f t="shared" si="3"/>
        <v>Low Performance</v>
      </c>
      <c r="AE90">
        <v>1</v>
      </c>
      <c r="AF90">
        <v>80</v>
      </c>
      <c r="AG90">
        <v>3</v>
      </c>
      <c r="AH90">
        <v>11</v>
      </c>
      <c r="AI90">
        <v>3</v>
      </c>
      <c r="AJ90">
        <v>3</v>
      </c>
      <c r="AK90" t="str" cm="1">
        <f t="array" ref="AK90">_xlfn.IFS(AJ90&lt;=2,"Poor",AJ90&lt;=3,"Fair",AJ90&gt;3,"Good")</f>
        <v>Fair</v>
      </c>
      <c r="AL90">
        <v>11</v>
      </c>
      <c r="AM90">
        <v>10</v>
      </c>
      <c r="AN90">
        <v>10</v>
      </c>
      <c r="AO90">
        <v>8</v>
      </c>
    </row>
    <row r="91" spans="1:41" x14ac:dyDescent="0.2">
      <c r="A91">
        <v>1386780</v>
      </c>
      <c r="B91">
        <v>46</v>
      </c>
      <c r="C91" t="str" cm="1">
        <f t="array" ref="C91">_xlfn.IFS(B91&lt;=25,"15-25",B91&lt;=35,"26-35",B91&lt;=45,"36-45",B91&lt;=55,"46-55",B91&lt;=65,"56-65")</f>
        <v>46-55</v>
      </c>
      <c r="D91" t="s">
        <v>35</v>
      </c>
      <c r="E91" t="str">
        <f t="shared" si="2"/>
        <v>Current Employee</v>
      </c>
      <c r="F91" t="s">
        <v>36</v>
      </c>
      <c r="G91">
        <v>669</v>
      </c>
      <c r="H91" t="s">
        <v>37</v>
      </c>
      <c r="I91">
        <v>9</v>
      </c>
      <c r="J91">
        <v>2</v>
      </c>
      <c r="K91" t="s">
        <v>49</v>
      </c>
      <c r="L91">
        <v>1</v>
      </c>
      <c r="M91">
        <v>3</v>
      </c>
      <c r="N91" t="s">
        <v>46</v>
      </c>
      <c r="O91">
        <v>64</v>
      </c>
      <c r="P91">
        <v>2</v>
      </c>
      <c r="Q91">
        <v>3</v>
      </c>
      <c r="R91" t="s">
        <v>40</v>
      </c>
      <c r="S91">
        <v>4</v>
      </c>
      <c r="T91" t="str" cm="1">
        <f t="array" ref="T91">_xlfn.IFS(S91&lt;=2,"Poor",S91&lt;=3,"Fair",S91&gt;=4,"Good")</f>
        <v>Good</v>
      </c>
      <c r="U91" t="s">
        <v>41</v>
      </c>
      <c r="V91" s="1">
        <v>9619</v>
      </c>
      <c r="W91" t="str" cm="1">
        <f t="array" ref="W91">_xlfn.IFS(V91&lt;=5000,"Low Salary",V91&lt;=12000,"Good Salary",V91&gt;12000,"High Salary")</f>
        <v>Good Salary</v>
      </c>
      <c r="X91">
        <v>13596</v>
      </c>
      <c r="Y91">
        <v>1</v>
      </c>
      <c r="Z91" t="s">
        <v>42</v>
      </c>
      <c r="AA91" t="s">
        <v>35</v>
      </c>
      <c r="AB91">
        <v>16</v>
      </c>
      <c r="AC91">
        <v>3</v>
      </c>
      <c r="AD91" t="str">
        <f t="shared" si="3"/>
        <v>Low Performance</v>
      </c>
      <c r="AE91">
        <v>4</v>
      </c>
      <c r="AF91">
        <v>80</v>
      </c>
      <c r="AG91">
        <v>0</v>
      </c>
      <c r="AH91">
        <v>9</v>
      </c>
      <c r="AI91">
        <v>3</v>
      </c>
      <c r="AJ91">
        <v>3</v>
      </c>
      <c r="AK91" t="str" cm="1">
        <f t="array" ref="AK91">_xlfn.IFS(AJ91&lt;=2,"Poor",AJ91&lt;=3,"Fair",AJ91&gt;3,"Good")</f>
        <v>Fair</v>
      </c>
      <c r="AL91">
        <v>9</v>
      </c>
      <c r="AM91">
        <v>8</v>
      </c>
      <c r="AN91">
        <v>4</v>
      </c>
      <c r="AO91">
        <v>7</v>
      </c>
    </row>
    <row r="92" spans="1:41" x14ac:dyDescent="0.2">
      <c r="A92">
        <v>1254775</v>
      </c>
      <c r="B92">
        <v>40</v>
      </c>
      <c r="C92" t="str" cm="1">
        <f t="array" ref="C92">_xlfn.IFS(B92&lt;=25,"15-25",B92&lt;=35,"26-35",B92&lt;=45,"36-45",B92&lt;=55,"46-55",B92&lt;=65,"56-65")</f>
        <v>36-45</v>
      </c>
      <c r="D92" t="s">
        <v>35</v>
      </c>
      <c r="E92" t="str">
        <f t="shared" si="2"/>
        <v>Current Employee</v>
      </c>
      <c r="F92" t="s">
        <v>44</v>
      </c>
      <c r="G92">
        <v>530</v>
      </c>
      <c r="H92" t="s">
        <v>45</v>
      </c>
      <c r="I92">
        <v>1</v>
      </c>
      <c r="J92">
        <v>4</v>
      </c>
      <c r="K92" t="s">
        <v>38</v>
      </c>
      <c r="L92">
        <v>1</v>
      </c>
      <c r="M92">
        <v>3</v>
      </c>
      <c r="N92" t="s">
        <v>46</v>
      </c>
      <c r="O92">
        <v>78</v>
      </c>
      <c r="P92">
        <v>2</v>
      </c>
      <c r="Q92">
        <v>4</v>
      </c>
      <c r="R92" t="s">
        <v>40</v>
      </c>
      <c r="S92">
        <v>2</v>
      </c>
      <c r="T92" t="str" cm="1">
        <f t="array" ref="T92">_xlfn.IFS(S92&lt;=2,"Poor",S92&lt;=3,"Fair",S92&gt;=4,"Good")</f>
        <v>Poor</v>
      </c>
      <c r="U92" t="s">
        <v>48</v>
      </c>
      <c r="V92" s="1">
        <v>13503</v>
      </c>
      <c r="W92" t="str" cm="1">
        <f t="array" ref="W92">_xlfn.IFS(V92&lt;=5000,"Low Salary",V92&lt;=12000,"Good Salary",V92&gt;12000,"High Salary")</f>
        <v>High Salary</v>
      </c>
      <c r="X92">
        <v>14115</v>
      </c>
      <c r="Y92">
        <v>1</v>
      </c>
      <c r="Z92" t="s">
        <v>42</v>
      </c>
      <c r="AA92" t="s">
        <v>35</v>
      </c>
      <c r="AB92">
        <v>22</v>
      </c>
      <c r="AC92">
        <v>4</v>
      </c>
      <c r="AD92" t="str">
        <f t="shared" si="3"/>
        <v>High Performance</v>
      </c>
      <c r="AE92">
        <v>4</v>
      </c>
      <c r="AF92">
        <v>80</v>
      </c>
      <c r="AG92">
        <v>1</v>
      </c>
      <c r="AH92">
        <v>22</v>
      </c>
      <c r="AI92">
        <v>3</v>
      </c>
      <c r="AJ92">
        <v>2</v>
      </c>
      <c r="AK92" t="str" cm="1">
        <f t="array" ref="AK92">_xlfn.IFS(AJ92&lt;=2,"Poor",AJ92&lt;=3,"Fair",AJ92&gt;3,"Good")</f>
        <v>Poor</v>
      </c>
      <c r="AL92">
        <v>22</v>
      </c>
      <c r="AM92">
        <v>3</v>
      </c>
      <c r="AN92">
        <v>11</v>
      </c>
      <c r="AO92">
        <v>11</v>
      </c>
    </row>
    <row r="93" spans="1:41" x14ac:dyDescent="0.2">
      <c r="A93">
        <v>1818921</v>
      </c>
      <c r="B93">
        <v>51</v>
      </c>
      <c r="C93" t="str" cm="1">
        <f t="array" ref="C93">_xlfn.IFS(B93&lt;=25,"15-25",B93&lt;=35,"26-35",B93&lt;=45,"36-45",B93&lt;=55,"46-55",B93&lt;=65,"56-65")</f>
        <v>46-55</v>
      </c>
      <c r="D93" t="s">
        <v>35</v>
      </c>
      <c r="E93" t="str">
        <f t="shared" si="2"/>
        <v>Current Employee</v>
      </c>
      <c r="F93" t="s">
        <v>36</v>
      </c>
      <c r="G93">
        <v>632</v>
      </c>
      <c r="H93" t="s">
        <v>37</v>
      </c>
      <c r="I93">
        <v>21</v>
      </c>
      <c r="J93">
        <v>4</v>
      </c>
      <c r="K93" t="s">
        <v>55</v>
      </c>
      <c r="L93">
        <v>1</v>
      </c>
      <c r="M93">
        <v>3</v>
      </c>
      <c r="N93" t="s">
        <v>46</v>
      </c>
      <c r="O93">
        <v>71</v>
      </c>
      <c r="P93">
        <v>3</v>
      </c>
      <c r="Q93">
        <v>2</v>
      </c>
      <c r="R93" t="s">
        <v>40</v>
      </c>
      <c r="S93">
        <v>4</v>
      </c>
      <c r="T93" t="str" cm="1">
        <f t="array" ref="T93">_xlfn.IFS(S93&lt;=2,"Poor",S93&lt;=3,"Fair",S93&gt;=4,"Good")</f>
        <v>Good</v>
      </c>
      <c r="U93" t="s">
        <v>41</v>
      </c>
      <c r="V93" s="1">
        <v>5441</v>
      </c>
      <c r="W93" t="str" cm="1">
        <f t="array" ref="W93">_xlfn.IFS(V93&lt;=5000,"Low Salary",V93&lt;=12000,"Good Salary",V93&gt;12000,"High Salary")</f>
        <v>Good Salary</v>
      </c>
      <c r="X93">
        <v>8423</v>
      </c>
      <c r="Y93">
        <v>0</v>
      </c>
      <c r="Z93" t="s">
        <v>42</v>
      </c>
      <c r="AA93" t="s">
        <v>43</v>
      </c>
      <c r="AB93">
        <v>22</v>
      </c>
      <c r="AC93">
        <v>4</v>
      </c>
      <c r="AD93" t="str">
        <f t="shared" si="3"/>
        <v>High Performance</v>
      </c>
      <c r="AE93">
        <v>4</v>
      </c>
      <c r="AF93">
        <v>80</v>
      </c>
      <c r="AG93">
        <v>0</v>
      </c>
      <c r="AH93">
        <v>11</v>
      </c>
      <c r="AI93">
        <v>2</v>
      </c>
      <c r="AJ93">
        <v>1</v>
      </c>
      <c r="AK93" t="str" cm="1">
        <f t="array" ref="AK93">_xlfn.IFS(AJ93&lt;=2,"Poor",AJ93&lt;=3,"Fair",AJ93&gt;3,"Good")</f>
        <v>Poor</v>
      </c>
      <c r="AL93">
        <v>10</v>
      </c>
      <c r="AM93">
        <v>7</v>
      </c>
      <c r="AN93">
        <v>1</v>
      </c>
      <c r="AO93">
        <v>0</v>
      </c>
    </row>
    <row r="94" spans="1:41" x14ac:dyDescent="0.2">
      <c r="A94">
        <v>1848882</v>
      </c>
      <c r="B94">
        <v>30</v>
      </c>
      <c r="C94" t="str" cm="1">
        <f t="array" ref="C94">_xlfn.IFS(B94&lt;=25,"15-25",B94&lt;=35,"26-35",B94&lt;=45,"36-45",B94&lt;=55,"46-55",B94&lt;=65,"56-65")</f>
        <v>26-35</v>
      </c>
      <c r="D94" t="s">
        <v>35</v>
      </c>
      <c r="E94" t="str">
        <f t="shared" si="2"/>
        <v>Current Employee</v>
      </c>
      <c r="F94" t="s">
        <v>36</v>
      </c>
      <c r="G94">
        <v>1334</v>
      </c>
      <c r="H94" t="s">
        <v>37</v>
      </c>
      <c r="I94">
        <v>4</v>
      </c>
      <c r="J94">
        <v>2</v>
      </c>
      <c r="K94" t="s">
        <v>49</v>
      </c>
      <c r="L94">
        <v>1</v>
      </c>
      <c r="M94">
        <v>3</v>
      </c>
      <c r="N94" t="s">
        <v>39</v>
      </c>
      <c r="O94">
        <v>63</v>
      </c>
      <c r="P94">
        <v>2</v>
      </c>
      <c r="Q94">
        <v>2</v>
      </c>
      <c r="R94" t="s">
        <v>40</v>
      </c>
      <c r="S94">
        <v>2</v>
      </c>
      <c r="T94" t="str" cm="1">
        <f t="array" ref="T94">_xlfn.IFS(S94&lt;=2,"Poor",S94&lt;=3,"Fair",S94&gt;=4,"Good")</f>
        <v>Poor</v>
      </c>
      <c r="U94" t="s">
        <v>50</v>
      </c>
      <c r="V94" s="1">
        <v>5209</v>
      </c>
      <c r="W94" t="str" cm="1">
        <f t="array" ref="W94">_xlfn.IFS(V94&lt;=5000,"Low Salary",V94&lt;=12000,"Good Salary",V94&gt;12000,"High Salary")</f>
        <v>Good Salary</v>
      </c>
      <c r="X94">
        <v>19760</v>
      </c>
      <c r="Y94">
        <v>1</v>
      </c>
      <c r="Z94" t="s">
        <v>42</v>
      </c>
      <c r="AA94" t="s">
        <v>43</v>
      </c>
      <c r="AB94">
        <v>12</v>
      </c>
      <c r="AC94">
        <v>3</v>
      </c>
      <c r="AD94" t="str">
        <f t="shared" si="3"/>
        <v>Low Performance</v>
      </c>
      <c r="AE94">
        <v>2</v>
      </c>
      <c r="AF94">
        <v>80</v>
      </c>
      <c r="AG94">
        <v>3</v>
      </c>
      <c r="AH94">
        <v>11</v>
      </c>
      <c r="AI94">
        <v>4</v>
      </c>
      <c r="AJ94">
        <v>2</v>
      </c>
      <c r="AK94" t="str" cm="1">
        <f t="array" ref="AK94">_xlfn.IFS(AJ94&lt;=2,"Poor",AJ94&lt;=3,"Fair",AJ94&gt;3,"Good")</f>
        <v>Poor</v>
      </c>
      <c r="AL94">
        <v>11</v>
      </c>
      <c r="AM94">
        <v>8</v>
      </c>
      <c r="AN94">
        <v>2</v>
      </c>
      <c r="AO94">
        <v>7</v>
      </c>
    </row>
    <row r="95" spans="1:41" x14ac:dyDescent="0.2">
      <c r="A95">
        <v>1537412</v>
      </c>
      <c r="B95">
        <v>46</v>
      </c>
      <c r="C95" t="str" cm="1">
        <f t="array" ref="C95">_xlfn.IFS(B95&lt;=25,"15-25",B95&lt;=35,"26-35",B95&lt;=45,"36-45",B95&lt;=55,"46-55",B95&lt;=65,"56-65")</f>
        <v>46-55</v>
      </c>
      <c r="D95" t="s">
        <v>35</v>
      </c>
      <c r="E95" t="str">
        <f t="shared" si="2"/>
        <v>Current Employee</v>
      </c>
      <c r="F95" t="s">
        <v>44</v>
      </c>
      <c r="G95">
        <v>638</v>
      </c>
      <c r="H95" t="s">
        <v>45</v>
      </c>
      <c r="I95">
        <v>1</v>
      </c>
      <c r="J95">
        <v>3</v>
      </c>
      <c r="K95" t="s">
        <v>49</v>
      </c>
      <c r="L95">
        <v>1</v>
      </c>
      <c r="M95">
        <v>3</v>
      </c>
      <c r="N95" t="s">
        <v>46</v>
      </c>
      <c r="O95">
        <v>40</v>
      </c>
      <c r="P95">
        <v>2</v>
      </c>
      <c r="Q95">
        <v>3</v>
      </c>
      <c r="R95" t="s">
        <v>40</v>
      </c>
      <c r="S95">
        <v>1</v>
      </c>
      <c r="T95" t="str" cm="1">
        <f t="array" ref="T95">_xlfn.IFS(S95&lt;=2,"Poor",S95&lt;=3,"Fair",S95&gt;=4,"Good")</f>
        <v>Poor</v>
      </c>
      <c r="U95" t="s">
        <v>48</v>
      </c>
      <c r="V95" s="1">
        <v>10673</v>
      </c>
      <c r="W95" t="str" cm="1">
        <f t="array" ref="W95">_xlfn.IFS(V95&lt;=5000,"Low Salary",V95&lt;=12000,"Good Salary",V95&gt;12000,"High Salary")</f>
        <v>Good Salary</v>
      </c>
      <c r="X95">
        <v>3142</v>
      </c>
      <c r="Y95">
        <v>2</v>
      </c>
      <c r="Z95" t="s">
        <v>42</v>
      </c>
      <c r="AA95" t="s">
        <v>43</v>
      </c>
      <c r="AB95">
        <v>13</v>
      </c>
      <c r="AC95">
        <v>3</v>
      </c>
      <c r="AD95" t="str">
        <f t="shared" si="3"/>
        <v>Low Performance</v>
      </c>
      <c r="AE95">
        <v>3</v>
      </c>
      <c r="AF95">
        <v>80</v>
      </c>
      <c r="AG95">
        <v>1</v>
      </c>
      <c r="AH95">
        <v>21</v>
      </c>
      <c r="AI95">
        <v>5</v>
      </c>
      <c r="AJ95">
        <v>2</v>
      </c>
      <c r="AK95" t="str" cm="1">
        <f t="array" ref="AK95">_xlfn.IFS(AJ95&lt;=2,"Poor",AJ95&lt;=3,"Fair",AJ95&gt;3,"Good")</f>
        <v>Poor</v>
      </c>
      <c r="AL95">
        <v>10</v>
      </c>
      <c r="AM95">
        <v>9</v>
      </c>
      <c r="AN95">
        <v>9</v>
      </c>
      <c r="AO95">
        <v>5</v>
      </c>
    </row>
    <row r="96" spans="1:41" x14ac:dyDescent="0.2">
      <c r="A96">
        <v>1231380</v>
      </c>
      <c r="B96">
        <v>32</v>
      </c>
      <c r="C96" t="str" cm="1">
        <f t="array" ref="C96">_xlfn.IFS(B96&lt;=25,"15-25",B96&lt;=35,"26-35",B96&lt;=45,"36-45",B96&lt;=55,"46-55",B96&lt;=65,"56-65")</f>
        <v>26-35</v>
      </c>
      <c r="D96" t="s">
        <v>35</v>
      </c>
      <c r="E96" t="str">
        <f t="shared" si="2"/>
        <v>Current Employee</v>
      </c>
      <c r="F96" t="s">
        <v>36</v>
      </c>
      <c r="G96">
        <v>1093</v>
      </c>
      <c r="H96" t="s">
        <v>37</v>
      </c>
      <c r="I96">
        <v>6</v>
      </c>
      <c r="J96">
        <v>4</v>
      </c>
      <c r="K96" t="s">
        <v>49</v>
      </c>
      <c r="L96">
        <v>1</v>
      </c>
      <c r="M96">
        <v>2</v>
      </c>
      <c r="N96" t="s">
        <v>46</v>
      </c>
      <c r="O96">
        <v>87</v>
      </c>
      <c r="P96">
        <v>3</v>
      </c>
      <c r="Q96">
        <v>2</v>
      </c>
      <c r="R96" t="s">
        <v>40</v>
      </c>
      <c r="S96">
        <v>3</v>
      </c>
      <c r="T96" t="str" cm="1">
        <f t="array" ref="T96">_xlfn.IFS(S96&lt;=2,"Poor",S96&lt;=3,"Fair",S96&gt;=4,"Good")</f>
        <v>Fair</v>
      </c>
      <c r="U96" t="s">
        <v>41</v>
      </c>
      <c r="V96" s="1">
        <v>5010</v>
      </c>
      <c r="W96" t="str" cm="1">
        <f t="array" ref="W96">_xlfn.IFS(V96&lt;=5000,"Low Salary",V96&lt;=12000,"Good Salary",V96&gt;12000,"High Salary")</f>
        <v>Good Salary</v>
      </c>
      <c r="X96">
        <v>24301</v>
      </c>
      <c r="Y96">
        <v>1</v>
      </c>
      <c r="Z96" t="s">
        <v>42</v>
      </c>
      <c r="AA96" t="s">
        <v>35</v>
      </c>
      <c r="AB96">
        <v>16</v>
      </c>
      <c r="AC96">
        <v>3</v>
      </c>
      <c r="AD96" t="str">
        <f t="shared" si="3"/>
        <v>Low Performance</v>
      </c>
      <c r="AE96">
        <v>1</v>
      </c>
      <c r="AF96">
        <v>80</v>
      </c>
      <c r="AG96">
        <v>0</v>
      </c>
      <c r="AH96">
        <v>12</v>
      </c>
      <c r="AI96">
        <v>0</v>
      </c>
      <c r="AJ96">
        <v>3</v>
      </c>
      <c r="AK96" t="str" cm="1">
        <f t="array" ref="AK96">_xlfn.IFS(AJ96&lt;=2,"Poor",AJ96&lt;=3,"Fair",AJ96&gt;3,"Good")</f>
        <v>Fair</v>
      </c>
      <c r="AL96">
        <v>11</v>
      </c>
      <c r="AM96">
        <v>8</v>
      </c>
      <c r="AN96">
        <v>5</v>
      </c>
      <c r="AO96">
        <v>7</v>
      </c>
    </row>
    <row r="97" spans="1:41" x14ac:dyDescent="0.2">
      <c r="A97">
        <v>1293078</v>
      </c>
      <c r="B97">
        <v>54</v>
      </c>
      <c r="C97" t="str" cm="1">
        <f t="array" ref="C97">_xlfn.IFS(B97&lt;=25,"15-25",B97&lt;=35,"26-35",B97&lt;=45,"36-45",B97&lt;=55,"46-55",B97&lt;=65,"56-65")</f>
        <v>46-55</v>
      </c>
      <c r="D97" t="s">
        <v>35</v>
      </c>
      <c r="E97" t="str">
        <f t="shared" si="2"/>
        <v>Current Employee</v>
      </c>
      <c r="F97" t="s">
        <v>36</v>
      </c>
      <c r="G97">
        <v>1217</v>
      </c>
      <c r="H97" t="s">
        <v>54</v>
      </c>
      <c r="I97">
        <v>2</v>
      </c>
      <c r="J97">
        <v>4</v>
      </c>
      <c r="K97" t="s">
        <v>56</v>
      </c>
      <c r="L97">
        <v>1</v>
      </c>
      <c r="M97">
        <v>1</v>
      </c>
      <c r="N97" t="s">
        <v>39</v>
      </c>
      <c r="O97">
        <v>60</v>
      </c>
      <c r="P97">
        <v>3</v>
      </c>
      <c r="Q97">
        <v>3</v>
      </c>
      <c r="R97" t="s">
        <v>47</v>
      </c>
      <c r="S97">
        <v>3</v>
      </c>
      <c r="T97" t="str" cm="1">
        <f t="array" ref="T97">_xlfn.IFS(S97&lt;=2,"Poor",S97&lt;=3,"Fair",S97&gt;=4,"Good")</f>
        <v>Fair</v>
      </c>
      <c r="U97" t="s">
        <v>48</v>
      </c>
      <c r="V97" s="1">
        <v>13549</v>
      </c>
      <c r="W97" t="str" cm="1">
        <f t="array" ref="W97">_xlfn.IFS(V97&lt;=5000,"Low Salary",V97&lt;=12000,"Good Salary",V97&gt;12000,"High Salary")</f>
        <v>High Salary</v>
      </c>
      <c r="X97">
        <v>24001</v>
      </c>
      <c r="Y97">
        <v>9</v>
      </c>
      <c r="Z97" t="s">
        <v>42</v>
      </c>
      <c r="AA97" t="s">
        <v>35</v>
      </c>
      <c r="AB97">
        <v>12</v>
      </c>
      <c r="AC97">
        <v>3</v>
      </c>
      <c r="AD97" t="str">
        <f t="shared" si="3"/>
        <v>Low Performance</v>
      </c>
      <c r="AE97">
        <v>1</v>
      </c>
      <c r="AF97">
        <v>80</v>
      </c>
      <c r="AG97">
        <v>1</v>
      </c>
      <c r="AH97">
        <v>16</v>
      </c>
      <c r="AI97">
        <v>5</v>
      </c>
      <c r="AJ97">
        <v>1</v>
      </c>
      <c r="AK97" t="str" cm="1">
        <f t="array" ref="AK97">_xlfn.IFS(AJ97&lt;=2,"Poor",AJ97&lt;=3,"Fair",AJ97&gt;3,"Good")</f>
        <v>Poor</v>
      </c>
      <c r="AL97">
        <v>4</v>
      </c>
      <c r="AM97">
        <v>3</v>
      </c>
      <c r="AN97">
        <v>0</v>
      </c>
      <c r="AO97">
        <v>3</v>
      </c>
    </row>
    <row r="98" spans="1:41" x14ac:dyDescent="0.2">
      <c r="A98">
        <v>1026798</v>
      </c>
      <c r="B98">
        <v>24</v>
      </c>
      <c r="C98" t="str" cm="1">
        <f t="array" ref="C98">_xlfn.IFS(B98&lt;=25,"15-25",B98&lt;=35,"26-35",B98&lt;=45,"36-45",B98&lt;=55,"46-55",B98&lt;=65,"56-65")</f>
        <v>15-25</v>
      </c>
      <c r="D98" t="s">
        <v>35</v>
      </c>
      <c r="E98" t="str">
        <f t="shared" si="2"/>
        <v>Current Employee</v>
      </c>
      <c r="F98" t="s">
        <v>36</v>
      </c>
      <c r="G98">
        <v>1353</v>
      </c>
      <c r="H98" t="s">
        <v>37</v>
      </c>
      <c r="I98">
        <v>3</v>
      </c>
      <c r="J98">
        <v>2</v>
      </c>
      <c r="K98" t="s">
        <v>47</v>
      </c>
      <c r="L98">
        <v>1</v>
      </c>
      <c r="M98">
        <v>1</v>
      </c>
      <c r="N98" t="s">
        <v>39</v>
      </c>
      <c r="O98">
        <v>33</v>
      </c>
      <c r="P98">
        <v>3</v>
      </c>
      <c r="Q98">
        <v>2</v>
      </c>
      <c r="R98" t="s">
        <v>40</v>
      </c>
      <c r="S98">
        <v>3</v>
      </c>
      <c r="T98" t="str" cm="1">
        <f t="array" ref="T98">_xlfn.IFS(S98&lt;=2,"Poor",S98&lt;=3,"Fair",S98&gt;=4,"Good")</f>
        <v>Fair</v>
      </c>
      <c r="U98" t="s">
        <v>48</v>
      </c>
      <c r="V98" s="1">
        <v>4999</v>
      </c>
      <c r="W98" t="str" cm="1">
        <f t="array" ref="W98">_xlfn.IFS(V98&lt;=5000,"Low Salary",V98&lt;=12000,"Good Salary",V98&gt;12000,"High Salary")</f>
        <v>Low Salary</v>
      </c>
      <c r="X98">
        <v>17519</v>
      </c>
      <c r="Y98">
        <v>0</v>
      </c>
      <c r="Z98" t="s">
        <v>42</v>
      </c>
      <c r="AA98" t="s">
        <v>35</v>
      </c>
      <c r="AB98">
        <v>21</v>
      </c>
      <c r="AC98">
        <v>4</v>
      </c>
      <c r="AD98" t="str">
        <f t="shared" si="3"/>
        <v>High Performance</v>
      </c>
      <c r="AE98">
        <v>1</v>
      </c>
      <c r="AF98">
        <v>80</v>
      </c>
      <c r="AG98">
        <v>1</v>
      </c>
      <c r="AH98">
        <v>4</v>
      </c>
      <c r="AI98">
        <v>2</v>
      </c>
      <c r="AJ98">
        <v>2</v>
      </c>
      <c r="AK98" t="str" cm="1">
        <f t="array" ref="AK98">_xlfn.IFS(AJ98&lt;=2,"Poor",AJ98&lt;=3,"Fair",AJ98&gt;3,"Good")</f>
        <v>Poor</v>
      </c>
      <c r="AL98">
        <v>3</v>
      </c>
      <c r="AM98">
        <v>2</v>
      </c>
      <c r="AN98">
        <v>0</v>
      </c>
      <c r="AO98">
        <v>2</v>
      </c>
    </row>
    <row r="99" spans="1:41" x14ac:dyDescent="0.2">
      <c r="A99">
        <v>1500402</v>
      </c>
      <c r="B99">
        <v>28</v>
      </c>
      <c r="C99" t="str" cm="1">
        <f t="array" ref="C99">_xlfn.IFS(B99&lt;=25,"15-25",B99&lt;=35,"26-35",B99&lt;=45,"36-45",B99&lt;=55,"46-55",B99&lt;=65,"56-65")</f>
        <v>26-35</v>
      </c>
      <c r="D99" t="s">
        <v>35</v>
      </c>
      <c r="E99" t="str">
        <f t="shared" si="2"/>
        <v>Current Employee</v>
      </c>
      <c r="F99" t="s">
        <v>52</v>
      </c>
      <c r="G99">
        <v>120</v>
      </c>
      <c r="H99" t="s">
        <v>37</v>
      </c>
      <c r="I99">
        <v>4</v>
      </c>
      <c r="J99">
        <v>3</v>
      </c>
      <c r="K99" t="s">
        <v>49</v>
      </c>
      <c r="L99">
        <v>1</v>
      </c>
      <c r="M99">
        <v>2</v>
      </c>
      <c r="N99" t="s">
        <v>46</v>
      </c>
      <c r="O99">
        <v>43</v>
      </c>
      <c r="P99">
        <v>3</v>
      </c>
      <c r="Q99">
        <v>2</v>
      </c>
      <c r="R99" t="s">
        <v>40</v>
      </c>
      <c r="S99">
        <v>3</v>
      </c>
      <c r="T99" t="str" cm="1">
        <f t="array" ref="T99">_xlfn.IFS(S99&lt;=2,"Poor",S99&lt;=3,"Fair",S99&gt;=4,"Good")</f>
        <v>Fair</v>
      </c>
      <c r="U99" t="s">
        <v>48</v>
      </c>
      <c r="V99" s="1">
        <v>4221</v>
      </c>
      <c r="W99" t="str" cm="1">
        <f t="array" ref="W99">_xlfn.IFS(V99&lt;=5000,"Low Salary",V99&lt;=12000,"Good Salary",V99&gt;12000,"High Salary")</f>
        <v>Low Salary</v>
      </c>
      <c r="X99">
        <v>8863</v>
      </c>
      <c r="Y99">
        <v>1</v>
      </c>
      <c r="Z99" t="s">
        <v>42</v>
      </c>
      <c r="AA99" t="s">
        <v>35</v>
      </c>
      <c r="AB99">
        <v>15</v>
      </c>
      <c r="AC99">
        <v>3</v>
      </c>
      <c r="AD99" t="str">
        <f t="shared" si="3"/>
        <v>Low Performance</v>
      </c>
      <c r="AE99">
        <v>2</v>
      </c>
      <c r="AF99">
        <v>80</v>
      </c>
      <c r="AG99">
        <v>0</v>
      </c>
      <c r="AH99">
        <v>5</v>
      </c>
      <c r="AI99">
        <v>3</v>
      </c>
      <c r="AJ99">
        <v>4</v>
      </c>
      <c r="AK99" t="str" cm="1">
        <f t="array" ref="AK99">_xlfn.IFS(AJ99&lt;=2,"Poor",AJ99&lt;=3,"Fair",AJ99&gt;3,"Good")</f>
        <v>Good</v>
      </c>
      <c r="AL99">
        <v>5</v>
      </c>
      <c r="AM99">
        <v>4</v>
      </c>
      <c r="AN99">
        <v>0</v>
      </c>
      <c r="AO99">
        <v>4</v>
      </c>
    </row>
    <row r="100" spans="1:41" x14ac:dyDescent="0.2">
      <c r="A100">
        <v>1514098</v>
      </c>
      <c r="B100">
        <v>58</v>
      </c>
      <c r="C100" t="str" cm="1">
        <f t="array" ref="C100">_xlfn.IFS(B100&lt;=25,"15-25",B100&lt;=35,"26-35",B100&lt;=45,"36-45",B100&lt;=55,"46-55",B100&lt;=65,"56-65")</f>
        <v>56-65</v>
      </c>
      <c r="D100" t="s">
        <v>35</v>
      </c>
      <c r="E100" t="str">
        <f t="shared" si="2"/>
        <v>Current Employee</v>
      </c>
      <c r="F100" t="s">
        <v>36</v>
      </c>
      <c r="G100">
        <v>682</v>
      </c>
      <c r="H100" t="s">
        <v>37</v>
      </c>
      <c r="I100">
        <v>10</v>
      </c>
      <c r="J100">
        <v>4</v>
      </c>
      <c r="K100" t="s">
        <v>49</v>
      </c>
      <c r="L100">
        <v>1</v>
      </c>
      <c r="M100">
        <v>4</v>
      </c>
      <c r="N100" t="s">
        <v>46</v>
      </c>
      <c r="O100">
        <v>37</v>
      </c>
      <c r="P100">
        <v>3</v>
      </c>
      <c r="Q100">
        <v>4</v>
      </c>
      <c r="R100" t="s">
        <v>40</v>
      </c>
      <c r="S100">
        <v>3</v>
      </c>
      <c r="T100" t="str" cm="1">
        <f t="array" ref="T100">_xlfn.IFS(S100&lt;=2,"Poor",S100&lt;=3,"Fair",S100&gt;=4,"Good")</f>
        <v>Fair</v>
      </c>
      <c r="U100" t="s">
        <v>41</v>
      </c>
      <c r="V100" s="1">
        <v>13872</v>
      </c>
      <c r="W100" t="str" cm="1">
        <f t="array" ref="W100">_xlfn.IFS(V100&lt;=5000,"Low Salary",V100&lt;=12000,"Good Salary",V100&gt;12000,"High Salary")</f>
        <v>High Salary</v>
      </c>
      <c r="X100">
        <v>24409</v>
      </c>
      <c r="Y100">
        <v>0</v>
      </c>
      <c r="Z100" t="s">
        <v>42</v>
      </c>
      <c r="AA100" t="s">
        <v>35</v>
      </c>
      <c r="AB100">
        <v>13</v>
      </c>
      <c r="AC100">
        <v>3</v>
      </c>
      <c r="AD100" t="str">
        <f t="shared" si="3"/>
        <v>Low Performance</v>
      </c>
      <c r="AE100">
        <v>3</v>
      </c>
      <c r="AF100">
        <v>80</v>
      </c>
      <c r="AG100">
        <v>0</v>
      </c>
      <c r="AH100">
        <v>38</v>
      </c>
      <c r="AI100">
        <v>1</v>
      </c>
      <c r="AJ100">
        <v>2</v>
      </c>
      <c r="AK100" t="str" cm="1">
        <f t="array" ref="AK100">_xlfn.IFS(AJ100&lt;=2,"Poor",AJ100&lt;=3,"Fair",AJ100&gt;3,"Good")</f>
        <v>Poor</v>
      </c>
      <c r="AL100">
        <v>37</v>
      </c>
      <c r="AM100">
        <v>10</v>
      </c>
      <c r="AN100">
        <v>1</v>
      </c>
      <c r="AO100">
        <v>8</v>
      </c>
    </row>
    <row r="101" spans="1:41" x14ac:dyDescent="0.2">
      <c r="A101">
        <v>1487216</v>
      </c>
      <c r="B101">
        <v>44</v>
      </c>
      <c r="C101" t="str" cm="1">
        <f t="array" ref="C101">_xlfn.IFS(B101&lt;=25,"15-25",B101&lt;=35,"26-35",B101&lt;=45,"36-45",B101&lt;=55,"46-55",B101&lt;=65,"56-65")</f>
        <v>36-45</v>
      </c>
      <c r="D101" t="s">
        <v>35</v>
      </c>
      <c r="E101" t="str">
        <f t="shared" si="2"/>
        <v>Current Employee</v>
      </c>
      <c r="F101" t="s">
        <v>52</v>
      </c>
      <c r="G101">
        <v>489</v>
      </c>
      <c r="H101" t="s">
        <v>45</v>
      </c>
      <c r="I101">
        <v>23</v>
      </c>
      <c r="J101">
        <v>3</v>
      </c>
      <c r="K101" t="s">
        <v>49</v>
      </c>
      <c r="L101">
        <v>1</v>
      </c>
      <c r="M101">
        <v>2</v>
      </c>
      <c r="N101" t="s">
        <v>46</v>
      </c>
      <c r="O101">
        <v>67</v>
      </c>
      <c r="P101">
        <v>3</v>
      </c>
      <c r="Q101">
        <v>2</v>
      </c>
      <c r="R101" t="s">
        <v>40</v>
      </c>
      <c r="S101">
        <v>2</v>
      </c>
      <c r="T101" t="str" cm="1">
        <f t="array" ref="T101">_xlfn.IFS(S101&lt;=2,"Poor",S101&lt;=3,"Fair",S101&gt;=4,"Good")</f>
        <v>Poor</v>
      </c>
      <c r="U101" t="s">
        <v>48</v>
      </c>
      <c r="V101" s="1">
        <v>2042</v>
      </c>
      <c r="W101" t="str" cm="1">
        <f t="array" ref="W101">_xlfn.IFS(V101&lt;=5000,"Low Salary",V101&lt;=12000,"Good Salary",V101&gt;12000,"High Salary")</f>
        <v>Low Salary</v>
      </c>
      <c r="X101">
        <v>25043</v>
      </c>
      <c r="Y101">
        <v>4</v>
      </c>
      <c r="Z101" t="s">
        <v>42</v>
      </c>
      <c r="AA101" t="s">
        <v>35</v>
      </c>
      <c r="AB101">
        <v>12</v>
      </c>
      <c r="AC101">
        <v>3</v>
      </c>
      <c r="AD101" t="str">
        <f t="shared" si="3"/>
        <v>Low Performance</v>
      </c>
      <c r="AE101">
        <v>3</v>
      </c>
      <c r="AF101">
        <v>80</v>
      </c>
      <c r="AG101">
        <v>1</v>
      </c>
      <c r="AH101">
        <v>17</v>
      </c>
      <c r="AI101">
        <v>3</v>
      </c>
      <c r="AJ101">
        <v>4</v>
      </c>
      <c r="AK101" t="str" cm="1">
        <f t="array" ref="AK101">_xlfn.IFS(AJ101&lt;=2,"Poor",AJ101&lt;=3,"Fair",AJ101&gt;3,"Good")</f>
        <v>Good</v>
      </c>
      <c r="AL101">
        <v>3</v>
      </c>
      <c r="AM101">
        <v>2</v>
      </c>
      <c r="AN101">
        <v>1</v>
      </c>
      <c r="AO101">
        <v>2</v>
      </c>
    </row>
    <row r="102" spans="1:41" x14ac:dyDescent="0.2">
      <c r="A102">
        <v>1843825</v>
      </c>
      <c r="B102">
        <v>37</v>
      </c>
      <c r="C102" t="str" cm="1">
        <f t="array" ref="C102">_xlfn.IFS(B102&lt;=25,"15-25",B102&lt;=35,"26-35",B102&lt;=45,"36-45",B102&lt;=55,"46-55",B102&lt;=65,"56-65")</f>
        <v>36-45</v>
      </c>
      <c r="D102" t="s">
        <v>43</v>
      </c>
      <c r="E102" t="str">
        <f t="shared" si="2"/>
        <v>Former Employee</v>
      </c>
      <c r="F102" t="s">
        <v>36</v>
      </c>
      <c r="G102">
        <v>807</v>
      </c>
      <c r="H102" t="s">
        <v>54</v>
      </c>
      <c r="I102">
        <v>6</v>
      </c>
      <c r="J102">
        <v>4</v>
      </c>
      <c r="K102" t="s">
        <v>57</v>
      </c>
      <c r="L102">
        <v>1</v>
      </c>
      <c r="M102">
        <v>3</v>
      </c>
      <c r="N102" t="s">
        <v>46</v>
      </c>
      <c r="O102">
        <v>63</v>
      </c>
      <c r="P102">
        <v>3</v>
      </c>
      <c r="Q102">
        <v>1</v>
      </c>
      <c r="R102" t="s">
        <v>47</v>
      </c>
      <c r="S102">
        <v>1</v>
      </c>
      <c r="T102" t="str" cm="1">
        <f t="array" ref="T102">_xlfn.IFS(S102&lt;=2,"Poor",S102&lt;=3,"Fair",S102&gt;=4,"Good")</f>
        <v>Poor</v>
      </c>
      <c r="U102" t="s">
        <v>50</v>
      </c>
      <c r="V102" s="1">
        <v>2073</v>
      </c>
      <c r="W102" t="str" cm="1">
        <f t="array" ref="W102">_xlfn.IFS(V102&lt;=5000,"Low Salary",V102&lt;=12000,"Good Salary",V102&gt;12000,"High Salary")</f>
        <v>Low Salary</v>
      </c>
      <c r="X102">
        <v>23648</v>
      </c>
      <c r="Y102">
        <v>4</v>
      </c>
      <c r="Z102" t="s">
        <v>42</v>
      </c>
      <c r="AA102" t="s">
        <v>43</v>
      </c>
      <c r="AB102">
        <v>22</v>
      </c>
      <c r="AC102">
        <v>4</v>
      </c>
      <c r="AD102" t="str">
        <f t="shared" si="3"/>
        <v>High Performance</v>
      </c>
      <c r="AE102">
        <v>4</v>
      </c>
      <c r="AF102">
        <v>80</v>
      </c>
      <c r="AG102">
        <v>0</v>
      </c>
      <c r="AH102">
        <v>7</v>
      </c>
      <c r="AI102">
        <v>3</v>
      </c>
      <c r="AJ102">
        <v>3</v>
      </c>
      <c r="AK102" t="str" cm="1">
        <f t="array" ref="AK102">_xlfn.IFS(AJ102&lt;=2,"Poor",AJ102&lt;=3,"Fair",AJ102&gt;3,"Good")</f>
        <v>Fair</v>
      </c>
      <c r="AL102">
        <v>3</v>
      </c>
      <c r="AM102">
        <v>2</v>
      </c>
      <c r="AN102">
        <v>0</v>
      </c>
      <c r="AO102">
        <v>2</v>
      </c>
    </row>
    <row r="103" spans="1:41" x14ac:dyDescent="0.2">
      <c r="A103">
        <v>1635251</v>
      </c>
      <c r="B103">
        <v>32</v>
      </c>
      <c r="C103" t="str" cm="1">
        <f t="array" ref="C103">_xlfn.IFS(B103&lt;=25,"15-25",B103&lt;=35,"26-35",B103&lt;=45,"36-45",B103&lt;=55,"46-55",B103&lt;=65,"56-65")</f>
        <v>26-35</v>
      </c>
      <c r="D103" t="s">
        <v>35</v>
      </c>
      <c r="E103" t="str">
        <f t="shared" si="2"/>
        <v>Current Employee</v>
      </c>
      <c r="F103" t="s">
        <v>36</v>
      </c>
      <c r="G103">
        <v>827</v>
      </c>
      <c r="H103" t="s">
        <v>45</v>
      </c>
      <c r="I103">
        <v>1</v>
      </c>
      <c r="J103">
        <v>1</v>
      </c>
      <c r="K103" t="s">
        <v>38</v>
      </c>
      <c r="L103">
        <v>1</v>
      </c>
      <c r="M103">
        <v>4</v>
      </c>
      <c r="N103" t="s">
        <v>46</v>
      </c>
      <c r="O103">
        <v>71</v>
      </c>
      <c r="P103">
        <v>3</v>
      </c>
      <c r="Q103">
        <v>1</v>
      </c>
      <c r="R103" t="s">
        <v>47</v>
      </c>
      <c r="S103">
        <v>1</v>
      </c>
      <c r="T103" t="str" cm="1">
        <f t="array" ref="T103">_xlfn.IFS(S103&lt;=2,"Poor",S103&lt;=3,"Fair",S103&gt;=4,"Good")</f>
        <v>Poor</v>
      </c>
      <c r="U103" t="s">
        <v>41</v>
      </c>
      <c r="V103" s="1">
        <v>2956</v>
      </c>
      <c r="W103" t="str" cm="1">
        <f t="array" ref="W103">_xlfn.IFS(V103&lt;=5000,"Low Salary",V103&lt;=12000,"Good Salary",V103&gt;12000,"High Salary")</f>
        <v>Low Salary</v>
      </c>
      <c r="X103">
        <v>15178</v>
      </c>
      <c r="Y103">
        <v>1</v>
      </c>
      <c r="Z103" t="s">
        <v>42</v>
      </c>
      <c r="AA103" t="s">
        <v>35</v>
      </c>
      <c r="AB103">
        <v>13</v>
      </c>
      <c r="AC103">
        <v>3</v>
      </c>
      <c r="AD103" t="str">
        <f t="shared" si="3"/>
        <v>Low Performance</v>
      </c>
      <c r="AE103">
        <v>4</v>
      </c>
      <c r="AF103">
        <v>80</v>
      </c>
      <c r="AG103">
        <v>0</v>
      </c>
      <c r="AH103">
        <v>1</v>
      </c>
      <c r="AI103">
        <v>2</v>
      </c>
      <c r="AJ103">
        <v>3</v>
      </c>
      <c r="AK103" t="str" cm="1">
        <f t="array" ref="AK103">_xlfn.IFS(AJ103&lt;=2,"Poor",AJ103&lt;=3,"Fair",AJ103&gt;3,"Good")</f>
        <v>Fair</v>
      </c>
      <c r="AL103">
        <v>1</v>
      </c>
      <c r="AM103">
        <v>0</v>
      </c>
      <c r="AN103">
        <v>0</v>
      </c>
      <c r="AO103">
        <v>0</v>
      </c>
    </row>
    <row r="104" spans="1:41" x14ac:dyDescent="0.2">
      <c r="A104">
        <v>1088304</v>
      </c>
      <c r="B104">
        <v>20</v>
      </c>
      <c r="C104" t="str" cm="1">
        <f t="array" ref="C104">_xlfn.IFS(B104&lt;=25,"15-25",B104&lt;=35,"26-35",B104&lt;=45,"36-45",B104&lt;=55,"46-55",B104&lt;=65,"56-65")</f>
        <v>15-25</v>
      </c>
      <c r="D104" t="s">
        <v>43</v>
      </c>
      <c r="E104" t="str">
        <f t="shared" si="2"/>
        <v>Former Employee</v>
      </c>
      <c r="F104" t="s">
        <v>44</v>
      </c>
      <c r="G104">
        <v>871</v>
      </c>
      <c r="H104" t="s">
        <v>45</v>
      </c>
      <c r="I104">
        <v>6</v>
      </c>
      <c r="J104">
        <v>3</v>
      </c>
      <c r="K104" t="s">
        <v>38</v>
      </c>
      <c r="L104">
        <v>1</v>
      </c>
      <c r="M104">
        <v>4</v>
      </c>
      <c r="N104" t="s">
        <v>39</v>
      </c>
      <c r="O104">
        <v>66</v>
      </c>
      <c r="P104">
        <v>2</v>
      </c>
      <c r="Q104">
        <v>1</v>
      </c>
      <c r="R104" t="s">
        <v>40</v>
      </c>
      <c r="S104">
        <v>4</v>
      </c>
      <c r="T104" t="str" cm="1">
        <f t="array" ref="T104">_xlfn.IFS(S104&lt;=2,"Poor",S104&lt;=3,"Fair",S104&gt;=4,"Good")</f>
        <v>Good</v>
      </c>
      <c r="U104" t="s">
        <v>41</v>
      </c>
      <c r="V104" s="1">
        <v>2926</v>
      </c>
      <c r="W104" t="str" cm="1">
        <f t="array" ref="W104">_xlfn.IFS(V104&lt;=5000,"Low Salary",V104&lt;=12000,"Good Salary",V104&gt;12000,"High Salary")</f>
        <v>Low Salary</v>
      </c>
      <c r="X104">
        <v>19783</v>
      </c>
      <c r="Y104">
        <v>1</v>
      </c>
      <c r="Z104" t="s">
        <v>42</v>
      </c>
      <c r="AA104" t="s">
        <v>43</v>
      </c>
      <c r="AB104">
        <v>18</v>
      </c>
      <c r="AC104">
        <v>3</v>
      </c>
      <c r="AD104" t="str">
        <f t="shared" si="3"/>
        <v>Low Performance</v>
      </c>
      <c r="AE104">
        <v>2</v>
      </c>
      <c r="AF104">
        <v>80</v>
      </c>
      <c r="AG104">
        <v>0</v>
      </c>
      <c r="AH104">
        <v>1</v>
      </c>
      <c r="AI104">
        <v>5</v>
      </c>
      <c r="AJ104">
        <v>3</v>
      </c>
      <c r="AK104" t="str" cm="1">
        <f t="array" ref="AK104">_xlfn.IFS(AJ104&lt;=2,"Poor",AJ104&lt;=3,"Fair",AJ104&gt;3,"Good")</f>
        <v>Fair</v>
      </c>
      <c r="AL104">
        <v>1</v>
      </c>
      <c r="AM104">
        <v>0</v>
      </c>
      <c r="AN104">
        <v>1</v>
      </c>
      <c r="AO104">
        <v>0</v>
      </c>
    </row>
    <row r="105" spans="1:41" x14ac:dyDescent="0.2">
      <c r="A105">
        <v>1792856</v>
      </c>
      <c r="B105">
        <v>34</v>
      </c>
      <c r="C105" t="str" cm="1">
        <f t="array" ref="C105">_xlfn.IFS(B105&lt;=25,"15-25",B105&lt;=35,"26-35",B105&lt;=45,"36-45",B105&lt;=55,"46-55",B105&lt;=65,"56-65")</f>
        <v>26-35</v>
      </c>
      <c r="D105" t="s">
        <v>35</v>
      </c>
      <c r="E105" t="str">
        <f t="shared" si="2"/>
        <v>Current Employee</v>
      </c>
      <c r="F105" t="s">
        <v>36</v>
      </c>
      <c r="G105">
        <v>665</v>
      </c>
      <c r="H105" t="s">
        <v>45</v>
      </c>
      <c r="I105">
        <v>6</v>
      </c>
      <c r="J105">
        <v>4</v>
      </c>
      <c r="K105" t="s">
        <v>47</v>
      </c>
      <c r="L105">
        <v>1</v>
      </c>
      <c r="M105">
        <v>1</v>
      </c>
      <c r="N105" t="s">
        <v>39</v>
      </c>
      <c r="O105">
        <v>41</v>
      </c>
      <c r="P105">
        <v>3</v>
      </c>
      <c r="Q105">
        <v>2</v>
      </c>
      <c r="R105" t="s">
        <v>47</v>
      </c>
      <c r="S105">
        <v>3</v>
      </c>
      <c r="T105" t="str" cm="1">
        <f t="array" ref="T105">_xlfn.IFS(S105&lt;=2,"Poor",S105&lt;=3,"Fair",S105&gt;=4,"Good")</f>
        <v>Fair</v>
      </c>
      <c r="U105" t="s">
        <v>41</v>
      </c>
      <c r="V105" s="1">
        <v>4809</v>
      </c>
      <c r="W105" t="str" cm="1">
        <f t="array" ref="W105">_xlfn.IFS(V105&lt;=5000,"Low Salary",V105&lt;=12000,"Good Salary",V105&gt;12000,"High Salary")</f>
        <v>Low Salary</v>
      </c>
      <c r="X105">
        <v>12482</v>
      </c>
      <c r="Y105">
        <v>1</v>
      </c>
      <c r="Z105" t="s">
        <v>42</v>
      </c>
      <c r="AA105" t="s">
        <v>35</v>
      </c>
      <c r="AB105">
        <v>14</v>
      </c>
      <c r="AC105">
        <v>3</v>
      </c>
      <c r="AD105" t="str">
        <f t="shared" si="3"/>
        <v>Low Performance</v>
      </c>
      <c r="AE105">
        <v>3</v>
      </c>
      <c r="AF105">
        <v>80</v>
      </c>
      <c r="AG105">
        <v>0</v>
      </c>
      <c r="AH105">
        <v>16</v>
      </c>
      <c r="AI105">
        <v>3</v>
      </c>
      <c r="AJ105">
        <v>3</v>
      </c>
      <c r="AK105" t="str" cm="1">
        <f t="array" ref="AK105">_xlfn.IFS(AJ105&lt;=2,"Poor",AJ105&lt;=3,"Fair",AJ105&gt;3,"Good")</f>
        <v>Fair</v>
      </c>
      <c r="AL105">
        <v>16</v>
      </c>
      <c r="AM105">
        <v>13</v>
      </c>
      <c r="AN105">
        <v>2</v>
      </c>
      <c r="AO105">
        <v>10</v>
      </c>
    </row>
    <row r="106" spans="1:41" x14ac:dyDescent="0.2">
      <c r="A106">
        <v>1787161</v>
      </c>
      <c r="B106">
        <v>37</v>
      </c>
      <c r="C106" t="str" cm="1">
        <f t="array" ref="C106">_xlfn.IFS(B106&lt;=25,"15-25",B106&lt;=35,"26-35",B106&lt;=45,"36-45",B106&lt;=55,"46-55",B106&lt;=65,"56-65")</f>
        <v>36-45</v>
      </c>
      <c r="D106" t="s">
        <v>35</v>
      </c>
      <c r="E106" t="str">
        <f t="shared" si="2"/>
        <v>Current Employee</v>
      </c>
      <c r="F106" t="s">
        <v>52</v>
      </c>
      <c r="G106">
        <v>1040</v>
      </c>
      <c r="H106" t="s">
        <v>45</v>
      </c>
      <c r="I106">
        <v>2</v>
      </c>
      <c r="J106">
        <v>2</v>
      </c>
      <c r="K106" t="s">
        <v>38</v>
      </c>
      <c r="L106">
        <v>1</v>
      </c>
      <c r="M106">
        <v>3</v>
      </c>
      <c r="N106" t="s">
        <v>46</v>
      </c>
      <c r="O106">
        <v>100</v>
      </c>
      <c r="P106">
        <v>2</v>
      </c>
      <c r="Q106">
        <v>2</v>
      </c>
      <c r="R106" t="s">
        <v>40</v>
      </c>
      <c r="S106">
        <v>4</v>
      </c>
      <c r="T106" t="str" cm="1">
        <f t="array" ref="T106">_xlfn.IFS(S106&lt;=2,"Poor",S106&lt;=3,"Fair",S106&gt;=4,"Good")</f>
        <v>Good</v>
      </c>
      <c r="U106" t="s">
        <v>50</v>
      </c>
      <c r="V106" s="1">
        <v>5163</v>
      </c>
      <c r="W106" t="str" cm="1">
        <f t="array" ref="W106">_xlfn.IFS(V106&lt;=5000,"Low Salary",V106&lt;=12000,"Good Salary",V106&gt;12000,"High Salary")</f>
        <v>Good Salary</v>
      </c>
      <c r="X106">
        <v>15850</v>
      </c>
      <c r="Y106">
        <v>5</v>
      </c>
      <c r="Z106" t="s">
        <v>42</v>
      </c>
      <c r="AA106" t="s">
        <v>35</v>
      </c>
      <c r="AB106">
        <v>14</v>
      </c>
      <c r="AC106">
        <v>3</v>
      </c>
      <c r="AD106" t="str">
        <f t="shared" si="3"/>
        <v>Low Performance</v>
      </c>
      <c r="AE106">
        <v>4</v>
      </c>
      <c r="AF106">
        <v>80</v>
      </c>
      <c r="AG106">
        <v>1</v>
      </c>
      <c r="AH106">
        <v>17</v>
      </c>
      <c r="AI106">
        <v>2</v>
      </c>
      <c r="AJ106">
        <v>4</v>
      </c>
      <c r="AK106" t="str" cm="1">
        <f t="array" ref="AK106">_xlfn.IFS(AJ106&lt;=2,"Poor",AJ106&lt;=3,"Fair",AJ106&gt;3,"Good")</f>
        <v>Good</v>
      </c>
      <c r="AL106">
        <v>1</v>
      </c>
      <c r="AM106">
        <v>0</v>
      </c>
      <c r="AN106">
        <v>0</v>
      </c>
      <c r="AO106">
        <v>0</v>
      </c>
    </row>
    <row r="107" spans="1:41" x14ac:dyDescent="0.2">
      <c r="A107">
        <v>1627796</v>
      </c>
      <c r="B107">
        <v>59</v>
      </c>
      <c r="C107" t="str" cm="1">
        <f t="array" ref="C107">_xlfn.IFS(B107&lt;=25,"15-25",B107&lt;=35,"26-35",B107&lt;=45,"36-45",B107&lt;=55,"46-55",B107&lt;=65,"56-65")</f>
        <v>56-65</v>
      </c>
      <c r="D107" t="s">
        <v>35</v>
      </c>
      <c r="E107" t="str">
        <f t="shared" si="2"/>
        <v>Current Employee</v>
      </c>
      <c r="F107" t="s">
        <v>52</v>
      </c>
      <c r="G107">
        <v>1420</v>
      </c>
      <c r="H107" t="s">
        <v>54</v>
      </c>
      <c r="I107">
        <v>2</v>
      </c>
      <c r="J107">
        <v>4</v>
      </c>
      <c r="K107" t="s">
        <v>57</v>
      </c>
      <c r="L107">
        <v>1</v>
      </c>
      <c r="M107">
        <v>3</v>
      </c>
      <c r="N107" t="s">
        <v>39</v>
      </c>
      <c r="O107">
        <v>32</v>
      </c>
      <c r="P107">
        <v>2</v>
      </c>
      <c r="Q107">
        <v>5</v>
      </c>
      <c r="R107" t="s">
        <v>53</v>
      </c>
      <c r="S107">
        <v>4</v>
      </c>
      <c r="T107" t="str" cm="1">
        <f t="array" ref="T107">_xlfn.IFS(S107&lt;=2,"Poor",S107&lt;=3,"Fair",S107&gt;=4,"Good")</f>
        <v>Good</v>
      </c>
      <c r="U107" t="s">
        <v>48</v>
      </c>
      <c r="V107" s="1">
        <v>18844</v>
      </c>
      <c r="W107" t="str" cm="1">
        <f t="array" ref="W107">_xlfn.IFS(V107&lt;=5000,"Low Salary",V107&lt;=12000,"Good Salary",V107&gt;12000,"High Salary")</f>
        <v>High Salary</v>
      </c>
      <c r="X107">
        <v>21922</v>
      </c>
      <c r="Y107">
        <v>9</v>
      </c>
      <c r="Z107" t="s">
        <v>42</v>
      </c>
      <c r="AA107" t="s">
        <v>35</v>
      </c>
      <c r="AB107">
        <v>21</v>
      </c>
      <c r="AC107">
        <v>4</v>
      </c>
      <c r="AD107" t="str">
        <f t="shared" si="3"/>
        <v>High Performance</v>
      </c>
      <c r="AE107">
        <v>4</v>
      </c>
      <c r="AF107">
        <v>80</v>
      </c>
      <c r="AG107">
        <v>1</v>
      </c>
      <c r="AH107">
        <v>30</v>
      </c>
      <c r="AI107">
        <v>3</v>
      </c>
      <c r="AJ107">
        <v>3</v>
      </c>
      <c r="AK107" t="str" cm="1">
        <f t="array" ref="AK107">_xlfn.IFS(AJ107&lt;=2,"Poor",AJ107&lt;=3,"Fair",AJ107&gt;3,"Good")</f>
        <v>Fair</v>
      </c>
      <c r="AL107">
        <v>3</v>
      </c>
      <c r="AM107">
        <v>2</v>
      </c>
      <c r="AN107">
        <v>2</v>
      </c>
      <c r="AO107">
        <v>2</v>
      </c>
    </row>
    <row r="108" spans="1:41" x14ac:dyDescent="0.2">
      <c r="A108">
        <v>1077558</v>
      </c>
      <c r="B108">
        <v>50</v>
      </c>
      <c r="C108" t="str" cm="1">
        <f t="array" ref="C108">_xlfn.IFS(B108&lt;=25,"15-25",B108&lt;=35,"26-35",B108&lt;=45,"36-45",B108&lt;=55,"46-55",B108&lt;=65,"56-65")</f>
        <v>46-55</v>
      </c>
      <c r="D108" t="s">
        <v>35</v>
      </c>
      <c r="E108" t="str">
        <f t="shared" si="2"/>
        <v>Current Employee</v>
      </c>
      <c r="F108" t="s">
        <v>44</v>
      </c>
      <c r="G108">
        <v>1115</v>
      </c>
      <c r="H108" t="s">
        <v>54</v>
      </c>
      <c r="I108">
        <v>1</v>
      </c>
      <c r="J108">
        <v>3</v>
      </c>
      <c r="K108" t="s">
        <v>38</v>
      </c>
      <c r="L108">
        <v>1</v>
      </c>
      <c r="M108">
        <v>1</v>
      </c>
      <c r="N108" t="s">
        <v>39</v>
      </c>
      <c r="O108">
        <v>73</v>
      </c>
      <c r="P108">
        <v>3</v>
      </c>
      <c r="Q108">
        <v>5</v>
      </c>
      <c r="R108" t="s">
        <v>47</v>
      </c>
      <c r="S108">
        <v>2</v>
      </c>
      <c r="T108" t="str" cm="1">
        <f t="array" ref="T108">_xlfn.IFS(S108&lt;=2,"Poor",S108&lt;=3,"Fair",S108&gt;=4,"Good")</f>
        <v>Poor</v>
      </c>
      <c r="U108" t="s">
        <v>48</v>
      </c>
      <c r="V108" s="1">
        <v>18172</v>
      </c>
      <c r="W108" t="str" cm="1">
        <f t="array" ref="W108">_xlfn.IFS(V108&lt;=5000,"Low Salary",V108&lt;=12000,"Good Salary",V108&gt;12000,"High Salary")</f>
        <v>High Salary</v>
      </c>
      <c r="X108">
        <v>9755</v>
      </c>
      <c r="Y108">
        <v>3</v>
      </c>
      <c r="Z108" t="s">
        <v>42</v>
      </c>
      <c r="AA108" t="s">
        <v>43</v>
      </c>
      <c r="AB108">
        <v>19</v>
      </c>
      <c r="AC108">
        <v>3</v>
      </c>
      <c r="AD108" t="str">
        <f t="shared" si="3"/>
        <v>Low Performance</v>
      </c>
      <c r="AE108">
        <v>1</v>
      </c>
      <c r="AF108">
        <v>80</v>
      </c>
      <c r="AG108">
        <v>0</v>
      </c>
      <c r="AH108">
        <v>28</v>
      </c>
      <c r="AI108">
        <v>1</v>
      </c>
      <c r="AJ108">
        <v>2</v>
      </c>
      <c r="AK108" t="str" cm="1">
        <f t="array" ref="AK108">_xlfn.IFS(AJ108&lt;=2,"Poor",AJ108&lt;=3,"Fair",AJ108&gt;3,"Good")</f>
        <v>Poor</v>
      </c>
      <c r="AL108">
        <v>8</v>
      </c>
      <c r="AM108">
        <v>3</v>
      </c>
      <c r="AN108">
        <v>0</v>
      </c>
      <c r="AO108">
        <v>7</v>
      </c>
    </row>
    <row r="109" spans="1:41" x14ac:dyDescent="0.2">
      <c r="A109">
        <v>1410589</v>
      </c>
      <c r="B109">
        <v>25</v>
      </c>
      <c r="C109" t="str" cm="1">
        <f t="array" ref="C109">_xlfn.IFS(B109&lt;=25,"15-25",B109&lt;=35,"26-35",B109&lt;=45,"36-45",B109&lt;=55,"46-55",B109&lt;=65,"56-65")</f>
        <v>15-25</v>
      </c>
      <c r="D109" t="s">
        <v>43</v>
      </c>
      <c r="E109" t="str">
        <f t="shared" si="2"/>
        <v>Former Employee</v>
      </c>
      <c r="F109" t="s">
        <v>36</v>
      </c>
      <c r="G109">
        <v>240</v>
      </c>
      <c r="H109" t="s">
        <v>37</v>
      </c>
      <c r="I109">
        <v>5</v>
      </c>
      <c r="J109">
        <v>3</v>
      </c>
      <c r="K109" t="s">
        <v>55</v>
      </c>
      <c r="L109">
        <v>1</v>
      </c>
      <c r="M109">
        <v>3</v>
      </c>
      <c r="N109" t="s">
        <v>46</v>
      </c>
      <c r="O109">
        <v>46</v>
      </c>
      <c r="P109">
        <v>2</v>
      </c>
      <c r="Q109">
        <v>2</v>
      </c>
      <c r="R109" t="s">
        <v>40</v>
      </c>
      <c r="S109">
        <v>3</v>
      </c>
      <c r="T109" t="str" cm="1">
        <f t="array" ref="T109">_xlfn.IFS(S109&lt;=2,"Poor",S109&lt;=3,"Fair",S109&gt;=4,"Good")</f>
        <v>Fair</v>
      </c>
      <c r="U109" t="s">
        <v>41</v>
      </c>
      <c r="V109" s="1">
        <v>5744</v>
      </c>
      <c r="W109" t="str" cm="1">
        <f t="array" ref="W109">_xlfn.IFS(V109&lt;=5000,"Low Salary",V109&lt;=12000,"Good Salary",V109&gt;12000,"High Salary")</f>
        <v>Good Salary</v>
      </c>
      <c r="X109">
        <v>26959</v>
      </c>
      <c r="Y109">
        <v>1</v>
      </c>
      <c r="Z109" t="s">
        <v>42</v>
      </c>
      <c r="AA109" t="s">
        <v>43</v>
      </c>
      <c r="AB109">
        <v>11</v>
      </c>
      <c r="AC109">
        <v>3</v>
      </c>
      <c r="AD109" t="str">
        <f t="shared" si="3"/>
        <v>Low Performance</v>
      </c>
      <c r="AE109">
        <v>4</v>
      </c>
      <c r="AF109">
        <v>80</v>
      </c>
      <c r="AG109">
        <v>0</v>
      </c>
      <c r="AH109">
        <v>6</v>
      </c>
      <c r="AI109">
        <v>1</v>
      </c>
      <c r="AJ109">
        <v>3</v>
      </c>
      <c r="AK109" t="str" cm="1">
        <f t="array" ref="AK109">_xlfn.IFS(AJ109&lt;=2,"Poor",AJ109&lt;=3,"Fair",AJ109&gt;3,"Good")</f>
        <v>Fair</v>
      </c>
      <c r="AL109">
        <v>6</v>
      </c>
      <c r="AM109">
        <v>4</v>
      </c>
      <c r="AN109">
        <v>0</v>
      </c>
      <c r="AO109">
        <v>3</v>
      </c>
    </row>
    <row r="110" spans="1:41" x14ac:dyDescent="0.2">
      <c r="A110">
        <v>1657986</v>
      </c>
      <c r="B110">
        <v>25</v>
      </c>
      <c r="C110" t="str" cm="1">
        <f t="array" ref="C110">_xlfn.IFS(B110&lt;=25,"15-25",B110&lt;=35,"26-35",B110&lt;=45,"36-45",B110&lt;=55,"46-55",B110&lt;=65,"56-65")</f>
        <v>15-25</v>
      </c>
      <c r="D110" t="s">
        <v>35</v>
      </c>
      <c r="E110" t="str">
        <f t="shared" si="2"/>
        <v>Current Employee</v>
      </c>
      <c r="F110" t="s">
        <v>36</v>
      </c>
      <c r="G110">
        <v>1280</v>
      </c>
      <c r="H110" t="s">
        <v>45</v>
      </c>
      <c r="I110">
        <v>7</v>
      </c>
      <c r="J110">
        <v>1</v>
      </c>
      <c r="K110" t="s">
        <v>49</v>
      </c>
      <c r="L110">
        <v>1</v>
      </c>
      <c r="M110">
        <v>4</v>
      </c>
      <c r="N110" t="s">
        <v>46</v>
      </c>
      <c r="O110">
        <v>64</v>
      </c>
      <c r="P110">
        <v>2</v>
      </c>
      <c r="Q110">
        <v>1</v>
      </c>
      <c r="R110" t="s">
        <v>47</v>
      </c>
      <c r="S110">
        <v>4</v>
      </c>
      <c r="T110" t="str" cm="1">
        <f t="array" ref="T110">_xlfn.IFS(S110&lt;=2,"Poor",S110&lt;=3,"Fair",S110&gt;=4,"Good")</f>
        <v>Good</v>
      </c>
      <c r="U110" t="s">
        <v>48</v>
      </c>
      <c r="V110" s="1">
        <v>2889</v>
      </c>
      <c r="W110" t="str" cm="1">
        <f t="array" ref="W110">_xlfn.IFS(V110&lt;=5000,"Low Salary",V110&lt;=12000,"Good Salary",V110&gt;12000,"High Salary")</f>
        <v>Low Salary</v>
      </c>
      <c r="X110">
        <v>26897</v>
      </c>
      <c r="Y110">
        <v>1</v>
      </c>
      <c r="Z110" t="s">
        <v>42</v>
      </c>
      <c r="AA110" t="s">
        <v>35</v>
      </c>
      <c r="AB110">
        <v>11</v>
      </c>
      <c r="AC110">
        <v>3</v>
      </c>
      <c r="AD110" t="str">
        <f t="shared" si="3"/>
        <v>Low Performance</v>
      </c>
      <c r="AE110">
        <v>3</v>
      </c>
      <c r="AF110">
        <v>80</v>
      </c>
      <c r="AG110">
        <v>2</v>
      </c>
      <c r="AH110">
        <v>2</v>
      </c>
      <c r="AI110">
        <v>2</v>
      </c>
      <c r="AJ110">
        <v>3</v>
      </c>
      <c r="AK110" t="str" cm="1">
        <f t="array" ref="AK110">_xlfn.IFS(AJ110&lt;=2,"Poor",AJ110&lt;=3,"Fair",AJ110&gt;3,"Good")</f>
        <v>Fair</v>
      </c>
      <c r="AL110">
        <v>2</v>
      </c>
      <c r="AM110">
        <v>2</v>
      </c>
      <c r="AN110">
        <v>2</v>
      </c>
      <c r="AO110">
        <v>1</v>
      </c>
    </row>
    <row r="111" spans="1:41" x14ac:dyDescent="0.2">
      <c r="A111">
        <v>1353326</v>
      </c>
      <c r="B111">
        <v>22</v>
      </c>
      <c r="C111" t="str" cm="1">
        <f t="array" ref="C111">_xlfn.IFS(B111&lt;=25,"15-25",B111&lt;=35,"26-35",B111&lt;=45,"36-45",B111&lt;=55,"46-55",B111&lt;=65,"56-65")</f>
        <v>15-25</v>
      </c>
      <c r="D111" t="s">
        <v>35</v>
      </c>
      <c r="E111" t="str">
        <f t="shared" si="2"/>
        <v>Current Employee</v>
      </c>
      <c r="F111" t="s">
        <v>36</v>
      </c>
      <c r="G111">
        <v>534</v>
      </c>
      <c r="H111" t="s">
        <v>45</v>
      </c>
      <c r="I111">
        <v>15</v>
      </c>
      <c r="J111">
        <v>3</v>
      </c>
      <c r="K111" t="s">
        <v>49</v>
      </c>
      <c r="L111">
        <v>1</v>
      </c>
      <c r="M111">
        <v>2</v>
      </c>
      <c r="N111" t="s">
        <v>39</v>
      </c>
      <c r="O111">
        <v>59</v>
      </c>
      <c r="P111">
        <v>3</v>
      </c>
      <c r="Q111">
        <v>1</v>
      </c>
      <c r="R111" t="s">
        <v>40</v>
      </c>
      <c r="S111">
        <v>4</v>
      </c>
      <c r="T111" t="str" cm="1">
        <f t="array" ref="T111">_xlfn.IFS(S111&lt;=2,"Poor",S111&lt;=3,"Fair",S111&gt;=4,"Good")</f>
        <v>Good</v>
      </c>
      <c r="U111" t="s">
        <v>41</v>
      </c>
      <c r="V111" s="1">
        <v>2871</v>
      </c>
      <c r="W111" t="str" cm="1">
        <f t="array" ref="W111">_xlfn.IFS(V111&lt;=5000,"Low Salary",V111&lt;=12000,"Good Salary",V111&gt;12000,"High Salary")</f>
        <v>Low Salary</v>
      </c>
      <c r="X111">
        <v>23785</v>
      </c>
      <c r="Y111">
        <v>1</v>
      </c>
      <c r="Z111" t="s">
        <v>42</v>
      </c>
      <c r="AA111" t="s">
        <v>35</v>
      </c>
      <c r="AB111">
        <v>15</v>
      </c>
      <c r="AC111">
        <v>3</v>
      </c>
      <c r="AD111" t="str">
        <f t="shared" si="3"/>
        <v>Low Performance</v>
      </c>
      <c r="AE111">
        <v>3</v>
      </c>
      <c r="AF111">
        <v>80</v>
      </c>
      <c r="AG111">
        <v>0</v>
      </c>
      <c r="AH111">
        <v>1</v>
      </c>
      <c r="AI111">
        <v>5</v>
      </c>
      <c r="AJ111">
        <v>3</v>
      </c>
      <c r="AK111" t="str" cm="1">
        <f t="array" ref="AK111">_xlfn.IFS(AJ111&lt;=2,"Poor",AJ111&lt;=3,"Fair",AJ111&gt;3,"Good")</f>
        <v>Fair</v>
      </c>
      <c r="AL111">
        <v>0</v>
      </c>
      <c r="AM111">
        <v>0</v>
      </c>
      <c r="AN111">
        <v>0</v>
      </c>
      <c r="AO111">
        <v>0</v>
      </c>
    </row>
    <row r="112" spans="1:41" x14ac:dyDescent="0.2">
      <c r="A112">
        <v>1523794</v>
      </c>
      <c r="B112">
        <v>51</v>
      </c>
      <c r="C112" t="str" cm="1">
        <f t="array" ref="C112">_xlfn.IFS(B112&lt;=25,"15-25",B112&lt;=35,"26-35",B112&lt;=45,"36-45",B112&lt;=55,"46-55",B112&lt;=65,"56-65")</f>
        <v>46-55</v>
      </c>
      <c r="D112" t="s">
        <v>35</v>
      </c>
      <c r="E112" t="str">
        <f t="shared" si="2"/>
        <v>Current Employee</v>
      </c>
      <c r="F112" t="s">
        <v>44</v>
      </c>
      <c r="G112">
        <v>1456</v>
      </c>
      <c r="H112" t="s">
        <v>45</v>
      </c>
      <c r="I112">
        <v>1</v>
      </c>
      <c r="J112">
        <v>4</v>
      </c>
      <c r="K112" t="s">
        <v>49</v>
      </c>
      <c r="L112">
        <v>1</v>
      </c>
      <c r="M112">
        <v>1</v>
      </c>
      <c r="N112" t="s">
        <v>39</v>
      </c>
      <c r="O112">
        <v>30</v>
      </c>
      <c r="P112">
        <v>2</v>
      </c>
      <c r="Q112">
        <v>3</v>
      </c>
      <c r="R112" t="s">
        <v>40</v>
      </c>
      <c r="S112">
        <v>1</v>
      </c>
      <c r="T112" t="str" cm="1">
        <f t="array" ref="T112">_xlfn.IFS(S112&lt;=2,"Poor",S112&lt;=3,"Fair",S112&gt;=4,"Good")</f>
        <v>Poor</v>
      </c>
      <c r="U112" t="s">
        <v>41</v>
      </c>
      <c r="V112" s="1">
        <v>7484</v>
      </c>
      <c r="W112" t="str" cm="1">
        <f t="array" ref="W112">_xlfn.IFS(V112&lt;=5000,"Low Salary",V112&lt;=12000,"Good Salary",V112&gt;12000,"High Salary")</f>
        <v>Good Salary</v>
      </c>
      <c r="X112">
        <v>25796</v>
      </c>
      <c r="Y112">
        <v>3</v>
      </c>
      <c r="Z112" t="s">
        <v>42</v>
      </c>
      <c r="AA112" t="s">
        <v>35</v>
      </c>
      <c r="AB112">
        <v>20</v>
      </c>
      <c r="AC112">
        <v>4</v>
      </c>
      <c r="AD112" t="str">
        <f t="shared" si="3"/>
        <v>High Performance</v>
      </c>
      <c r="AE112">
        <v>3</v>
      </c>
      <c r="AF112">
        <v>80</v>
      </c>
      <c r="AG112">
        <v>0</v>
      </c>
      <c r="AH112">
        <v>23</v>
      </c>
      <c r="AI112">
        <v>1</v>
      </c>
      <c r="AJ112">
        <v>2</v>
      </c>
      <c r="AK112" t="str" cm="1">
        <f t="array" ref="AK112">_xlfn.IFS(AJ112&lt;=2,"Poor",AJ112&lt;=3,"Fair",AJ112&gt;3,"Good")</f>
        <v>Poor</v>
      </c>
      <c r="AL112">
        <v>13</v>
      </c>
      <c r="AM112">
        <v>12</v>
      </c>
      <c r="AN112">
        <v>12</v>
      </c>
      <c r="AO112">
        <v>8</v>
      </c>
    </row>
    <row r="113" spans="1:41" x14ac:dyDescent="0.2">
      <c r="A113">
        <v>1851151</v>
      </c>
      <c r="B113">
        <v>34</v>
      </c>
      <c r="C113" t="str" cm="1">
        <f t="array" ref="C113">_xlfn.IFS(B113&lt;=25,"15-25",B113&lt;=35,"26-35",B113&lt;=45,"36-45",B113&lt;=55,"46-55",B113&lt;=65,"56-65")</f>
        <v>26-35</v>
      </c>
      <c r="D113" t="s">
        <v>43</v>
      </c>
      <c r="E113" t="str">
        <f t="shared" si="2"/>
        <v>Former Employee</v>
      </c>
      <c r="F113" t="s">
        <v>44</v>
      </c>
      <c r="G113">
        <v>658</v>
      </c>
      <c r="H113" t="s">
        <v>45</v>
      </c>
      <c r="I113">
        <v>7</v>
      </c>
      <c r="J113">
        <v>3</v>
      </c>
      <c r="K113" t="s">
        <v>38</v>
      </c>
      <c r="L113">
        <v>1</v>
      </c>
      <c r="M113">
        <v>1</v>
      </c>
      <c r="N113" t="s">
        <v>46</v>
      </c>
      <c r="O113">
        <v>66</v>
      </c>
      <c r="P113">
        <v>1</v>
      </c>
      <c r="Q113">
        <v>2</v>
      </c>
      <c r="R113" t="s">
        <v>40</v>
      </c>
      <c r="S113">
        <v>3</v>
      </c>
      <c r="T113" t="str" cm="1">
        <f t="array" ref="T113">_xlfn.IFS(S113&lt;=2,"Poor",S113&lt;=3,"Fair",S113&gt;=4,"Good")</f>
        <v>Fair</v>
      </c>
      <c r="U113" t="s">
        <v>41</v>
      </c>
      <c r="V113" s="1">
        <v>6074</v>
      </c>
      <c r="W113" t="str" cm="1">
        <f t="array" ref="W113">_xlfn.IFS(V113&lt;=5000,"Low Salary",V113&lt;=12000,"Good Salary",V113&gt;12000,"High Salary")</f>
        <v>Good Salary</v>
      </c>
      <c r="X113">
        <v>22887</v>
      </c>
      <c r="Y113">
        <v>1</v>
      </c>
      <c r="Z113" t="s">
        <v>42</v>
      </c>
      <c r="AA113" t="s">
        <v>43</v>
      </c>
      <c r="AB113">
        <v>24</v>
      </c>
      <c r="AC113">
        <v>4</v>
      </c>
      <c r="AD113" t="str">
        <f t="shared" si="3"/>
        <v>High Performance</v>
      </c>
      <c r="AE113">
        <v>4</v>
      </c>
      <c r="AF113">
        <v>80</v>
      </c>
      <c r="AG113">
        <v>0</v>
      </c>
      <c r="AH113">
        <v>9</v>
      </c>
      <c r="AI113">
        <v>3</v>
      </c>
      <c r="AJ113">
        <v>3</v>
      </c>
      <c r="AK113" t="str" cm="1">
        <f t="array" ref="AK113">_xlfn.IFS(AJ113&lt;=2,"Poor",AJ113&lt;=3,"Fair",AJ113&gt;3,"Good")</f>
        <v>Fair</v>
      </c>
      <c r="AL113">
        <v>9</v>
      </c>
      <c r="AM113">
        <v>7</v>
      </c>
      <c r="AN113">
        <v>0</v>
      </c>
      <c r="AO113">
        <v>6</v>
      </c>
    </row>
    <row r="114" spans="1:41" x14ac:dyDescent="0.2">
      <c r="A114">
        <v>1645988</v>
      </c>
      <c r="B114">
        <v>54</v>
      </c>
      <c r="C114" t="str" cm="1">
        <f t="array" ref="C114">_xlfn.IFS(B114&lt;=25,"15-25",B114&lt;=35,"26-35",B114&lt;=45,"36-45",B114&lt;=55,"46-55",B114&lt;=65,"56-65")</f>
        <v>46-55</v>
      </c>
      <c r="D114" t="s">
        <v>35</v>
      </c>
      <c r="E114" t="str">
        <f t="shared" si="2"/>
        <v>Current Employee</v>
      </c>
      <c r="F114" t="s">
        <v>52</v>
      </c>
      <c r="G114">
        <v>142</v>
      </c>
      <c r="H114" t="s">
        <v>54</v>
      </c>
      <c r="I114">
        <v>26</v>
      </c>
      <c r="J114">
        <v>3</v>
      </c>
      <c r="K114" t="s">
        <v>57</v>
      </c>
      <c r="L114">
        <v>1</v>
      </c>
      <c r="M114">
        <v>4</v>
      </c>
      <c r="N114" t="s">
        <v>39</v>
      </c>
      <c r="O114">
        <v>30</v>
      </c>
      <c r="P114">
        <v>4</v>
      </c>
      <c r="Q114">
        <v>4</v>
      </c>
      <c r="R114" t="s">
        <v>53</v>
      </c>
      <c r="S114">
        <v>4</v>
      </c>
      <c r="T114" t="str" cm="1">
        <f t="array" ref="T114">_xlfn.IFS(S114&lt;=2,"Poor",S114&lt;=3,"Fair",S114&gt;=4,"Good")</f>
        <v>Good</v>
      </c>
      <c r="U114" t="s">
        <v>41</v>
      </c>
      <c r="V114" s="1">
        <v>17328</v>
      </c>
      <c r="W114" t="str" cm="1">
        <f t="array" ref="W114">_xlfn.IFS(V114&lt;=5000,"Low Salary",V114&lt;=12000,"Good Salary",V114&gt;12000,"High Salary")</f>
        <v>High Salary</v>
      </c>
      <c r="X114">
        <v>13871</v>
      </c>
      <c r="Y114">
        <v>2</v>
      </c>
      <c r="Z114" t="s">
        <v>42</v>
      </c>
      <c r="AA114" t="s">
        <v>43</v>
      </c>
      <c r="AB114">
        <v>12</v>
      </c>
      <c r="AC114">
        <v>3</v>
      </c>
      <c r="AD114" t="str">
        <f t="shared" si="3"/>
        <v>Low Performance</v>
      </c>
      <c r="AE114">
        <v>3</v>
      </c>
      <c r="AF114">
        <v>80</v>
      </c>
      <c r="AG114">
        <v>0</v>
      </c>
      <c r="AH114">
        <v>23</v>
      </c>
      <c r="AI114">
        <v>3</v>
      </c>
      <c r="AJ114">
        <v>3</v>
      </c>
      <c r="AK114" t="str" cm="1">
        <f t="array" ref="AK114">_xlfn.IFS(AJ114&lt;=2,"Poor",AJ114&lt;=3,"Fair",AJ114&gt;3,"Good")</f>
        <v>Fair</v>
      </c>
      <c r="AL114">
        <v>5</v>
      </c>
      <c r="AM114">
        <v>3</v>
      </c>
      <c r="AN114">
        <v>4</v>
      </c>
      <c r="AO114">
        <v>4</v>
      </c>
    </row>
    <row r="115" spans="1:41" x14ac:dyDescent="0.2">
      <c r="A115">
        <v>1849283</v>
      </c>
      <c r="B115">
        <v>24</v>
      </c>
      <c r="C115" t="str" cm="1">
        <f t="array" ref="C115">_xlfn.IFS(B115&lt;=25,"15-25",B115&lt;=35,"26-35",B115&lt;=45,"36-45",B115&lt;=55,"46-55",B115&lt;=65,"56-65")</f>
        <v>15-25</v>
      </c>
      <c r="D115" t="s">
        <v>35</v>
      </c>
      <c r="E115" t="str">
        <f t="shared" si="2"/>
        <v>Current Employee</v>
      </c>
      <c r="F115" t="s">
        <v>36</v>
      </c>
      <c r="G115">
        <v>1127</v>
      </c>
      <c r="H115" t="s">
        <v>45</v>
      </c>
      <c r="I115">
        <v>18</v>
      </c>
      <c r="J115">
        <v>1</v>
      </c>
      <c r="K115" t="s">
        <v>38</v>
      </c>
      <c r="L115">
        <v>1</v>
      </c>
      <c r="M115">
        <v>2</v>
      </c>
      <c r="N115" t="s">
        <v>46</v>
      </c>
      <c r="O115">
        <v>52</v>
      </c>
      <c r="P115">
        <v>3</v>
      </c>
      <c r="Q115">
        <v>1</v>
      </c>
      <c r="R115" t="s">
        <v>40</v>
      </c>
      <c r="S115">
        <v>3</v>
      </c>
      <c r="T115" t="str" cm="1">
        <f t="array" ref="T115">_xlfn.IFS(S115&lt;=2,"Poor",S115&lt;=3,"Fair",S115&gt;=4,"Good")</f>
        <v>Fair</v>
      </c>
      <c r="U115" t="s">
        <v>48</v>
      </c>
      <c r="V115" s="1">
        <v>2774</v>
      </c>
      <c r="W115" t="str" cm="1">
        <f t="array" ref="W115">_xlfn.IFS(V115&lt;=5000,"Low Salary",V115&lt;=12000,"Good Salary",V115&gt;12000,"High Salary")</f>
        <v>Low Salary</v>
      </c>
      <c r="X115">
        <v>13257</v>
      </c>
      <c r="Y115">
        <v>0</v>
      </c>
      <c r="Z115" t="s">
        <v>42</v>
      </c>
      <c r="AA115" t="s">
        <v>35</v>
      </c>
      <c r="AB115">
        <v>12</v>
      </c>
      <c r="AC115">
        <v>3</v>
      </c>
      <c r="AD115" t="str">
        <f t="shared" si="3"/>
        <v>Low Performance</v>
      </c>
      <c r="AE115">
        <v>3</v>
      </c>
      <c r="AF115">
        <v>80</v>
      </c>
      <c r="AG115">
        <v>1</v>
      </c>
      <c r="AH115">
        <v>6</v>
      </c>
      <c r="AI115">
        <v>2</v>
      </c>
      <c r="AJ115">
        <v>3</v>
      </c>
      <c r="AK115" t="str" cm="1">
        <f t="array" ref="AK115">_xlfn.IFS(AJ115&lt;=2,"Poor",AJ115&lt;=3,"Fair",AJ115&gt;3,"Good")</f>
        <v>Fair</v>
      </c>
      <c r="AL115">
        <v>5</v>
      </c>
      <c r="AM115">
        <v>3</v>
      </c>
      <c r="AN115">
        <v>1</v>
      </c>
      <c r="AO115">
        <v>2</v>
      </c>
    </row>
    <row r="116" spans="1:41" x14ac:dyDescent="0.2">
      <c r="A116">
        <v>1073480</v>
      </c>
      <c r="B116">
        <v>34</v>
      </c>
      <c r="C116" t="str" cm="1">
        <f t="array" ref="C116">_xlfn.IFS(B116&lt;=25,"15-25",B116&lt;=35,"26-35",B116&lt;=45,"36-45",B116&lt;=55,"46-55",B116&lt;=65,"56-65")</f>
        <v>26-35</v>
      </c>
      <c r="D116" t="s">
        <v>35</v>
      </c>
      <c r="E116" t="str">
        <f t="shared" si="2"/>
        <v>Current Employee</v>
      </c>
      <c r="F116" t="s">
        <v>36</v>
      </c>
      <c r="G116">
        <v>1031</v>
      </c>
      <c r="H116" t="s">
        <v>45</v>
      </c>
      <c r="I116">
        <v>6</v>
      </c>
      <c r="J116">
        <v>4</v>
      </c>
      <c r="K116" t="s">
        <v>38</v>
      </c>
      <c r="L116">
        <v>1</v>
      </c>
      <c r="M116">
        <v>3</v>
      </c>
      <c r="N116" t="s">
        <v>39</v>
      </c>
      <c r="O116">
        <v>45</v>
      </c>
      <c r="P116">
        <v>2</v>
      </c>
      <c r="Q116">
        <v>2</v>
      </c>
      <c r="R116" t="s">
        <v>47</v>
      </c>
      <c r="S116">
        <v>2</v>
      </c>
      <c r="T116" t="str" cm="1">
        <f t="array" ref="T116">_xlfn.IFS(S116&lt;=2,"Poor",S116&lt;=3,"Fair",S116&gt;=4,"Good")</f>
        <v>Poor</v>
      </c>
      <c r="U116" t="s">
        <v>50</v>
      </c>
      <c r="V116" s="1">
        <v>4505</v>
      </c>
      <c r="W116" t="str" cm="1">
        <f t="array" ref="W116">_xlfn.IFS(V116&lt;=5000,"Low Salary",V116&lt;=12000,"Good Salary",V116&gt;12000,"High Salary")</f>
        <v>Low Salary</v>
      </c>
      <c r="X116">
        <v>15000</v>
      </c>
      <c r="Y116">
        <v>6</v>
      </c>
      <c r="Z116" t="s">
        <v>42</v>
      </c>
      <c r="AA116" t="s">
        <v>35</v>
      </c>
      <c r="AB116">
        <v>15</v>
      </c>
      <c r="AC116">
        <v>3</v>
      </c>
      <c r="AD116" t="str">
        <f t="shared" si="3"/>
        <v>Low Performance</v>
      </c>
      <c r="AE116">
        <v>3</v>
      </c>
      <c r="AF116">
        <v>80</v>
      </c>
      <c r="AG116">
        <v>1</v>
      </c>
      <c r="AH116">
        <v>12</v>
      </c>
      <c r="AI116">
        <v>3</v>
      </c>
      <c r="AJ116">
        <v>3</v>
      </c>
      <c r="AK116" t="str" cm="1">
        <f t="array" ref="AK116">_xlfn.IFS(AJ116&lt;=2,"Poor",AJ116&lt;=3,"Fair",AJ116&gt;3,"Good")</f>
        <v>Fair</v>
      </c>
      <c r="AL116">
        <v>1</v>
      </c>
      <c r="AM116">
        <v>0</v>
      </c>
      <c r="AN116">
        <v>0</v>
      </c>
      <c r="AO116">
        <v>0</v>
      </c>
    </row>
    <row r="117" spans="1:41" x14ac:dyDescent="0.2">
      <c r="A117">
        <v>1157113</v>
      </c>
      <c r="B117">
        <v>37</v>
      </c>
      <c r="C117" t="str" cm="1">
        <f t="array" ref="C117">_xlfn.IFS(B117&lt;=25,"15-25",B117&lt;=35,"26-35",B117&lt;=45,"36-45",B117&lt;=55,"46-55",B117&lt;=65,"56-65")</f>
        <v>36-45</v>
      </c>
      <c r="D117" t="s">
        <v>35</v>
      </c>
      <c r="E117" t="str">
        <f t="shared" si="2"/>
        <v>Current Employee</v>
      </c>
      <c r="F117" t="s">
        <v>36</v>
      </c>
      <c r="G117">
        <v>1189</v>
      </c>
      <c r="H117" t="s">
        <v>37</v>
      </c>
      <c r="I117">
        <v>3</v>
      </c>
      <c r="J117">
        <v>3</v>
      </c>
      <c r="K117" t="s">
        <v>38</v>
      </c>
      <c r="L117">
        <v>1</v>
      </c>
      <c r="M117">
        <v>3</v>
      </c>
      <c r="N117" t="s">
        <v>46</v>
      </c>
      <c r="O117">
        <v>87</v>
      </c>
      <c r="P117">
        <v>3</v>
      </c>
      <c r="Q117">
        <v>3</v>
      </c>
      <c r="R117" t="s">
        <v>40</v>
      </c>
      <c r="S117">
        <v>4</v>
      </c>
      <c r="T117" t="str" cm="1">
        <f t="array" ref="T117">_xlfn.IFS(S117&lt;=2,"Poor",S117&lt;=3,"Fair",S117&gt;=4,"Good")</f>
        <v>Good</v>
      </c>
      <c r="U117" t="s">
        <v>41</v>
      </c>
      <c r="V117" s="1">
        <v>7428</v>
      </c>
      <c r="W117" t="str" cm="1">
        <f t="array" ref="W117">_xlfn.IFS(V117&lt;=5000,"Low Salary",V117&lt;=12000,"Good Salary",V117&gt;12000,"High Salary")</f>
        <v>Good Salary</v>
      </c>
      <c r="X117">
        <v>14506</v>
      </c>
      <c r="Y117">
        <v>2</v>
      </c>
      <c r="Z117" t="s">
        <v>42</v>
      </c>
      <c r="AA117" t="s">
        <v>35</v>
      </c>
      <c r="AB117">
        <v>12</v>
      </c>
      <c r="AC117">
        <v>3</v>
      </c>
      <c r="AD117" t="str">
        <f t="shared" si="3"/>
        <v>Low Performance</v>
      </c>
      <c r="AE117">
        <v>1</v>
      </c>
      <c r="AF117">
        <v>80</v>
      </c>
      <c r="AG117">
        <v>0</v>
      </c>
      <c r="AH117">
        <v>12</v>
      </c>
      <c r="AI117">
        <v>3</v>
      </c>
      <c r="AJ117">
        <v>3</v>
      </c>
      <c r="AK117" t="str" cm="1">
        <f t="array" ref="AK117">_xlfn.IFS(AJ117&lt;=2,"Poor",AJ117&lt;=3,"Fair",AJ117&gt;3,"Good")</f>
        <v>Fair</v>
      </c>
      <c r="AL117">
        <v>5</v>
      </c>
      <c r="AM117">
        <v>3</v>
      </c>
      <c r="AN117">
        <v>1</v>
      </c>
      <c r="AO117">
        <v>3</v>
      </c>
    </row>
    <row r="118" spans="1:41" x14ac:dyDescent="0.2">
      <c r="A118">
        <v>1130224</v>
      </c>
      <c r="B118">
        <v>34</v>
      </c>
      <c r="C118" t="str" cm="1">
        <f t="array" ref="C118">_xlfn.IFS(B118&lt;=25,"15-25",B118&lt;=35,"26-35",B118&lt;=45,"36-45",B118&lt;=55,"46-55",B118&lt;=65,"56-65")</f>
        <v>26-35</v>
      </c>
      <c r="D118" t="s">
        <v>35</v>
      </c>
      <c r="E118" t="str">
        <f t="shared" si="2"/>
        <v>Current Employee</v>
      </c>
      <c r="F118" t="s">
        <v>36</v>
      </c>
      <c r="G118">
        <v>1354</v>
      </c>
      <c r="H118" t="s">
        <v>54</v>
      </c>
      <c r="I118">
        <v>5</v>
      </c>
      <c r="J118">
        <v>3</v>
      </c>
      <c r="K118" t="s">
        <v>49</v>
      </c>
      <c r="L118">
        <v>1</v>
      </c>
      <c r="M118">
        <v>3</v>
      </c>
      <c r="N118" t="s">
        <v>39</v>
      </c>
      <c r="O118">
        <v>45</v>
      </c>
      <c r="P118">
        <v>2</v>
      </c>
      <c r="Q118">
        <v>3</v>
      </c>
      <c r="R118" t="s">
        <v>47</v>
      </c>
      <c r="S118">
        <v>1</v>
      </c>
      <c r="T118" t="str" cm="1">
        <f t="array" ref="T118">_xlfn.IFS(S118&lt;=2,"Poor",S118&lt;=3,"Fair",S118&gt;=4,"Good")</f>
        <v>Poor</v>
      </c>
      <c r="U118" t="s">
        <v>41</v>
      </c>
      <c r="V118" s="1">
        <v>11631</v>
      </c>
      <c r="W118" t="str" cm="1">
        <f t="array" ref="W118">_xlfn.IFS(V118&lt;=5000,"Low Salary",V118&lt;=12000,"Good Salary",V118&gt;12000,"High Salary")</f>
        <v>Good Salary</v>
      </c>
      <c r="X118">
        <v>5615</v>
      </c>
      <c r="Y118">
        <v>2</v>
      </c>
      <c r="Z118" t="s">
        <v>42</v>
      </c>
      <c r="AA118" t="s">
        <v>35</v>
      </c>
      <c r="AB118">
        <v>12</v>
      </c>
      <c r="AC118">
        <v>3</v>
      </c>
      <c r="AD118" t="str">
        <f t="shared" si="3"/>
        <v>Low Performance</v>
      </c>
      <c r="AE118">
        <v>4</v>
      </c>
      <c r="AF118">
        <v>80</v>
      </c>
      <c r="AG118">
        <v>0</v>
      </c>
      <c r="AH118">
        <v>14</v>
      </c>
      <c r="AI118">
        <v>6</v>
      </c>
      <c r="AJ118">
        <v>3</v>
      </c>
      <c r="AK118" t="str" cm="1">
        <f t="array" ref="AK118">_xlfn.IFS(AJ118&lt;=2,"Poor",AJ118&lt;=3,"Fair",AJ118&gt;3,"Good")</f>
        <v>Fair</v>
      </c>
      <c r="AL118">
        <v>11</v>
      </c>
      <c r="AM118">
        <v>10</v>
      </c>
      <c r="AN118">
        <v>5</v>
      </c>
      <c r="AO118">
        <v>8</v>
      </c>
    </row>
    <row r="119" spans="1:41" x14ac:dyDescent="0.2">
      <c r="A119">
        <v>1427732</v>
      </c>
      <c r="B119">
        <v>36</v>
      </c>
      <c r="C119" t="str" cm="1">
        <f t="array" ref="C119">_xlfn.IFS(B119&lt;=25,"15-25",B119&lt;=35,"26-35",B119&lt;=45,"36-45",B119&lt;=55,"46-55",B119&lt;=65,"56-65")</f>
        <v>36-45</v>
      </c>
      <c r="D119" t="s">
        <v>35</v>
      </c>
      <c r="E119" t="str">
        <f t="shared" si="2"/>
        <v>Current Employee</v>
      </c>
      <c r="F119" t="s">
        <v>44</v>
      </c>
      <c r="G119">
        <v>1467</v>
      </c>
      <c r="H119" t="s">
        <v>37</v>
      </c>
      <c r="I119">
        <v>11</v>
      </c>
      <c r="J119">
        <v>2</v>
      </c>
      <c r="K119" t="s">
        <v>56</v>
      </c>
      <c r="L119">
        <v>1</v>
      </c>
      <c r="M119">
        <v>2</v>
      </c>
      <c r="N119" t="s">
        <v>39</v>
      </c>
      <c r="O119">
        <v>92</v>
      </c>
      <c r="P119">
        <v>3</v>
      </c>
      <c r="Q119">
        <v>3</v>
      </c>
      <c r="R119" t="s">
        <v>40</v>
      </c>
      <c r="S119">
        <v>4</v>
      </c>
      <c r="T119" t="str" cm="1">
        <f t="array" ref="T119">_xlfn.IFS(S119&lt;=2,"Poor",S119&lt;=3,"Fair",S119&gt;=4,"Good")</f>
        <v>Good</v>
      </c>
      <c r="U119" t="s">
        <v>48</v>
      </c>
      <c r="V119" s="1">
        <v>9738</v>
      </c>
      <c r="W119" t="str" cm="1">
        <f t="array" ref="W119">_xlfn.IFS(V119&lt;=5000,"Low Salary",V119&lt;=12000,"Good Salary",V119&gt;12000,"High Salary")</f>
        <v>Good Salary</v>
      </c>
      <c r="X119">
        <v>22952</v>
      </c>
      <c r="Y119">
        <v>0</v>
      </c>
      <c r="Z119" t="s">
        <v>42</v>
      </c>
      <c r="AA119" t="s">
        <v>35</v>
      </c>
      <c r="AB119">
        <v>14</v>
      </c>
      <c r="AC119">
        <v>3</v>
      </c>
      <c r="AD119" t="str">
        <f t="shared" si="3"/>
        <v>Low Performance</v>
      </c>
      <c r="AE119">
        <v>3</v>
      </c>
      <c r="AF119">
        <v>80</v>
      </c>
      <c r="AG119">
        <v>1</v>
      </c>
      <c r="AH119">
        <v>10</v>
      </c>
      <c r="AI119">
        <v>6</v>
      </c>
      <c r="AJ119">
        <v>3</v>
      </c>
      <c r="AK119" t="str" cm="1">
        <f t="array" ref="AK119">_xlfn.IFS(AJ119&lt;=2,"Poor",AJ119&lt;=3,"Fair",AJ119&gt;3,"Good")</f>
        <v>Fair</v>
      </c>
      <c r="AL119">
        <v>9</v>
      </c>
      <c r="AM119">
        <v>7</v>
      </c>
      <c r="AN119">
        <v>2</v>
      </c>
      <c r="AO119">
        <v>8</v>
      </c>
    </row>
    <row r="120" spans="1:41" x14ac:dyDescent="0.2">
      <c r="A120">
        <v>1852975</v>
      </c>
      <c r="B120">
        <v>36</v>
      </c>
      <c r="C120" t="str" cm="1">
        <f t="array" ref="C120">_xlfn.IFS(B120&lt;=25,"15-25",B120&lt;=35,"26-35",B120&lt;=45,"36-45",B120&lt;=55,"46-55",B120&lt;=65,"56-65")</f>
        <v>36-45</v>
      </c>
      <c r="D120" t="s">
        <v>35</v>
      </c>
      <c r="E120" t="str">
        <f t="shared" si="2"/>
        <v>Current Employee</v>
      </c>
      <c r="F120" t="s">
        <v>36</v>
      </c>
      <c r="G120">
        <v>922</v>
      </c>
      <c r="H120" t="s">
        <v>45</v>
      </c>
      <c r="I120">
        <v>3</v>
      </c>
      <c r="J120">
        <v>2</v>
      </c>
      <c r="K120" t="s">
        <v>38</v>
      </c>
      <c r="L120">
        <v>1</v>
      </c>
      <c r="M120">
        <v>1</v>
      </c>
      <c r="N120" t="s">
        <v>39</v>
      </c>
      <c r="O120">
        <v>39</v>
      </c>
      <c r="P120">
        <v>3</v>
      </c>
      <c r="Q120">
        <v>1</v>
      </c>
      <c r="R120" t="s">
        <v>40</v>
      </c>
      <c r="S120">
        <v>4</v>
      </c>
      <c r="T120" t="str" cm="1">
        <f t="array" ref="T120">_xlfn.IFS(S120&lt;=2,"Poor",S120&lt;=3,"Fair",S120&gt;=4,"Good")</f>
        <v>Good</v>
      </c>
      <c r="U120" t="s">
        <v>50</v>
      </c>
      <c r="V120" s="1">
        <v>2835</v>
      </c>
      <c r="W120" t="str" cm="1">
        <f t="array" ref="W120">_xlfn.IFS(V120&lt;=5000,"Low Salary",V120&lt;=12000,"Good Salary",V120&gt;12000,"High Salary")</f>
        <v>Low Salary</v>
      </c>
      <c r="X120">
        <v>2561</v>
      </c>
      <c r="Y120">
        <v>5</v>
      </c>
      <c r="Z120" t="s">
        <v>42</v>
      </c>
      <c r="AA120" t="s">
        <v>35</v>
      </c>
      <c r="AB120">
        <v>22</v>
      </c>
      <c r="AC120">
        <v>4</v>
      </c>
      <c r="AD120" t="str">
        <f t="shared" si="3"/>
        <v>High Performance</v>
      </c>
      <c r="AE120">
        <v>1</v>
      </c>
      <c r="AF120">
        <v>80</v>
      </c>
      <c r="AG120">
        <v>1</v>
      </c>
      <c r="AH120">
        <v>7</v>
      </c>
      <c r="AI120">
        <v>2</v>
      </c>
      <c r="AJ120">
        <v>3</v>
      </c>
      <c r="AK120" t="str" cm="1">
        <f t="array" ref="AK120">_xlfn.IFS(AJ120&lt;=2,"Poor",AJ120&lt;=3,"Fair",AJ120&gt;3,"Good")</f>
        <v>Fair</v>
      </c>
      <c r="AL120">
        <v>1</v>
      </c>
      <c r="AM120">
        <v>0</v>
      </c>
      <c r="AN120">
        <v>0</v>
      </c>
      <c r="AO120">
        <v>0</v>
      </c>
    </row>
    <row r="121" spans="1:41" x14ac:dyDescent="0.2">
      <c r="A121">
        <v>1845017</v>
      </c>
      <c r="B121">
        <v>43</v>
      </c>
      <c r="C121" t="str" cm="1">
        <f t="array" ref="C121">_xlfn.IFS(B121&lt;=25,"15-25",B121&lt;=35,"26-35",B121&lt;=45,"36-45",B121&lt;=55,"46-55",B121&lt;=65,"56-65")</f>
        <v>36-45</v>
      </c>
      <c r="D121" t="s">
        <v>35</v>
      </c>
      <c r="E121" t="str">
        <f t="shared" si="2"/>
        <v>Current Employee</v>
      </c>
      <c r="F121" t="s">
        <v>44</v>
      </c>
      <c r="G121">
        <v>394</v>
      </c>
      <c r="H121" t="s">
        <v>37</v>
      </c>
      <c r="I121">
        <v>26</v>
      </c>
      <c r="J121">
        <v>2</v>
      </c>
      <c r="K121" t="s">
        <v>38</v>
      </c>
      <c r="L121">
        <v>1</v>
      </c>
      <c r="M121">
        <v>3</v>
      </c>
      <c r="N121" t="s">
        <v>46</v>
      </c>
      <c r="O121">
        <v>92</v>
      </c>
      <c r="P121">
        <v>3</v>
      </c>
      <c r="Q121">
        <v>4</v>
      </c>
      <c r="R121" t="s">
        <v>53</v>
      </c>
      <c r="S121">
        <v>4</v>
      </c>
      <c r="T121" t="str" cm="1">
        <f t="array" ref="T121">_xlfn.IFS(S121&lt;=2,"Poor",S121&lt;=3,"Fair",S121&gt;=4,"Good")</f>
        <v>Good</v>
      </c>
      <c r="U121" t="s">
        <v>48</v>
      </c>
      <c r="V121" s="1">
        <v>16959</v>
      </c>
      <c r="W121" t="str" cm="1">
        <f t="array" ref="W121">_xlfn.IFS(V121&lt;=5000,"Low Salary",V121&lt;=12000,"Good Salary",V121&gt;12000,"High Salary")</f>
        <v>High Salary</v>
      </c>
      <c r="X121">
        <v>19494</v>
      </c>
      <c r="Y121">
        <v>1</v>
      </c>
      <c r="Z121" t="s">
        <v>42</v>
      </c>
      <c r="AA121" t="s">
        <v>43</v>
      </c>
      <c r="AB121">
        <v>12</v>
      </c>
      <c r="AC121">
        <v>3</v>
      </c>
      <c r="AD121" t="str">
        <f t="shared" si="3"/>
        <v>Low Performance</v>
      </c>
      <c r="AE121">
        <v>4</v>
      </c>
      <c r="AF121">
        <v>80</v>
      </c>
      <c r="AG121">
        <v>2</v>
      </c>
      <c r="AH121">
        <v>25</v>
      </c>
      <c r="AI121">
        <v>3</v>
      </c>
      <c r="AJ121">
        <v>4</v>
      </c>
      <c r="AK121" t="str" cm="1">
        <f t="array" ref="AK121">_xlfn.IFS(AJ121&lt;=2,"Poor",AJ121&lt;=3,"Fair",AJ121&gt;3,"Good")</f>
        <v>Good</v>
      </c>
      <c r="AL121">
        <v>25</v>
      </c>
      <c r="AM121">
        <v>12</v>
      </c>
      <c r="AN121">
        <v>4</v>
      </c>
      <c r="AO121">
        <v>12</v>
      </c>
    </row>
    <row r="122" spans="1:41" x14ac:dyDescent="0.2">
      <c r="A122">
        <v>1212660</v>
      </c>
      <c r="B122">
        <v>30</v>
      </c>
      <c r="C122" t="str" cm="1">
        <f t="array" ref="C122">_xlfn.IFS(B122&lt;=25,"15-25",B122&lt;=35,"26-35",B122&lt;=45,"36-45",B122&lt;=55,"46-55",B122&lt;=65,"56-65")</f>
        <v>26-35</v>
      </c>
      <c r="D122" t="s">
        <v>35</v>
      </c>
      <c r="E122" t="str">
        <f t="shared" si="2"/>
        <v>Current Employee</v>
      </c>
      <c r="F122" t="s">
        <v>44</v>
      </c>
      <c r="G122">
        <v>1312</v>
      </c>
      <c r="H122" t="s">
        <v>45</v>
      </c>
      <c r="I122">
        <v>23</v>
      </c>
      <c r="J122">
        <v>3</v>
      </c>
      <c r="K122" t="s">
        <v>38</v>
      </c>
      <c r="L122">
        <v>1</v>
      </c>
      <c r="M122">
        <v>1</v>
      </c>
      <c r="N122" t="s">
        <v>46</v>
      </c>
      <c r="O122">
        <v>96</v>
      </c>
      <c r="P122">
        <v>1</v>
      </c>
      <c r="Q122">
        <v>1</v>
      </c>
      <c r="R122" t="s">
        <v>47</v>
      </c>
      <c r="S122">
        <v>3</v>
      </c>
      <c r="T122" t="str" cm="1">
        <f t="array" ref="T122">_xlfn.IFS(S122&lt;=2,"Poor",S122&lt;=3,"Fair",S122&gt;=4,"Good")</f>
        <v>Fair</v>
      </c>
      <c r="U122" t="s">
        <v>50</v>
      </c>
      <c r="V122" s="1">
        <v>2613</v>
      </c>
      <c r="W122" t="str" cm="1">
        <f t="array" ref="W122">_xlfn.IFS(V122&lt;=5000,"Low Salary",V122&lt;=12000,"Good Salary",V122&gt;12000,"High Salary")</f>
        <v>Low Salary</v>
      </c>
      <c r="X122">
        <v>22310</v>
      </c>
      <c r="Y122">
        <v>1</v>
      </c>
      <c r="Z122" t="s">
        <v>42</v>
      </c>
      <c r="AA122" t="s">
        <v>35</v>
      </c>
      <c r="AB122">
        <v>25</v>
      </c>
      <c r="AC122">
        <v>4</v>
      </c>
      <c r="AD122" t="str">
        <f t="shared" si="3"/>
        <v>High Performance</v>
      </c>
      <c r="AE122">
        <v>3</v>
      </c>
      <c r="AF122">
        <v>80</v>
      </c>
      <c r="AG122">
        <v>3</v>
      </c>
      <c r="AH122">
        <v>10</v>
      </c>
      <c r="AI122">
        <v>2</v>
      </c>
      <c r="AJ122">
        <v>2</v>
      </c>
      <c r="AK122" t="str" cm="1">
        <f t="array" ref="AK122">_xlfn.IFS(AJ122&lt;=2,"Poor",AJ122&lt;=3,"Fair",AJ122&gt;3,"Good")</f>
        <v>Poor</v>
      </c>
      <c r="AL122">
        <v>10</v>
      </c>
      <c r="AM122">
        <v>7</v>
      </c>
      <c r="AN122">
        <v>0</v>
      </c>
      <c r="AO122">
        <v>9</v>
      </c>
    </row>
    <row r="123" spans="1:41" x14ac:dyDescent="0.2">
      <c r="A123">
        <v>1264790</v>
      </c>
      <c r="B123">
        <v>33</v>
      </c>
      <c r="C123" t="str" cm="1">
        <f t="array" ref="C123">_xlfn.IFS(B123&lt;=25,"15-25",B123&lt;=35,"26-35",B123&lt;=45,"36-45",B123&lt;=55,"46-55",B123&lt;=65,"56-65")</f>
        <v>26-35</v>
      </c>
      <c r="D123" t="s">
        <v>35</v>
      </c>
      <c r="E123" t="str">
        <f t="shared" si="2"/>
        <v>Current Employee</v>
      </c>
      <c r="F123" t="s">
        <v>52</v>
      </c>
      <c r="G123">
        <v>750</v>
      </c>
      <c r="H123" t="s">
        <v>37</v>
      </c>
      <c r="I123">
        <v>22</v>
      </c>
      <c r="J123">
        <v>2</v>
      </c>
      <c r="K123" t="s">
        <v>55</v>
      </c>
      <c r="L123">
        <v>1</v>
      </c>
      <c r="M123">
        <v>3</v>
      </c>
      <c r="N123" t="s">
        <v>46</v>
      </c>
      <c r="O123">
        <v>95</v>
      </c>
      <c r="P123">
        <v>3</v>
      </c>
      <c r="Q123">
        <v>2</v>
      </c>
      <c r="R123" t="s">
        <v>40</v>
      </c>
      <c r="S123">
        <v>2</v>
      </c>
      <c r="T123" t="str" cm="1">
        <f t="array" ref="T123">_xlfn.IFS(S123&lt;=2,"Poor",S123&lt;=3,"Fair",S123&gt;=4,"Good")</f>
        <v>Poor</v>
      </c>
      <c r="U123" t="s">
        <v>48</v>
      </c>
      <c r="V123" s="1">
        <v>6146</v>
      </c>
      <c r="W123" t="str" cm="1">
        <f t="array" ref="W123">_xlfn.IFS(V123&lt;=5000,"Low Salary",V123&lt;=12000,"Good Salary",V123&gt;12000,"High Salary")</f>
        <v>Good Salary</v>
      </c>
      <c r="X123">
        <v>15480</v>
      </c>
      <c r="Y123">
        <v>0</v>
      </c>
      <c r="Z123" t="s">
        <v>42</v>
      </c>
      <c r="AA123" t="s">
        <v>35</v>
      </c>
      <c r="AB123">
        <v>13</v>
      </c>
      <c r="AC123">
        <v>3</v>
      </c>
      <c r="AD123" t="str">
        <f t="shared" si="3"/>
        <v>Low Performance</v>
      </c>
      <c r="AE123">
        <v>1</v>
      </c>
      <c r="AF123">
        <v>80</v>
      </c>
      <c r="AG123">
        <v>1</v>
      </c>
      <c r="AH123">
        <v>8</v>
      </c>
      <c r="AI123">
        <v>2</v>
      </c>
      <c r="AJ123">
        <v>4</v>
      </c>
      <c r="AK123" t="str" cm="1">
        <f t="array" ref="AK123">_xlfn.IFS(AJ123&lt;=2,"Poor",AJ123&lt;=3,"Fair",AJ123&gt;3,"Good")</f>
        <v>Good</v>
      </c>
      <c r="AL123">
        <v>7</v>
      </c>
      <c r="AM123">
        <v>7</v>
      </c>
      <c r="AN123">
        <v>0</v>
      </c>
      <c r="AO123">
        <v>7</v>
      </c>
    </row>
    <row r="124" spans="1:41" x14ac:dyDescent="0.2">
      <c r="A124">
        <v>1515486</v>
      </c>
      <c r="B124">
        <v>56</v>
      </c>
      <c r="C124" t="str" cm="1">
        <f t="array" ref="C124">_xlfn.IFS(B124&lt;=25,"15-25",B124&lt;=35,"26-35",B124&lt;=45,"36-45",B124&lt;=55,"46-55",B124&lt;=65,"56-65")</f>
        <v>56-65</v>
      </c>
      <c r="D124" t="s">
        <v>43</v>
      </c>
      <c r="E124" t="str">
        <f t="shared" si="2"/>
        <v>Former Employee</v>
      </c>
      <c r="F124" t="s">
        <v>36</v>
      </c>
      <c r="G124">
        <v>441</v>
      </c>
      <c r="H124" t="s">
        <v>45</v>
      </c>
      <c r="I124">
        <v>14</v>
      </c>
      <c r="J124">
        <v>4</v>
      </c>
      <c r="K124" t="s">
        <v>38</v>
      </c>
      <c r="L124">
        <v>1</v>
      </c>
      <c r="M124">
        <v>2</v>
      </c>
      <c r="N124" t="s">
        <v>39</v>
      </c>
      <c r="O124">
        <v>72</v>
      </c>
      <c r="P124">
        <v>3</v>
      </c>
      <c r="Q124">
        <v>1</v>
      </c>
      <c r="R124" t="s">
        <v>47</v>
      </c>
      <c r="S124">
        <v>2</v>
      </c>
      <c r="T124" t="str" cm="1">
        <f t="array" ref="T124">_xlfn.IFS(S124&lt;=2,"Poor",S124&lt;=3,"Fair",S124&gt;=4,"Good")</f>
        <v>Poor</v>
      </c>
      <c r="U124" t="s">
        <v>48</v>
      </c>
      <c r="V124" s="1">
        <v>4963</v>
      </c>
      <c r="W124" t="str" cm="1">
        <f t="array" ref="W124">_xlfn.IFS(V124&lt;=5000,"Low Salary",V124&lt;=12000,"Good Salary",V124&gt;12000,"High Salary")</f>
        <v>Low Salary</v>
      </c>
      <c r="X124">
        <v>4510</v>
      </c>
      <c r="Y124">
        <v>9</v>
      </c>
      <c r="Z124" t="s">
        <v>42</v>
      </c>
      <c r="AA124" t="s">
        <v>43</v>
      </c>
      <c r="AB124">
        <v>18</v>
      </c>
      <c r="AC124">
        <v>3</v>
      </c>
      <c r="AD124" t="str">
        <f t="shared" si="3"/>
        <v>Low Performance</v>
      </c>
      <c r="AE124">
        <v>1</v>
      </c>
      <c r="AF124">
        <v>80</v>
      </c>
      <c r="AG124">
        <v>3</v>
      </c>
      <c r="AH124">
        <v>7</v>
      </c>
      <c r="AI124">
        <v>2</v>
      </c>
      <c r="AJ124">
        <v>3</v>
      </c>
      <c r="AK124" t="str" cm="1">
        <f t="array" ref="AK124">_xlfn.IFS(AJ124&lt;=2,"Poor",AJ124&lt;=3,"Fair",AJ124&gt;3,"Good")</f>
        <v>Fair</v>
      </c>
      <c r="AL124">
        <v>5</v>
      </c>
      <c r="AM124">
        <v>4</v>
      </c>
      <c r="AN124">
        <v>4</v>
      </c>
      <c r="AO124">
        <v>3</v>
      </c>
    </row>
    <row r="125" spans="1:41" x14ac:dyDescent="0.2">
      <c r="A125">
        <v>1832980</v>
      </c>
      <c r="B125">
        <v>51</v>
      </c>
      <c r="C125" t="str" cm="1">
        <f t="array" ref="C125">_xlfn.IFS(B125&lt;=25,"15-25",B125&lt;=35,"26-35",B125&lt;=45,"36-45",B125&lt;=55,"46-55",B125&lt;=65,"56-65")</f>
        <v>46-55</v>
      </c>
      <c r="D125" t="s">
        <v>35</v>
      </c>
      <c r="E125" t="str">
        <f t="shared" si="2"/>
        <v>Current Employee</v>
      </c>
      <c r="F125" t="s">
        <v>36</v>
      </c>
      <c r="G125">
        <v>684</v>
      </c>
      <c r="H125" t="s">
        <v>54</v>
      </c>
      <c r="I125">
        <v>6</v>
      </c>
      <c r="J125">
        <v>3</v>
      </c>
      <c r="K125" t="s">
        <v>38</v>
      </c>
      <c r="L125">
        <v>1</v>
      </c>
      <c r="M125">
        <v>1</v>
      </c>
      <c r="N125" t="s">
        <v>46</v>
      </c>
      <c r="O125">
        <v>51</v>
      </c>
      <c r="P125">
        <v>3</v>
      </c>
      <c r="Q125">
        <v>5</v>
      </c>
      <c r="R125" t="s">
        <v>47</v>
      </c>
      <c r="S125">
        <v>3</v>
      </c>
      <c r="T125" t="str" cm="1">
        <f t="array" ref="T125">_xlfn.IFS(S125&lt;=2,"Poor",S125&lt;=3,"Fair",S125&gt;=4,"Good")</f>
        <v>Fair</v>
      </c>
      <c r="U125" t="s">
        <v>41</v>
      </c>
      <c r="V125" s="1">
        <v>19537</v>
      </c>
      <c r="W125" t="str" cm="1">
        <f t="array" ref="W125">_xlfn.IFS(V125&lt;=5000,"Low Salary",V125&lt;=12000,"Good Salary",V125&gt;12000,"High Salary")</f>
        <v>High Salary</v>
      </c>
      <c r="X125">
        <v>6462</v>
      </c>
      <c r="Y125">
        <v>7</v>
      </c>
      <c r="Z125" t="s">
        <v>42</v>
      </c>
      <c r="AA125" t="s">
        <v>35</v>
      </c>
      <c r="AB125">
        <v>13</v>
      </c>
      <c r="AC125">
        <v>3</v>
      </c>
      <c r="AD125" t="str">
        <f t="shared" si="3"/>
        <v>Low Performance</v>
      </c>
      <c r="AE125">
        <v>3</v>
      </c>
      <c r="AF125">
        <v>80</v>
      </c>
      <c r="AG125">
        <v>0</v>
      </c>
      <c r="AH125">
        <v>23</v>
      </c>
      <c r="AI125">
        <v>5</v>
      </c>
      <c r="AJ125">
        <v>3</v>
      </c>
      <c r="AK125" t="str" cm="1">
        <f t="array" ref="AK125">_xlfn.IFS(AJ125&lt;=2,"Poor",AJ125&lt;=3,"Fair",AJ125&gt;3,"Good")</f>
        <v>Fair</v>
      </c>
      <c r="AL125">
        <v>20</v>
      </c>
      <c r="AM125">
        <v>18</v>
      </c>
      <c r="AN125">
        <v>15</v>
      </c>
      <c r="AO125">
        <v>15</v>
      </c>
    </row>
    <row r="126" spans="1:41" x14ac:dyDescent="0.2">
      <c r="A126">
        <v>1031688</v>
      </c>
      <c r="B126">
        <v>31</v>
      </c>
      <c r="C126" t="str" cm="1">
        <f t="array" ref="C126">_xlfn.IFS(B126&lt;=25,"15-25",B126&lt;=35,"26-35",B126&lt;=45,"36-45",B126&lt;=55,"46-55",B126&lt;=65,"56-65")</f>
        <v>26-35</v>
      </c>
      <c r="D126" t="s">
        <v>43</v>
      </c>
      <c r="E126" t="str">
        <f t="shared" si="2"/>
        <v>Former Employee</v>
      </c>
      <c r="F126" t="s">
        <v>36</v>
      </c>
      <c r="G126">
        <v>249</v>
      </c>
      <c r="H126" t="s">
        <v>37</v>
      </c>
      <c r="I126">
        <v>6</v>
      </c>
      <c r="J126">
        <v>4</v>
      </c>
      <c r="K126" t="s">
        <v>38</v>
      </c>
      <c r="L126">
        <v>1</v>
      </c>
      <c r="M126">
        <v>2</v>
      </c>
      <c r="N126" t="s">
        <v>46</v>
      </c>
      <c r="O126">
        <v>76</v>
      </c>
      <c r="P126">
        <v>1</v>
      </c>
      <c r="Q126">
        <v>2</v>
      </c>
      <c r="R126" t="s">
        <v>40</v>
      </c>
      <c r="S126">
        <v>3</v>
      </c>
      <c r="T126" t="str" cm="1">
        <f t="array" ref="T126">_xlfn.IFS(S126&lt;=2,"Poor",S126&lt;=3,"Fair",S126&gt;=4,"Good")</f>
        <v>Fair</v>
      </c>
      <c r="U126" t="s">
        <v>48</v>
      </c>
      <c r="V126" s="1">
        <v>6172</v>
      </c>
      <c r="W126" t="str" cm="1">
        <f t="array" ref="W126">_xlfn.IFS(V126&lt;=5000,"Low Salary",V126&lt;=12000,"Good Salary",V126&gt;12000,"High Salary")</f>
        <v>Good Salary</v>
      </c>
      <c r="X126">
        <v>20739</v>
      </c>
      <c r="Y126">
        <v>4</v>
      </c>
      <c r="Z126" t="s">
        <v>42</v>
      </c>
      <c r="AA126" t="s">
        <v>43</v>
      </c>
      <c r="AB126">
        <v>18</v>
      </c>
      <c r="AC126">
        <v>3</v>
      </c>
      <c r="AD126" t="str">
        <f t="shared" si="3"/>
        <v>Low Performance</v>
      </c>
      <c r="AE126">
        <v>2</v>
      </c>
      <c r="AF126">
        <v>80</v>
      </c>
      <c r="AG126">
        <v>0</v>
      </c>
      <c r="AH126">
        <v>12</v>
      </c>
      <c r="AI126">
        <v>3</v>
      </c>
      <c r="AJ126">
        <v>2</v>
      </c>
      <c r="AK126" t="str" cm="1">
        <f t="array" ref="AK126">_xlfn.IFS(AJ126&lt;=2,"Poor",AJ126&lt;=3,"Fair",AJ126&gt;3,"Good")</f>
        <v>Poor</v>
      </c>
      <c r="AL126">
        <v>7</v>
      </c>
      <c r="AM126">
        <v>7</v>
      </c>
      <c r="AN126">
        <v>7</v>
      </c>
      <c r="AO126">
        <v>7</v>
      </c>
    </row>
    <row r="127" spans="1:41" x14ac:dyDescent="0.2">
      <c r="A127">
        <v>1433172</v>
      </c>
      <c r="B127">
        <v>26</v>
      </c>
      <c r="C127" t="str" cm="1">
        <f t="array" ref="C127">_xlfn.IFS(B127&lt;=25,"15-25",B127&lt;=35,"26-35",B127&lt;=45,"36-45",B127&lt;=55,"46-55",B127&lt;=65,"56-65")</f>
        <v>26-35</v>
      </c>
      <c r="D127" t="s">
        <v>35</v>
      </c>
      <c r="E127" t="str">
        <f t="shared" si="2"/>
        <v>Current Employee</v>
      </c>
      <c r="F127" t="s">
        <v>36</v>
      </c>
      <c r="G127">
        <v>841</v>
      </c>
      <c r="H127" t="s">
        <v>45</v>
      </c>
      <c r="I127">
        <v>6</v>
      </c>
      <c r="J127">
        <v>3</v>
      </c>
      <c r="K127" t="s">
        <v>47</v>
      </c>
      <c r="L127">
        <v>1</v>
      </c>
      <c r="M127">
        <v>3</v>
      </c>
      <c r="N127" t="s">
        <v>39</v>
      </c>
      <c r="O127">
        <v>46</v>
      </c>
      <c r="P127">
        <v>2</v>
      </c>
      <c r="Q127">
        <v>1</v>
      </c>
      <c r="R127" t="s">
        <v>47</v>
      </c>
      <c r="S127">
        <v>2</v>
      </c>
      <c r="T127" t="str" cm="1">
        <f t="array" ref="T127">_xlfn.IFS(S127&lt;=2,"Poor",S127&lt;=3,"Fair",S127&gt;=4,"Good")</f>
        <v>Poor</v>
      </c>
      <c r="U127" t="s">
        <v>48</v>
      </c>
      <c r="V127" s="1">
        <v>2368</v>
      </c>
      <c r="W127" t="str" cm="1">
        <f t="array" ref="W127">_xlfn.IFS(V127&lt;=5000,"Low Salary",V127&lt;=12000,"Good Salary",V127&gt;12000,"High Salary")</f>
        <v>Low Salary</v>
      </c>
      <c r="X127">
        <v>23300</v>
      </c>
      <c r="Y127">
        <v>1</v>
      </c>
      <c r="Z127" t="s">
        <v>42</v>
      </c>
      <c r="AA127" t="s">
        <v>35</v>
      </c>
      <c r="AB127">
        <v>19</v>
      </c>
      <c r="AC127">
        <v>3</v>
      </c>
      <c r="AD127" t="str">
        <f t="shared" si="3"/>
        <v>Low Performance</v>
      </c>
      <c r="AE127">
        <v>3</v>
      </c>
      <c r="AF127">
        <v>80</v>
      </c>
      <c r="AG127">
        <v>0</v>
      </c>
      <c r="AH127">
        <v>5</v>
      </c>
      <c r="AI127">
        <v>3</v>
      </c>
      <c r="AJ127">
        <v>2</v>
      </c>
      <c r="AK127" t="str" cm="1">
        <f t="array" ref="AK127">_xlfn.IFS(AJ127&lt;=2,"Poor",AJ127&lt;=3,"Fair",AJ127&gt;3,"Good")</f>
        <v>Poor</v>
      </c>
      <c r="AL127">
        <v>5</v>
      </c>
      <c r="AM127">
        <v>4</v>
      </c>
      <c r="AN127">
        <v>4</v>
      </c>
      <c r="AO127">
        <v>3</v>
      </c>
    </row>
    <row r="128" spans="1:41" x14ac:dyDescent="0.2">
      <c r="A128">
        <v>1607390</v>
      </c>
      <c r="B128">
        <v>58</v>
      </c>
      <c r="C128" t="str" cm="1">
        <f t="array" ref="C128">_xlfn.IFS(B128&lt;=25,"15-25",B128&lt;=35,"26-35",B128&lt;=45,"36-45",B128&lt;=55,"46-55",B128&lt;=65,"56-65")</f>
        <v>56-65</v>
      </c>
      <c r="D128" t="s">
        <v>35</v>
      </c>
      <c r="E128" t="str">
        <f t="shared" si="2"/>
        <v>Current Employee</v>
      </c>
      <c r="F128" t="s">
        <v>36</v>
      </c>
      <c r="G128">
        <v>147</v>
      </c>
      <c r="H128" t="s">
        <v>45</v>
      </c>
      <c r="I128">
        <v>23</v>
      </c>
      <c r="J128">
        <v>4</v>
      </c>
      <c r="K128" t="s">
        <v>49</v>
      </c>
      <c r="L128">
        <v>1</v>
      </c>
      <c r="M128">
        <v>4</v>
      </c>
      <c r="N128" t="s">
        <v>39</v>
      </c>
      <c r="O128">
        <v>94</v>
      </c>
      <c r="P128">
        <v>3</v>
      </c>
      <c r="Q128">
        <v>3</v>
      </c>
      <c r="R128" t="s">
        <v>40</v>
      </c>
      <c r="S128">
        <v>4</v>
      </c>
      <c r="T128" t="str" cm="1">
        <f t="array" ref="T128">_xlfn.IFS(S128&lt;=2,"Poor",S128&lt;=3,"Fair",S128&gt;=4,"Good")</f>
        <v>Good</v>
      </c>
      <c r="U128" t="s">
        <v>48</v>
      </c>
      <c r="V128" s="1">
        <v>10312</v>
      </c>
      <c r="W128" t="str" cm="1">
        <f t="array" ref="W128">_xlfn.IFS(V128&lt;=5000,"Low Salary",V128&lt;=12000,"Good Salary",V128&gt;12000,"High Salary")</f>
        <v>Good Salary</v>
      </c>
      <c r="X128">
        <v>3465</v>
      </c>
      <c r="Y128">
        <v>1</v>
      </c>
      <c r="Z128" t="s">
        <v>42</v>
      </c>
      <c r="AA128" t="s">
        <v>35</v>
      </c>
      <c r="AB128">
        <v>12</v>
      </c>
      <c r="AC128">
        <v>3</v>
      </c>
      <c r="AD128" t="str">
        <f t="shared" si="3"/>
        <v>Low Performance</v>
      </c>
      <c r="AE128">
        <v>4</v>
      </c>
      <c r="AF128">
        <v>80</v>
      </c>
      <c r="AG128">
        <v>1</v>
      </c>
      <c r="AH128">
        <v>40</v>
      </c>
      <c r="AI128">
        <v>3</v>
      </c>
      <c r="AJ128">
        <v>2</v>
      </c>
      <c r="AK128" t="str" cm="1">
        <f t="array" ref="AK128">_xlfn.IFS(AJ128&lt;=2,"Poor",AJ128&lt;=3,"Fair",AJ128&gt;3,"Good")</f>
        <v>Poor</v>
      </c>
      <c r="AL128">
        <v>40</v>
      </c>
      <c r="AM128">
        <v>10</v>
      </c>
      <c r="AN128">
        <v>15</v>
      </c>
      <c r="AO128">
        <v>6</v>
      </c>
    </row>
    <row r="129" spans="1:41" x14ac:dyDescent="0.2">
      <c r="A129">
        <v>1842764</v>
      </c>
      <c r="B129">
        <v>19</v>
      </c>
      <c r="C129" t="str" cm="1">
        <f t="array" ref="C129">_xlfn.IFS(B129&lt;=25,"15-25",B129&lt;=35,"26-35",B129&lt;=45,"36-45",B129&lt;=55,"46-55",B129&lt;=65,"56-65")</f>
        <v>15-25</v>
      </c>
      <c r="D129" t="s">
        <v>43</v>
      </c>
      <c r="E129" t="str">
        <f t="shared" si="2"/>
        <v>Former Employee</v>
      </c>
      <c r="F129" t="s">
        <v>36</v>
      </c>
      <c r="G129">
        <v>528</v>
      </c>
      <c r="H129" t="s">
        <v>37</v>
      </c>
      <c r="I129">
        <v>22</v>
      </c>
      <c r="J129">
        <v>1</v>
      </c>
      <c r="K129" t="s">
        <v>55</v>
      </c>
      <c r="L129">
        <v>1</v>
      </c>
      <c r="M129">
        <v>4</v>
      </c>
      <c r="N129" t="s">
        <v>46</v>
      </c>
      <c r="O129">
        <v>50</v>
      </c>
      <c r="P129">
        <v>3</v>
      </c>
      <c r="Q129">
        <v>1</v>
      </c>
      <c r="R129" t="s">
        <v>47</v>
      </c>
      <c r="S129">
        <v>3</v>
      </c>
      <c r="T129" t="str" cm="1">
        <f t="array" ref="T129">_xlfn.IFS(S129&lt;=2,"Poor",S129&lt;=3,"Fair",S129&gt;=4,"Good")</f>
        <v>Fair</v>
      </c>
      <c r="U129" t="s">
        <v>41</v>
      </c>
      <c r="V129" s="1">
        <v>1675</v>
      </c>
      <c r="W129" t="str" cm="1">
        <f t="array" ref="W129">_xlfn.IFS(V129&lt;=5000,"Low Salary",V129&lt;=12000,"Good Salary",V129&gt;12000,"High Salary")</f>
        <v>Low Salary</v>
      </c>
      <c r="X129">
        <v>26820</v>
      </c>
      <c r="Y129">
        <v>1</v>
      </c>
      <c r="Z129" t="s">
        <v>42</v>
      </c>
      <c r="AA129" t="s">
        <v>43</v>
      </c>
      <c r="AB129">
        <v>19</v>
      </c>
      <c r="AC129">
        <v>3</v>
      </c>
      <c r="AD129" t="str">
        <f t="shared" si="3"/>
        <v>Low Performance</v>
      </c>
      <c r="AE129">
        <v>4</v>
      </c>
      <c r="AF129">
        <v>80</v>
      </c>
      <c r="AG129">
        <v>0</v>
      </c>
      <c r="AH129">
        <v>0</v>
      </c>
      <c r="AI129">
        <v>2</v>
      </c>
      <c r="AJ129">
        <v>2</v>
      </c>
      <c r="AK129" t="str" cm="1">
        <f t="array" ref="AK129">_xlfn.IFS(AJ129&lt;=2,"Poor",AJ129&lt;=3,"Fair",AJ129&gt;3,"Good")</f>
        <v>Poor</v>
      </c>
      <c r="AL129">
        <v>0</v>
      </c>
      <c r="AM129">
        <v>0</v>
      </c>
      <c r="AN129">
        <v>0</v>
      </c>
      <c r="AO129">
        <v>0</v>
      </c>
    </row>
    <row r="130" spans="1:41" x14ac:dyDescent="0.2">
      <c r="A130">
        <v>1176986</v>
      </c>
      <c r="B130">
        <v>22</v>
      </c>
      <c r="C130" t="str" cm="1">
        <f t="array" ref="C130">_xlfn.IFS(B130&lt;=25,"15-25",B130&lt;=35,"26-35",B130&lt;=45,"36-45",B130&lt;=55,"46-55",B130&lt;=65,"56-65")</f>
        <v>15-25</v>
      </c>
      <c r="D130" t="s">
        <v>35</v>
      </c>
      <c r="E130" t="str">
        <f t="shared" si="2"/>
        <v>Current Employee</v>
      </c>
      <c r="F130" t="s">
        <v>36</v>
      </c>
      <c r="G130">
        <v>594</v>
      </c>
      <c r="H130" t="s">
        <v>45</v>
      </c>
      <c r="I130">
        <v>2</v>
      </c>
      <c r="J130">
        <v>1</v>
      </c>
      <c r="K130" t="s">
        <v>56</v>
      </c>
      <c r="L130">
        <v>1</v>
      </c>
      <c r="M130">
        <v>3</v>
      </c>
      <c r="N130" t="s">
        <v>46</v>
      </c>
      <c r="O130">
        <v>100</v>
      </c>
      <c r="P130">
        <v>3</v>
      </c>
      <c r="Q130">
        <v>1</v>
      </c>
      <c r="R130" t="s">
        <v>40</v>
      </c>
      <c r="S130">
        <v>4</v>
      </c>
      <c r="T130" t="str" cm="1">
        <f t="array" ref="T130">_xlfn.IFS(S130&lt;=2,"Poor",S130&lt;=3,"Fair",S130&gt;=4,"Good")</f>
        <v>Good</v>
      </c>
      <c r="U130" t="s">
        <v>48</v>
      </c>
      <c r="V130" s="1">
        <v>2523</v>
      </c>
      <c r="W130" t="str" cm="1">
        <f t="array" ref="W130">_xlfn.IFS(V130&lt;=5000,"Low Salary",V130&lt;=12000,"Good Salary",V130&gt;12000,"High Salary")</f>
        <v>Low Salary</v>
      </c>
      <c r="X130">
        <v>19299</v>
      </c>
      <c r="Y130">
        <v>0</v>
      </c>
      <c r="Z130" t="s">
        <v>42</v>
      </c>
      <c r="AA130" t="s">
        <v>35</v>
      </c>
      <c r="AB130">
        <v>14</v>
      </c>
      <c r="AC130">
        <v>3</v>
      </c>
      <c r="AD130" t="str">
        <f t="shared" si="3"/>
        <v>Low Performance</v>
      </c>
      <c r="AE130">
        <v>3</v>
      </c>
      <c r="AF130">
        <v>80</v>
      </c>
      <c r="AG130">
        <v>1</v>
      </c>
      <c r="AH130">
        <v>3</v>
      </c>
      <c r="AI130">
        <v>2</v>
      </c>
      <c r="AJ130">
        <v>3</v>
      </c>
      <c r="AK130" t="str" cm="1">
        <f t="array" ref="AK130">_xlfn.IFS(AJ130&lt;=2,"Poor",AJ130&lt;=3,"Fair",AJ130&gt;3,"Good")</f>
        <v>Fair</v>
      </c>
      <c r="AL130">
        <v>2</v>
      </c>
      <c r="AM130">
        <v>1</v>
      </c>
      <c r="AN130">
        <v>2</v>
      </c>
      <c r="AO130">
        <v>1</v>
      </c>
    </row>
    <row r="131" spans="1:41" x14ac:dyDescent="0.2">
      <c r="A131">
        <v>1835832</v>
      </c>
      <c r="B131">
        <v>49</v>
      </c>
      <c r="C131" t="str" cm="1">
        <f t="array" ref="C131">_xlfn.IFS(B131&lt;=25,"15-25",B131&lt;=35,"26-35",B131&lt;=45,"36-45",B131&lt;=55,"46-55",B131&lt;=65,"56-65")</f>
        <v>46-55</v>
      </c>
      <c r="D131" t="s">
        <v>35</v>
      </c>
      <c r="E131" t="str">
        <f t="shared" ref="E131:E194" si="4">IF(D131="No","Current Employee","Former Employee")</f>
        <v>Current Employee</v>
      </c>
      <c r="F131" t="s">
        <v>36</v>
      </c>
      <c r="G131">
        <v>470</v>
      </c>
      <c r="H131" t="s">
        <v>45</v>
      </c>
      <c r="I131">
        <v>20</v>
      </c>
      <c r="J131">
        <v>4</v>
      </c>
      <c r="K131" t="s">
        <v>49</v>
      </c>
      <c r="L131">
        <v>1</v>
      </c>
      <c r="M131">
        <v>3</v>
      </c>
      <c r="N131" t="s">
        <v>39</v>
      </c>
      <c r="O131">
        <v>96</v>
      </c>
      <c r="P131">
        <v>3</v>
      </c>
      <c r="Q131">
        <v>2</v>
      </c>
      <c r="R131" t="s">
        <v>51</v>
      </c>
      <c r="S131">
        <v>1</v>
      </c>
      <c r="T131" t="str" cm="1">
        <f t="array" ref="T131">_xlfn.IFS(S131&lt;=2,"Poor",S131&lt;=3,"Fair",S131&gt;=4,"Good")</f>
        <v>Poor</v>
      </c>
      <c r="U131" t="s">
        <v>48</v>
      </c>
      <c r="V131" s="1">
        <v>6567</v>
      </c>
      <c r="W131" t="str" cm="1">
        <f t="array" ref="W131">_xlfn.IFS(V131&lt;=5000,"Low Salary",V131&lt;=12000,"Good Salary",V131&gt;12000,"High Salary")</f>
        <v>Good Salary</v>
      </c>
      <c r="X131">
        <v>5549</v>
      </c>
      <c r="Y131">
        <v>1</v>
      </c>
      <c r="Z131" t="s">
        <v>42</v>
      </c>
      <c r="AA131" t="s">
        <v>35</v>
      </c>
      <c r="AB131">
        <v>14</v>
      </c>
      <c r="AC131">
        <v>3</v>
      </c>
      <c r="AD131" t="str">
        <f t="shared" ref="AD131:AD194" si="5">IF(AC131&lt;=3,"Low Performance","High Performance")</f>
        <v>Low Performance</v>
      </c>
      <c r="AE131">
        <v>3</v>
      </c>
      <c r="AF131">
        <v>80</v>
      </c>
      <c r="AG131">
        <v>0</v>
      </c>
      <c r="AH131">
        <v>16</v>
      </c>
      <c r="AI131">
        <v>2</v>
      </c>
      <c r="AJ131">
        <v>2</v>
      </c>
      <c r="AK131" t="str" cm="1">
        <f t="array" ref="AK131">_xlfn.IFS(AJ131&lt;=2,"Poor",AJ131&lt;=3,"Fair",AJ131&gt;3,"Good")</f>
        <v>Poor</v>
      </c>
      <c r="AL131">
        <v>15</v>
      </c>
      <c r="AM131">
        <v>11</v>
      </c>
      <c r="AN131">
        <v>5</v>
      </c>
      <c r="AO131">
        <v>11</v>
      </c>
    </row>
    <row r="132" spans="1:41" x14ac:dyDescent="0.2">
      <c r="A132">
        <v>1450885</v>
      </c>
      <c r="B132">
        <v>43</v>
      </c>
      <c r="C132" t="str" cm="1">
        <f t="array" ref="C132">_xlfn.IFS(B132&lt;=25,"15-25",B132&lt;=35,"26-35",B132&lt;=45,"36-45",B132&lt;=55,"46-55",B132&lt;=65,"56-65")</f>
        <v>36-45</v>
      </c>
      <c r="D132" t="s">
        <v>35</v>
      </c>
      <c r="E132" t="str">
        <f t="shared" si="4"/>
        <v>Current Employee</v>
      </c>
      <c r="F132" t="s">
        <v>44</v>
      </c>
      <c r="G132">
        <v>957</v>
      </c>
      <c r="H132" t="s">
        <v>45</v>
      </c>
      <c r="I132">
        <v>28</v>
      </c>
      <c r="J132">
        <v>3</v>
      </c>
      <c r="K132" t="s">
        <v>49</v>
      </c>
      <c r="L132">
        <v>1</v>
      </c>
      <c r="M132">
        <v>2</v>
      </c>
      <c r="N132" t="s">
        <v>39</v>
      </c>
      <c r="O132">
        <v>72</v>
      </c>
      <c r="P132">
        <v>4</v>
      </c>
      <c r="Q132">
        <v>1</v>
      </c>
      <c r="R132" t="s">
        <v>47</v>
      </c>
      <c r="S132">
        <v>3</v>
      </c>
      <c r="T132" t="str" cm="1">
        <f t="array" ref="T132">_xlfn.IFS(S132&lt;=2,"Poor",S132&lt;=3,"Fair",S132&gt;=4,"Good")</f>
        <v>Fair</v>
      </c>
      <c r="U132" t="s">
        <v>41</v>
      </c>
      <c r="V132" s="1">
        <v>4739</v>
      </c>
      <c r="W132" t="str" cm="1">
        <f t="array" ref="W132">_xlfn.IFS(V132&lt;=5000,"Low Salary",V132&lt;=12000,"Good Salary",V132&gt;12000,"High Salary")</f>
        <v>Low Salary</v>
      </c>
      <c r="X132">
        <v>16090</v>
      </c>
      <c r="Y132">
        <v>4</v>
      </c>
      <c r="Z132" t="s">
        <v>42</v>
      </c>
      <c r="AA132" t="s">
        <v>35</v>
      </c>
      <c r="AB132">
        <v>12</v>
      </c>
      <c r="AC132">
        <v>3</v>
      </c>
      <c r="AD132" t="str">
        <f t="shared" si="5"/>
        <v>Low Performance</v>
      </c>
      <c r="AE132">
        <v>4</v>
      </c>
      <c r="AF132">
        <v>80</v>
      </c>
      <c r="AG132">
        <v>0</v>
      </c>
      <c r="AH132">
        <v>18</v>
      </c>
      <c r="AI132">
        <v>2</v>
      </c>
      <c r="AJ132">
        <v>3</v>
      </c>
      <c r="AK132" t="str" cm="1">
        <f t="array" ref="AK132">_xlfn.IFS(AJ132&lt;=2,"Poor",AJ132&lt;=3,"Fair",AJ132&gt;3,"Good")</f>
        <v>Fair</v>
      </c>
      <c r="AL132">
        <v>3</v>
      </c>
      <c r="AM132">
        <v>2</v>
      </c>
      <c r="AN132">
        <v>1</v>
      </c>
      <c r="AO132">
        <v>2</v>
      </c>
    </row>
    <row r="133" spans="1:41" x14ac:dyDescent="0.2">
      <c r="A133">
        <v>1810635</v>
      </c>
      <c r="B133">
        <v>50</v>
      </c>
      <c r="C133" t="str" cm="1">
        <f t="array" ref="C133">_xlfn.IFS(B133&lt;=25,"15-25",B133&lt;=35,"26-35",B133&lt;=45,"36-45",B133&lt;=55,"46-55",B133&lt;=65,"56-65")</f>
        <v>46-55</v>
      </c>
      <c r="D133" t="s">
        <v>35</v>
      </c>
      <c r="E133" t="str">
        <f t="shared" si="4"/>
        <v>Current Employee</v>
      </c>
      <c r="F133" t="s">
        <v>44</v>
      </c>
      <c r="G133">
        <v>809</v>
      </c>
      <c r="H133" t="s">
        <v>37</v>
      </c>
      <c r="I133">
        <v>12</v>
      </c>
      <c r="J133">
        <v>3</v>
      </c>
      <c r="K133" t="s">
        <v>55</v>
      </c>
      <c r="L133">
        <v>1</v>
      </c>
      <c r="M133">
        <v>3</v>
      </c>
      <c r="N133" t="s">
        <v>39</v>
      </c>
      <c r="O133">
        <v>77</v>
      </c>
      <c r="P133">
        <v>3</v>
      </c>
      <c r="Q133">
        <v>3</v>
      </c>
      <c r="R133" t="s">
        <v>40</v>
      </c>
      <c r="S133">
        <v>4</v>
      </c>
      <c r="T133" t="str" cm="1">
        <f t="array" ref="T133">_xlfn.IFS(S133&lt;=2,"Poor",S133&lt;=3,"Fair",S133&gt;=4,"Good")</f>
        <v>Good</v>
      </c>
      <c r="U133" t="s">
        <v>41</v>
      </c>
      <c r="V133" s="1">
        <v>9208</v>
      </c>
      <c r="W133" t="str" cm="1">
        <f t="array" ref="W133">_xlfn.IFS(V133&lt;=5000,"Low Salary",V133&lt;=12000,"Good Salary",V133&gt;12000,"High Salary")</f>
        <v>Good Salary</v>
      </c>
      <c r="X133">
        <v>6645</v>
      </c>
      <c r="Y133">
        <v>4</v>
      </c>
      <c r="Z133" t="s">
        <v>42</v>
      </c>
      <c r="AA133" t="s">
        <v>35</v>
      </c>
      <c r="AB133">
        <v>11</v>
      </c>
      <c r="AC133">
        <v>3</v>
      </c>
      <c r="AD133" t="str">
        <f t="shared" si="5"/>
        <v>Low Performance</v>
      </c>
      <c r="AE133">
        <v>4</v>
      </c>
      <c r="AF133">
        <v>80</v>
      </c>
      <c r="AG133">
        <v>0</v>
      </c>
      <c r="AH133">
        <v>16</v>
      </c>
      <c r="AI133">
        <v>3</v>
      </c>
      <c r="AJ133">
        <v>3</v>
      </c>
      <c r="AK133" t="str" cm="1">
        <f t="array" ref="AK133">_xlfn.IFS(AJ133&lt;=2,"Poor",AJ133&lt;=3,"Fair",AJ133&gt;3,"Good")</f>
        <v>Fair</v>
      </c>
      <c r="AL133">
        <v>2</v>
      </c>
      <c r="AM133">
        <v>2</v>
      </c>
      <c r="AN133">
        <v>2</v>
      </c>
      <c r="AO133">
        <v>1</v>
      </c>
    </row>
    <row r="134" spans="1:41" x14ac:dyDescent="0.2">
      <c r="A134">
        <v>1810242</v>
      </c>
      <c r="B134">
        <v>31</v>
      </c>
      <c r="C134" t="str" cm="1">
        <f t="array" ref="C134">_xlfn.IFS(B134&lt;=25,"15-25",B134&lt;=35,"26-35",B134&lt;=45,"36-45",B134&lt;=55,"46-55",B134&lt;=65,"56-65")</f>
        <v>26-35</v>
      </c>
      <c r="D134" t="s">
        <v>43</v>
      </c>
      <c r="E134" t="str">
        <f t="shared" si="4"/>
        <v>Former Employee</v>
      </c>
      <c r="F134" t="s">
        <v>36</v>
      </c>
      <c r="G134">
        <v>542</v>
      </c>
      <c r="H134" t="s">
        <v>37</v>
      </c>
      <c r="I134">
        <v>20</v>
      </c>
      <c r="J134">
        <v>3</v>
      </c>
      <c r="K134" t="s">
        <v>38</v>
      </c>
      <c r="L134">
        <v>1</v>
      </c>
      <c r="M134">
        <v>2</v>
      </c>
      <c r="N134" t="s">
        <v>39</v>
      </c>
      <c r="O134">
        <v>71</v>
      </c>
      <c r="P134">
        <v>1</v>
      </c>
      <c r="Q134">
        <v>2</v>
      </c>
      <c r="R134" t="s">
        <v>40</v>
      </c>
      <c r="S134">
        <v>3</v>
      </c>
      <c r="T134" t="str" cm="1">
        <f t="array" ref="T134">_xlfn.IFS(S134&lt;=2,"Poor",S134&lt;=3,"Fair",S134&gt;=4,"Good")</f>
        <v>Fair</v>
      </c>
      <c r="U134" t="s">
        <v>48</v>
      </c>
      <c r="V134" s="1">
        <v>4559</v>
      </c>
      <c r="W134" t="str" cm="1">
        <f t="array" ref="W134">_xlfn.IFS(V134&lt;=5000,"Low Salary",V134&lt;=12000,"Good Salary",V134&gt;12000,"High Salary")</f>
        <v>Low Salary</v>
      </c>
      <c r="X134">
        <v>24788</v>
      </c>
      <c r="Y134">
        <v>3</v>
      </c>
      <c r="Z134" t="s">
        <v>42</v>
      </c>
      <c r="AA134" t="s">
        <v>43</v>
      </c>
      <c r="AB134">
        <v>11</v>
      </c>
      <c r="AC134">
        <v>3</v>
      </c>
      <c r="AD134" t="str">
        <f t="shared" si="5"/>
        <v>Low Performance</v>
      </c>
      <c r="AE134">
        <v>3</v>
      </c>
      <c r="AF134">
        <v>80</v>
      </c>
      <c r="AG134">
        <v>1</v>
      </c>
      <c r="AH134">
        <v>4</v>
      </c>
      <c r="AI134">
        <v>2</v>
      </c>
      <c r="AJ134">
        <v>3</v>
      </c>
      <c r="AK134" t="str" cm="1">
        <f t="array" ref="AK134">_xlfn.IFS(AJ134&lt;=2,"Poor",AJ134&lt;=3,"Fair",AJ134&gt;3,"Good")</f>
        <v>Fair</v>
      </c>
      <c r="AL134">
        <v>2</v>
      </c>
      <c r="AM134">
        <v>2</v>
      </c>
      <c r="AN134">
        <v>2</v>
      </c>
      <c r="AO134">
        <v>2</v>
      </c>
    </row>
    <row r="135" spans="1:41" x14ac:dyDescent="0.2">
      <c r="A135">
        <v>1148129</v>
      </c>
      <c r="B135">
        <v>41</v>
      </c>
      <c r="C135" t="str" cm="1">
        <f t="array" ref="C135">_xlfn.IFS(B135&lt;=25,"15-25",B135&lt;=35,"26-35",B135&lt;=45,"36-45",B135&lt;=55,"46-55",B135&lt;=65,"56-65")</f>
        <v>36-45</v>
      </c>
      <c r="D135" t="s">
        <v>35</v>
      </c>
      <c r="E135" t="str">
        <f t="shared" si="4"/>
        <v>Current Employee</v>
      </c>
      <c r="F135" t="s">
        <v>36</v>
      </c>
      <c r="G135">
        <v>802</v>
      </c>
      <c r="H135" t="s">
        <v>37</v>
      </c>
      <c r="I135">
        <v>9</v>
      </c>
      <c r="J135">
        <v>1</v>
      </c>
      <c r="K135" t="s">
        <v>38</v>
      </c>
      <c r="L135">
        <v>1</v>
      </c>
      <c r="M135">
        <v>3</v>
      </c>
      <c r="N135" t="s">
        <v>46</v>
      </c>
      <c r="O135">
        <v>96</v>
      </c>
      <c r="P135">
        <v>3</v>
      </c>
      <c r="Q135">
        <v>3</v>
      </c>
      <c r="R135" t="s">
        <v>40</v>
      </c>
      <c r="S135">
        <v>3</v>
      </c>
      <c r="T135" t="str" cm="1">
        <f t="array" ref="T135">_xlfn.IFS(S135&lt;=2,"Poor",S135&lt;=3,"Fair",S135&gt;=4,"Good")</f>
        <v>Fair</v>
      </c>
      <c r="U135" t="s">
        <v>50</v>
      </c>
      <c r="V135" s="1">
        <v>8189</v>
      </c>
      <c r="W135" t="str" cm="1">
        <f t="array" ref="W135">_xlfn.IFS(V135&lt;=5000,"Low Salary",V135&lt;=12000,"Good Salary",V135&gt;12000,"High Salary")</f>
        <v>Good Salary</v>
      </c>
      <c r="X135">
        <v>21196</v>
      </c>
      <c r="Y135">
        <v>3</v>
      </c>
      <c r="Z135" t="s">
        <v>42</v>
      </c>
      <c r="AA135" t="s">
        <v>43</v>
      </c>
      <c r="AB135">
        <v>13</v>
      </c>
      <c r="AC135">
        <v>3</v>
      </c>
      <c r="AD135" t="str">
        <f t="shared" si="5"/>
        <v>Low Performance</v>
      </c>
      <c r="AE135">
        <v>3</v>
      </c>
      <c r="AF135">
        <v>80</v>
      </c>
      <c r="AG135">
        <v>1</v>
      </c>
      <c r="AH135">
        <v>12</v>
      </c>
      <c r="AI135">
        <v>2</v>
      </c>
      <c r="AJ135">
        <v>3</v>
      </c>
      <c r="AK135" t="str" cm="1">
        <f t="array" ref="AK135">_xlfn.IFS(AJ135&lt;=2,"Poor",AJ135&lt;=3,"Fair",AJ135&gt;3,"Good")</f>
        <v>Fair</v>
      </c>
      <c r="AL135">
        <v>9</v>
      </c>
      <c r="AM135">
        <v>7</v>
      </c>
      <c r="AN135">
        <v>0</v>
      </c>
      <c r="AO135">
        <v>7</v>
      </c>
    </row>
    <row r="136" spans="1:41" x14ac:dyDescent="0.2">
      <c r="A136">
        <v>1085450</v>
      </c>
      <c r="B136">
        <v>26</v>
      </c>
      <c r="C136" t="str" cm="1">
        <f t="array" ref="C136">_xlfn.IFS(B136&lt;=25,"15-25",B136&lt;=35,"26-35",B136&lt;=45,"36-45",B136&lt;=55,"46-55",B136&lt;=65,"56-65")</f>
        <v>26-35</v>
      </c>
      <c r="D136" t="s">
        <v>35</v>
      </c>
      <c r="E136" t="str">
        <f t="shared" si="4"/>
        <v>Current Employee</v>
      </c>
      <c r="F136" t="s">
        <v>36</v>
      </c>
      <c r="G136">
        <v>1355</v>
      </c>
      <c r="H136" t="s">
        <v>54</v>
      </c>
      <c r="I136">
        <v>25</v>
      </c>
      <c r="J136">
        <v>1</v>
      </c>
      <c r="K136" t="s">
        <v>38</v>
      </c>
      <c r="L136">
        <v>1</v>
      </c>
      <c r="M136">
        <v>3</v>
      </c>
      <c r="N136" t="s">
        <v>39</v>
      </c>
      <c r="O136">
        <v>61</v>
      </c>
      <c r="P136">
        <v>3</v>
      </c>
      <c r="Q136">
        <v>1</v>
      </c>
      <c r="R136" t="s">
        <v>47</v>
      </c>
      <c r="S136">
        <v>3</v>
      </c>
      <c r="T136" t="str" cm="1">
        <f t="array" ref="T136">_xlfn.IFS(S136&lt;=2,"Poor",S136&lt;=3,"Fair",S136&gt;=4,"Good")</f>
        <v>Fair</v>
      </c>
      <c r="U136" t="s">
        <v>48</v>
      </c>
      <c r="V136" s="1">
        <v>2942</v>
      </c>
      <c r="W136" t="str" cm="1">
        <f t="array" ref="W136">_xlfn.IFS(V136&lt;=5000,"Low Salary",V136&lt;=12000,"Good Salary",V136&gt;12000,"High Salary")</f>
        <v>Low Salary</v>
      </c>
      <c r="X136">
        <v>8916</v>
      </c>
      <c r="Y136">
        <v>1</v>
      </c>
      <c r="Z136" t="s">
        <v>42</v>
      </c>
      <c r="AA136" t="s">
        <v>35</v>
      </c>
      <c r="AB136">
        <v>23</v>
      </c>
      <c r="AC136">
        <v>4</v>
      </c>
      <c r="AD136" t="str">
        <f t="shared" si="5"/>
        <v>High Performance</v>
      </c>
      <c r="AE136">
        <v>4</v>
      </c>
      <c r="AF136">
        <v>80</v>
      </c>
      <c r="AG136">
        <v>1</v>
      </c>
      <c r="AH136">
        <v>8</v>
      </c>
      <c r="AI136">
        <v>3</v>
      </c>
      <c r="AJ136">
        <v>3</v>
      </c>
      <c r="AK136" t="str" cm="1">
        <f t="array" ref="AK136">_xlfn.IFS(AJ136&lt;=2,"Poor",AJ136&lt;=3,"Fair",AJ136&gt;3,"Good")</f>
        <v>Fair</v>
      </c>
      <c r="AL136">
        <v>8</v>
      </c>
      <c r="AM136">
        <v>7</v>
      </c>
      <c r="AN136">
        <v>5</v>
      </c>
      <c r="AO136">
        <v>7</v>
      </c>
    </row>
    <row r="137" spans="1:41" x14ac:dyDescent="0.2">
      <c r="A137">
        <v>1699939</v>
      </c>
      <c r="B137">
        <v>36</v>
      </c>
      <c r="C137" t="str" cm="1">
        <f t="array" ref="C137">_xlfn.IFS(B137&lt;=25,"15-25",B137&lt;=35,"26-35",B137&lt;=45,"36-45",B137&lt;=55,"46-55",B137&lt;=65,"56-65")</f>
        <v>36-45</v>
      </c>
      <c r="D137" t="s">
        <v>35</v>
      </c>
      <c r="E137" t="str">
        <f t="shared" si="4"/>
        <v>Current Employee</v>
      </c>
      <c r="F137" t="s">
        <v>36</v>
      </c>
      <c r="G137">
        <v>216</v>
      </c>
      <c r="H137" t="s">
        <v>54</v>
      </c>
      <c r="I137">
        <v>6</v>
      </c>
      <c r="J137">
        <v>2</v>
      </c>
      <c r="K137" t="s">
        <v>49</v>
      </c>
      <c r="L137">
        <v>1</v>
      </c>
      <c r="M137">
        <v>2</v>
      </c>
      <c r="N137" t="s">
        <v>46</v>
      </c>
      <c r="O137">
        <v>84</v>
      </c>
      <c r="P137">
        <v>3</v>
      </c>
      <c r="Q137">
        <v>2</v>
      </c>
      <c r="R137" t="s">
        <v>51</v>
      </c>
      <c r="S137">
        <v>2</v>
      </c>
      <c r="T137" t="str" cm="1">
        <f t="array" ref="T137">_xlfn.IFS(S137&lt;=2,"Poor",S137&lt;=3,"Fair",S137&gt;=4,"Good")</f>
        <v>Poor</v>
      </c>
      <c r="U137" t="s">
        <v>50</v>
      </c>
      <c r="V137" s="1">
        <v>4941</v>
      </c>
      <c r="W137" t="str" cm="1">
        <f t="array" ref="W137">_xlfn.IFS(V137&lt;=5000,"Low Salary",V137&lt;=12000,"Good Salary",V137&gt;12000,"High Salary")</f>
        <v>Low Salary</v>
      </c>
      <c r="X137">
        <v>2819</v>
      </c>
      <c r="Y137">
        <v>6</v>
      </c>
      <c r="Z137" t="s">
        <v>42</v>
      </c>
      <c r="AA137" t="s">
        <v>35</v>
      </c>
      <c r="AB137">
        <v>20</v>
      </c>
      <c r="AC137">
        <v>4</v>
      </c>
      <c r="AD137" t="str">
        <f t="shared" si="5"/>
        <v>High Performance</v>
      </c>
      <c r="AE137">
        <v>4</v>
      </c>
      <c r="AF137">
        <v>80</v>
      </c>
      <c r="AG137">
        <v>2</v>
      </c>
      <c r="AH137">
        <v>7</v>
      </c>
      <c r="AI137">
        <v>0</v>
      </c>
      <c r="AJ137">
        <v>3</v>
      </c>
      <c r="AK137" t="str" cm="1">
        <f t="array" ref="AK137">_xlfn.IFS(AJ137&lt;=2,"Poor",AJ137&lt;=3,"Fair",AJ137&gt;3,"Good")</f>
        <v>Fair</v>
      </c>
      <c r="AL137">
        <v>3</v>
      </c>
      <c r="AM137">
        <v>2</v>
      </c>
      <c r="AN137">
        <v>0</v>
      </c>
      <c r="AO137">
        <v>1</v>
      </c>
    </row>
    <row r="138" spans="1:41" x14ac:dyDescent="0.2">
      <c r="A138">
        <v>1612623</v>
      </c>
      <c r="B138">
        <v>51</v>
      </c>
      <c r="C138" t="str" cm="1">
        <f t="array" ref="C138">_xlfn.IFS(B138&lt;=25,"15-25",B138&lt;=35,"26-35",B138&lt;=45,"36-45",B138&lt;=55,"46-55",B138&lt;=65,"56-65")</f>
        <v>46-55</v>
      </c>
      <c r="D138" t="s">
        <v>43</v>
      </c>
      <c r="E138" t="str">
        <f t="shared" si="4"/>
        <v>Former Employee</v>
      </c>
      <c r="F138" t="s">
        <v>44</v>
      </c>
      <c r="G138">
        <v>1150</v>
      </c>
      <c r="H138" t="s">
        <v>37</v>
      </c>
      <c r="I138">
        <v>8</v>
      </c>
      <c r="J138">
        <v>4</v>
      </c>
      <c r="K138" t="s">
        <v>38</v>
      </c>
      <c r="L138">
        <v>1</v>
      </c>
      <c r="M138">
        <v>1</v>
      </c>
      <c r="N138" t="s">
        <v>46</v>
      </c>
      <c r="O138">
        <v>53</v>
      </c>
      <c r="P138">
        <v>1</v>
      </c>
      <c r="Q138">
        <v>3</v>
      </c>
      <c r="R138" t="s">
        <v>51</v>
      </c>
      <c r="S138">
        <v>4</v>
      </c>
      <c r="T138" t="str" cm="1">
        <f t="array" ref="T138">_xlfn.IFS(S138&lt;=2,"Poor",S138&lt;=3,"Fair",S138&gt;=4,"Good")</f>
        <v>Good</v>
      </c>
      <c r="U138" t="s">
        <v>41</v>
      </c>
      <c r="V138" s="1">
        <v>10650</v>
      </c>
      <c r="W138" t="str" cm="1">
        <f t="array" ref="W138">_xlfn.IFS(V138&lt;=5000,"Low Salary",V138&lt;=12000,"Good Salary",V138&gt;12000,"High Salary")</f>
        <v>Good Salary</v>
      </c>
      <c r="X138">
        <v>25150</v>
      </c>
      <c r="Y138">
        <v>2</v>
      </c>
      <c r="Z138" t="s">
        <v>42</v>
      </c>
      <c r="AA138" t="s">
        <v>35</v>
      </c>
      <c r="AB138">
        <v>15</v>
      </c>
      <c r="AC138">
        <v>3</v>
      </c>
      <c r="AD138" t="str">
        <f t="shared" si="5"/>
        <v>Low Performance</v>
      </c>
      <c r="AE138">
        <v>4</v>
      </c>
      <c r="AF138">
        <v>80</v>
      </c>
      <c r="AG138">
        <v>0</v>
      </c>
      <c r="AH138">
        <v>18</v>
      </c>
      <c r="AI138">
        <v>2</v>
      </c>
      <c r="AJ138">
        <v>3</v>
      </c>
      <c r="AK138" t="str" cm="1">
        <f t="array" ref="AK138">_xlfn.IFS(AJ138&lt;=2,"Poor",AJ138&lt;=3,"Fair",AJ138&gt;3,"Good")</f>
        <v>Fair</v>
      </c>
      <c r="AL138">
        <v>4</v>
      </c>
      <c r="AM138">
        <v>2</v>
      </c>
      <c r="AN138">
        <v>0</v>
      </c>
      <c r="AO138">
        <v>3</v>
      </c>
    </row>
    <row r="139" spans="1:41" x14ac:dyDescent="0.2">
      <c r="A139">
        <v>1069811</v>
      </c>
      <c r="B139">
        <v>39</v>
      </c>
      <c r="C139" t="str" cm="1">
        <f t="array" ref="C139">_xlfn.IFS(B139&lt;=25,"15-25",B139&lt;=35,"26-35",B139&lt;=45,"36-45",B139&lt;=55,"46-55",B139&lt;=65,"56-65")</f>
        <v>36-45</v>
      </c>
      <c r="D139" t="s">
        <v>35</v>
      </c>
      <c r="E139" t="str">
        <f t="shared" si="4"/>
        <v>Current Employee</v>
      </c>
      <c r="F139" t="s">
        <v>36</v>
      </c>
      <c r="G139">
        <v>1329</v>
      </c>
      <c r="H139" t="s">
        <v>37</v>
      </c>
      <c r="I139">
        <v>4</v>
      </c>
      <c r="J139">
        <v>4</v>
      </c>
      <c r="K139" t="s">
        <v>38</v>
      </c>
      <c r="L139">
        <v>1</v>
      </c>
      <c r="M139">
        <v>4</v>
      </c>
      <c r="N139" t="s">
        <v>39</v>
      </c>
      <c r="O139">
        <v>47</v>
      </c>
      <c r="P139">
        <v>2</v>
      </c>
      <c r="Q139">
        <v>2</v>
      </c>
      <c r="R139" t="s">
        <v>40</v>
      </c>
      <c r="S139">
        <v>3</v>
      </c>
      <c r="T139" t="str" cm="1">
        <f t="array" ref="T139">_xlfn.IFS(S139&lt;=2,"Poor",S139&lt;=3,"Fair",S139&gt;=4,"Good")</f>
        <v>Fair</v>
      </c>
      <c r="U139" t="s">
        <v>48</v>
      </c>
      <c r="V139" s="1">
        <v>5902</v>
      </c>
      <c r="W139" t="str" cm="1">
        <f t="array" ref="W139">_xlfn.IFS(V139&lt;=5000,"Low Salary",V139&lt;=12000,"Good Salary",V139&gt;12000,"High Salary")</f>
        <v>Good Salary</v>
      </c>
      <c r="X139">
        <v>14590</v>
      </c>
      <c r="Y139">
        <v>4</v>
      </c>
      <c r="Z139" t="s">
        <v>42</v>
      </c>
      <c r="AA139" t="s">
        <v>35</v>
      </c>
      <c r="AB139">
        <v>14</v>
      </c>
      <c r="AC139">
        <v>3</v>
      </c>
      <c r="AD139" t="str">
        <f t="shared" si="5"/>
        <v>Low Performance</v>
      </c>
      <c r="AE139">
        <v>3</v>
      </c>
      <c r="AF139">
        <v>80</v>
      </c>
      <c r="AG139">
        <v>1</v>
      </c>
      <c r="AH139">
        <v>17</v>
      </c>
      <c r="AI139">
        <v>1</v>
      </c>
      <c r="AJ139">
        <v>4</v>
      </c>
      <c r="AK139" t="str" cm="1">
        <f t="array" ref="AK139">_xlfn.IFS(AJ139&lt;=2,"Poor",AJ139&lt;=3,"Fair",AJ139&gt;3,"Good")</f>
        <v>Good</v>
      </c>
      <c r="AL139">
        <v>15</v>
      </c>
      <c r="AM139">
        <v>11</v>
      </c>
      <c r="AN139">
        <v>5</v>
      </c>
      <c r="AO139">
        <v>9</v>
      </c>
    </row>
    <row r="140" spans="1:41" x14ac:dyDescent="0.2">
      <c r="A140">
        <v>1717795</v>
      </c>
      <c r="B140">
        <v>25</v>
      </c>
      <c r="C140" t="str" cm="1">
        <f t="array" ref="C140">_xlfn.IFS(B140&lt;=25,"15-25",B140&lt;=35,"26-35",B140&lt;=45,"36-45",B140&lt;=55,"46-55",B140&lt;=65,"56-65")</f>
        <v>15-25</v>
      </c>
      <c r="D140" t="s">
        <v>35</v>
      </c>
      <c r="E140" t="str">
        <f t="shared" si="4"/>
        <v>Current Employee</v>
      </c>
      <c r="F140" t="s">
        <v>36</v>
      </c>
      <c r="G140">
        <v>959</v>
      </c>
      <c r="H140" t="s">
        <v>37</v>
      </c>
      <c r="I140">
        <v>28</v>
      </c>
      <c r="J140">
        <v>3</v>
      </c>
      <c r="K140" t="s">
        <v>38</v>
      </c>
      <c r="L140">
        <v>1</v>
      </c>
      <c r="M140">
        <v>1</v>
      </c>
      <c r="N140" t="s">
        <v>46</v>
      </c>
      <c r="O140">
        <v>41</v>
      </c>
      <c r="P140">
        <v>2</v>
      </c>
      <c r="Q140">
        <v>2</v>
      </c>
      <c r="R140" t="s">
        <v>40</v>
      </c>
      <c r="S140">
        <v>3</v>
      </c>
      <c r="T140" t="str" cm="1">
        <f t="array" ref="T140">_xlfn.IFS(S140&lt;=2,"Poor",S140&lt;=3,"Fair",S140&gt;=4,"Good")</f>
        <v>Fair</v>
      </c>
      <c r="U140" t="s">
        <v>48</v>
      </c>
      <c r="V140" s="1">
        <v>8639</v>
      </c>
      <c r="W140" t="str" cm="1">
        <f t="array" ref="W140">_xlfn.IFS(V140&lt;=5000,"Low Salary",V140&lt;=12000,"Good Salary",V140&gt;12000,"High Salary")</f>
        <v>Good Salary</v>
      </c>
      <c r="X140">
        <v>24835</v>
      </c>
      <c r="Y140">
        <v>2</v>
      </c>
      <c r="Z140" t="s">
        <v>42</v>
      </c>
      <c r="AA140" t="s">
        <v>35</v>
      </c>
      <c r="AB140">
        <v>18</v>
      </c>
      <c r="AC140">
        <v>3</v>
      </c>
      <c r="AD140" t="str">
        <f t="shared" si="5"/>
        <v>Low Performance</v>
      </c>
      <c r="AE140">
        <v>4</v>
      </c>
      <c r="AF140">
        <v>80</v>
      </c>
      <c r="AG140">
        <v>0</v>
      </c>
      <c r="AH140">
        <v>6</v>
      </c>
      <c r="AI140">
        <v>3</v>
      </c>
      <c r="AJ140">
        <v>3</v>
      </c>
      <c r="AK140" t="str" cm="1">
        <f t="array" ref="AK140">_xlfn.IFS(AJ140&lt;=2,"Poor",AJ140&lt;=3,"Fair",AJ140&gt;3,"Good")</f>
        <v>Fair</v>
      </c>
      <c r="AL140">
        <v>2</v>
      </c>
      <c r="AM140">
        <v>2</v>
      </c>
      <c r="AN140">
        <v>2</v>
      </c>
      <c r="AO140">
        <v>2</v>
      </c>
    </row>
    <row r="141" spans="1:41" x14ac:dyDescent="0.2">
      <c r="A141">
        <v>1341925</v>
      </c>
      <c r="B141">
        <v>30</v>
      </c>
      <c r="C141" t="str" cm="1">
        <f t="array" ref="C141">_xlfn.IFS(B141&lt;=25,"15-25",B141&lt;=35,"26-35",B141&lt;=45,"36-45",B141&lt;=55,"46-55",B141&lt;=65,"56-65")</f>
        <v>26-35</v>
      </c>
      <c r="D141" t="s">
        <v>35</v>
      </c>
      <c r="E141" t="str">
        <f t="shared" si="4"/>
        <v>Current Employee</v>
      </c>
      <c r="F141" t="s">
        <v>36</v>
      </c>
      <c r="G141">
        <v>1240</v>
      </c>
      <c r="H141" t="s">
        <v>54</v>
      </c>
      <c r="I141">
        <v>9</v>
      </c>
      <c r="J141">
        <v>3</v>
      </c>
      <c r="K141" t="s">
        <v>57</v>
      </c>
      <c r="L141">
        <v>1</v>
      </c>
      <c r="M141">
        <v>3</v>
      </c>
      <c r="N141" t="s">
        <v>46</v>
      </c>
      <c r="O141">
        <v>48</v>
      </c>
      <c r="P141">
        <v>3</v>
      </c>
      <c r="Q141">
        <v>2</v>
      </c>
      <c r="R141" t="s">
        <v>47</v>
      </c>
      <c r="S141">
        <v>4</v>
      </c>
      <c r="T141" t="str" cm="1">
        <f t="array" ref="T141">_xlfn.IFS(S141&lt;=2,"Poor",S141&lt;=3,"Fair",S141&gt;=4,"Good")</f>
        <v>Good</v>
      </c>
      <c r="U141" t="s">
        <v>48</v>
      </c>
      <c r="V141" s="1">
        <v>6347</v>
      </c>
      <c r="W141" t="str" cm="1">
        <f t="array" ref="W141">_xlfn.IFS(V141&lt;=5000,"Low Salary",V141&lt;=12000,"Good Salary",V141&gt;12000,"High Salary")</f>
        <v>Good Salary</v>
      </c>
      <c r="X141">
        <v>13982</v>
      </c>
      <c r="Y141">
        <v>0</v>
      </c>
      <c r="Z141" t="s">
        <v>42</v>
      </c>
      <c r="AA141" t="s">
        <v>43</v>
      </c>
      <c r="AB141">
        <v>19</v>
      </c>
      <c r="AC141">
        <v>3</v>
      </c>
      <c r="AD141" t="str">
        <f t="shared" si="5"/>
        <v>Low Performance</v>
      </c>
      <c r="AE141">
        <v>4</v>
      </c>
      <c r="AF141">
        <v>80</v>
      </c>
      <c r="AG141">
        <v>0</v>
      </c>
      <c r="AH141">
        <v>12</v>
      </c>
      <c r="AI141">
        <v>2</v>
      </c>
      <c r="AJ141">
        <v>1</v>
      </c>
      <c r="AK141" t="str" cm="1">
        <f t="array" ref="AK141">_xlfn.IFS(AJ141&lt;=2,"Poor",AJ141&lt;=3,"Fair",AJ141&gt;3,"Good")</f>
        <v>Poor</v>
      </c>
      <c r="AL141">
        <v>11</v>
      </c>
      <c r="AM141">
        <v>9</v>
      </c>
      <c r="AN141">
        <v>4</v>
      </c>
      <c r="AO141">
        <v>7</v>
      </c>
    </row>
    <row r="142" spans="1:41" x14ac:dyDescent="0.2">
      <c r="A142">
        <v>1113668</v>
      </c>
      <c r="B142">
        <v>32</v>
      </c>
      <c r="C142" t="str" cm="1">
        <f t="array" ref="C142">_xlfn.IFS(B142&lt;=25,"15-25",B142&lt;=35,"26-35",B142&lt;=45,"36-45",B142&lt;=55,"46-55",B142&lt;=65,"56-65")</f>
        <v>26-35</v>
      </c>
      <c r="D142" t="s">
        <v>43</v>
      </c>
      <c r="E142" t="str">
        <f t="shared" si="4"/>
        <v>Former Employee</v>
      </c>
      <c r="F142" t="s">
        <v>36</v>
      </c>
      <c r="G142">
        <v>1033</v>
      </c>
      <c r="H142" t="s">
        <v>45</v>
      </c>
      <c r="I142">
        <v>9</v>
      </c>
      <c r="J142">
        <v>3</v>
      </c>
      <c r="K142" t="s">
        <v>49</v>
      </c>
      <c r="L142">
        <v>1</v>
      </c>
      <c r="M142">
        <v>1</v>
      </c>
      <c r="N142" t="s">
        <v>39</v>
      </c>
      <c r="O142">
        <v>41</v>
      </c>
      <c r="P142">
        <v>3</v>
      </c>
      <c r="Q142">
        <v>1</v>
      </c>
      <c r="R142" t="s">
        <v>40</v>
      </c>
      <c r="S142">
        <v>1</v>
      </c>
      <c r="T142" t="str" cm="1">
        <f t="array" ref="T142">_xlfn.IFS(S142&lt;=2,"Poor",S142&lt;=3,"Fair",S142&gt;=4,"Good")</f>
        <v>Poor</v>
      </c>
      <c r="U142" t="s">
        <v>41</v>
      </c>
      <c r="V142" s="1">
        <v>4200</v>
      </c>
      <c r="W142" t="str" cm="1">
        <f t="array" ref="W142">_xlfn.IFS(V142&lt;=5000,"Low Salary",V142&lt;=12000,"Good Salary",V142&gt;12000,"High Salary")</f>
        <v>Low Salary</v>
      </c>
      <c r="X142">
        <v>10224</v>
      </c>
      <c r="Y142">
        <v>7</v>
      </c>
      <c r="Z142" t="s">
        <v>42</v>
      </c>
      <c r="AA142" t="s">
        <v>35</v>
      </c>
      <c r="AB142">
        <v>22</v>
      </c>
      <c r="AC142">
        <v>4</v>
      </c>
      <c r="AD142" t="str">
        <f t="shared" si="5"/>
        <v>High Performance</v>
      </c>
      <c r="AE142">
        <v>1</v>
      </c>
      <c r="AF142">
        <v>80</v>
      </c>
      <c r="AG142">
        <v>0</v>
      </c>
      <c r="AH142">
        <v>10</v>
      </c>
      <c r="AI142">
        <v>2</v>
      </c>
      <c r="AJ142">
        <v>4</v>
      </c>
      <c r="AK142" t="str" cm="1">
        <f t="array" ref="AK142">_xlfn.IFS(AJ142&lt;=2,"Poor",AJ142&lt;=3,"Fair",AJ142&gt;3,"Good")</f>
        <v>Good</v>
      </c>
      <c r="AL142">
        <v>5</v>
      </c>
      <c r="AM142">
        <v>4</v>
      </c>
      <c r="AN142">
        <v>0</v>
      </c>
      <c r="AO142">
        <v>4</v>
      </c>
    </row>
    <row r="143" spans="1:41" x14ac:dyDescent="0.2">
      <c r="A143">
        <v>1164932</v>
      </c>
      <c r="B143">
        <v>45</v>
      </c>
      <c r="C143" t="str" cm="1">
        <f t="array" ref="C143">_xlfn.IFS(B143&lt;=25,"15-25",B143&lt;=35,"26-35",B143&lt;=45,"36-45",B143&lt;=55,"46-55",B143&lt;=65,"56-65")</f>
        <v>36-45</v>
      </c>
      <c r="D143" t="s">
        <v>35</v>
      </c>
      <c r="E143" t="str">
        <f t="shared" si="4"/>
        <v>Current Employee</v>
      </c>
      <c r="F143" t="s">
        <v>36</v>
      </c>
      <c r="G143">
        <v>1316</v>
      </c>
      <c r="H143" t="s">
        <v>45</v>
      </c>
      <c r="I143">
        <v>29</v>
      </c>
      <c r="J143">
        <v>3</v>
      </c>
      <c r="K143" t="s">
        <v>49</v>
      </c>
      <c r="L143">
        <v>1</v>
      </c>
      <c r="M143">
        <v>3</v>
      </c>
      <c r="N143" t="s">
        <v>46</v>
      </c>
      <c r="O143">
        <v>83</v>
      </c>
      <c r="P143">
        <v>3</v>
      </c>
      <c r="Q143">
        <v>1</v>
      </c>
      <c r="R143" t="s">
        <v>47</v>
      </c>
      <c r="S143">
        <v>4</v>
      </c>
      <c r="T143" t="str" cm="1">
        <f t="array" ref="T143">_xlfn.IFS(S143&lt;=2,"Poor",S143&lt;=3,"Fair",S143&gt;=4,"Good")</f>
        <v>Good</v>
      </c>
      <c r="U143" t="s">
        <v>41</v>
      </c>
      <c r="V143" s="1">
        <v>3452</v>
      </c>
      <c r="W143" t="str" cm="1">
        <f t="array" ref="W143">_xlfn.IFS(V143&lt;=5000,"Low Salary",V143&lt;=12000,"Good Salary",V143&gt;12000,"High Salary")</f>
        <v>Low Salary</v>
      </c>
      <c r="X143">
        <v>9752</v>
      </c>
      <c r="Y143">
        <v>5</v>
      </c>
      <c r="Z143" t="s">
        <v>42</v>
      </c>
      <c r="AA143" t="s">
        <v>35</v>
      </c>
      <c r="AB143">
        <v>13</v>
      </c>
      <c r="AC143">
        <v>3</v>
      </c>
      <c r="AD143" t="str">
        <f t="shared" si="5"/>
        <v>Low Performance</v>
      </c>
      <c r="AE143">
        <v>2</v>
      </c>
      <c r="AF143">
        <v>80</v>
      </c>
      <c r="AG143">
        <v>0</v>
      </c>
      <c r="AH143">
        <v>9</v>
      </c>
      <c r="AI143">
        <v>2</v>
      </c>
      <c r="AJ143">
        <v>2</v>
      </c>
      <c r="AK143" t="str" cm="1">
        <f t="array" ref="AK143">_xlfn.IFS(AJ143&lt;=2,"Poor",AJ143&lt;=3,"Fair",AJ143&gt;3,"Good")</f>
        <v>Poor</v>
      </c>
      <c r="AL143">
        <v>6</v>
      </c>
      <c r="AM143">
        <v>5</v>
      </c>
      <c r="AN143">
        <v>0</v>
      </c>
      <c r="AO143">
        <v>3</v>
      </c>
    </row>
    <row r="144" spans="1:41" x14ac:dyDescent="0.2">
      <c r="A144">
        <v>1328110</v>
      </c>
      <c r="B144">
        <v>38</v>
      </c>
      <c r="C144" t="str" cm="1">
        <f t="array" ref="C144">_xlfn.IFS(B144&lt;=25,"15-25",B144&lt;=35,"26-35",B144&lt;=45,"36-45",B144&lt;=55,"46-55",B144&lt;=65,"56-65")</f>
        <v>36-45</v>
      </c>
      <c r="D144" t="s">
        <v>35</v>
      </c>
      <c r="E144" t="str">
        <f t="shared" si="4"/>
        <v>Current Employee</v>
      </c>
      <c r="F144" t="s">
        <v>36</v>
      </c>
      <c r="G144">
        <v>364</v>
      </c>
      <c r="H144" t="s">
        <v>45</v>
      </c>
      <c r="I144">
        <v>3</v>
      </c>
      <c r="J144">
        <v>5</v>
      </c>
      <c r="K144" t="s">
        <v>56</v>
      </c>
      <c r="L144">
        <v>1</v>
      </c>
      <c r="M144">
        <v>4</v>
      </c>
      <c r="N144" t="s">
        <v>39</v>
      </c>
      <c r="O144">
        <v>32</v>
      </c>
      <c r="P144">
        <v>3</v>
      </c>
      <c r="Q144">
        <v>2</v>
      </c>
      <c r="R144" t="s">
        <v>47</v>
      </c>
      <c r="S144">
        <v>3</v>
      </c>
      <c r="T144" t="str" cm="1">
        <f t="array" ref="T144">_xlfn.IFS(S144&lt;=2,"Poor",S144&lt;=3,"Fair",S144&gt;=4,"Good")</f>
        <v>Fair</v>
      </c>
      <c r="U144" t="s">
        <v>41</v>
      </c>
      <c r="V144" s="1">
        <v>4317</v>
      </c>
      <c r="W144" t="str" cm="1">
        <f t="array" ref="W144">_xlfn.IFS(V144&lt;=5000,"Low Salary",V144&lt;=12000,"Good Salary",V144&gt;12000,"High Salary")</f>
        <v>Low Salary</v>
      </c>
      <c r="X144">
        <v>2302</v>
      </c>
      <c r="Y144">
        <v>3</v>
      </c>
      <c r="Z144" t="s">
        <v>42</v>
      </c>
      <c r="AA144" t="s">
        <v>43</v>
      </c>
      <c r="AB144">
        <v>20</v>
      </c>
      <c r="AC144">
        <v>4</v>
      </c>
      <c r="AD144" t="str">
        <f t="shared" si="5"/>
        <v>High Performance</v>
      </c>
      <c r="AE144">
        <v>2</v>
      </c>
      <c r="AF144">
        <v>80</v>
      </c>
      <c r="AG144">
        <v>0</v>
      </c>
      <c r="AH144">
        <v>19</v>
      </c>
      <c r="AI144">
        <v>2</v>
      </c>
      <c r="AJ144">
        <v>3</v>
      </c>
      <c r="AK144" t="str" cm="1">
        <f t="array" ref="AK144">_xlfn.IFS(AJ144&lt;=2,"Poor",AJ144&lt;=3,"Fair",AJ144&gt;3,"Good")</f>
        <v>Fair</v>
      </c>
      <c r="AL144">
        <v>3</v>
      </c>
      <c r="AM144">
        <v>2</v>
      </c>
      <c r="AN144">
        <v>2</v>
      </c>
      <c r="AO144">
        <v>2</v>
      </c>
    </row>
    <row r="145" spans="1:41" x14ac:dyDescent="0.2">
      <c r="A145">
        <v>1744823</v>
      </c>
      <c r="B145">
        <v>30</v>
      </c>
      <c r="C145" t="str" cm="1">
        <f t="array" ref="C145">_xlfn.IFS(B145&lt;=25,"15-25",B145&lt;=35,"26-35",B145&lt;=45,"36-45",B145&lt;=55,"46-55",B145&lt;=65,"56-65")</f>
        <v>26-35</v>
      </c>
      <c r="D145" t="s">
        <v>35</v>
      </c>
      <c r="E145" t="str">
        <f t="shared" si="4"/>
        <v>Current Employee</v>
      </c>
      <c r="F145" t="s">
        <v>36</v>
      </c>
      <c r="G145">
        <v>438</v>
      </c>
      <c r="H145" t="s">
        <v>45</v>
      </c>
      <c r="I145">
        <v>18</v>
      </c>
      <c r="J145">
        <v>3</v>
      </c>
      <c r="K145" t="s">
        <v>38</v>
      </c>
      <c r="L145">
        <v>1</v>
      </c>
      <c r="M145">
        <v>1</v>
      </c>
      <c r="N145" t="s">
        <v>39</v>
      </c>
      <c r="O145">
        <v>75</v>
      </c>
      <c r="P145">
        <v>3</v>
      </c>
      <c r="Q145">
        <v>1</v>
      </c>
      <c r="R145" t="s">
        <v>47</v>
      </c>
      <c r="S145">
        <v>3</v>
      </c>
      <c r="T145" t="str" cm="1">
        <f t="array" ref="T145">_xlfn.IFS(S145&lt;=2,"Poor",S145&lt;=3,"Fair",S145&gt;=4,"Good")</f>
        <v>Fair</v>
      </c>
      <c r="U145" t="s">
        <v>41</v>
      </c>
      <c r="V145" s="1">
        <v>2632</v>
      </c>
      <c r="W145" t="str" cm="1">
        <f t="array" ref="W145">_xlfn.IFS(V145&lt;=5000,"Low Salary",V145&lt;=12000,"Good Salary",V145&gt;12000,"High Salary")</f>
        <v>Low Salary</v>
      </c>
      <c r="X145">
        <v>23910</v>
      </c>
      <c r="Y145">
        <v>1</v>
      </c>
      <c r="Z145" t="s">
        <v>42</v>
      </c>
      <c r="AA145" t="s">
        <v>35</v>
      </c>
      <c r="AB145">
        <v>14</v>
      </c>
      <c r="AC145">
        <v>3</v>
      </c>
      <c r="AD145" t="str">
        <f t="shared" si="5"/>
        <v>Low Performance</v>
      </c>
      <c r="AE145">
        <v>3</v>
      </c>
      <c r="AF145">
        <v>80</v>
      </c>
      <c r="AG145">
        <v>0</v>
      </c>
      <c r="AH145">
        <v>5</v>
      </c>
      <c r="AI145">
        <v>4</v>
      </c>
      <c r="AJ145">
        <v>2</v>
      </c>
      <c r="AK145" t="str" cm="1">
        <f t="array" ref="AK145">_xlfn.IFS(AJ145&lt;=2,"Poor",AJ145&lt;=3,"Fair",AJ145&gt;3,"Good")</f>
        <v>Poor</v>
      </c>
      <c r="AL145">
        <v>5</v>
      </c>
      <c r="AM145">
        <v>4</v>
      </c>
      <c r="AN145">
        <v>0</v>
      </c>
      <c r="AO145">
        <v>4</v>
      </c>
    </row>
    <row r="146" spans="1:41" x14ac:dyDescent="0.2">
      <c r="A146">
        <v>1431031</v>
      </c>
      <c r="B146">
        <v>32</v>
      </c>
      <c r="C146" t="str" cm="1">
        <f t="array" ref="C146">_xlfn.IFS(B146&lt;=25,"15-25",B146&lt;=35,"26-35",B146&lt;=45,"36-45",B146&lt;=55,"46-55",B146&lt;=65,"56-65")</f>
        <v>26-35</v>
      </c>
      <c r="D146" t="s">
        <v>35</v>
      </c>
      <c r="E146" t="str">
        <f t="shared" si="4"/>
        <v>Current Employee</v>
      </c>
      <c r="F146" t="s">
        <v>44</v>
      </c>
      <c r="G146">
        <v>689</v>
      </c>
      <c r="H146" t="s">
        <v>37</v>
      </c>
      <c r="I146">
        <v>9</v>
      </c>
      <c r="J146">
        <v>2</v>
      </c>
      <c r="K146" t="s">
        <v>49</v>
      </c>
      <c r="L146">
        <v>1</v>
      </c>
      <c r="M146">
        <v>4</v>
      </c>
      <c r="N146" t="s">
        <v>46</v>
      </c>
      <c r="O146">
        <v>35</v>
      </c>
      <c r="P146">
        <v>1</v>
      </c>
      <c r="Q146">
        <v>2</v>
      </c>
      <c r="R146" t="s">
        <v>40</v>
      </c>
      <c r="S146">
        <v>4</v>
      </c>
      <c r="T146" t="str" cm="1">
        <f t="array" ref="T146">_xlfn.IFS(S146&lt;=2,"Poor",S146&lt;=3,"Fair",S146&gt;=4,"Good")</f>
        <v>Good</v>
      </c>
      <c r="U146" t="s">
        <v>50</v>
      </c>
      <c r="V146" s="1">
        <v>4668</v>
      </c>
      <c r="W146" t="str" cm="1">
        <f t="array" ref="W146">_xlfn.IFS(V146&lt;=5000,"Low Salary",V146&lt;=12000,"Good Salary",V146&gt;12000,"High Salary")</f>
        <v>Low Salary</v>
      </c>
      <c r="X146">
        <v>22812</v>
      </c>
      <c r="Y146">
        <v>0</v>
      </c>
      <c r="Z146" t="s">
        <v>42</v>
      </c>
      <c r="AA146" t="s">
        <v>35</v>
      </c>
      <c r="AB146">
        <v>17</v>
      </c>
      <c r="AC146">
        <v>3</v>
      </c>
      <c r="AD146" t="str">
        <f t="shared" si="5"/>
        <v>Low Performance</v>
      </c>
      <c r="AE146">
        <v>4</v>
      </c>
      <c r="AF146">
        <v>80</v>
      </c>
      <c r="AG146">
        <v>3</v>
      </c>
      <c r="AH146">
        <v>9</v>
      </c>
      <c r="AI146">
        <v>2</v>
      </c>
      <c r="AJ146">
        <v>4</v>
      </c>
      <c r="AK146" t="str" cm="1">
        <f t="array" ref="AK146">_xlfn.IFS(AJ146&lt;=2,"Poor",AJ146&lt;=3,"Fair",AJ146&gt;3,"Good")</f>
        <v>Good</v>
      </c>
      <c r="AL146">
        <v>8</v>
      </c>
      <c r="AM146">
        <v>7</v>
      </c>
      <c r="AN146">
        <v>0</v>
      </c>
      <c r="AO146">
        <v>7</v>
      </c>
    </row>
    <row r="147" spans="1:41" x14ac:dyDescent="0.2">
      <c r="A147">
        <v>1587864</v>
      </c>
      <c r="B147">
        <v>30</v>
      </c>
      <c r="C147" t="str" cm="1">
        <f t="array" ref="C147">_xlfn.IFS(B147&lt;=25,"15-25",B147&lt;=35,"26-35",B147&lt;=45,"36-45",B147&lt;=55,"46-55",B147&lt;=65,"56-65")</f>
        <v>26-35</v>
      </c>
      <c r="D147" t="s">
        <v>35</v>
      </c>
      <c r="E147" t="str">
        <f t="shared" si="4"/>
        <v>Current Employee</v>
      </c>
      <c r="F147" t="s">
        <v>36</v>
      </c>
      <c r="G147">
        <v>201</v>
      </c>
      <c r="H147" t="s">
        <v>45</v>
      </c>
      <c r="I147">
        <v>5</v>
      </c>
      <c r="J147">
        <v>3</v>
      </c>
      <c r="K147" t="s">
        <v>56</v>
      </c>
      <c r="L147">
        <v>1</v>
      </c>
      <c r="M147">
        <v>4</v>
      </c>
      <c r="N147" t="s">
        <v>39</v>
      </c>
      <c r="O147">
        <v>84</v>
      </c>
      <c r="P147">
        <v>3</v>
      </c>
      <c r="Q147">
        <v>1</v>
      </c>
      <c r="R147" t="s">
        <v>47</v>
      </c>
      <c r="S147">
        <v>1</v>
      </c>
      <c r="T147" t="str" cm="1">
        <f t="array" ref="T147">_xlfn.IFS(S147&lt;=2,"Poor",S147&lt;=3,"Fair",S147&gt;=4,"Good")</f>
        <v>Poor</v>
      </c>
      <c r="U147" t="s">
        <v>50</v>
      </c>
      <c r="V147" s="1">
        <v>3204</v>
      </c>
      <c r="W147" t="str" cm="1">
        <f t="array" ref="W147">_xlfn.IFS(V147&lt;=5000,"Low Salary",V147&lt;=12000,"Good Salary",V147&gt;12000,"High Salary")</f>
        <v>Low Salary</v>
      </c>
      <c r="X147">
        <v>10415</v>
      </c>
      <c r="Y147">
        <v>5</v>
      </c>
      <c r="Z147" t="s">
        <v>42</v>
      </c>
      <c r="AA147" t="s">
        <v>35</v>
      </c>
      <c r="AB147">
        <v>14</v>
      </c>
      <c r="AC147">
        <v>3</v>
      </c>
      <c r="AD147" t="str">
        <f t="shared" si="5"/>
        <v>Low Performance</v>
      </c>
      <c r="AE147">
        <v>4</v>
      </c>
      <c r="AF147">
        <v>80</v>
      </c>
      <c r="AG147">
        <v>1</v>
      </c>
      <c r="AH147">
        <v>8</v>
      </c>
      <c r="AI147">
        <v>3</v>
      </c>
      <c r="AJ147">
        <v>3</v>
      </c>
      <c r="AK147" t="str" cm="1">
        <f t="array" ref="AK147">_xlfn.IFS(AJ147&lt;=2,"Poor",AJ147&lt;=3,"Fair",AJ147&gt;3,"Good")</f>
        <v>Fair</v>
      </c>
      <c r="AL147">
        <v>3</v>
      </c>
      <c r="AM147">
        <v>2</v>
      </c>
      <c r="AN147">
        <v>2</v>
      </c>
      <c r="AO147">
        <v>2</v>
      </c>
    </row>
    <row r="148" spans="1:41" x14ac:dyDescent="0.2">
      <c r="A148">
        <v>1577226</v>
      </c>
      <c r="B148">
        <v>30</v>
      </c>
      <c r="C148" t="str" cm="1">
        <f t="array" ref="C148">_xlfn.IFS(B148&lt;=25,"15-25",B148&lt;=35,"26-35",B148&lt;=45,"36-45",B148&lt;=55,"46-55",B148&lt;=65,"56-65")</f>
        <v>26-35</v>
      </c>
      <c r="D148" t="s">
        <v>35</v>
      </c>
      <c r="E148" t="str">
        <f t="shared" si="4"/>
        <v>Current Employee</v>
      </c>
      <c r="F148" t="s">
        <v>36</v>
      </c>
      <c r="G148">
        <v>1427</v>
      </c>
      <c r="H148" t="s">
        <v>45</v>
      </c>
      <c r="I148">
        <v>2</v>
      </c>
      <c r="J148">
        <v>1</v>
      </c>
      <c r="K148" t="s">
        <v>49</v>
      </c>
      <c r="L148">
        <v>1</v>
      </c>
      <c r="M148">
        <v>2</v>
      </c>
      <c r="N148" t="s">
        <v>46</v>
      </c>
      <c r="O148">
        <v>35</v>
      </c>
      <c r="P148">
        <v>2</v>
      </c>
      <c r="Q148">
        <v>1</v>
      </c>
      <c r="R148" t="s">
        <v>40</v>
      </c>
      <c r="S148">
        <v>4</v>
      </c>
      <c r="T148" t="str" cm="1">
        <f t="array" ref="T148">_xlfn.IFS(S148&lt;=2,"Poor",S148&lt;=3,"Fair",S148&gt;=4,"Good")</f>
        <v>Good</v>
      </c>
      <c r="U148" t="s">
        <v>41</v>
      </c>
      <c r="V148" s="1">
        <v>2720</v>
      </c>
      <c r="W148" t="str" cm="1">
        <f t="array" ref="W148">_xlfn.IFS(V148&lt;=5000,"Low Salary",V148&lt;=12000,"Good Salary",V148&gt;12000,"High Salary")</f>
        <v>Low Salary</v>
      </c>
      <c r="X148">
        <v>11162</v>
      </c>
      <c r="Y148">
        <v>0</v>
      </c>
      <c r="Z148" t="s">
        <v>42</v>
      </c>
      <c r="AA148" t="s">
        <v>35</v>
      </c>
      <c r="AB148">
        <v>13</v>
      </c>
      <c r="AC148">
        <v>3</v>
      </c>
      <c r="AD148" t="str">
        <f t="shared" si="5"/>
        <v>Low Performance</v>
      </c>
      <c r="AE148">
        <v>4</v>
      </c>
      <c r="AF148">
        <v>80</v>
      </c>
      <c r="AG148">
        <v>0</v>
      </c>
      <c r="AH148">
        <v>6</v>
      </c>
      <c r="AI148">
        <v>3</v>
      </c>
      <c r="AJ148">
        <v>3</v>
      </c>
      <c r="AK148" t="str" cm="1">
        <f t="array" ref="AK148">_xlfn.IFS(AJ148&lt;=2,"Poor",AJ148&lt;=3,"Fair",AJ148&gt;3,"Good")</f>
        <v>Fair</v>
      </c>
      <c r="AL148">
        <v>5</v>
      </c>
      <c r="AM148">
        <v>3</v>
      </c>
      <c r="AN148">
        <v>1</v>
      </c>
      <c r="AO148">
        <v>2</v>
      </c>
    </row>
    <row r="149" spans="1:41" x14ac:dyDescent="0.2">
      <c r="A149">
        <v>1162762</v>
      </c>
      <c r="B149">
        <v>41</v>
      </c>
      <c r="C149" t="str" cm="1">
        <f t="array" ref="C149">_xlfn.IFS(B149&lt;=25,"15-25",B149&lt;=35,"26-35",B149&lt;=45,"36-45",B149&lt;=55,"46-55",B149&lt;=65,"56-65")</f>
        <v>36-45</v>
      </c>
      <c r="D149" t="s">
        <v>35</v>
      </c>
      <c r="E149" t="str">
        <f t="shared" si="4"/>
        <v>Current Employee</v>
      </c>
      <c r="F149" t="s">
        <v>44</v>
      </c>
      <c r="G149">
        <v>857</v>
      </c>
      <c r="H149" t="s">
        <v>54</v>
      </c>
      <c r="I149">
        <v>10</v>
      </c>
      <c r="J149">
        <v>3</v>
      </c>
      <c r="K149" t="s">
        <v>38</v>
      </c>
      <c r="L149">
        <v>1</v>
      </c>
      <c r="M149">
        <v>4</v>
      </c>
      <c r="N149" t="s">
        <v>46</v>
      </c>
      <c r="O149">
        <v>91</v>
      </c>
      <c r="P149">
        <v>2</v>
      </c>
      <c r="Q149">
        <v>4</v>
      </c>
      <c r="R149" t="s">
        <v>47</v>
      </c>
      <c r="S149">
        <v>1</v>
      </c>
      <c r="T149" t="str" cm="1">
        <f t="array" ref="T149">_xlfn.IFS(S149&lt;=2,"Poor",S149&lt;=3,"Fair",S149&gt;=4,"Good")</f>
        <v>Poor</v>
      </c>
      <c r="U149" t="s">
        <v>50</v>
      </c>
      <c r="V149" s="1">
        <v>17181</v>
      </c>
      <c r="W149" t="str" cm="1">
        <f t="array" ref="W149">_xlfn.IFS(V149&lt;=5000,"Low Salary",V149&lt;=12000,"Good Salary",V149&gt;12000,"High Salary")</f>
        <v>High Salary</v>
      </c>
      <c r="X149">
        <v>12888</v>
      </c>
      <c r="Y149">
        <v>4</v>
      </c>
      <c r="Z149" t="s">
        <v>42</v>
      </c>
      <c r="AA149" t="s">
        <v>35</v>
      </c>
      <c r="AB149">
        <v>13</v>
      </c>
      <c r="AC149">
        <v>3</v>
      </c>
      <c r="AD149" t="str">
        <f t="shared" si="5"/>
        <v>Low Performance</v>
      </c>
      <c r="AE149">
        <v>2</v>
      </c>
      <c r="AF149">
        <v>80</v>
      </c>
      <c r="AG149">
        <v>1</v>
      </c>
      <c r="AH149">
        <v>21</v>
      </c>
      <c r="AI149">
        <v>2</v>
      </c>
      <c r="AJ149">
        <v>2</v>
      </c>
      <c r="AK149" t="str" cm="1">
        <f t="array" ref="AK149">_xlfn.IFS(AJ149&lt;=2,"Poor",AJ149&lt;=3,"Fair",AJ149&gt;3,"Good")</f>
        <v>Poor</v>
      </c>
      <c r="AL149">
        <v>7</v>
      </c>
      <c r="AM149">
        <v>6</v>
      </c>
      <c r="AN149">
        <v>7</v>
      </c>
      <c r="AO149">
        <v>7</v>
      </c>
    </row>
    <row r="150" spans="1:41" x14ac:dyDescent="0.2">
      <c r="A150">
        <v>1035340</v>
      </c>
      <c r="B150">
        <v>41</v>
      </c>
      <c r="C150" t="str" cm="1">
        <f t="array" ref="C150">_xlfn.IFS(B150&lt;=25,"15-25",B150&lt;=35,"26-35",B150&lt;=45,"36-45",B150&lt;=55,"46-55",B150&lt;=65,"56-65")</f>
        <v>36-45</v>
      </c>
      <c r="D150" t="s">
        <v>35</v>
      </c>
      <c r="E150" t="str">
        <f t="shared" si="4"/>
        <v>Current Employee</v>
      </c>
      <c r="F150" t="s">
        <v>36</v>
      </c>
      <c r="G150">
        <v>933</v>
      </c>
      <c r="H150" t="s">
        <v>45</v>
      </c>
      <c r="I150">
        <v>9</v>
      </c>
      <c r="J150">
        <v>4</v>
      </c>
      <c r="K150" t="s">
        <v>38</v>
      </c>
      <c r="L150">
        <v>1</v>
      </c>
      <c r="M150">
        <v>3</v>
      </c>
      <c r="N150" t="s">
        <v>46</v>
      </c>
      <c r="O150">
        <v>94</v>
      </c>
      <c r="P150">
        <v>3</v>
      </c>
      <c r="Q150">
        <v>1</v>
      </c>
      <c r="R150" t="s">
        <v>40</v>
      </c>
      <c r="S150">
        <v>1</v>
      </c>
      <c r="T150" t="str" cm="1">
        <f t="array" ref="T150">_xlfn.IFS(S150&lt;=2,"Poor",S150&lt;=3,"Fair",S150&gt;=4,"Good")</f>
        <v>Poor</v>
      </c>
      <c r="U150" t="s">
        <v>48</v>
      </c>
      <c r="V150" s="1">
        <v>2238</v>
      </c>
      <c r="W150" t="str" cm="1">
        <f t="array" ref="W150">_xlfn.IFS(V150&lt;=5000,"Low Salary",V150&lt;=12000,"Good Salary",V150&gt;12000,"High Salary")</f>
        <v>Low Salary</v>
      </c>
      <c r="X150">
        <v>6961</v>
      </c>
      <c r="Y150">
        <v>2</v>
      </c>
      <c r="Z150" t="s">
        <v>42</v>
      </c>
      <c r="AA150" t="s">
        <v>35</v>
      </c>
      <c r="AB150">
        <v>21</v>
      </c>
      <c r="AC150">
        <v>4</v>
      </c>
      <c r="AD150" t="str">
        <f t="shared" si="5"/>
        <v>High Performance</v>
      </c>
      <c r="AE150">
        <v>4</v>
      </c>
      <c r="AF150">
        <v>80</v>
      </c>
      <c r="AG150">
        <v>1</v>
      </c>
      <c r="AH150">
        <v>7</v>
      </c>
      <c r="AI150">
        <v>2</v>
      </c>
      <c r="AJ150">
        <v>3</v>
      </c>
      <c r="AK150" t="str" cm="1">
        <f t="array" ref="AK150">_xlfn.IFS(AJ150&lt;=2,"Poor",AJ150&lt;=3,"Fair",AJ150&gt;3,"Good")</f>
        <v>Fair</v>
      </c>
      <c r="AL150">
        <v>5</v>
      </c>
      <c r="AM150">
        <v>0</v>
      </c>
      <c r="AN150">
        <v>1</v>
      </c>
      <c r="AO150">
        <v>4</v>
      </c>
    </row>
    <row r="151" spans="1:41" x14ac:dyDescent="0.2">
      <c r="A151">
        <v>1529493</v>
      </c>
      <c r="B151">
        <v>19</v>
      </c>
      <c r="C151" t="str" cm="1">
        <f t="array" ref="C151">_xlfn.IFS(B151&lt;=25,"15-25",B151&lt;=35,"26-35",B151&lt;=45,"36-45",B151&lt;=55,"46-55",B151&lt;=65,"56-65")</f>
        <v>15-25</v>
      </c>
      <c r="D151" t="s">
        <v>35</v>
      </c>
      <c r="E151" t="str">
        <f t="shared" si="4"/>
        <v>Current Employee</v>
      </c>
      <c r="F151" t="s">
        <v>36</v>
      </c>
      <c r="G151">
        <v>1181</v>
      </c>
      <c r="H151" t="s">
        <v>45</v>
      </c>
      <c r="I151">
        <v>3</v>
      </c>
      <c r="J151">
        <v>1</v>
      </c>
      <c r="K151" t="s">
        <v>49</v>
      </c>
      <c r="L151">
        <v>1</v>
      </c>
      <c r="M151">
        <v>2</v>
      </c>
      <c r="N151" t="s">
        <v>39</v>
      </c>
      <c r="O151">
        <v>79</v>
      </c>
      <c r="P151">
        <v>3</v>
      </c>
      <c r="Q151">
        <v>1</v>
      </c>
      <c r="R151" t="s">
        <v>40</v>
      </c>
      <c r="S151">
        <v>2</v>
      </c>
      <c r="T151" t="str" cm="1">
        <f t="array" ref="T151">_xlfn.IFS(S151&lt;=2,"Poor",S151&lt;=3,"Fair",S151&gt;=4,"Good")</f>
        <v>Poor</v>
      </c>
      <c r="U151" t="s">
        <v>41</v>
      </c>
      <c r="V151" s="1">
        <v>1483</v>
      </c>
      <c r="W151" t="str" cm="1">
        <f t="array" ref="W151">_xlfn.IFS(V151&lt;=5000,"Low Salary",V151&lt;=12000,"Good Salary",V151&gt;12000,"High Salary")</f>
        <v>Low Salary</v>
      </c>
      <c r="X151">
        <v>16102</v>
      </c>
      <c r="Y151">
        <v>1</v>
      </c>
      <c r="Z151" t="s">
        <v>42</v>
      </c>
      <c r="AA151" t="s">
        <v>35</v>
      </c>
      <c r="AB151">
        <v>14</v>
      </c>
      <c r="AC151">
        <v>3</v>
      </c>
      <c r="AD151" t="str">
        <f t="shared" si="5"/>
        <v>Low Performance</v>
      </c>
      <c r="AE151">
        <v>4</v>
      </c>
      <c r="AF151">
        <v>80</v>
      </c>
      <c r="AG151">
        <v>0</v>
      </c>
      <c r="AH151">
        <v>1</v>
      </c>
      <c r="AI151">
        <v>3</v>
      </c>
      <c r="AJ151">
        <v>3</v>
      </c>
      <c r="AK151" t="str" cm="1">
        <f t="array" ref="AK151">_xlfn.IFS(AJ151&lt;=2,"Poor",AJ151&lt;=3,"Fair",AJ151&gt;3,"Good")</f>
        <v>Fair</v>
      </c>
      <c r="AL151">
        <v>1</v>
      </c>
      <c r="AM151">
        <v>0</v>
      </c>
      <c r="AN151">
        <v>0</v>
      </c>
      <c r="AO151">
        <v>0</v>
      </c>
    </row>
    <row r="152" spans="1:41" x14ac:dyDescent="0.2">
      <c r="A152">
        <v>1789511</v>
      </c>
      <c r="B152">
        <v>40</v>
      </c>
      <c r="C152" t="str" cm="1">
        <f t="array" ref="C152">_xlfn.IFS(B152&lt;=25,"15-25",B152&lt;=35,"26-35",B152&lt;=45,"36-45",B152&lt;=55,"46-55",B152&lt;=65,"56-65")</f>
        <v>36-45</v>
      </c>
      <c r="D152" t="s">
        <v>35</v>
      </c>
      <c r="E152" t="str">
        <f t="shared" si="4"/>
        <v>Current Employee</v>
      </c>
      <c r="F152" t="s">
        <v>44</v>
      </c>
      <c r="G152">
        <v>1395</v>
      </c>
      <c r="H152" t="s">
        <v>45</v>
      </c>
      <c r="I152">
        <v>26</v>
      </c>
      <c r="J152">
        <v>3</v>
      </c>
      <c r="K152" t="s">
        <v>49</v>
      </c>
      <c r="L152">
        <v>1</v>
      </c>
      <c r="M152">
        <v>2</v>
      </c>
      <c r="N152" t="s">
        <v>39</v>
      </c>
      <c r="O152">
        <v>54</v>
      </c>
      <c r="P152">
        <v>3</v>
      </c>
      <c r="Q152">
        <v>2</v>
      </c>
      <c r="R152" t="s">
        <v>47</v>
      </c>
      <c r="S152">
        <v>2</v>
      </c>
      <c r="T152" t="str" cm="1">
        <f t="array" ref="T152">_xlfn.IFS(S152&lt;=2,"Poor",S152&lt;=3,"Fair",S152&gt;=4,"Good")</f>
        <v>Poor</v>
      </c>
      <c r="U152" t="s">
        <v>50</v>
      </c>
      <c r="V152" s="1">
        <v>5605</v>
      </c>
      <c r="W152" t="str" cm="1">
        <f t="array" ref="W152">_xlfn.IFS(V152&lt;=5000,"Low Salary",V152&lt;=12000,"Good Salary",V152&gt;12000,"High Salary")</f>
        <v>Good Salary</v>
      </c>
      <c r="X152">
        <v>8504</v>
      </c>
      <c r="Y152">
        <v>1</v>
      </c>
      <c r="Z152" t="s">
        <v>42</v>
      </c>
      <c r="AA152" t="s">
        <v>35</v>
      </c>
      <c r="AB152">
        <v>11</v>
      </c>
      <c r="AC152">
        <v>3</v>
      </c>
      <c r="AD152" t="str">
        <f t="shared" si="5"/>
        <v>Low Performance</v>
      </c>
      <c r="AE152">
        <v>1</v>
      </c>
      <c r="AF152">
        <v>80</v>
      </c>
      <c r="AG152">
        <v>1</v>
      </c>
      <c r="AH152">
        <v>20</v>
      </c>
      <c r="AI152">
        <v>2</v>
      </c>
      <c r="AJ152">
        <v>3</v>
      </c>
      <c r="AK152" t="str" cm="1">
        <f t="array" ref="AK152">_xlfn.IFS(AJ152&lt;=2,"Poor",AJ152&lt;=3,"Fair",AJ152&gt;3,"Good")</f>
        <v>Fair</v>
      </c>
      <c r="AL152">
        <v>20</v>
      </c>
      <c r="AM152">
        <v>7</v>
      </c>
      <c r="AN152">
        <v>2</v>
      </c>
      <c r="AO152">
        <v>13</v>
      </c>
    </row>
    <row r="153" spans="1:41" x14ac:dyDescent="0.2">
      <c r="A153">
        <v>1047751</v>
      </c>
      <c r="B153">
        <v>35</v>
      </c>
      <c r="C153" t="str" cm="1">
        <f t="array" ref="C153">_xlfn.IFS(B153&lt;=25,"15-25",B153&lt;=35,"26-35",B153&lt;=45,"36-45",B153&lt;=55,"46-55",B153&lt;=65,"56-65")</f>
        <v>26-35</v>
      </c>
      <c r="D153" t="s">
        <v>35</v>
      </c>
      <c r="E153" t="str">
        <f t="shared" si="4"/>
        <v>Current Employee</v>
      </c>
      <c r="F153" t="s">
        <v>36</v>
      </c>
      <c r="G153">
        <v>662</v>
      </c>
      <c r="H153" t="s">
        <v>37</v>
      </c>
      <c r="I153">
        <v>1</v>
      </c>
      <c r="J153">
        <v>5</v>
      </c>
      <c r="K153" t="s">
        <v>55</v>
      </c>
      <c r="L153">
        <v>1</v>
      </c>
      <c r="M153">
        <v>3</v>
      </c>
      <c r="N153" t="s">
        <v>46</v>
      </c>
      <c r="O153">
        <v>94</v>
      </c>
      <c r="P153">
        <v>3</v>
      </c>
      <c r="Q153">
        <v>3</v>
      </c>
      <c r="R153" t="s">
        <v>40</v>
      </c>
      <c r="S153">
        <v>2</v>
      </c>
      <c r="T153" t="str" cm="1">
        <f t="array" ref="T153">_xlfn.IFS(S153&lt;=2,"Poor",S153&lt;=3,"Fair",S153&gt;=4,"Good")</f>
        <v>Poor</v>
      </c>
      <c r="U153" t="s">
        <v>48</v>
      </c>
      <c r="V153" s="1">
        <v>7295</v>
      </c>
      <c r="W153" t="str" cm="1">
        <f t="array" ref="W153">_xlfn.IFS(V153&lt;=5000,"Low Salary",V153&lt;=12000,"Good Salary",V153&gt;12000,"High Salary")</f>
        <v>Good Salary</v>
      </c>
      <c r="X153">
        <v>11439</v>
      </c>
      <c r="Y153">
        <v>1</v>
      </c>
      <c r="Z153" t="s">
        <v>42</v>
      </c>
      <c r="AA153" t="s">
        <v>35</v>
      </c>
      <c r="AB153">
        <v>13</v>
      </c>
      <c r="AC153">
        <v>3</v>
      </c>
      <c r="AD153" t="str">
        <f t="shared" si="5"/>
        <v>Low Performance</v>
      </c>
      <c r="AE153">
        <v>1</v>
      </c>
      <c r="AF153">
        <v>80</v>
      </c>
      <c r="AG153">
        <v>2</v>
      </c>
      <c r="AH153">
        <v>10</v>
      </c>
      <c r="AI153">
        <v>3</v>
      </c>
      <c r="AJ153">
        <v>3</v>
      </c>
      <c r="AK153" t="str" cm="1">
        <f t="array" ref="AK153">_xlfn.IFS(AJ153&lt;=2,"Poor",AJ153&lt;=3,"Fair",AJ153&gt;3,"Good")</f>
        <v>Fair</v>
      </c>
      <c r="AL153">
        <v>10</v>
      </c>
      <c r="AM153">
        <v>8</v>
      </c>
      <c r="AN153">
        <v>0</v>
      </c>
      <c r="AO153">
        <v>6</v>
      </c>
    </row>
    <row r="154" spans="1:41" x14ac:dyDescent="0.2">
      <c r="A154">
        <v>1057195</v>
      </c>
      <c r="B154">
        <v>53</v>
      </c>
      <c r="C154" t="str" cm="1">
        <f t="array" ref="C154">_xlfn.IFS(B154&lt;=25,"15-25",B154&lt;=35,"26-35",B154&lt;=45,"36-45",B154&lt;=55,"46-55",B154&lt;=65,"56-65")</f>
        <v>46-55</v>
      </c>
      <c r="D154" t="s">
        <v>35</v>
      </c>
      <c r="E154" t="str">
        <f t="shared" si="4"/>
        <v>Current Employee</v>
      </c>
      <c r="F154" t="s">
        <v>36</v>
      </c>
      <c r="G154">
        <v>1436</v>
      </c>
      <c r="H154" t="s">
        <v>37</v>
      </c>
      <c r="I154">
        <v>6</v>
      </c>
      <c r="J154">
        <v>2</v>
      </c>
      <c r="K154" t="s">
        <v>55</v>
      </c>
      <c r="L154">
        <v>1</v>
      </c>
      <c r="M154">
        <v>2</v>
      </c>
      <c r="N154" t="s">
        <v>46</v>
      </c>
      <c r="O154">
        <v>34</v>
      </c>
      <c r="P154">
        <v>3</v>
      </c>
      <c r="Q154">
        <v>2</v>
      </c>
      <c r="R154" t="s">
        <v>47</v>
      </c>
      <c r="S154">
        <v>3</v>
      </c>
      <c r="T154" t="str" cm="1">
        <f t="array" ref="T154">_xlfn.IFS(S154&lt;=2,"Poor",S154&lt;=3,"Fair",S154&gt;=4,"Good")</f>
        <v>Fair</v>
      </c>
      <c r="U154" t="s">
        <v>48</v>
      </c>
      <c r="V154" s="1">
        <v>2306</v>
      </c>
      <c r="W154" t="str" cm="1">
        <f t="array" ref="W154">_xlfn.IFS(V154&lt;=5000,"Low Salary",V154&lt;=12000,"Good Salary",V154&gt;12000,"High Salary")</f>
        <v>Low Salary</v>
      </c>
      <c r="X154">
        <v>16047</v>
      </c>
      <c r="Y154">
        <v>2</v>
      </c>
      <c r="Z154" t="s">
        <v>42</v>
      </c>
      <c r="AA154" t="s">
        <v>43</v>
      </c>
      <c r="AB154">
        <v>20</v>
      </c>
      <c r="AC154">
        <v>4</v>
      </c>
      <c r="AD154" t="str">
        <f t="shared" si="5"/>
        <v>High Performance</v>
      </c>
      <c r="AE154">
        <v>4</v>
      </c>
      <c r="AF154">
        <v>80</v>
      </c>
      <c r="AG154">
        <v>1</v>
      </c>
      <c r="AH154">
        <v>13</v>
      </c>
      <c r="AI154">
        <v>3</v>
      </c>
      <c r="AJ154">
        <v>1</v>
      </c>
      <c r="AK154" t="str" cm="1">
        <f t="array" ref="AK154">_xlfn.IFS(AJ154&lt;=2,"Poor",AJ154&lt;=3,"Fair",AJ154&gt;3,"Good")</f>
        <v>Poor</v>
      </c>
      <c r="AL154">
        <v>7</v>
      </c>
      <c r="AM154">
        <v>7</v>
      </c>
      <c r="AN154">
        <v>4</v>
      </c>
      <c r="AO154">
        <v>5</v>
      </c>
    </row>
    <row r="155" spans="1:41" x14ac:dyDescent="0.2">
      <c r="A155">
        <v>1682385</v>
      </c>
      <c r="B155">
        <v>45</v>
      </c>
      <c r="C155" t="str" cm="1">
        <f t="array" ref="C155">_xlfn.IFS(B155&lt;=25,"15-25",B155&lt;=35,"26-35",B155&lt;=45,"36-45",B155&lt;=55,"46-55",B155&lt;=65,"56-65")</f>
        <v>36-45</v>
      </c>
      <c r="D155" t="s">
        <v>35</v>
      </c>
      <c r="E155" t="str">
        <f t="shared" si="4"/>
        <v>Current Employee</v>
      </c>
      <c r="F155" t="s">
        <v>36</v>
      </c>
      <c r="G155">
        <v>194</v>
      </c>
      <c r="H155" t="s">
        <v>45</v>
      </c>
      <c r="I155">
        <v>9</v>
      </c>
      <c r="J155">
        <v>3</v>
      </c>
      <c r="K155" t="s">
        <v>38</v>
      </c>
      <c r="L155">
        <v>1</v>
      </c>
      <c r="M155">
        <v>2</v>
      </c>
      <c r="N155" t="s">
        <v>46</v>
      </c>
      <c r="O155">
        <v>60</v>
      </c>
      <c r="P155">
        <v>3</v>
      </c>
      <c r="Q155">
        <v>2</v>
      </c>
      <c r="R155" t="s">
        <v>40</v>
      </c>
      <c r="S155">
        <v>2</v>
      </c>
      <c r="T155" t="str" cm="1">
        <f t="array" ref="T155">_xlfn.IFS(S155&lt;=2,"Poor",S155&lt;=3,"Fair",S155&gt;=4,"Good")</f>
        <v>Poor</v>
      </c>
      <c r="U155" t="s">
        <v>50</v>
      </c>
      <c r="V155" s="1">
        <v>2348</v>
      </c>
      <c r="W155" t="str" cm="1">
        <f t="array" ref="W155">_xlfn.IFS(V155&lt;=5000,"Low Salary",V155&lt;=12000,"Good Salary",V155&gt;12000,"High Salary")</f>
        <v>Low Salary</v>
      </c>
      <c r="X155">
        <v>10901</v>
      </c>
      <c r="Y155">
        <v>8</v>
      </c>
      <c r="Z155" t="s">
        <v>42</v>
      </c>
      <c r="AA155" t="s">
        <v>35</v>
      </c>
      <c r="AB155">
        <v>18</v>
      </c>
      <c r="AC155">
        <v>3</v>
      </c>
      <c r="AD155" t="str">
        <f t="shared" si="5"/>
        <v>Low Performance</v>
      </c>
      <c r="AE155">
        <v>3</v>
      </c>
      <c r="AF155">
        <v>80</v>
      </c>
      <c r="AG155">
        <v>1</v>
      </c>
      <c r="AH155">
        <v>20</v>
      </c>
      <c r="AI155">
        <v>2</v>
      </c>
      <c r="AJ155">
        <v>1</v>
      </c>
      <c r="AK155" t="str" cm="1">
        <f t="array" ref="AK155">_xlfn.IFS(AJ155&lt;=2,"Poor",AJ155&lt;=3,"Fair",AJ155&gt;3,"Good")</f>
        <v>Poor</v>
      </c>
      <c r="AL155">
        <v>17</v>
      </c>
      <c r="AM155">
        <v>9</v>
      </c>
      <c r="AN155">
        <v>0</v>
      </c>
      <c r="AO155">
        <v>15</v>
      </c>
    </row>
    <row r="156" spans="1:41" x14ac:dyDescent="0.2">
      <c r="A156">
        <v>1314990</v>
      </c>
      <c r="B156">
        <v>32</v>
      </c>
      <c r="C156" t="str" cm="1">
        <f t="array" ref="C156">_xlfn.IFS(B156&lt;=25,"15-25",B156&lt;=35,"26-35",B156&lt;=45,"36-45",B156&lt;=55,"46-55",B156&lt;=65,"56-65")</f>
        <v>26-35</v>
      </c>
      <c r="D156" t="s">
        <v>35</v>
      </c>
      <c r="E156" t="str">
        <f t="shared" si="4"/>
        <v>Current Employee</v>
      </c>
      <c r="F156" t="s">
        <v>44</v>
      </c>
      <c r="G156">
        <v>967</v>
      </c>
      <c r="H156" t="s">
        <v>37</v>
      </c>
      <c r="I156">
        <v>8</v>
      </c>
      <c r="J156">
        <v>3</v>
      </c>
      <c r="K156" t="s">
        <v>55</v>
      </c>
      <c r="L156">
        <v>1</v>
      </c>
      <c r="M156">
        <v>2</v>
      </c>
      <c r="N156" t="s">
        <v>39</v>
      </c>
      <c r="O156">
        <v>43</v>
      </c>
      <c r="P156">
        <v>3</v>
      </c>
      <c r="Q156">
        <v>3</v>
      </c>
      <c r="R156" t="s">
        <v>40</v>
      </c>
      <c r="S156">
        <v>4</v>
      </c>
      <c r="T156" t="str" cm="1">
        <f t="array" ref="T156">_xlfn.IFS(S156&lt;=2,"Poor",S156&lt;=3,"Fair",S156&gt;=4,"Good")</f>
        <v>Good</v>
      </c>
      <c r="U156" t="s">
        <v>41</v>
      </c>
      <c r="V156" s="1">
        <v>8998</v>
      </c>
      <c r="W156" t="str" cm="1">
        <f t="array" ref="W156">_xlfn.IFS(V156&lt;=5000,"Low Salary",V156&lt;=12000,"Good Salary",V156&gt;12000,"High Salary")</f>
        <v>Good Salary</v>
      </c>
      <c r="X156">
        <v>15589</v>
      </c>
      <c r="Y156">
        <v>1</v>
      </c>
      <c r="Z156" t="s">
        <v>42</v>
      </c>
      <c r="AA156" t="s">
        <v>35</v>
      </c>
      <c r="AB156">
        <v>14</v>
      </c>
      <c r="AC156">
        <v>3</v>
      </c>
      <c r="AD156" t="str">
        <f t="shared" si="5"/>
        <v>Low Performance</v>
      </c>
      <c r="AE156">
        <v>4</v>
      </c>
      <c r="AF156">
        <v>80</v>
      </c>
      <c r="AG156">
        <v>0</v>
      </c>
      <c r="AH156">
        <v>9</v>
      </c>
      <c r="AI156">
        <v>2</v>
      </c>
      <c r="AJ156">
        <v>3</v>
      </c>
      <c r="AK156" t="str" cm="1">
        <f t="array" ref="AK156">_xlfn.IFS(AJ156&lt;=2,"Poor",AJ156&lt;=3,"Fair",AJ156&gt;3,"Good")</f>
        <v>Fair</v>
      </c>
      <c r="AL156">
        <v>9</v>
      </c>
      <c r="AM156">
        <v>8</v>
      </c>
      <c r="AN156">
        <v>3</v>
      </c>
      <c r="AO156">
        <v>7</v>
      </c>
    </row>
    <row r="157" spans="1:41" x14ac:dyDescent="0.2">
      <c r="A157">
        <v>1157784</v>
      </c>
      <c r="B157">
        <v>29</v>
      </c>
      <c r="C157" t="str" cm="1">
        <f t="array" ref="C157">_xlfn.IFS(B157&lt;=25,"15-25",B157&lt;=35,"26-35",B157&lt;=45,"36-45",B157&lt;=55,"46-55",B157&lt;=65,"56-65")</f>
        <v>26-35</v>
      </c>
      <c r="D157" t="s">
        <v>35</v>
      </c>
      <c r="E157" t="str">
        <f t="shared" si="4"/>
        <v>Current Employee</v>
      </c>
      <c r="F157" t="s">
        <v>52</v>
      </c>
      <c r="G157">
        <v>1496</v>
      </c>
      <c r="H157" t="s">
        <v>54</v>
      </c>
      <c r="I157">
        <v>1</v>
      </c>
      <c r="J157">
        <v>1</v>
      </c>
      <c r="K157" t="s">
        <v>56</v>
      </c>
      <c r="L157">
        <v>1</v>
      </c>
      <c r="M157">
        <v>4</v>
      </c>
      <c r="N157" t="s">
        <v>46</v>
      </c>
      <c r="O157">
        <v>41</v>
      </c>
      <c r="P157">
        <v>3</v>
      </c>
      <c r="Q157">
        <v>2</v>
      </c>
      <c r="R157" t="s">
        <v>51</v>
      </c>
      <c r="S157">
        <v>3</v>
      </c>
      <c r="T157" t="str" cm="1">
        <f t="array" ref="T157">_xlfn.IFS(S157&lt;=2,"Poor",S157&lt;=3,"Fair",S157&gt;=4,"Good")</f>
        <v>Fair</v>
      </c>
      <c r="U157" t="s">
        <v>48</v>
      </c>
      <c r="V157" s="1">
        <v>4319</v>
      </c>
      <c r="W157" t="str" cm="1">
        <f t="array" ref="W157">_xlfn.IFS(V157&lt;=5000,"Low Salary",V157&lt;=12000,"Good Salary",V157&gt;12000,"High Salary")</f>
        <v>Low Salary</v>
      </c>
      <c r="X157">
        <v>26283</v>
      </c>
      <c r="Y157">
        <v>1</v>
      </c>
      <c r="Z157" t="s">
        <v>42</v>
      </c>
      <c r="AA157" t="s">
        <v>35</v>
      </c>
      <c r="AB157">
        <v>13</v>
      </c>
      <c r="AC157">
        <v>3</v>
      </c>
      <c r="AD157" t="str">
        <f t="shared" si="5"/>
        <v>Low Performance</v>
      </c>
      <c r="AE157">
        <v>1</v>
      </c>
      <c r="AF157">
        <v>80</v>
      </c>
      <c r="AG157">
        <v>1</v>
      </c>
      <c r="AH157">
        <v>10</v>
      </c>
      <c r="AI157">
        <v>1</v>
      </c>
      <c r="AJ157">
        <v>3</v>
      </c>
      <c r="AK157" t="str" cm="1">
        <f t="array" ref="AK157">_xlfn.IFS(AJ157&lt;=2,"Poor",AJ157&lt;=3,"Fair",AJ157&gt;3,"Good")</f>
        <v>Fair</v>
      </c>
      <c r="AL157">
        <v>10</v>
      </c>
      <c r="AM157">
        <v>7</v>
      </c>
      <c r="AN157">
        <v>0</v>
      </c>
      <c r="AO157">
        <v>9</v>
      </c>
    </row>
    <row r="158" spans="1:41" x14ac:dyDescent="0.2">
      <c r="A158">
        <v>1819484</v>
      </c>
      <c r="B158">
        <v>51</v>
      </c>
      <c r="C158" t="str" cm="1">
        <f t="array" ref="C158">_xlfn.IFS(B158&lt;=25,"15-25",B158&lt;=35,"26-35",B158&lt;=45,"36-45",B158&lt;=55,"46-55",B158&lt;=65,"56-65")</f>
        <v>46-55</v>
      </c>
      <c r="D158" t="s">
        <v>35</v>
      </c>
      <c r="E158" t="str">
        <f t="shared" si="4"/>
        <v>Current Employee</v>
      </c>
      <c r="F158" t="s">
        <v>36</v>
      </c>
      <c r="G158">
        <v>1169</v>
      </c>
      <c r="H158" t="s">
        <v>54</v>
      </c>
      <c r="I158">
        <v>7</v>
      </c>
      <c r="J158">
        <v>4</v>
      </c>
      <c r="K158" t="s">
        <v>49</v>
      </c>
      <c r="L158">
        <v>1</v>
      </c>
      <c r="M158">
        <v>2</v>
      </c>
      <c r="N158" t="s">
        <v>46</v>
      </c>
      <c r="O158">
        <v>34</v>
      </c>
      <c r="P158">
        <v>2</v>
      </c>
      <c r="Q158">
        <v>2</v>
      </c>
      <c r="R158" t="s">
        <v>51</v>
      </c>
      <c r="S158">
        <v>3</v>
      </c>
      <c r="T158" t="str" cm="1">
        <f t="array" ref="T158">_xlfn.IFS(S158&lt;=2,"Poor",S158&lt;=3,"Fair",S158&gt;=4,"Good")</f>
        <v>Fair</v>
      </c>
      <c r="U158" t="s">
        <v>48</v>
      </c>
      <c r="V158" s="1">
        <v>6132</v>
      </c>
      <c r="W158" t="str" cm="1">
        <f t="array" ref="W158">_xlfn.IFS(V158&lt;=5000,"Low Salary",V158&lt;=12000,"Good Salary",V158&gt;12000,"High Salary")</f>
        <v>Good Salary</v>
      </c>
      <c r="X158">
        <v>13983</v>
      </c>
      <c r="Y158">
        <v>2</v>
      </c>
      <c r="Z158" t="s">
        <v>42</v>
      </c>
      <c r="AA158" t="s">
        <v>35</v>
      </c>
      <c r="AB158">
        <v>17</v>
      </c>
      <c r="AC158">
        <v>3</v>
      </c>
      <c r="AD158" t="str">
        <f t="shared" si="5"/>
        <v>Low Performance</v>
      </c>
      <c r="AE158">
        <v>3</v>
      </c>
      <c r="AF158">
        <v>80</v>
      </c>
      <c r="AG158">
        <v>0</v>
      </c>
      <c r="AH158">
        <v>10</v>
      </c>
      <c r="AI158">
        <v>2</v>
      </c>
      <c r="AJ158">
        <v>3</v>
      </c>
      <c r="AK158" t="str" cm="1">
        <f t="array" ref="AK158">_xlfn.IFS(AJ158&lt;=2,"Poor",AJ158&lt;=3,"Fair",AJ158&gt;3,"Good")</f>
        <v>Fair</v>
      </c>
      <c r="AL158">
        <v>1</v>
      </c>
      <c r="AM158">
        <v>0</v>
      </c>
      <c r="AN158">
        <v>0</v>
      </c>
      <c r="AO158">
        <v>0</v>
      </c>
    </row>
    <row r="159" spans="1:41" x14ac:dyDescent="0.2">
      <c r="A159">
        <v>1172011</v>
      </c>
      <c r="B159">
        <v>58</v>
      </c>
      <c r="C159" t="str" cm="1">
        <f t="array" ref="C159">_xlfn.IFS(B159&lt;=25,"15-25",B159&lt;=35,"26-35",B159&lt;=45,"36-45",B159&lt;=55,"46-55",B159&lt;=65,"56-65")</f>
        <v>56-65</v>
      </c>
      <c r="D159" t="s">
        <v>35</v>
      </c>
      <c r="E159" t="str">
        <f t="shared" si="4"/>
        <v>Current Employee</v>
      </c>
      <c r="F159" t="s">
        <v>36</v>
      </c>
      <c r="G159">
        <v>1145</v>
      </c>
      <c r="H159" t="s">
        <v>45</v>
      </c>
      <c r="I159">
        <v>9</v>
      </c>
      <c r="J159">
        <v>3</v>
      </c>
      <c r="K159" t="s">
        <v>49</v>
      </c>
      <c r="L159">
        <v>1</v>
      </c>
      <c r="M159">
        <v>2</v>
      </c>
      <c r="N159" t="s">
        <v>39</v>
      </c>
      <c r="O159">
        <v>75</v>
      </c>
      <c r="P159">
        <v>2</v>
      </c>
      <c r="Q159">
        <v>1</v>
      </c>
      <c r="R159" t="s">
        <v>47</v>
      </c>
      <c r="S159">
        <v>2</v>
      </c>
      <c r="T159" t="str" cm="1">
        <f t="array" ref="T159">_xlfn.IFS(S159&lt;=2,"Poor",S159&lt;=3,"Fair",S159&gt;=4,"Good")</f>
        <v>Poor</v>
      </c>
      <c r="U159" t="s">
        <v>48</v>
      </c>
      <c r="V159" s="1">
        <v>3346</v>
      </c>
      <c r="W159" t="str" cm="1">
        <f t="array" ref="W159">_xlfn.IFS(V159&lt;=5000,"Low Salary",V159&lt;=12000,"Good Salary",V159&gt;12000,"High Salary")</f>
        <v>Low Salary</v>
      </c>
      <c r="X159">
        <v>11873</v>
      </c>
      <c r="Y159">
        <v>4</v>
      </c>
      <c r="Z159" t="s">
        <v>42</v>
      </c>
      <c r="AA159" t="s">
        <v>43</v>
      </c>
      <c r="AB159">
        <v>20</v>
      </c>
      <c r="AC159">
        <v>4</v>
      </c>
      <c r="AD159" t="str">
        <f t="shared" si="5"/>
        <v>High Performance</v>
      </c>
      <c r="AE159">
        <v>2</v>
      </c>
      <c r="AF159">
        <v>80</v>
      </c>
      <c r="AG159">
        <v>1</v>
      </c>
      <c r="AH159">
        <v>9</v>
      </c>
      <c r="AI159">
        <v>3</v>
      </c>
      <c r="AJ159">
        <v>2</v>
      </c>
      <c r="AK159" t="str" cm="1">
        <f t="array" ref="AK159">_xlfn.IFS(AJ159&lt;=2,"Poor",AJ159&lt;=3,"Fair",AJ159&gt;3,"Good")</f>
        <v>Poor</v>
      </c>
      <c r="AL159">
        <v>1</v>
      </c>
      <c r="AM159">
        <v>0</v>
      </c>
      <c r="AN159">
        <v>0</v>
      </c>
      <c r="AO159">
        <v>0</v>
      </c>
    </row>
    <row r="160" spans="1:41" x14ac:dyDescent="0.2">
      <c r="A160">
        <v>1562685</v>
      </c>
      <c r="B160">
        <v>40</v>
      </c>
      <c r="C160" t="str" cm="1">
        <f t="array" ref="C160">_xlfn.IFS(B160&lt;=25,"15-25",B160&lt;=35,"26-35",B160&lt;=45,"36-45",B160&lt;=55,"46-55",B160&lt;=65,"56-65")</f>
        <v>36-45</v>
      </c>
      <c r="D160" t="s">
        <v>35</v>
      </c>
      <c r="E160" t="str">
        <f t="shared" si="4"/>
        <v>Current Employee</v>
      </c>
      <c r="F160" t="s">
        <v>36</v>
      </c>
      <c r="G160">
        <v>630</v>
      </c>
      <c r="H160" t="s">
        <v>37</v>
      </c>
      <c r="I160">
        <v>4</v>
      </c>
      <c r="J160">
        <v>4</v>
      </c>
      <c r="K160" t="s">
        <v>55</v>
      </c>
      <c r="L160">
        <v>1</v>
      </c>
      <c r="M160">
        <v>3</v>
      </c>
      <c r="N160" t="s">
        <v>46</v>
      </c>
      <c r="O160">
        <v>67</v>
      </c>
      <c r="P160">
        <v>2</v>
      </c>
      <c r="Q160">
        <v>3</v>
      </c>
      <c r="R160" t="s">
        <v>40</v>
      </c>
      <c r="S160">
        <v>4</v>
      </c>
      <c r="T160" t="str" cm="1">
        <f t="array" ref="T160">_xlfn.IFS(S160&lt;=2,"Poor",S160&lt;=3,"Fair",S160&gt;=4,"Good")</f>
        <v>Good</v>
      </c>
      <c r="U160" t="s">
        <v>48</v>
      </c>
      <c r="V160" s="1">
        <v>10855</v>
      </c>
      <c r="W160" t="str" cm="1">
        <f t="array" ref="W160">_xlfn.IFS(V160&lt;=5000,"Low Salary",V160&lt;=12000,"Good Salary",V160&gt;12000,"High Salary")</f>
        <v>Good Salary</v>
      </c>
      <c r="X160">
        <v>8552</v>
      </c>
      <c r="Y160">
        <v>7</v>
      </c>
      <c r="Z160" t="s">
        <v>42</v>
      </c>
      <c r="AA160" t="s">
        <v>35</v>
      </c>
      <c r="AB160">
        <v>11</v>
      </c>
      <c r="AC160">
        <v>3</v>
      </c>
      <c r="AD160" t="str">
        <f t="shared" si="5"/>
        <v>Low Performance</v>
      </c>
      <c r="AE160">
        <v>1</v>
      </c>
      <c r="AF160">
        <v>80</v>
      </c>
      <c r="AG160">
        <v>1</v>
      </c>
      <c r="AH160">
        <v>15</v>
      </c>
      <c r="AI160">
        <v>2</v>
      </c>
      <c r="AJ160">
        <v>2</v>
      </c>
      <c r="AK160" t="str" cm="1">
        <f t="array" ref="AK160">_xlfn.IFS(AJ160&lt;=2,"Poor",AJ160&lt;=3,"Fair",AJ160&gt;3,"Good")</f>
        <v>Poor</v>
      </c>
      <c r="AL160">
        <v>12</v>
      </c>
      <c r="AM160">
        <v>11</v>
      </c>
      <c r="AN160">
        <v>2</v>
      </c>
      <c r="AO160">
        <v>11</v>
      </c>
    </row>
    <row r="161" spans="1:41" x14ac:dyDescent="0.2">
      <c r="A161">
        <v>1404919</v>
      </c>
      <c r="B161">
        <v>34</v>
      </c>
      <c r="C161" t="str" cm="1">
        <f t="array" ref="C161">_xlfn.IFS(B161&lt;=25,"15-25",B161&lt;=35,"26-35",B161&lt;=45,"36-45",B161&lt;=55,"46-55",B161&lt;=65,"56-65")</f>
        <v>26-35</v>
      </c>
      <c r="D161" t="s">
        <v>35</v>
      </c>
      <c r="E161" t="str">
        <f t="shared" si="4"/>
        <v>Current Employee</v>
      </c>
      <c r="F161" t="s">
        <v>44</v>
      </c>
      <c r="G161">
        <v>303</v>
      </c>
      <c r="H161" t="s">
        <v>37</v>
      </c>
      <c r="I161">
        <v>2</v>
      </c>
      <c r="J161">
        <v>4</v>
      </c>
      <c r="K161" t="s">
        <v>55</v>
      </c>
      <c r="L161">
        <v>1</v>
      </c>
      <c r="M161">
        <v>3</v>
      </c>
      <c r="N161" t="s">
        <v>39</v>
      </c>
      <c r="O161">
        <v>75</v>
      </c>
      <c r="P161">
        <v>3</v>
      </c>
      <c r="Q161">
        <v>1</v>
      </c>
      <c r="R161" t="s">
        <v>47</v>
      </c>
      <c r="S161">
        <v>3</v>
      </c>
      <c r="T161" t="str" cm="1">
        <f t="array" ref="T161">_xlfn.IFS(S161&lt;=2,"Poor",S161&lt;=3,"Fair",S161&gt;=4,"Good")</f>
        <v>Fair</v>
      </c>
      <c r="U161" t="s">
        <v>48</v>
      </c>
      <c r="V161" s="1">
        <v>2231</v>
      </c>
      <c r="W161" t="str" cm="1">
        <f t="array" ref="W161">_xlfn.IFS(V161&lt;=5000,"Low Salary",V161&lt;=12000,"Good Salary",V161&gt;12000,"High Salary")</f>
        <v>Low Salary</v>
      </c>
      <c r="X161">
        <v>11314</v>
      </c>
      <c r="Y161">
        <v>6</v>
      </c>
      <c r="Z161" t="s">
        <v>42</v>
      </c>
      <c r="AA161" t="s">
        <v>35</v>
      </c>
      <c r="AB161">
        <v>18</v>
      </c>
      <c r="AC161">
        <v>3</v>
      </c>
      <c r="AD161" t="str">
        <f t="shared" si="5"/>
        <v>Low Performance</v>
      </c>
      <c r="AE161">
        <v>4</v>
      </c>
      <c r="AF161">
        <v>80</v>
      </c>
      <c r="AG161">
        <v>1</v>
      </c>
      <c r="AH161">
        <v>6</v>
      </c>
      <c r="AI161">
        <v>3</v>
      </c>
      <c r="AJ161">
        <v>3</v>
      </c>
      <c r="AK161" t="str" cm="1">
        <f t="array" ref="AK161">_xlfn.IFS(AJ161&lt;=2,"Poor",AJ161&lt;=3,"Fair",AJ161&gt;3,"Good")</f>
        <v>Fair</v>
      </c>
      <c r="AL161">
        <v>4</v>
      </c>
      <c r="AM161">
        <v>3</v>
      </c>
      <c r="AN161">
        <v>1</v>
      </c>
      <c r="AO161">
        <v>2</v>
      </c>
    </row>
    <row r="162" spans="1:41" x14ac:dyDescent="0.2">
      <c r="A162">
        <v>1751538</v>
      </c>
      <c r="B162">
        <v>22</v>
      </c>
      <c r="C162" t="str" cm="1">
        <f t="array" ref="C162">_xlfn.IFS(B162&lt;=25,"15-25",B162&lt;=35,"26-35",B162&lt;=45,"36-45",B162&lt;=55,"46-55",B162&lt;=65,"56-65")</f>
        <v>15-25</v>
      </c>
      <c r="D162" t="s">
        <v>35</v>
      </c>
      <c r="E162" t="str">
        <f t="shared" si="4"/>
        <v>Current Employee</v>
      </c>
      <c r="F162" t="s">
        <v>36</v>
      </c>
      <c r="G162">
        <v>1256</v>
      </c>
      <c r="H162" t="s">
        <v>45</v>
      </c>
      <c r="I162">
        <v>19</v>
      </c>
      <c r="J162">
        <v>1</v>
      </c>
      <c r="K162" t="s">
        <v>49</v>
      </c>
      <c r="L162">
        <v>1</v>
      </c>
      <c r="M162">
        <v>3</v>
      </c>
      <c r="N162" t="s">
        <v>46</v>
      </c>
      <c r="O162">
        <v>80</v>
      </c>
      <c r="P162">
        <v>3</v>
      </c>
      <c r="Q162">
        <v>1</v>
      </c>
      <c r="R162" t="s">
        <v>47</v>
      </c>
      <c r="S162">
        <v>4</v>
      </c>
      <c r="T162" t="str" cm="1">
        <f t="array" ref="T162">_xlfn.IFS(S162&lt;=2,"Poor",S162&lt;=3,"Fair",S162&gt;=4,"Good")</f>
        <v>Good</v>
      </c>
      <c r="U162" t="s">
        <v>48</v>
      </c>
      <c r="V162" s="1">
        <v>2323</v>
      </c>
      <c r="W162" t="str" cm="1">
        <f t="array" ref="W162">_xlfn.IFS(V162&lt;=5000,"Low Salary",V162&lt;=12000,"Good Salary",V162&gt;12000,"High Salary")</f>
        <v>Low Salary</v>
      </c>
      <c r="X162">
        <v>11992</v>
      </c>
      <c r="Y162">
        <v>1</v>
      </c>
      <c r="Z162" t="s">
        <v>42</v>
      </c>
      <c r="AA162" t="s">
        <v>35</v>
      </c>
      <c r="AB162">
        <v>24</v>
      </c>
      <c r="AC162">
        <v>4</v>
      </c>
      <c r="AD162" t="str">
        <f t="shared" si="5"/>
        <v>High Performance</v>
      </c>
      <c r="AE162">
        <v>1</v>
      </c>
      <c r="AF162">
        <v>80</v>
      </c>
      <c r="AG162">
        <v>2</v>
      </c>
      <c r="AH162">
        <v>2</v>
      </c>
      <c r="AI162">
        <v>6</v>
      </c>
      <c r="AJ162">
        <v>3</v>
      </c>
      <c r="AK162" t="str" cm="1">
        <f t="array" ref="AK162">_xlfn.IFS(AJ162&lt;=2,"Poor",AJ162&lt;=3,"Fair",AJ162&gt;3,"Good")</f>
        <v>Fair</v>
      </c>
      <c r="AL162">
        <v>2</v>
      </c>
      <c r="AM162">
        <v>2</v>
      </c>
      <c r="AN162">
        <v>2</v>
      </c>
      <c r="AO162">
        <v>2</v>
      </c>
    </row>
    <row r="163" spans="1:41" x14ac:dyDescent="0.2">
      <c r="A163">
        <v>1883822</v>
      </c>
      <c r="B163">
        <v>27</v>
      </c>
      <c r="C163" t="str" cm="1">
        <f t="array" ref="C163">_xlfn.IFS(B163&lt;=25,"15-25",B163&lt;=35,"26-35",B163&lt;=45,"36-45",B163&lt;=55,"46-55",B163&lt;=65,"56-65")</f>
        <v>26-35</v>
      </c>
      <c r="D163" t="s">
        <v>35</v>
      </c>
      <c r="E163" t="str">
        <f t="shared" si="4"/>
        <v>Current Employee</v>
      </c>
      <c r="F163" t="s">
        <v>52</v>
      </c>
      <c r="G163">
        <v>691</v>
      </c>
      <c r="H163" t="s">
        <v>45</v>
      </c>
      <c r="I163">
        <v>9</v>
      </c>
      <c r="J163">
        <v>3</v>
      </c>
      <c r="K163" t="s">
        <v>49</v>
      </c>
      <c r="L163">
        <v>1</v>
      </c>
      <c r="M163">
        <v>4</v>
      </c>
      <c r="N163" t="s">
        <v>46</v>
      </c>
      <c r="O163">
        <v>57</v>
      </c>
      <c r="P163">
        <v>3</v>
      </c>
      <c r="Q163">
        <v>1</v>
      </c>
      <c r="R163" t="s">
        <v>47</v>
      </c>
      <c r="S163">
        <v>2</v>
      </c>
      <c r="T163" t="str" cm="1">
        <f t="array" ref="T163">_xlfn.IFS(S163&lt;=2,"Poor",S163&lt;=3,"Fair",S163&gt;=4,"Good")</f>
        <v>Poor</v>
      </c>
      <c r="U163" t="s">
        <v>50</v>
      </c>
      <c r="V163" s="1">
        <v>2024</v>
      </c>
      <c r="W163" t="str" cm="1">
        <f t="array" ref="W163">_xlfn.IFS(V163&lt;=5000,"Low Salary",V163&lt;=12000,"Good Salary",V163&gt;12000,"High Salary")</f>
        <v>Low Salary</v>
      </c>
      <c r="X163">
        <v>5970</v>
      </c>
      <c r="Y163">
        <v>6</v>
      </c>
      <c r="Z163" t="s">
        <v>42</v>
      </c>
      <c r="AA163" t="s">
        <v>35</v>
      </c>
      <c r="AB163">
        <v>18</v>
      </c>
      <c r="AC163">
        <v>3</v>
      </c>
      <c r="AD163" t="str">
        <f t="shared" si="5"/>
        <v>Low Performance</v>
      </c>
      <c r="AE163">
        <v>4</v>
      </c>
      <c r="AF163">
        <v>80</v>
      </c>
      <c r="AG163">
        <v>1</v>
      </c>
      <c r="AH163">
        <v>6</v>
      </c>
      <c r="AI163">
        <v>1</v>
      </c>
      <c r="AJ163">
        <v>1</v>
      </c>
      <c r="AK163" t="str" cm="1">
        <f t="array" ref="AK163">_xlfn.IFS(AJ163&lt;=2,"Poor",AJ163&lt;=3,"Fair",AJ163&gt;3,"Good")</f>
        <v>Poor</v>
      </c>
      <c r="AL163">
        <v>2</v>
      </c>
      <c r="AM163">
        <v>2</v>
      </c>
      <c r="AN163">
        <v>2</v>
      </c>
      <c r="AO163">
        <v>2</v>
      </c>
    </row>
    <row r="164" spans="1:41" x14ac:dyDescent="0.2">
      <c r="A164">
        <v>1460812</v>
      </c>
      <c r="B164">
        <v>28</v>
      </c>
      <c r="C164" t="str" cm="1">
        <f t="array" ref="C164">_xlfn.IFS(B164&lt;=25,"15-25",B164&lt;=35,"26-35",B164&lt;=45,"36-45",B164&lt;=55,"46-55",B164&lt;=65,"56-65")</f>
        <v>26-35</v>
      </c>
      <c r="D164" t="s">
        <v>35</v>
      </c>
      <c r="E164" t="str">
        <f t="shared" si="4"/>
        <v>Current Employee</v>
      </c>
      <c r="F164" t="s">
        <v>36</v>
      </c>
      <c r="G164">
        <v>440</v>
      </c>
      <c r="H164" t="s">
        <v>45</v>
      </c>
      <c r="I164">
        <v>21</v>
      </c>
      <c r="J164">
        <v>3</v>
      </c>
      <c r="K164" t="s">
        <v>49</v>
      </c>
      <c r="L164">
        <v>1</v>
      </c>
      <c r="M164">
        <v>3</v>
      </c>
      <c r="N164" t="s">
        <v>46</v>
      </c>
      <c r="O164">
        <v>42</v>
      </c>
      <c r="P164">
        <v>3</v>
      </c>
      <c r="Q164">
        <v>1</v>
      </c>
      <c r="R164" t="s">
        <v>47</v>
      </c>
      <c r="S164">
        <v>4</v>
      </c>
      <c r="T164" t="str" cm="1">
        <f t="array" ref="T164">_xlfn.IFS(S164&lt;=2,"Poor",S164&lt;=3,"Fair",S164&gt;=4,"Good")</f>
        <v>Good</v>
      </c>
      <c r="U164" t="s">
        <v>48</v>
      </c>
      <c r="V164" s="1">
        <v>2713</v>
      </c>
      <c r="W164" t="str" cm="1">
        <f t="array" ref="W164">_xlfn.IFS(V164&lt;=5000,"Low Salary",V164&lt;=12000,"Good Salary",V164&gt;12000,"High Salary")</f>
        <v>Low Salary</v>
      </c>
      <c r="X164">
        <v>6672</v>
      </c>
      <c r="Y164">
        <v>1</v>
      </c>
      <c r="Z164" t="s">
        <v>42</v>
      </c>
      <c r="AA164" t="s">
        <v>35</v>
      </c>
      <c r="AB164">
        <v>11</v>
      </c>
      <c r="AC164">
        <v>3</v>
      </c>
      <c r="AD164" t="str">
        <f t="shared" si="5"/>
        <v>Low Performance</v>
      </c>
      <c r="AE164">
        <v>3</v>
      </c>
      <c r="AF164">
        <v>80</v>
      </c>
      <c r="AG164">
        <v>1</v>
      </c>
      <c r="AH164">
        <v>5</v>
      </c>
      <c r="AI164">
        <v>2</v>
      </c>
      <c r="AJ164">
        <v>1</v>
      </c>
      <c r="AK164" t="str" cm="1">
        <f t="array" ref="AK164">_xlfn.IFS(AJ164&lt;=2,"Poor",AJ164&lt;=3,"Fair",AJ164&gt;3,"Good")</f>
        <v>Poor</v>
      </c>
      <c r="AL164">
        <v>5</v>
      </c>
      <c r="AM164">
        <v>2</v>
      </c>
      <c r="AN164">
        <v>0</v>
      </c>
      <c r="AO164">
        <v>2</v>
      </c>
    </row>
    <row r="165" spans="1:41" x14ac:dyDescent="0.2">
      <c r="A165">
        <v>1303708</v>
      </c>
      <c r="B165">
        <v>57</v>
      </c>
      <c r="C165" t="str" cm="1">
        <f t="array" ref="C165">_xlfn.IFS(B165&lt;=25,"15-25",B165&lt;=35,"26-35",B165&lt;=45,"36-45",B165&lt;=55,"46-55",B165&lt;=65,"56-65")</f>
        <v>56-65</v>
      </c>
      <c r="D165" t="s">
        <v>35</v>
      </c>
      <c r="E165" t="str">
        <f t="shared" si="4"/>
        <v>Current Employee</v>
      </c>
      <c r="F165" t="s">
        <v>36</v>
      </c>
      <c r="G165">
        <v>334</v>
      </c>
      <c r="H165" t="s">
        <v>45</v>
      </c>
      <c r="I165">
        <v>24</v>
      </c>
      <c r="J165">
        <v>2</v>
      </c>
      <c r="K165" t="s">
        <v>38</v>
      </c>
      <c r="L165">
        <v>1</v>
      </c>
      <c r="M165">
        <v>3</v>
      </c>
      <c r="N165" t="s">
        <v>46</v>
      </c>
      <c r="O165">
        <v>83</v>
      </c>
      <c r="P165">
        <v>4</v>
      </c>
      <c r="Q165">
        <v>3</v>
      </c>
      <c r="R165" t="s">
        <v>40</v>
      </c>
      <c r="S165">
        <v>4</v>
      </c>
      <c r="T165" t="str" cm="1">
        <f t="array" ref="T165">_xlfn.IFS(S165&lt;=2,"Poor",S165&lt;=3,"Fair",S165&gt;=4,"Good")</f>
        <v>Good</v>
      </c>
      <c r="U165" t="s">
        <v>50</v>
      </c>
      <c r="V165" s="1">
        <v>9439</v>
      </c>
      <c r="W165" t="str" cm="1">
        <f t="array" ref="W165">_xlfn.IFS(V165&lt;=5000,"Low Salary",V165&lt;=12000,"Good Salary",V165&gt;12000,"High Salary")</f>
        <v>Good Salary</v>
      </c>
      <c r="X165">
        <v>23402</v>
      </c>
      <c r="Y165">
        <v>3</v>
      </c>
      <c r="Z165" t="s">
        <v>42</v>
      </c>
      <c r="AA165" t="s">
        <v>43</v>
      </c>
      <c r="AB165">
        <v>16</v>
      </c>
      <c r="AC165">
        <v>3</v>
      </c>
      <c r="AD165" t="str">
        <f t="shared" si="5"/>
        <v>Low Performance</v>
      </c>
      <c r="AE165">
        <v>2</v>
      </c>
      <c r="AF165">
        <v>80</v>
      </c>
      <c r="AG165">
        <v>1</v>
      </c>
      <c r="AH165">
        <v>12</v>
      </c>
      <c r="AI165">
        <v>2</v>
      </c>
      <c r="AJ165">
        <v>1</v>
      </c>
      <c r="AK165" t="str" cm="1">
        <f t="array" ref="AK165">_xlfn.IFS(AJ165&lt;=2,"Poor",AJ165&lt;=3,"Fair",AJ165&gt;3,"Good")</f>
        <v>Poor</v>
      </c>
      <c r="AL165">
        <v>5</v>
      </c>
      <c r="AM165">
        <v>3</v>
      </c>
      <c r="AN165">
        <v>1</v>
      </c>
      <c r="AO165">
        <v>4</v>
      </c>
    </row>
    <row r="166" spans="1:41" x14ac:dyDescent="0.2">
      <c r="A166">
        <v>1224013</v>
      </c>
      <c r="B166">
        <v>27</v>
      </c>
      <c r="C166" t="str" cm="1">
        <f t="array" ref="C166">_xlfn.IFS(B166&lt;=25,"15-25",B166&lt;=35,"26-35",B166&lt;=45,"36-45",B166&lt;=55,"46-55",B166&lt;=65,"56-65")</f>
        <v>26-35</v>
      </c>
      <c r="D166" t="s">
        <v>43</v>
      </c>
      <c r="E166" t="str">
        <f t="shared" si="4"/>
        <v>Former Employee</v>
      </c>
      <c r="F166" t="s">
        <v>52</v>
      </c>
      <c r="G166">
        <v>1450</v>
      </c>
      <c r="H166" t="s">
        <v>45</v>
      </c>
      <c r="I166">
        <v>3</v>
      </c>
      <c r="J166">
        <v>3</v>
      </c>
      <c r="K166" t="s">
        <v>49</v>
      </c>
      <c r="L166">
        <v>1</v>
      </c>
      <c r="M166">
        <v>3</v>
      </c>
      <c r="N166" t="s">
        <v>46</v>
      </c>
      <c r="O166">
        <v>79</v>
      </c>
      <c r="P166">
        <v>2</v>
      </c>
      <c r="Q166">
        <v>1</v>
      </c>
      <c r="R166" t="s">
        <v>47</v>
      </c>
      <c r="S166">
        <v>3</v>
      </c>
      <c r="T166" t="str" cm="1">
        <f t="array" ref="T166">_xlfn.IFS(S166&lt;=2,"Poor",S166&lt;=3,"Fair",S166&gt;=4,"Good")</f>
        <v>Fair</v>
      </c>
      <c r="U166" t="s">
        <v>50</v>
      </c>
      <c r="V166" s="1">
        <v>2566</v>
      </c>
      <c r="W166" t="str" cm="1">
        <f t="array" ref="W166">_xlfn.IFS(V166&lt;=5000,"Low Salary",V166&lt;=12000,"Good Salary",V166&gt;12000,"High Salary")</f>
        <v>Low Salary</v>
      </c>
      <c r="X166">
        <v>25326</v>
      </c>
      <c r="Y166">
        <v>1</v>
      </c>
      <c r="Z166" t="s">
        <v>42</v>
      </c>
      <c r="AA166" t="s">
        <v>43</v>
      </c>
      <c r="AB166">
        <v>15</v>
      </c>
      <c r="AC166">
        <v>3</v>
      </c>
      <c r="AD166" t="str">
        <f t="shared" si="5"/>
        <v>Low Performance</v>
      </c>
      <c r="AE166">
        <v>4</v>
      </c>
      <c r="AF166">
        <v>80</v>
      </c>
      <c r="AG166">
        <v>1</v>
      </c>
      <c r="AH166">
        <v>1</v>
      </c>
      <c r="AI166">
        <v>2</v>
      </c>
      <c r="AJ166">
        <v>2</v>
      </c>
      <c r="AK166" t="str" cm="1">
        <f t="array" ref="AK166">_xlfn.IFS(AJ166&lt;=2,"Poor",AJ166&lt;=3,"Fair",AJ166&gt;3,"Good")</f>
        <v>Poor</v>
      </c>
      <c r="AL166">
        <v>1</v>
      </c>
      <c r="AM166">
        <v>1</v>
      </c>
      <c r="AN166">
        <v>0</v>
      </c>
      <c r="AO166">
        <v>1</v>
      </c>
    </row>
    <row r="167" spans="1:41" x14ac:dyDescent="0.2">
      <c r="A167">
        <v>1495862</v>
      </c>
      <c r="B167">
        <v>50</v>
      </c>
      <c r="C167" t="str" cm="1">
        <f t="array" ref="C167">_xlfn.IFS(B167&lt;=25,"15-25",B167&lt;=35,"26-35",B167&lt;=45,"36-45",B167&lt;=55,"46-55",B167&lt;=65,"56-65")</f>
        <v>46-55</v>
      </c>
      <c r="D167" t="s">
        <v>35</v>
      </c>
      <c r="E167" t="str">
        <f t="shared" si="4"/>
        <v>Current Employee</v>
      </c>
      <c r="F167" t="s">
        <v>36</v>
      </c>
      <c r="G167">
        <v>1452</v>
      </c>
      <c r="H167" t="s">
        <v>54</v>
      </c>
      <c r="I167">
        <v>11</v>
      </c>
      <c r="J167">
        <v>3</v>
      </c>
      <c r="K167" t="s">
        <v>38</v>
      </c>
      <c r="L167">
        <v>1</v>
      </c>
      <c r="M167">
        <v>3</v>
      </c>
      <c r="N167" t="s">
        <v>39</v>
      </c>
      <c r="O167">
        <v>53</v>
      </c>
      <c r="P167">
        <v>3</v>
      </c>
      <c r="Q167">
        <v>5</v>
      </c>
      <c r="R167" t="s">
        <v>47</v>
      </c>
      <c r="S167">
        <v>2</v>
      </c>
      <c r="T167" t="str" cm="1">
        <f t="array" ref="T167">_xlfn.IFS(S167&lt;=2,"Poor",S167&lt;=3,"Fair",S167&gt;=4,"Good")</f>
        <v>Poor</v>
      </c>
      <c r="U167" t="s">
        <v>41</v>
      </c>
      <c r="V167" s="1">
        <v>19926</v>
      </c>
      <c r="W167" t="str" cm="1">
        <f t="array" ref="W167">_xlfn.IFS(V167&lt;=5000,"Low Salary",V167&lt;=12000,"Good Salary",V167&gt;12000,"High Salary")</f>
        <v>High Salary</v>
      </c>
      <c r="X167">
        <v>17053</v>
      </c>
      <c r="Y167">
        <v>3</v>
      </c>
      <c r="Z167" t="s">
        <v>42</v>
      </c>
      <c r="AA167" t="s">
        <v>35</v>
      </c>
      <c r="AB167">
        <v>15</v>
      </c>
      <c r="AC167">
        <v>3</v>
      </c>
      <c r="AD167" t="str">
        <f t="shared" si="5"/>
        <v>Low Performance</v>
      </c>
      <c r="AE167">
        <v>2</v>
      </c>
      <c r="AF167">
        <v>80</v>
      </c>
      <c r="AG167">
        <v>0</v>
      </c>
      <c r="AH167">
        <v>21</v>
      </c>
      <c r="AI167">
        <v>5</v>
      </c>
      <c r="AJ167">
        <v>3</v>
      </c>
      <c r="AK167" t="str" cm="1">
        <f t="array" ref="AK167">_xlfn.IFS(AJ167&lt;=2,"Poor",AJ167&lt;=3,"Fair",AJ167&gt;3,"Good")</f>
        <v>Fair</v>
      </c>
      <c r="AL167">
        <v>5</v>
      </c>
      <c r="AM167">
        <v>4</v>
      </c>
      <c r="AN167">
        <v>4</v>
      </c>
      <c r="AO167">
        <v>4</v>
      </c>
    </row>
    <row r="168" spans="1:41" x14ac:dyDescent="0.2">
      <c r="A168">
        <v>1379450</v>
      </c>
      <c r="B168">
        <v>41</v>
      </c>
      <c r="C168" t="str" cm="1">
        <f t="array" ref="C168">_xlfn.IFS(B168&lt;=25,"15-25",B168&lt;=35,"26-35",B168&lt;=45,"36-45",B168&lt;=55,"46-55",B168&lt;=65,"56-65")</f>
        <v>36-45</v>
      </c>
      <c r="D168" t="s">
        <v>35</v>
      </c>
      <c r="E168" t="str">
        <f t="shared" si="4"/>
        <v>Current Employee</v>
      </c>
      <c r="F168" t="s">
        <v>36</v>
      </c>
      <c r="G168">
        <v>465</v>
      </c>
      <c r="H168" t="s">
        <v>45</v>
      </c>
      <c r="I168">
        <v>14</v>
      </c>
      <c r="J168">
        <v>3</v>
      </c>
      <c r="K168" t="s">
        <v>38</v>
      </c>
      <c r="L168">
        <v>1</v>
      </c>
      <c r="M168">
        <v>1</v>
      </c>
      <c r="N168" t="s">
        <v>46</v>
      </c>
      <c r="O168">
        <v>56</v>
      </c>
      <c r="P168">
        <v>3</v>
      </c>
      <c r="Q168">
        <v>1</v>
      </c>
      <c r="R168" t="s">
        <v>47</v>
      </c>
      <c r="S168">
        <v>3</v>
      </c>
      <c r="T168" t="str" cm="1">
        <f t="array" ref="T168">_xlfn.IFS(S168&lt;=2,"Poor",S168&lt;=3,"Fair",S168&gt;=4,"Good")</f>
        <v>Fair</v>
      </c>
      <c r="U168" t="s">
        <v>50</v>
      </c>
      <c r="V168" s="1">
        <v>2451</v>
      </c>
      <c r="W168" t="str" cm="1">
        <f t="array" ref="W168">_xlfn.IFS(V168&lt;=5000,"Low Salary",V168&lt;=12000,"Good Salary",V168&gt;12000,"High Salary")</f>
        <v>Low Salary</v>
      </c>
      <c r="X168">
        <v>4609</v>
      </c>
      <c r="Y168">
        <v>4</v>
      </c>
      <c r="Z168" t="s">
        <v>42</v>
      </c>
      <c r="AA168" t="s">
        <v>35</v>
      </c>
      <c r="AB168">
        <v>12</v>
      </c>
      <c r="AC168">
        <v>3</v>
      </c>
      <c r="AD168" t="str">
        <f t="shared" si="5"/>
        <v>Low Performance</v>
      </c>
      <c r="AE168">
        <v>1</v>
      </c>
      <c r="AF168">
        <v>80</v>
      </c>
      <c r="AG168">
        <v>1</v>
      </c>
      <c r="AH168">
        <v>13</v>
      </c>
      <c r="AI168">
        <v>2</v>
      </c>
      <c r="AJ168">
        <v>3</v>
      </c>
      <c r="AK168" t="str" cm="1">
        <f t="array" ref="AK168">_xlfn.IFS(AJ168&lt;=2,"Poor",AJ168&lt;=3,"Fair",AJ168&gt;3,"Good")</f>
        <v>Fair</v>
      </c>
      <c r="AL168">
        <v>9</v>
      </c>
      <c r="AM168">
        <v>8</v>
      </c>
      <c r="AN168">
        <v>1</v>
      </c>
      <c r="AO168">
        <v>8</v>
      </c>
    </row>
    <row r="169" spans="1:41" x14ac:dyDescent="0.2">
      <c r="A169">
        <v>1138977</v>
      </c>
      <c r="B169">
        <v>30</v>
      </c>
      <c r="C169" t="str" cm="1">
        <f t="array" ref="C169">_xlfn.IFS(B169&lt;=25,"15-25",B169&lt;=35,"26-35",B169&lt;=45,"36-45",B169&lt;=55,"46-55",B169&lt;=65,"56-65")</f>
        <v>26-35</v>
      </c>
      <c r="D169" t="s">
        <v>35</v>
      </c>
      <c r="E169" t="str">
        <f t="shared" si="4"/>
        <v>Current Employee</v>
      </c>
      <c r="F169" t="s">
        <v>36</v>
      </c>
      <c r="G169">
        <v>1339</v>
      </c>
      <c r="H169" t="s">
        <v>37</v>
      </c>
      <c r="I169">
        <v>5</v>
      </c>
      <c r="J169">
        <v>3</v>
      </c>
      <c r="K169" t="s">
        <v>38</v>
      </c>
      <c r="L169">
        <v>1</v>
      </c>
      <c r="M169">
        <v>2</v>
      </c>
      <c r="N169" t="s">
        <v>39</v>
      </c>
      <c r="O169">
        <v>41</v>
      </c>
      <c r="P169">
        <v>3</v>
      </c>
      <c r="Q169">
        <v>3</v>
      </c>
      <c r="R169" t="s">
        <v>40</v>
      </c>
      <c r="S169">
        <v>4</v>
      </c>
      <c r="T169" t="str" cm="1">
        <f t="array" ref="T169">_xlfn.IFS(S169&lt;=2,"Poor",S169&lt;=3,"Fair",S169&gt;=4,"Good")</f>
        <v>Good</v>
      </c>
      <c r="U169" t="s">
        <v>48</v>
      </c>
      <c r="V169" s="1">
        <v>9419</v>
      </c>
      <c r="W169" t="str" cm="1">
        <f t="array" ref="W169">_xlfn.IFS(V169&lt;=5000,"Low Salary",V169&lt;=12000,"Good Salary",V169&gt;12000,"High Salary")</f>
        <v>Good Salary</v>
      </c>
      <c r="X169">
        <v>8053</v>
      </c>
      <c r="Y169">
        <v>2</v>
      </c>
      <c r="Z169" t="s">
        <v>42</v>
      </c>
      <c r="AA169" t="s">
        <v>35</v>
      </c>
      <c r="AB169">
        <v>12</v>
      </c>
      <c r="AC169">
        <v>3</v>
      </c>
      <c r="AD169" t="str">
        <f t="shared" si="5"/>
        <v>Low Performance</v>
      </c>
      <c r="AE169">
        <v>3</v>
      </c>
      <c r="AF169">
        <v>80</v>
      </c>
      <c r="AG169">
        <v>1</v>
      </c>
      <c r="AH169">
        <v>12</v>
      </c>
      <c r="AI169">
        <v>2</v>
      </c>
      <c r="AJ169">
        <v>3</v>
      </c>
      <c r="AK169" t="str" cm="1">
        <f t="array" ref="AK169">_xlfn.IFS(AJ169&lt;=2,"Poor",AJ169&lt;=3,"Fair",AJ169&gt;3,"Good")</f>
        <v>Fair</v>
      </c>
      <c r="AL169">
        <v>10</v>
      </c>
      <c r="AM169">
        <v>9</v>
      </c>
      <c r="AN169">
        <v>7</v>
      </c>
      <c r="AO169">
        <v>4</v>
      </c>
    </row>
    <row r="170" spans="1:41" x14ac:dyDescent="0.2">
      <c r="A170">
        <v>1726077</v>
      </c>
      <c r="B170">
        <v>38</v>
      </c>
      <c r="C170" t="str" cm="1">
        <f t="array" ref="C170">_xlfn.IFS(B170&lt;=25,"15-25",B170&lt;=35,"26-35",B170&lt;=45,"36-45",B170&lt;=55,"46-55",B170&lt;=65,"56-65")</f>
        <v>36-45</v>
      </c>
      <c r="D170" t="s">
        <v>35</v>
      </c>
      <c r="E170" t="str">
        <f t="shared" si="4"/>
        <v>Current Employee</v>
      </c>
      <c r="F170" t="s">
        <v>36</v>
      </c>
      <c r="G170">
        <v>702</v>
      </c>
      <c r="H170" t="s">
        <v>37</v>
      </c>
      <c r="I170">
        <v>1</v>
      </c>
      <c r="J170">
        <v>4</v>
      </c>
      <c r="K170" t="s">
        <v>38</v>
      </c>
      <c r="L170">
        <v>1</v>
      </c>
      <c r="M170">
        <v>1</v>
      </c>
      <c r="N170" t="s">
        <v>39</v>
      </c>
      <c r="O170">
        <v>59</v>
      </c>
      <c r="P170">
        <v>2</v>
      </c>
      <c r="Q170">
        <v>2</v>
      </c>
      <c r="R170" t="s">
        <v>40</v>
      </c>
      <c r="S170">
        <v>4</v>
      </c>
      <c r="T170" t="str" cm="1">
        <f t="array" ref="T170">_xlfn.IFS(S170&lt;=2,"Poor",S170&lt;=3,"Fair",S170&gt;=4,"Good")</f>
        <v>Good</v>
      </c>
      <c r="U170" t="s">
        <v>41</v>
      </c>
      <c r="V170" s="1">
        <v>8686</v>
      </c>
      <c r="W170" t="str" cm="1">
        <f t="array" ref="W170">_xlfn.IFS(V170&lt;=5000,"Low Salary",V170&lt;=12000,"Good Salary",V170&gt;12000,"High Salary")</f>
        <v>Good Salary</v>
      </c>
      <c r="X170">
        <v>12930</v>
      </c>
      <c r="Y170">
        <v>4</v>
      </c>
      <c r="Z170" t="s">
        <v>42</v>
      </c>
      <c r="AA170" t="s">
        <v>35</v>
      </c>
      <c r="AB170">
        <v>22</v>
      </c>
      <c r="AC170">
        <v>4</v>
      </c>
      <c r="AD170" t="str">
        <f t="shared" si="5"/>
        <v>High Performance</v>
      </c>
      <c r="AE170">
        <v>3</v>
      </c>
      <c r="AF170">
        <v>80</v>
      </c>
      <c r="AG170">
        <v>0</v>
      </c>
      <c r="AH170">
        <v>12</v>
      </c>
      <c r="AI170">
        <v>2</v>
      </c>
      <c r="AJ170">
        <v>4</v>
      </c>
      <c r="AK170" t="str" cm="1">
        <f t="array" ref="AK170">_xlfn.IFS(AJ170&lt;=2,"Poor",AJ170&lt;=3,"Fair",AJ170&gt;3,"Good")</f>
        <v>Good</v>
      </c>
      <c r="AL170">
        <v>8</v>
      </c>
      <c r="AM170">
        <v>3</v>
      </c>
      <c r="AN170">
        <v>0</v>
      </c>
      <c r="AO170">
        <v>7</v>
      </c>
    </row>
    <row r="171" spans="1:41" x14ac:dyDescent="0.2">
      <c r="A171">
        <v>1101855</v>
      </c>
      <c r="B171">
        <v>32</v>
      </c>
      <c r="C171" t="str" cm="1">
        <f t="array" ref="C171">_xlfn.IFS(B171&lt;=25,"15-25",B171&lt;=35,"26-35",B171&lt;=45,"36-45",B171&lt;=55,"46-55",B171&lt;=65,"56-65")</f>
        <v>26-35</v>
      </c>
      <c r="D171" t="s">
        <v>35</v>
      </c>
      <c r="E171" t="str">
        <f t="shared" si="4"/>
        <v>Current Employee</v>
      </c>
      <c r="F171" t="s">
        <v>36</v>
      </c>
      <c r="G171">
        <v>120</v>
      </c>
      <c r="H171" t="s">
        <v>45</v>
      </c>
      <c r="I171">
        <v>6</v>
      </c>
      <c r="J171">
        <v>5</v>
      </c>
      <c r="K171" t="s">
        <v>38</v>
      </c>
      <c r="L171">
        <v>1</v>
      </c>
      <c r="M171">
        <v>3</v>
      </c>
      <c r="N171" t="s">
        <v>46</v>
      </c>
      <c r="O171">
        <v>43</v>
      </c>
      <c r="P171">
        <v>3</v>
      </c>
      <c r="Q171">
        <v>1</v>
      </c>
      <c r="R171" t="s">
        <v>47</v>
      </c>
      <c r="S171">
        <v>3</v>
      </c>
      <c r="T171" t="str" cm="1">
        <f t="array" ref="T171">_xlfn.IFS(S171&lt;=2,"Poor",S171&lt;=3,"Fair",S171&gt;=4,"Good")</f>
        <v>Fair</v>
      </c>
      <c r="U171" t="s">
        <v>41</v>
      </c>
      <c r="V171" s="1">
        <v>3038</v>
      </c>
      <c r="W171" t="str" cm="1">
        <f t="array" ref="W171">_xlfn.IFS(V171&lt;=5000,"Low Salary",V171&lt;=12000,"Good Salary",V171&gt;12000,"High Salary")</f>
        <v>Low Salary</v>
      </c>
      <c r="X171">
        <v>12430</v>
      </c>
      <c r="Y171">
        <v>3</v>
      </c>
      <c r="Z171" t="s">
        <v>42</v>
      </c>
      <c r="AA171" t="s">
        <v>35</v>
      </c>
      <c r="AB171">
        <v>20</v>
      </c>
      <c r="AC171">
        <v>4</v>
      </c>
      <c r="AD171" t="str">
        <f t="shared" si="5"/>
        <v>High Performance</v>
      </c>
      <c r="AE171">
        <v>1</v>
      </c>
      <c r="AF171">
        <v>80</v>
      </c>
      <c r="AG171">
        <v>0</v>
      </c>
      <c r="AH171">
        <v>8</v>
      </c>
      <c r="AI171">
        <v>2</v>
      </c>
      <c r="AJ171">
        <v>3</v>
      </c>
      <c r="AK171" t="str" cm="1">
        <f t="array" ref="AK171">_xlfn.IFS(AJ171&lt;=2,"Poor",AJ171&lt;=3,"Fair",AJ171&gt;3,"Good")</f>
        <v>Fair</v>
      </c>
      <c r="AL171">
        <v>5</v>
      </c>
      <c r="AM171">
        <v>4</v>
      </c>
      <c r="AN171">
        <v>1</v>
      </c>
      <c r="AO171">
        <v>4</v>
      </c>
    </row>
    <row r="172" spans="1:41" x14ac:dyDescent="0.2">
      <c r="A172">
        <v>1715001</v>
      </c>
      <c r="B172">
        <v>27</v>
      </c>
      <c r="C172" t="str" cm="1">
        <f t="array" ref="C172">_xlfn.IFS(B172&lt;=25,"15-25",B172&lt;=35,"26-35",B172&lt;=45,"36-45",B172&lt;=55,"46-55",B172&lt;=65,"56-65")</f>
        <v>26-35</v>
      </c>
      <c r="D172" t="s">
        <v>35</v>
      </c>
      <c r="E172" t="str">
        <f t="shared" si="4"/>
        <v>Current Employee</v>
      </c>
      <c r="F172" t="s">
        <v>36</v>
      </c>
      <c r="G172">
        <v>1157</v>
      </c>
      <c r="H172" t="s">
        <v>45</v>
      </c>
      <c r="I172">
        <v>17</v>
      </c>
      <c r="J172">
        <v>3</v>
      </c>
      <c r="K172" t="s">
        <v>56</v>
      </c>
      <c r="L172">
        <v>1</v>
      </c>
      <c r="M172">
        <v>3</v>
      </c>
      <c r="N172" t="s">
        <v>46</v>
      </c>
      <c r="O172">
        <v>51</v>
      </c>
      <c r="P172">
        <v>3</v>
      </c>
      <c r="Q172">
        <v>1</v>
      </c>
      <c r="R172" t="s">
        <v>47</v>
      </c>
      <c r="S172">
        <v>2</v>
      </c>
      <c r="T172" t="str" cm="1">
        <f t="array" ref="T172">_xlfn.IFS(S172&lt;=2,"Poor",S172&lt;=3,"Fair",S172&gt;=4,"Good")</f>
        <v>Poor</v>
      </c>
      <c r="U172" t="s">
        <v>48</v>
      </c>
      <c r="V172" s="1">
        <v>3058</v>
      </c>
      <c r="W172" t="str" cm="1">
        <f t="array" ref="W172">_xlfn.IFS(V172&lt;=5000,"Low Salary",V172&lt;=12000,"Good Salary",V172&gt;12000,"High Salary")</f>
        <v>Low Salary</v>
      </c>
      <c r="X172">
        <v>13364</v>
      </c>
      <c r="Y172">
        <v>0</v>
      </c>
      <c r="Z172" t="s">
        <v>42</v>
      </c>
      <c r="AA172" t="s">
        <v>43</v>
      </c>
      <c r="AB172">
        <v>16</v>
      </c>
      <c r="AC172">
        <v>3</v>
      </c>
      <c r="AD172" t="str">
        <f t="shared" si="5"/>
        <v>Low Performance</v>
      </c>
      <c r="AE172">
        <v>4</v>
      </c>
      <c r="AF172">
        <v>80</v>
      </c>
      <c r="AG172">
        <v>1</v>
      </c>
      <c r="AH172">
        <v>6</v>
      </c>
      <c r="AI172">
        <v>3</v>
      </c>
      <c r="AJ172">
        <v>2</v>
      </c>
      <c r="AK172" t="str" cm="1">
        <f t="array" ref="AK172">_xlfn.IFS(AJ172&lt;=2,"Poor",AJ172&lt;=3,"Fair",AJ172&gt;3,"Good")</f>
        <v>Poor</v>
      </c>
      <c r="AL172">
        <v>5</v>
      </c>
      <c r="AM172">
        <v>2</v>
      </c>
      <c r="AN172">
        <v>1</v>
      </c>
      <c r="AO172">
        <v>1</v>
      </c>
    </row>
    <row r="173" spans="1:41" x14ac:dyDescent="0.2">
      <c r="A173">
        <v>1820041</v>
      </c>
      <c r="B173">
        <v>19</v>
      </c>
      <c r="C173" t="str" cm="1">
        <f t="array" ref="C173">_xlfn.IFS(B173&lt;=25,"15-25",B173&lt;=35,"26-35",B173&lt;=45,"36-45",B173&lt;=55,"46-55",B173&lt;=65,"56-65")</f>
        <v>15-25</v>
      </c>
      <c r="D173" t="s">
        <v>43</v>
      </c>
      <c r="E173" t="str">
        <f t="shared" si="4"/>
        <v>Former Employee</v>
      </c>
      <c r="F173" t="s">
        <v>44</v>
      </c>
      <c r="G173">
        <v>602</v>
      </c>
      <c r="H173" t="s">
        <v>37</v>
      </c>
      <c r="I173">
        <v>1</v>
      </c>
      <c r="J173">
        <v>1</v>
      </c>
      <c r="K173" t="s">
        <v>56</v>
      </c>
      <c r="L173">
        <v>1</v>
      </c>
      <c r="M173">
        <v>3</v>
      </c>
      <c r="N173" t="s">
        <v>39</v>
      </c>
      <c r="O173">
        <v>100</v>
      </c>
      <c r="P173">
        <v>1</v>
      </c>
      <c r="Q173">
        <v>1</v>
      </c>
      <c r="R173" t="s">
        <v>47</v>
      </c>
      <c r="S173">
        <v>1</v>
      </c>
      <c r="T173" t="str" cm="1">
        <f t="array" ref="T173">_xlfn.IFS(S173&lt;=2,"Poor",S173&lt;=3,"Fair",S173&gt;=4,"Good")</f>
        <v>Poor</v>
      </c>
      <c r="U173" t="s">
        <v>41</v>
      </c>
      <c r="V173" s="1">
        <v>2325</v>
      </c>
      <c r="W173" t="str" cm="1">
        <f t="array" ref="W173">_xlfn.IFS(V173&lt;=5000,"Low Salary",V173&lt;=12000,"Good Salary",V173&gt;12000,"High Salary")</f>
        <v>Low Salary</v>
      </c>
      <c r="X173">
        <v>20989</v>
      </c>
      <c r="Y173">
        <v>0</v>
      </c>
      <c r="Z173" t="s">
        <v>42</v>
      </c>
      <c r="AA173" t="s">
        <v>35</v>
      </c>
      <c r="AB173">
        <v>21</v>
      </c>
      <c r="AC173">
        <v>4</v>
      </c>
      <c r="AD173" t="str">
        <f t="shared" si="5"/>
        <v>High Performance</v>
      </c>
      <c r="AE173">
        <v>1</v>
      </c>
      <c r="AF173">
        <v>80</v>
      </c>
      <c r="AG173">
        <v>0</v>
      </c>
      <c r="AH173">
        <v>1</v>
      </c>
      <c r="AI173">
        <v>5</v>
      </c>
      <c r="AJ173">
        <v>4</v>
      </c>
      <c r="AK173" t="str" cm="1">
        <f t="array" ref="AK173">_xlfn.IFS(AJ173&lt;=2,"Poor",AJ173&lt;=3,"Fair",AJ173&gt;3,"Good")</f>
        <v>Good</v>
      </c>
      <c r="AL173">
        <v>0</v>
      </c>
      <c r="AM173">
        <v>0</v>
      </c>
      <c r="AN173">
        <v>0</v>
      </c>
      <c r="AO173">
        <v>0</v>
      </c>
    </row>
    <row r="174" spans="1:41" x14ac:dyDescent="0.2">
      <c r="A174">
        <v>1540435</v>
      </c>
      <c r="B174">
        <v>36</v>
      </c>
      <c r="C174" t="str" cm="1">
        <f t="array" ref="C174">_xlfn.IFS(B174&lt;=25,"15-25",B174&lt;=35,"26-35",B174&lt;=45,"36-45",B174&lt;=55,"46-55",B174&lt;=65,"56-65")</f>
        <v>36-45</v>
      </c>
      <c r="D174" t="s">
        <v>35</v>
      </c>
      <c r="E174" t="str">
        <f t="shared" si="4"/>
        <v>Current Employee</v>
      </c>
      <c r="F174" t="s">
        <v>44</v>
      </c>
      <c r="G174">
        <v>1480</v>
      </c>
      <c r="H174" t="s">
        <v>45</v>
      </c>
      <c r="I174">
        <v>3</v>
      </c>
      <c r="J174">
        <v>2</v>
      </c>
      <c r="K174" t="s">
        <v>49</v>
      </c>
      <c r="L174">
        <v>1</v>
      </c>
      <c r="M174">
        <v>4</v>
      </c>
      <c r="N174" t="s">
        <v>46</v>
      </c>
      <c r="O174">
        <v>30</v>
      </c>
      <c r="P174">
        <v>3</v>
      </c>
      <c r="Q174">
        <v>1</v>
      </c>
      <c r="R174" t="s">
        <v>40</v>
      </c>
      <c r="S174">
        <v>2</v>
      </c>
      <c r="T174" t="str" cm="1">
        <f t="array" ref="T174">_xlfn.IFS(S174&lt;=2,"Poor",S174&lt;=3,"Fair",S174&gt;=4,"Good")</f>
        <v>Poor</v>
      </c>
      <c r="U174" t="s">
        <v>41</v>
      </c>
      <c r="V174" s="1">
        <v>2088</v>
      </c>
      <c r="W174" t="str" cm="1">
        <f t="array" ref="W174">_xlfn.IFS(V174&lt;=5000,"Low Salary",V174&lt;=12000,"Good Salary",V174&gt;12000,"High Salary")</f>
        <v>Low Salary</v>
      </c>
      <c r="X174">
        <v>15062</v>
      </c>
      <c r="Y174">
        <v>4</v>
      </c>
      <c r="Z174" t="s">
        <v>42</v>
      </c>
      <c r="AA174" t="s">
        <v>35</v>
      </c>
      <c r="AB174">
        <v>12</v>
      </c>
      <c r="AC174">
        <v>3</v>
      </c>
      <c r="AD174" t="str">
        <f t="shared" si="5"/>
        <v>Low Performance</v>
      </c>
      <c r="AE174">
        <v>3</v>
      </c>
      <c r="AF174">
        <v>80</v>
      </c>
      <c r="AG174">
        <v>0</v>
      </c>
      <c r="AH174">
        <v>13</v>
      </c>
      <c r="AI174">
        <v>3</v>
      </c>
      <c r="AJ174">
        <v>2</v>
      </c>
      <c r="AK174" t="str" cm="1">
        <f t="array" ref="AK174">_xlfn.IFS(AJ174&lt;=2,"Poor",AJ174&lt;=3,"Fair",AJ174&gt;3,"Good")</f>
        <v>Poor</v>
      </c>
      <c r="AL174">
        <v>8</v>
      </c>
      <c r="AM174">
        <v>7</v>
      </c>
      <c r="AN174">
        <v>7</v>
      </c>
      <c r="AO174">
        <v>2</v>
      </c>
    </row>
    <row r="175" spans="1:41" x14ac:dyDescent="0.2">
      <c r="A175">
        <v>1340085</v>
      </c>
      <c r="B175">
        <v>30</v>
      </c>
      <c r="C175" t="str" cm="1">
        <f t="array" ref="C175">_xlfn.IFS(B175&lt;=25,"15-25",B175&lt;=35,"26-35",B175&lt;=45,"36-45",B175&lt;=55,"46-55",B175&lt;=65,"56-65")</f>
        <v>26-35</v>
      </c>
      <c r="D175" t="s">
        <v>35</v>
      </c>
      <c r="E175" t="str">
        <f t="shared" si="4"/>
        <v>Current Employee</v>
      </c>
      <c r="F175" t="s">
        <v>52</v>
      </c>
      <c r="G175">
        <v>111</v>
      </c>
      <c r="H175" t="s">
        <v>45</v>
      </c>
      <c r="I175">
        <v>9</v>
      </c>
      <c r="J175">
        <v>3</v>
      </c>
      <c r="K175" t="s">
        <v>49</v>
      </c>
      <c r="L175">
        <v>1</v>
      </c>
      <c r="M175">
        <v>3</v>
      </c>
      <c r="N175" t="s">
        <v>46</v>
      </c>
      <c r="O175">
        <v>66</v>
      </c>
      <c r="P175">
        <v>3</v>
      </c>
      <c r="Q175">
        <v>2</v>
      </c>
      <c r="R175" t="s">
        <v>40</v>
      </c>
      <c r="S175">
        <v>1</v>
      </c>
      <c r="T175" t="str" cm="1">
        <f t="array" ref="T175">_xlfn.IFS(S175&lt;=2,"Poor",S175&lt;=3,"Fair",S175&gt;=4,"Good")</f>
        <v>Poor</v>
      </c>
      <c r="U175" t="s">
        <v>50</v>
      </c>
      <c r="V175" s="1">
        <v>3072</v>
      </c>
      <c r="W175" t="str" cm="1">
        <f t="array" ref="W175">_xlfn.IFS(V175&lt;=5000,"Low Salary",V175&lt;=12000,"Good Salary",V175&gt;12000,"High Salary")</f>
        <v>Low Salary</v>
      </c>
      <c r="X175">
        <v>11012</v>
      </c>
      <c r="Y175">
        <v>1</v>
      </c>
      <c r="Z175" t="s">
        <v>42</v>
      </c>
      <c r="AA175" t="s">
        <v>35</v>
      </c>
      <c r="AB175">
        <v>11</v>
      </c>
      <c r="AC175">
        <v>3</v>
      </c>
      <c r="AD175" t="str">
        <f t="shared" si="5"/>
        <v>Low Performance</v>
      </c>
      <c r="AE175">
        <v>3</v>
      </c>
      <c r="AF175">
        <v>80</v>
      </c>
      <c r="AG175">
        <v>2</v>
      </c>
      <c r="AH175">
        <v>12</v>
      </c>
      <c r="AI175">
        <v>4</v>
      </c>
      <c r="AJ175">
        <v>3</v>
      </c>
      <c r="AK175" t="str" cm="1">
        <f t="array" ref="AK175">_xlfn.IFS(AJ175&lt;=2,"Poor",AJ175&lt;=3,"Fair",AJ175&gt;3,"Good")</f>
        <v>Fair</v>
      </c>
      <c r="AL175">
        <v>12</v>
      </c>
      <c r="AM175">
        <v>9</v>
      </c>
      <c r="AN175">
        <v>6</v>
      </c>
      <c r="AO175">
        <v>10</v>
      </c>
    </row>
    <row r="176" spans="1:41" x14ac:dyDescent="0.2">
      <c r="A176">
        <v>1319352</v>
      </c>
      <c r="B176">
        <v>45</v>
      </c>
      <c r="C176" t="str" cm="1">
        <f t="array" ref="C176">_xlfn.IFS(B176&lt;=25,"15-25",B176&lt;=35,"26-35",B176&lt;=45,"36-45",B176&lt;=55,"46-55",B176&lt;=65,"56-65")</f>
        <v>36-45</v>
      </c>
      <c r="D176" t="s">
        <v>35</v>
      </c>
      <c r="E176" t="str">
        <f t="shared" si="4"/>
        <v>Current Employee</v>
      </c>
      <c r="F176" t="s">
        <v>36</v>
      </c>
      <c r="G176">
        <v>1268</v>
      </c>
      <c r="H176" t="s">
        <v>37</v>
      </c>
      <c r="I176">
        <v>4</v>
      </c>
      <c r="J176">
        <v>2</v>
      </c>
      <c r="K176" t="s">
        <v>38</v>
      </c>
      <c r="L176">
        <v>1</v>
      </c>
      <c r="M176">
        <v>3</v>
      </c>
      <c r="N176" t="s">
        <v>39</v>
      </c>
      <c r="O176">
        <v>30</v>
      </c>
      <c r="P176">
        <v>3</v>
      </c>
      <c r="Q176">
        <v>2</v>
      </c>
      <c r="R176" t="s">
        <v>40</v>
      </c>
      <c r="S176">
        <v>1</v>
      </c>
      <c r="T176" t="str" cm="1">
        <f t="array" ref="T176">_xlfn.IFS(S176&lt;=2,"Poor",S176&lt;=3,"Fair",S176&gt;=4,"Good")</f>
        <v>Poor</v>
      </c>
      <c r="U176" t="s">
        <v>50</v>
      </c>
      <c r="V176" s="1">
        <v>5006</v>
      </c>
      <c r="W176" t="str" cm="1">
        <f t="array" ref="W176">_xlfn.IFS(V176&lt;=5000,"Low Salary",V176&lt;=12000,"Good Salary",V176&gt;12000,"High Salary")</f>
        <v>Good Salary</v>
      </c>
      <c r="X176">
        <v>6319</v>
      </c>
      <c r="Y176">
        <v>4</v>
      </c>
      <c r="Z176" t="s">
        <v>42</v>
      </c>
      <c r="AA176" t="s">
        <v>43</v>
      </c>
      <c r="AB176">
        <v>11</v>
      </c>
      <c r="AC176">
        <v>3</v>
      </c>
      <c r="AD176" t="str">
        <f t="shared" si="5"/>
        <v>Low Performance</v>
      </c>
      <c r="AE176">
        <v>1</v>
      </c>
      <c r="AF176">
        <v>80</v>
      </c>
      <c r="AG176">
        <v>1</v>
      </c>
      <c r="AH176">
        <v>9</v>
      </c>
      <c r="AI176">
        <v>3</v>
      </c>
      <c r="AJ176">
        <v>4</v>
      </c>
      <c r="AK176" t="str" cm="1">
        <f t="array" ref="AK176">_xlfn.IFS(AJ176&lt;=2,"Poor",AJ176&lt;=3,"Fair",AJ176&gt;3,"Good")</f>
        <v>Good</v>
      </c>
      <c r="AL176">
        <v>5</v>
      </c>
      <c r="AM176">
        <v>4</v>
      </c>
      <c r="AN176">
        <v>0</v>
      </c>
      <c r="AO176">
        <v>3</v>
      </c>
    </row>
    <row r="177" spans="1:41" x14ac:dyDescent="0.2">
      <c r="A177">
        <v>1722423</v>
      </c>
      <c r="B177">
        <v>56</v>
      </c>
      <c r="C177" t="str" cm="1">
        <f t="array" ref="C177">_xlfn.IFS(B177&lt;=25,"15-25",B177&lt;=35,"26-35",B177&lt;=45,"36-45",B177&lt;=55,"46-55",B177&lt;=65,"56-65")</f>
        <v>56-65</v>
      </c>
      <c r="D177" t="s">
        <v>35</v>
      </c>
      <c r="E177" t="str">
        <f t="shared" si="4"/>
        <v>Current Employee</v>
      </c>
      <c r="F177" t="s">
        <v>36</v>
      </c>
      <c r="G177">
        <v>713</v>
      </c>
      <c r="H177" t="s">
        <v>45</v>
      </c>
      <c r="I177">
        <v>8</v>
      </c>
      <c r="J177">
        <v>3</v>
      </c>
      <c r="K177" t="s">
        <v>38</v>
      </c>
      <c r="L177">
        <v>1</v>
      </c>
      <c r="M177">
        <v>3</v>
      </c>
      <c r="N177" t="s">
        <v>39</v>
      </c>
      <c r="O177">
        <v>67</v>
      </c>
      <c r="P177">
        <v>3</v>
      </c>
      <c r="Q177">
        <v>1</v>
      </c>
      <c r="R177" t="s">
        <v>47</v>
      </c>
      <c r="S177">
        <v>1</v>
      </c>
      <c r="T177" t="str" cm="1">
        <f t="array" ref="T177">_xlfn.IFS(S177&lt;=2,"Poor",S177&lt;=3,"Fair",S177&gt;=4,"Good")</f>
        <v>Poor</v>
      </c>
      <c r="U177" t="s">
        <v>50</v>
      </c>
      <c r="V177" s="1">
        <v>4257</v>
      </c>
      <c r="W177" t="str" cm="1">
        <f t="array" ref="W177">_xlfn.IFS(V177&lt;=5000,"Low Salary",V177&lt;=12000,"Good Salary",V177&gt;12000,"High Salary")</f>
        <v>Low Salary</v>
      </c>
      <c r="X177">
        <v>13939</v>
      </c>
      <c r="Y177">
        <v>4</v>
      </c>
      <c r="Z177" t="s">
        <v>42</v>
      </c>
      <c r="AA177" t="s">
        <v>43</v>
      </c>
      <c r="AB177">
        <v>18</v>
      </c>
      <c r="AC177">
        <v>3</v>
      </c>
      <c r="AD177" t="str">
        <f t="shared" si="5"/>
        <v>Low Performance</v>
      </c>
      <c r="AE177">
        <v>3</v>
      </c>
      <c r="AF177">
        <v>80</v>
      </c>
      <c r="AG177">
        <v>1</v>
      </c>
      <c r="AH177">
        <v>19</v>
      </c>
      <c r="AI177">
        <v>3</v>
      </c>
      <c r="AJ177">
        <v>3</v>
      </c>
      <c r="AK177" t="str" cm="1">
        <f t="array" ref="AK177">_xlfn.IFS(AJ177&lt;=2,"Poor",AJ177&lt;=3,"Fair",AJ177&gt;3,"Good")</f>
        <v>Fair</v>
      </c>
      <c r="AL177">
        <v>2</v>
      </c>
      <c r="AM177">
        <v>2</v>
      </c>
      <c r="AN177">
        <v>2</v>
      </c>
      <c r="AO177">
        <v>2</v>
      </c>
    </row>
    <row r="178" spans="1:41" x14ac:dyDescent="0.2">
      <c r="A178">
        <v>1853558</v>
      </c>
      <c r="B178">
        <v>33</v>
      </c>
      <c r="C178" t="str" cm="1">
        <f t="array" ref="C178">_xlfn.IFS(B178&lt;=25,"15-25",B178&lt;=35,"26-35",B178&lt;=45,"36-45",B178&lt;=55,"46-55",B178&lt;=65,"56-65")</f>
        <v>26-35</v>
      </c>
      <c r="D178" t="s">
        <v>35</v>
      </c>
      <c r="E178" t="str">
        <f t="shared" si="4"/>
        <v>Current Employee</v>
      </c>
      <c r="F178" t="s">
        <v>36</v>
      </c>
      <c r="G178">
        <v>134</v>
      </c>
      <c r="H178" t="s">
        <v>45</v>
      </c>
      <c r="I178">
        <v>2</v>
      </c>
      <c r="J178">
        <v>3</v>
      </c>
      <c r="K178" t="s">
        <v>38</v>
      </c>
      <c r="L178">
        <v>1</v>
      </c>
      <c r="M178">
        <v>3</v>
      </c>
      <c r="N178" t="s">
        <v>46</v>
      </c>
      <c r="O178">
        <v>90</v>
      </c>
      <c r="P178">
        <v>3</v>
      </c>
      <c r="Q178">
        <v>1</v>
      </c>
      <c r="R178" t="s">
        <v>47</v>
      </c>
      <c r="S178">
        <v>4</v>
      </c>
      <c r="T178" t="str" cm="1">
        <f t="array" ref="T178">_xlfn.IFS(S178&lt;=2,"Poor",S178&lt;=3,"Fair",S178&gt;=4,"Good")</f>
        <v>Good</v>
      </c>
      <c r="U178" t="s">
        <v>41</v>
      </c>
      <c r="V178" s="1">
        <v>2500</v>
      </c>
      <c r="W178" t="str" cm="1">
        <f t="array" ref="W178">_xlfn.IFS(V178&lt;=5000,"Low Salary",V178&lt;=12000,"Good Salary",V178&gt;12000,"High Salary")</f>
        <v>Low Salary</v>
      </c>
      <c r="X178">
        <v>10515</v>
      </c>
      <c r="Y178">
        <v>0</v>
      </c>
      <c r="Z178" t="s">
        <v>42</v>
      </c>
      <c r="AA178" t="s">
        <v>35</v>
      </c>
      <c r="AB178">
        <v>14</v>
      </c>
      <c r="AC178">
        <v>3</v>
      </c>
      <c r="AD178" t="str">
        <f t="shared" si="5"/>
        <v>Low Performance</v>
      </c>
      <c r="AE178">
        <v>1</v>
      </c>
      <c r="AF178">
        <v>80</v>
      </c>
      <c r="AG178">
        <v>0</v>
      </c>
      <c r="AH178">
        <v>4</v>
      </c>
      <c r="AI178">
        <v>2</v>
      </c>
      <c r="AJ178">
        <v>4</v>
      </c>
      <c r="AK178" t="str" cm="1">
        <f t="array" ref="AK178">_xlfn.IFS(AJ178&lt;=2,"Poor",AJ178&lt;=3,"Fair",AJ178&gt;3,"Good")</f>
        <v>Good</v>
      </c>
      <c r="AL178">
        <v>3</v>
      </c>
      <c r="AM178">
        <v>1</v>
      </c>
      <c r="AN178">
        <v>0</v>
      </c>
      <c r="AO178">
        <v>2</v>
      </c>
    </row>
    <row r="179" spans="1:41" x14ac:dyDescent="0.2">
      <c r="A179">
        <v>1517594</v>
      </c>
      <c r="B179">
        <v>19</v>
      </c>
      <c r="C179" t="str" cm="1">
        <f t="array" ref="C179">_xlfn.IFS(B179&lt;=25,"15-25",B179&lt;=35,"26-35",B179&lt;=45,"36-45",B179&lt;=55,"46-55",B179&lt;=65,"56-65")</f>
        <v>15-25</v>
      </c>
      <c r="D179" t="s">
        <v>43</v>
      </c>
      <c r="E179" t="str">
        <f t="shared" si="4"/>
        <v>Former Employee</v>
      </c>
      <c r="F179" t="s">
        <v>36</v>
      </c>
      <c r="G179">
        <v>303</v>
      </c>
      <c r="H179" t="s">
        <v>45</v>
      </c>
      <c r="I179">
        <v>2</v>
      </c>
      <c r="J179">
        <v>3</v>
      </c>
      <c r="K179" t="s">
        <v>38</v>
      </c>
      <c r="L179">
        <v>1</v>
      </c>
      <c r="M179">
        <v>2</v>
      </c>
      <c r="N179" t="s">
        <v>46</v>
      </c>
      <c r="O179">
        <v>47</v>
      </c>
      <c r="P179">
        <v>2</v>
      </c>
      <c r="Q179">
        <v>1</v>
      </c>
      <c r="R179" t="s">
        <v>40</v>
      </c>
      <c r="S179">
        <v>4</v>
      </c>
      <c r="T179" t="str" cm="1">
        <f t="array" ref="T179">_xlfn.IFS(S179&lt;=2,"Poor",S179&lt;=3,"Fair",S179&gt;=4,"Good")</f>
        <v>Good</v>
      </c>
      <c r="U179" t="s">
        <v>41</v>
      </c>
      <c r="V179" s="1">
        <v>1102</v>
      </c>
      <c r="W179" t="str" cm="1">
        <f t="array" ref="W179">_xlfn.IFS(V179&lt;=5000,"Low Salary",V179&lt;=12000,"Good Salary",V179&gt;12000,"High Salary")</f>
        <v>Low Salary</v>
      </c>
      <c r="X179">
        <v>9241</v>
      </c>
      <c r="Y179">
        <v>1</v>
      </c>
      <c r="Z179" t="s">
        <v>42</v>
      </c>
      <c r="AA179" t="s">
        <v>35</v>
      </c>
      <c r="AB179">
        <v>22</v>
      </c>
      <c r="AC179">
        <v>4</v>
      </c>
      <c r="AD179" t="str">
        <f t="shared" si="5"/>
        <v>High Performance</v>
      </c>
      <c r="AE179">
        <v>3</v>
      </c>
      <c r="AF179">
        <v>80</v>
      </c>
      <c r="AG179">
        <v>0</v>
      </c>
      <c r="AH179">
        <v>1</v>
      </c>
      <c r="AI179">
        <v>3</v>
      </c>
      <c r="AJ179">
        <v>2</v>
      </c>
      <c r="AK179" t="str" cm="1">
        <f t="array" ref="AK179">_xlfn.IFS(AJ179&lt;=2,"Poor",AJ179&lt;=3,"Fair",AJ179&gt;3,"Good")</f>
        <v>Poor</v>
      </c>
      <c r="AL179">
        <v>1</v>
      </c>
      <c r="AM179">
        <v>0</v>
      </c>
      <c r="AN179">
        <v>1</v>
      </c>
      <c r="AO179">
        <v>0</v>
      </c>
    </row>
    <row r="180" spans="1:41" x14ac:dyDescent="0.2">
      <c r="A180">
        <v>1700841</v>
      </c>
      <c r="B180">
        <v>46</v>
      </c>
      <c r="C180" t="str" cm="1">
        <f t="array" ref="C180">_xlfn.IFS(B180&lt;=25,"15-25",B180&lt;=35,"26-35",B180&lt;=45,"36-45",B180&lt;=55,"46-55",B180&lt;=65,"56-65")</f>
        <v>46-55</v>
      </c>
      <c r="D180" t="s">
        <v>35</v>
      </c>
      <c r="E180" t="str">
        <f t="shared" si="4"/>
        <v>Current Employee</v>
      </c>
      <c r="F180" t="s">
        <v>36</v>
      </c>
      <c r="G180">
        <v>526</v>
      </c>
      <c r="H180" t="s">
        <v>37</v>
      </c>
      <c r="I180">
        <v>1</v>
      </c>
      <c r="J180">
        <v>2</v>
      </c>
      <c r="K180" t="s">
        <v>55</v>
      </c>
      <c r="L180">
        <v>1</v>
      </c>
      <c r="M180">
        <v>2</v>
      </c>
      <c r="N180" t="s">
        <v>39</v>
      </c>
      <c r="O180">
        <v>92</v>
      </c>
      <c r="P180">
        <v>3</v>
      </c>
      <c r="Q180">
        <v>3</v>
      </c>
      <c r="R180" t="s">
        <v>40</v>
      </c>
      <c r="S180">
        <v>1</v>
      </c>
      <c r="T180" t="str" cm="1">
        <f t="array" ref="T180">_xlfn.IFS(S180&lt;=2,"Poor",S180&lt;=3,"Fair",S180&gt;=4,"Good")</f>
        <v>Poor</v>
      </c>
      <c r="U180" t="s">
        <v>50</v>
      </c>
      <c r="V180" s="1">
        <v>10453</v>
      </c>
      <c r="W180" t="str" cm="1">
        <f t="array" ref="W180">_xlfn.IFS(V180&lt;=5000,"Low Salary",V180&lt;=12000,"Good Salary",V180&gt;12000,"High Salary")</f>
        <v>Good Salary</v>
      </c>
      <c r="X180">
        <v>2137</v>
      </c>
      <c r="Y180">
        <v>1</v>
      </c>
      <c r="Z180" t="s">
        <v>42</v>
      </c>
      <c r="AA180" t="s">
        <v>35</v>
      </c>
      <c r="AB180">
        <v>25</v>
      </c>
      <c r="AC180">
        <v>4</v>
      </c>
      <c r="AD180" t="str">
        <f t="shared" si="5"/>
        <v>High Performance</v>
      </c>
      <c r="AE180">
        <v>3</v>
      </c>
      <c r="AF180">
        <v>80</v>
      </c>
      <c r="AG180">
        <v>3</v>
      </c>
      <c r="AH180">
        <v>24</v>
      </c>
      <c r="AI180">
        <v>2</v>
      </c>
      <c r="AJ180">
        <v>3</v>
      </c>
      <c r="AK180" t="str" cm="1">
        <f t="array" ref="AK180">_xlfn.IFS(AJ180&lt;=2,"Poor",AJ180&lt;=3,"Fair",AJ180&gt;3,"Good")</f>
        <v>Fair</v>
      </c>
      <c r="AL180">
        <v>24</v>
      </c>
      <c r="AM180">
        <v>13</v>
      </c>
      <c r="AN180">
        <v>15</v>
      </c>
      <c r="AO180">
        <v>7</v>
      </c>
    </row>
    <row r="181" spans="1:41" x14ac:dyDescent="0.2">
      <c r="A181">
        <v>1665761</v>
      </c>
      <c r="B181">
        <v>38</v>
      </c>
      <c r="C181" t="str" cm="1">
        <f t="array" ref="C181">_xlfn.IFS(B181&lt;=25,"15-25",B181&lt;=35,"26-35",B181&lt;=45,"36-45",B181&lt;=55,"46-55",B181&lt;=65,"56-65")</f>
        <v>36-45</v>
      </c>
      <c r="D181" t="s">
        <v>35</v>
      </c>
      <c r="E181" t="str">
        <f t="shared" si="4"/>
        <v>Current Employee</v>
      </c>
      <c r="F181" t="s">
        <v>36</v>
      </c>
      <c r="G181">
        <v>1380</v>
      </c>
      <c r="H181" t="s">
        <v>45</v>
      </c>
      <c r="I181">
        <v>9</v>
      </c>
      <c r="J181">
        <v>2</v>
      </c>
      <c r="K181" t="s">
        <v>38</v>
      </c>
      <c r="L181">
        <v>1</v>
      </c>
      <c r="M181">
        <v>3</v>
      </c>
      <c r="N181" t="s">
        <v>39</v>
      </c>
      <c r="O181">
        <v>75</v>
      </c>
      <c r="P181">
        <v>3</v>
      </c>
      <c r="Q181">
        <v>1</v>
      </c>
      <c r="R181" t="s">
        <v>40</v>
      </c>
      <c r="S181">
        <v>4</v>
      </c>
      <c r="T181" t="str" cm="1">
        <f t="array" ref="T181">_xlfn.IFS(S181&lt;=2,"Poor",S181&lt;=3,"Fair",S181&gt;=4,"Good")</f>
        <v>Good</v>
      </c>
      <c r="U181" t="s">
        <v>41</v>
      </c>
      <c r="V181" s="1">
        <v>2288</v>
      </c>
      <c r="W181" t="str" cm="1">
        <f t="array" ref="W181">_xlfn.IFS(V181&lt;=5000,"Low Salary",V181&lt;=12000,"Good Salary",V181&gt;12000,"High Salary")</f>
        <v>Low Salary</v>
      </c>
      <c r="X181">
        <v>6319</v>
      </c>
      <c r="Y181">
        <v>1</v>
      </c>
      <c r="Z181" t="s">
        <v>42</v>
      </c>
      <c r="AA181" t="s">
        <v>35</v>
      </c>
      <c r="AB181">
        <v>12</v>
      </c>
      <c r="AC181">
        <v>3</v>
      </c>
      <c r="AD181" t="str">
        <f t="shared" si="5"/>
        <v>Low Performance</v>
      </c>
      <c r="AE181">
        <v>3</v>
      </c>
      <c r="AF181">
        <v>80</v>
      </c>
      <c r="AG181">
        <v>0</v>
      </c>
      <c r="AH181">
        <v>2</v>
      </c>
      <c r="AI181">
        <v>3</v>
      </c>
      <c r="AJ181">
        <v>3</v>
      </c>
      <c r="AK181" t="str" cm="1">
        <f t="array" ref="AK181">_xlfn.IFS(AJ181&lt;=2,"Poor",AJ181&lt;=3,"Fair",AJ181&gt;3,"Good")</f>
        <v>Fair</v>
      </c>
      <c r="AL181">
        <v>2</v>
      </c>
      <c r="AM181">
        <v>2</v>
      </c>
      <c r="AN181">
        <v>2</v>
      </c>
      <c r="AO181">
        <v>1</v>
      </c>
    </row>
    <row r="182" spans="1:41" x14ac:dyDescent="0.2">
      <c r="A182">
        <v>1224843</v>
      </c>
      <c r="B182">
        <v>31</v>
      </c>
      <c r="C182" t="str" cm="1">
        <f t="array" ref="C182">_xlfn.IFS(B182&lt;=25,"15-25",B182&lt;=35,"26-35",B182&lt;=45,"36-45",B182&lt;=55,"46-55",B182&lt;=65,"56-65")</f>
        <v>26-35</v>
      </c>
      <c r="D182" t="s">
        <v>35</v>
      </c>
      <c r="E182" t="str">
        <f t="shared" si="4"/>
        <v>Current Employee</v>
      </c>
      <c r="F182" t="s">
        <v>36</v>
      </c>
      <c r="G182">
        <v>140</v>
      </c>
      <c r="H182" t="s">
        <v>45</v>
      </c>
      <c r="I182">
        <v>12</v>
      </c>
      <c r="J182">
        <v>1</v>
      </c>
      <c r="K182" t="s">
        <v>49</v>
      </c>
      <c r="L182">
        <v>1</v>
      </c>
      <c r="M182">
        <v>3</v>
      </c>
      <c r="N182" t="s">
        <v>39</v>
      </c>
      <c r="O182">
        <v>95</v>
      </c>
      <c r="P182">
        <v>3</v>
      </c>
      <c r="Q182">
        <v>1</v>
      </c>
      <c r="R182" t="s">
        <v>47</v>
      </c>
      <c r="S182">
        <v>4</v>
      </c>
      <c r="T182" t="str" cm="1">
        <f t="array" ref="T182">_xlfn.IFS(S182&lt;=2,"Poor",S182&lt;=3,"Fair",S182&gt;=4,"Good")</f>
        <v>Good</v>
      </c>
      <c r="U182" t="s">
        <v>48</v>
      </c>
      <c r="V182" s="1">
        <v>3929</v>
      </c>
      <c r="W182" t="str" cm="1">
        <f t="array" ref="W182">_xlfn.IFS(V182&lt;=5000,"Low Salary",V182&lt;=12000,"Good Salary",V182&gt;12000,"High Salary")</f>
        <v>Low Salary</v>
      </c>
      <c r="X182">
        <v>6984</v>
      </c>
      <c r="Y182">
        <v>8</v>
      </c>
      <c r="Z182" t="s">
        <v>42</v>
      </c>
      <c r="AA182" t="s">
        <v>43</v>
      </c>
      <c r="AB182">
        <v>23</v>
      </c>
      <c r="AC182">
        <v>4</v>
      </c>
      <c r="AD182" t="str">
        <f t="shared" si="5"/>
        <v>High Performance</v>
      </c>
      <c r="AE182">
        <v>3</v>
      </c>
      <c r="AF182">
        <v>80</v>
      </c>
      <c r="AG182">
        <v>1</v>
      </c>
      <c r="AH182">
        <v>7</v>
      </c>
      <c r="AI182">
        <v>0</v>
      </c>
      <c r="AJ182">
        <v>3</v>
      </c>
      <c r="AK182" t="str" cm="1">
        <f t="array" ref="AK182">_xlfn.IFS(AJ182&lt;=2,"Poor",AJ182&lt;=3,"Fair",AJ182&gt;3,"Good")</f>
        <v>Fair</v>
      </c>
      <c r="AL182">
        <v>4</v>
      </c>
      <c r="AM182">
        <v>2</v>
      </c>
      <c r="AN182">
        <v>0</v>
      </c>
      <c r="AO182">
        <v>2</v>
      </c>
    </row>
    <row r="183" spans="1:41" x14ac:dyDescent="0.2">
      <c r="A183">
        <v>1739412</v>
      </c>
      <c r="B183">
        <v>34</v>
      </c>
      <c r="C183" t="str" cm="1">
        <f t="array" ref="C183">_xlfn.IFS(B183&lt;=25,"15-25",B183&lt;=35,"26-35",B183&lt;=45,"36-45",B183&lt;=55,"46-55",B183&lt;=65,"56-65")</f>
        <v>26-35</v>
      </c>
      <c r="D183" t="s">
        <v>35</v>
      </c>
      <c r="E183" t="str">
        <f t="shared" si="4"/>
        <v>Current Employee</v>
      </c>
      <c r="F183" t="s">
        <v>36</v>
      </c>
      <c r="G183">
        <v>629</v>
      </c>
      <c r="H183" t="s">
        <v>45</v>
      </c>
      <c r="I183">
        <v>27</v>
      </c>
      <c r="J183">
        <v>2</v>
      </c>
      <c r="K183" t="s">
        <v>49</v>
      </c>
      <c r="L183">
        <v>1</v>
      </c>
      <c r="M183">
        <v>4</v>
      </c>
      <c r="N183" t="s">
        <v>39</v>
      </c>
      <c r="O183">
        <v>95</v>
      </c>
      <c r="P183">
        <v>3</v>
      </c>
      <c r="Q183">
        <v>1</v>
      </c>
      <c r="R183" t="s">
        <v>47</v>
      </c>
      <c r="S183">
        <v>2</v>
      </c>
      <c r="T183" t="str" cm="1">
        <f t="array" ref="T183">_xlfn.IFS(S183&lt;=2,"Poor",S183&lt;=3,"Fair",S183&gt;=4,"Good")</f>
        <v>Poor</v>
      </c>
      <c r="U183" t="s">
        <v>41</v>
      </c>
      <c r="V183" s="1">
        <v>2311</v>
      </c>
      <c r="W183" t="str" cm="1">
        <f t="array" ref="W183">_xlfn.IFS(V183&lt;=5000,"Low Salary",V183&lt;=12000,"Good Salary",V183&gt;12000,"High Salary")</f>
        <v>Low Salary</v>
      </c>
      <c r="X183">
        <v>5711</v>
      </c>
      <c r="Y183">
        <v>2</v>
      </c>
      <c r="Z183" t="s">
        <v>42</v>
      </c>
      <c r="AA183" t="s">
        <v>35</v>
      </c>
      <c r="AB183">
        <v>15</v>
      </c>
      <c r="AC183">
        <v>3</v>
      </c>
      <c r="AD183" t="str">
        <f t="shared" si="5"/>
        <v>Low Performance</v>
      </c>
      <c r="AE183">
        <v>4</v>
      </c>
      <c r="AF183">
        <v>80</v>
      </c>
      <c r="AG183">
        <v>0</v>
      </c>
      <c r="AH183">
        <v>9</v>
      </c>
      <c r="AI183">
        <v>3</v>
      </c>
      <c r="AJ183">
        <v>3</v>
      </c>
      <c r="AK183" t="str" cm="1">
        <f t="array" ref="AK183">_xlfn.IFS(AJ183&lt;=2,"Poor",AJ183&lt;=3,"Fair",AJ183&gt;3,"Good")</f>
        <v>Fair</v>
      </c>
      <c r="AL183">
        <v>3</v>
      </c>
      <c r="AM183">
        <v>2</v>
      </c>
      <c r="AN183">
        <v>1</v>
      </c>
      <c r="AO183">
        <v>2</v>
      </c>
    </row>
    <row r="184" spans="1:41" x14ac:dyDescent="0.2">
      <c r="A184">
        <v>1190255</v>
      </c>
      <c r="B184">
        <v>41</v>
      </c>
      <c r="C184" t="str" cm="1">
        <f t="array" ref="C184">_xlfn.IFS(B184&lt;=25,"15-25",B184&lt;=35,"26-35",B184&lt;=45,"36-45",B184&lt;=55,"46-55",B184&lt;=65,"56-65")</f>
        <v>36-45</v>
      </c>
      <c r="D184" t="s">
        <v>43</v>
      </c>
      <c r="E184" t="str">
        <f t="shared" si="4"/>
        <v>Former Employee</v>
      </c>
      <c r="F184" t="s">
        <v>36</v>
      </c>
      <c r="G184">
        <v>1356</v>
      </c>
      <c r="H184" t="s">
        <v>37</v>
      </c>
      <c r="I184">
        <v>20</v>
      </c>
      <c r="J184">
        <v>2</v>
      </c>
      <c r="K184" t="s">
        <v>55</v>
      </c>
      <c r="L184">
        <v>1</v>
      </c>
      <c r="M184">
        <v>2</v>
      </c>
      <c r="N184" t="s">
        <v>39</v>
      </c>
      <c r="O184">
        <v>70</v>
      </c>
      <c r="P184">
        <v>3</v>
      </c>
      <c r="Q184">
        <v>1</v>
      </c>
      <c r="R184" t="s">
        <v>47</v>
      </c>
      <c r="S184">
        <v>2</v>
      </c>
      <c r="T184" t="str" cm="1">
        <f t="array" ref="T184">_xlfn.IFS(S184&lt;=2,"Poor",S184&lt;=3,"Fair",S184&gt;=4,"Good")</f>
        <v>Poor</v>
      </c>
      <c r="U184" t="s">
        <v>41</v>
      </c>
      <c r="V184" s="1">
        <v>3140</v>
      </c>
      <c r="W184" t="str" cm="1">
        <f t="array" ref="W184">_xlfn.IFS(V184&lt;=5000,"Low Salary",V184&lt;=12000,"Good Salary",V184&gt;12000,"High Salary")</f>
        <v>Low Salary</v>
      </c>
      <c r="X184">
        <v>21728</v>
      </c>
      <c r="Y184">
        <v>1</v>
      </c>
      <c r="Z184" t="s">
        <v>42</v>
      </c>
      <c r="AA184" t="s">
        <v>43</v>
      </c>
      <c r="AB184">
        <v>22</v>
      </c>
      <c r="AC184">
        <v>4</v>
      </c>
      <c r="AD184" t="str">
        <f t="shared" si="5"/>
        <v>High Performance</v>
      </c>
      <c r="AE184">
        <v>4</v>
      </c>
      <c r="AF184">
        <v>80</v>
      </c>
      <c r="AG184">
        <v>0</v>
      </c>
      <c r="AH184">
        <v>4</v>
      </c>
      <c r="AI184">
        <v>5</v>
      </c>
      <c r="AJ184">
        <v>2</v>
      </c>
      <c r="AK184" t="str" cm="1">
        <f t="array" ref="AK184">_xlfn.IFS(AJ184&lt;=2,"Poor",AJ184&lt;=3,"Fair",AJ184&gt;3,"Good")</f>
        <v>Poor</v>
      </c>
      <c r="AL184">
        <v>4</v>
      </c>
      <c r="AM184">
        <v>3</v>
      </c>
      <c r="AN184">
        <v>0</v>
      </c>
      <c r="AO184">
        <v>2</v>
      </c>
    </row>
    <row r="185" spans="1:41" x14ac:dyDescent="0.2">
      <c r="A185">
        <v>1820323</v>
      </c>
      <c r="B185">
        <v>50</v>
      </c>
      <c r="C185" t="str" cm="1">
        <f t="array" ref="C185">_xlfn.IFS(B185&lt;=25,"15-25",B185&lt;=35,"26-35",B185&lt;=45,"36-45",B185&lt;=55,"46-55",B185&lt;=65,"56-65")</f>
        <v>46-55</v>
      </c>
      <c r="D185" t="s">
        <v>35</v>
      </c>
      <c r="E185" t="str">
        <f t="shared" si="4"/>
        <v>Current Employee</v>
      </c>
      <c r="F185" t="s">
        <v>36</v>
      </c>
      <c r="G185">
        <v>328</v>
      </c>
      <c r="H185" t="s">
        <v>45</v>
      </c>
      <c r="I185">
        <v>1</v>
      </c>
      <c r="J185">
        <v>3</v>
      </c>
      <c r="K185" t="s">
        <v>49</v>
      </c>
      <c r="L185">
        <v>1</v>
      </c>
      <c r="M185">
        <v>3</v>
      </c>
      <c r="N185" t="s">
        <v>46</v>
      </c>
      <c r="O185">
        <v>86</v>
      </c>
      <c r="P185">
        <v>2</v>
      </c>
      <c r="Q185">
        <v>1</v>
      </c>
      <c r="R185" t="s">
        <v>40</v>
      </c>
      <c r="S185">
        <v>3</v>
      </c>
      <c r="T185" t="str" cm="1">
        <f t="array" ref="T185">_xlfn.IFS(S185&lt;=2,"Poor",S185&lt;=3,"Fair",S185&gt;=4,"Good")</f>
        <v>Fair</v>
      </c>
      <c r="U185" t="s">
        <v>48</v>
      </c>
      <c r="V185" s="1">
        <v>3690</v>
      </c>
      <c r="W185" t="str" cm="1">
        <f t="array" ref="W185">_xlfn.IFS(V185&lt;=5000,"Low Salary",V185&lt;=12000,"Good Salary",V185&gt;12000,"High Salary")</f>
        <v>Low Salary</v>
      </c>
      <c r="X185">
        <v>3425</v>
      </c>
      <c r="Y185">
        <v>2</v>
      </c>
      <c r="Z185" t="s">
        <v>42</v>
      </c>
      <c r="AA185" t="s">
        <v>35</v>
      </c>
      <c r="AB185">
        <v>15</v>
      </c>
      <c r="AC185">
        <v>3</v>
      </c>
      <c r="AD185" t="str">
        <f t="shared" si="5"/>
        <v>Low Performance</v>
      </c>
      <c r="AE185">
        <v>4</v>
      </c>
      <c r="AF185">
        <v>80</v>
      </c>
      <c r="AG185">
        <v>1</v>
      </c>
      <c r="AH185">
        <v>5</v>
      </c>
      <c r="AI185">
        <v>2</v>
      </c>
      <c r="AJ185">
        <v>2</v>
      </c>
      <c r="AK185" t="str" cm="1">
        <f t="array" ref="AK185">_xlfn.IFS(AJ185&lt;=2,"Poor",AJ185&lt;=3,"Fair",AJ185&gt;3,"Good")</f>
        <v>Poor</v>
      </c>
      <c r="AL185">
        <v>3</v>
      </c>
      <c r="AM185">
        <v>2</v>
      </c>
      <c r="AN185">
        <v>0</v>
      </c>
      <c r="AO185">
        <v>2</v>
      </c>
    </row>
    <row r="186" spans="1:41" x14ac:dyDescent="0.2">
      <c r="A186">
        <v>1477195</v>
      </c>
      <c r="B186">
        <v>53</v>
      </c>
      <c r="C186" t="str" cm="1">
        <f t="array" ref="C186">_xlfn.IFS(B186&lt;=25,"15-25",B186&lt;=35,"26-35",B186&lt;=45,"36-45",B186&lt;=55,"46-55",B186&lt;=65,"56-65")</f>
        <v>46-55</v>
      </c>
      <c r="D186" t="s">
        <v>35</v>
      </c>
      <c r="E186" t="str">
        <f t="shared" si="4"/>
        <v>Current Employee</v>
      </c>
      <c r="F186" t="s">
        <v>36</v>
      </c>
      <c r="G186">
        <v>1084</v>
      </c>
      <c r="H186" t="s">
        <v>45</v>
      </c>
      <c r="I186">
        <v>13</v>
      </c>
      <c r="J186">
        <v>2</v>
      </c>
      <c r="K186" t="s">
        <v>49</v>
      </c>
      <c r="L186">
        <v>1</v>
      </c>
      <c r="M186">
        <v>4</v>
      </c>
      <c r="N186" t="s">
        <v>39</v>
      </c>
      <c r="O186">
        <v>57</v>
      </c>
      <c r="P186">
        <v>4</v>
      </c>
      <c r="Q186">
        <v>2</v>
      </c>
      <c r="R186" t="s">
        <v>51</v>
      </c>
      <c r="S186">
        <v>1</v>
      </c>
      <c r="T186" t="str" cm="1">
        <f t="array" ref="T186">_xlfn.IFS(S186&lt;=2,"Poor",S186&lt;=3,"Fair",S186&gt;=4,"Good")</f>
        <v>Poor</v>
      </c>
      <c r="U186" t="s">
        <v>50</v>
      </c>
      <c r="V186" s="1">
        <v>4450</v>
      </c>
      <c r="W186" t="str" cm="1">
        <f t="array" ref="W186">_xlfn.IFS(V186&lt;=5000,"Low Salary",V186&lt;=12000,"Good Salary",V186&gt;12000,"High Salary")</f>
        <v>Low Salary</v>
      </c>
      <c r="X186">
        <v>26250</v>
      </c>
      <c r="Y186">
        <v>1</v>
      </c>
      <c r="Z186" t="s">
        <v>42</v>
      </c>
      <c r="AA186" t="s">
        <v>35</v>
      </c>
      <c r="AB186">
        <v>11</v>
      </c>
      <c r="AC186">
        <v>3</v>
      </c>
      <c r="AD186" t="str">
        <f t="shared" si="5"/>
        <v>Low Performance</v>
      </c>
      <c r="AE186">
        <v>3</v>
      </c>
      <c r="AF186">
        <v>80</v>
      </c>
      <c r="AG186">
        <v>2</v>
      </c>
      <c r="AH186">
        <v>5</v>
      </c>
      <c r="AI186">
        <v>3</v>
      </c>
      <c r="AJ186">
        <v>3</v>
      </c>
      <c r="AK186" t="str" cm="1">
        <f t="array" ref="AK186">_xlfn.IFS(AJ186&lt;=2,"Poor",AJ186&lt;=3,"Fair",AJ186&gt;3,"Good")</f>
        <v>Fair</v>
      </c>
      <c r="AL186">
        <v>4</v>
      </c>
      <c r="AM186">
        <v>2</v>
      </c>
      <c r="AN186">
        <v>1</v>
      </c>
      <c r="AO186">
        <v>3</v>
      </c>
    </row>
    <row r="187" spans="1:41" x14ac:dyDescent="0.2">
      <c r="A187">
        <v>1383313</v>
      </c>
      <c r="B187">
        <v>33</v>
      </c>
      <c r="C187" t="str" cm="1">
        <f t="array" ref="C187">_xlfn.IFS(B187&lt;=25,"15-25",B187&lt;=35,"26-35",B187&lt;=45,"36-45",B187&lt;=55,"46-55",B187&lt;=65,"56-65")</f>
        <v>26-35</v>
      </c>
      <c r="D187" t="s">
        <v>35</v>
      </c>
      <c r="E187" t="str">
        <f t="shared" si="4"/>
        <v>Current Employee</v>
      </c>
      <c r="F187" t="s">
        <v>36</v>
      </c>
      <c r="G187">
        <v>931</v>
      </c>
      <c r="H187" t="s">
        <v>45</v>
      </c>
      <c r="I187">
        <v>14</v>
      </c>
      <c r="J187">
        <v>3</v>
      </c>
      <c r="K187" t="s">
        <v>49</v>
      </c>
      <c r="L187">
        <v>1</v>
      </c>
      <c r="M187">
        <v>4</v>
      </c>
      <c r="N187" t="s">
        <v>39</v>
      </c>
      <c r="O187">
        <v>72</v>
      </c>
      <c r="P187">
        <v>3</v>
      </c>
      <c r="Q187">
        <v>1</v>
      </c>
      <c r="R187" t="s">
        <v>47</v>
      </c>
      <c r="S187">
        <v>2</v>
      </c>
      <c r="T187" t="str" cm="1">
        <f t="array" ref="T187">_xlfn.IFS(S187&lt;=2,"Poor",S187&lt;=3,"Fair",S187&gt;=4,"Good")</f>
        <v>Poor</v>
      </c>
      <c r="U187" t="s">
        <v>48</v>
      </c>
      <c r="V187" s="1">
        <v>2756</v>
      </c>
      <c r="W187" t="str" cm="1">
        <f t="array" ref="W187">_xlfn.IFS(V187&lt;=5000,"Low Salary",V187&lt;=12000,"Good Salary",V187&gt;12000,"High Salary")</f>
        <v>Low Salary</v>
      </c>
      <c r="X187">
        <v>4673</v>
      </c>
      <c r="Y187">
        <v>1</v>
      </c>
      <c r="Z187" t="s">
        <v>42</v>
      </c>
      <c r="AA187" t="s">
        <v>35</v>
      </c>
      <c r="AB187">
        <v>13</v>
      </c>
      <c r="AC187">
        <v>3</v>
      </c>
      <c r="AD187" t="str">
        <f t="shared" si="5"/>
        <v>Low Performance</v>
      </c>
      <c r="AE187">
        <v>4</v>
      </c>
      <c r="AF187">
        <v>80</v>
      </c>
      <c r="AG187">
        <v>1</v>
      </c>
      <c r="AH187">
        <v>8</v>
      </c>
      <c r="AI187">
        <v>5</v>
      </c>
      <c r="AJ187">
        <v>3</v>
      </c>
      <c r="AK187" t="str" cm="1">
        <f t="array" ref="AK187">_xlfn.IFS(AJ187&lt;=2,"Poor",AJ187&lt;=3,"Fair",AJ187&gt;3,"Good")</f>
        <v>Fair</v>
      </c>
      <c r="AL187">
        <v>8</v>
      </c>
      <c r="AM187">
        <v>7</v>
      </c>
      <c r="AN187">
        <v>1</v>
      </c>
      <c r="AO187">
        <v>6</v>
      </c>
    </row>
    <row r="188" spans="1:41" x14ac:dyDescent="0.2">
      <c r="A188">
        <v>1385477</v>
      </c>
      <c r="B188">
        <v>40</v>
      </c>
      <c r="C188" t="str" cm="1">
        <f t="array" ref="C188">_xlfn.IFS(B188&lt;=25,"15-25",B188&lt;=35,"26-35",B188&lt;=45,"36-45",B188&lt;=55,"46-55",B188&lt;=65,"56-65")</f>
        <v>36-45</v>
      </c>
      <c r="D188" t="s">
        <v>35</v>
      </c>
      <c r="E188" t="str">
        <f t="shared" si="4"/>
        <v>Current Employee</v>
      </c>
      <c r="F188" t="s">
        <v>36</v>
      </c>
      <c r="G188">
        <v>989</v>
      </c>
      <c r="H188" t="s">
        <v>54</v>
      </c>
      <c r="I188">
        <v>4</v>
      </c>
      <c r="J188">
        <v>1</v>
      </c>
      <c r="K188" t="s">
        <v>49</v>
      </c>
      <c r="L188">
        <v>1</v>
      </c>
      <c r="M188">
        <v>4</v>
      </c>
      <c r="N188" t="s">
        <v>39</v>
      </c>
      <c r="O188">
        <v>46</v>
      </c>
      <c r="P188">
        <v>3</v>
      </c>
      <c r="Q188">
        <v>5</v>
      </c>
      <c r="R188" t="s">
        <v>47</v>
      </c>
      <c r="S188">
        <v>3</v>
      </c>
      <c r="T188" t="str" cm="1">
        <f t="array" ref="T188">_xlfn.IFS(S188&lt;=2,"Poor",S188&lt;=3,"Fair",S188&gt;=4,"Good")</f>
        <v>Fair</v>
      </c>
      <c r="U188" t="s">
        <v>48</v>
      </c>
      <c r="V188" s="1">
        <v>19033</v>
      </c>
      <c r="W188" t="str" cm="1">
        <f t="array" ref="W188">_xlfn.IFS(V188&lt;=5000,"Low Salary",V188&lt;=12000,"Good Salary",V188&gt;12000,"High Salary")</f>
        <v>High Salary</v>
      </c>
      <c r="X188">
        <v>6499</v>
      </c>
      <c r="Y188">
        <v>1</v>
      </c>
      <c r="Z188" t="s">
        <v>42</v>
      </c>
      <c r="AA188" t="s">
        <v>35</v>
      </c>
      <c r="AB188">
        <v>14</v>
      </c>
      <c r="AC188">
        <v>3</v>
      </c>
      <c r="AD188" t="str">
        <f t="shared" si="5"/>
        <v>Low Performance</v>
      </c>
      <c r="AE188">
        <v>2</v>
      </c>
      <c r="AF188">
        <v>80</v>
      </c>
      <c r="AG188">
        <v>1</v>
      </c>
      <c r="AH188">
        <v>21</v>
      </c>
      <c r="AI188">
        <v>2</v>
      </c>
      <c r="AJ188">
        <v>3</v>
      </c>
      <c r="AK188" t="str" cm="1">
        <f t="array" ref="AK188">_xlfn.IFS(AJ188&lt;=2,"Poor",AJ188&lt;=3,"Fair",AJ188&gt;3,"Good")</f>
        <v>Fair</v>
      </c>
      <c r="AL188">
        <v>20</v>
      </c>
      <c r="AM188">
        <v>8</v>
      </c>
      <c r="AN188">
        <v>9</v>
      </c>
      <c r="AO188">
        <v>9</v>
      </c>
    </row>
    <row r="189" spans="1:41" x14ac:dyDescent="0.2">
      <c r="A189">
        <v>1060337</v>
      </c>
      <c r="B189">
        <v>55</v>
      </c>
      <c r="C189" t="str" cm="1">
        <f t="array" ref="C189">_xlfn.IFS(B189&lt;=25,"15-25",B189&lt;=35,"26-35",B189&lt;=45,"36-45",B189&lt;=55,"46-55",B189&lt;=65,"56-65")</f>
        <v>46-55</v>
      </c>
      <c r="D189" t="s">
        <v>35</v>
      </c>
      <c r="E189" t="str">
        <f t="shared" si="4"/>
        <v>Current Employee</v>
      </c>
      <c r="F189" t="s">
        <v>36</v>
      </c>
      <c r="G189">
        <v>692</v>
      </c>
      <c r="H189" t="s">
        <v>54</v>
      </c>
      <c r="I189">
        <v>14</v>
      </c>
      <c r="J189">
        <v>4</v>
      </c>
      <c r="K189" t="s">
        <v>49</v>
      </c>
      <c r="L189">
        <v>1</v>
      </c>
      <c r="M189">
        <v>3</v>
      </c>
      <c r="N189" t="s">
        <v>46</v>
      </c>
      <c r="O189">
        <v>61</v>
      </c>
      <c r="P189">
        <v>4</v>
      </c>
      <c r="Q189">
        <v>5</v>
      </c>
      <c r="R189" t="s">
        <v>47</v>
      </c>
      <c r="S189">
        <v>2</v>
      </c>
      <c r="T189" t="str" cm="1">
        <f t="array" ref="T189">_xlfn.IFS(S189&lt;=2,"Poor",S189&lt;=3,"Fair",S189&gt;=4,"Good")</f>
        <v>Poor</v>
      </c>
      <c r="U189" t="s">
        <v>41</v>
      </c>
      <c r="V189" s="1">
        <v>18722</v>
      </c>
      <c r="W189" t="str" cm="1">
        <f t="array" ref="W189">_xlfn.IFS(V189&lt;=5000,"Low Salary",V189&lt;=12000,"Good Salary",V189&gt;12000,"High Salary")</f>
        <v>High Salary</v>
      </c>
      <c r="X189">
        <v>13339</v>
      </c>
      <c r="Y189">
        <v>8</v>
      </c>
      <c r="Z189" t="s">
        <v>42</v>
      </c>
      <c r="AA189" t="s">
        <v>35</v>
      </c>
      <c r="AB189">
        <v>11</v>
      </c>
      <c r="AC189">
        <v>3</v>
      </c>
      <c r="AD189" t="str">
        <f t="shared" si="5"/>
        <v>Low Performance</v>
      </c>
      <c r="AE189">
        <v>4</v>
      </c>
      <c r="AF189">
        <v>80</v>
      </c>
      <c r="AG189">
        <v>0</v>
      </c>
      <c r="AH189">
        <v>36</v>
      </c>
      <c r="AI189">
        <v>3</v>
      </c>
      <c r="AJ189">
        <v>3</v>
      </c>
      <c r="AK189" t="str" cm="1">
        <f t="array" ref="AK189">_xlfn.IFS(AJ189&lt;=2,"Poor",AJ189&lt;=3,"Fair",AJ189&gt;3,"Good")</f>
        <v>Fair</v>
      </c>
      <c r="AL189">
        <v>24</v>
      </c>
      <c r="AM189">
        <v>15</v>
      </c>
      <c r="AN189">
        <v>2</v>
      </c>
      <c r="AO189">
        <v>15</v>
      </c>
    </row>
    <row r="190" spans="1:41" x14ac:dyDescent="0.2">
      <c r="A190">
        <v>1180048</v>
      </c>
      <c r="B190">
        <v>34</v>
      </c>
      <c r="C190" t="str" cm="1">
        <f t="array" ref="C190">_xlfn.IFS(B190&lt;=25,"15-25",B190&lt;=35,"26-35",B190&lt;=45,"36-45",B190&lt;=55,"46-55",B190&lt;=65,"56-65")</f>
        <v>26-35</v>
      </c>
      <c r="D190" t="s">
        <v>35</v>
      </c>
      <c r="E190" t="str">
        <f t="shared" si="4"/>
        <v>Current Employee</v>
      </c>
      <c r="F190" t="s">
        <v>44</v>
      </c>
      <c r="G190">
        <v>1069</v>
      </c>
      <c r="H190" t="s">
        <v>54</v>
      </c>
      <c r="I190">
        <v>2</v>
      </c>
      <c r="J190">
        <v>1</v>
      </c>
      <c r="K190" t="s">
        <v>38</v>
      </c>
      <c r="L190">
        <v>1</v>
      </c>
      <c r="M190">
        <v>4</v>
      </c>
      <c r="N190" t="s">
        <v>46</v>
      </c>
      <c r="O190">
        <v>45</v>
      </c>
      <c r="P190">
        <v>2</v>
      </c>
      <c r="Q190">
        <v>2</v>
      </c>
      <c r="R190" t="s">
        <v>51</v>
      </c>
      <c r="S190">
        <v>3</v>
      </c>
      <c r="T190" t="str" cm="1">
        <f t="array" ref="T190">_xlfn.IFS(S190&lt;=2,"Poor",S190&lt;=3,"Fair",S190&gt;=4,"Good")</f>
        <v>Fair</v>
      </c>
      <c r="U190" t="s">
        <v>48</v>
      </c>
      <c r="V190" s="1">
        <v>9547</v>
      </c>
      <c r="W190" t="str" cm="1">
        <f t="array" ref="W190">_xlfn.IFS(V190&lt;=5000,"Low Salary",V190&lt;=12000,"Good Salary",V190&gt;12000,"High Salary")</f>
        <v>Good Salary</v>
      </c>
      <c r="X190">
        <v>14074</v>
      </c>
      <c r="Y190">
        <v>1</v>
      </c>
      <c r="Z190" t="s">
        <v>42</v>
      </c>
      <c r="AA190" t="s">
        <v>35</v>
      </c>
      <c r="AB190">
        <v>17</v>
      </c>
      <c r="AC190">
        <v>3</v>
      </c>
      <c r="AD190" t="str">
        <f t="shared" si="5"/>
        <v>Low Performance</v>
      </c>
      <c r="AE190">
        <v>3</v>
      </c>
      <c r="AF190">
        <v>80</v>
      </c>
      <c r="AG190">
        <v>0</v>
      </c>
      <c r="AH190">
        <v>10</v>
      </c>
      <c r="AI190">
        <v>2</v>
      </c>
      <c r="AJ190">
        <v>2</v>
      </c>
      <c r="AK190" t="str" cm="1">
        <f t="array" ref="AK190">_xlfn.IFS(AJ190&lt;=2,"Poor",AJ190&lt;=3,"Fair",AJ190&gt;3,"Good")</f>
        <v>Poor</v>
      </c>
      <c r="AL190">
        <v>10</v>
      </c>
      <c r="AM190">
        <v>9</v>
      </c>
      <c r="AN190">
        <v>1</v>
      </c>
      <c r="AO190">
        <v>9</v>
      </c>
    </row>
    <row r="191" spans="1:41" x14ac:dyDescent="0.2">
      <c r="A191">
        <v>1730525</v>
      </c>
      <c r="B191">
        <v>51</v>
      </c>
      <c r="C191" t="str" cm="1">
        <f t="array" ref="C191">_xlfn.IFS(B191&lt;=25,"15-25",B191&lt;=35,"26-35",B191&lt;=45,"36-45",B191&lt;=55,"46-55",B191&lt;=65,"56-65")</f>
        <v>46-55</v>
      </c>
      <c r="D191" t="s">
        <v>35</v>
      </c>
      <c r="E191" t="str">
        <f t="shared" si="4"/>
        <v>Current Employee</v>
      </c>
      <c r="F191" t="s">
        <v>36</v>
      </c>
      <c r="G191">
        <v>313</v>
      </c>
      <c r="H191" t="s">
        <v>45</v>
      </c>
      <c r="I191">
        <v>3</v>
      </c>
      <c r="J191">
        <v>3</v>
      </c>
      <c r="K191" t="s">
        <v>49</v>
      </c>
      <c r="L191">
        <v>1</v>
      </c>
      <c r="M191">
        <v>4</v>
      </c>
      <c r="N191" t="s">
        <v>39</v>
      </c>
      <c r="O191">
        <v>98</v>
      </c>
      <c r="P191">
        <v>3</v>
      </c>
      <c r="Q191">
        <v>4</v>
      </c>
      <c r="R191" t="s">
        <v>40</v>
      </c>
      <c r="S191">
        <v>2</v>
      </c>
      <c r="T191" t="str" cm="1">
        <f t="array" ref="T191">_xlfn.IFS(S191&lt;=2,"Poor",S191&lt;=3,"Fair",S191&gt;=4,"Good")</f>
        <v>Poor</v>
      </c>
      <c r="U191" t="s">
        <v>41</v>
      </c>
      <c r="V191" s="1">
        <v>13734</v>
      </c>
      <c r="W191" t="str" cm="1">
        <f t="array" ref="W191">_xlfn.IFS(V191&lt;=5000,"Low Salary",V191&lt;=12000,"Good Salary",V191&gt;12000,"High Salary")</f>
        <v>High Salary</v>
      </c>
      <c r="X191">
        <v>7192</v>
      </c>
      <c r="Y191">
        <v>3</v>
      </c>
      <c r="Z191" t="s">
        <v>42</v>
      </c>
      <c r="AA191" t="s">
        <v>35</v>
      </c>
      <c r="AB191">
        <v>18</v>
      </c>
      <c r="AC191">
        <v>3</v>
      </c>
      <c r="AD191" t="str">
        <f t="shared" si="5"/>
        <v>Low Performance</v>
      </c>
      <c r="AE191">
        <v>3</v>
      </c>
      <c r="AF191">
        <v>80</v>
      </c>
      <c r="AG191">
        <v>0</v>
      </c>
      <c r="AH191">
        <v>21</v>
      </c>
      <c r="AI191">
        <v>6</v>
      </c>
      <c r="AJ191">
        <v>3</v>
      </c>
      <c r="AK191" t="str" cm="1">
        <f t="array" ref="AK191">_xlfn.IFS(AJ191&lt;=2,"Poor",AJ191&lt;=3,"Fair",AJ191&gt;3,"Good")</f>
        <v>Fair</v>
      </c>
      <c r="AL191">
        <v>7</v>
      </c>
      <c r="AM191">
        <v>7</v>
      </c>
      <c r="AN191">
        <v>1</v>
      </c>
      <c r="AO191">
        <v>0</v>
      </c>
    </row>
    <row r="192" spans="1:41" x14ac:dyDescent="0.2">
      <c r="A192">
        <v>1173311</v>
      </c>
      <c r="B192">
        <v>52</v>
      </c>
      <c r="C192" t="str" cm="1">
        <f t="array" ref="C192">_xlfn.IFS(B192&lt;=25,"15-25",B192&lt;=35,"26-35",B192&lt;=45,"36-45",B192&lt;=55,"46-55",B192&lt;=65,"56-65")</f>
        <v>46-55</v>
      </c>
      <c r="D192" t="s">
        <v>35</v>
      </c>
      <c r="E192" t="str">
        <f t="shared" si="4"/>
        <v>Current Employee</v>
      </c>
      <c r="F192" t="s">
        <v>36</v>
      </c>
      <c r="G192">
        <v>699</v>
      </c>
      <c r="H192" t="s">
        <v>54</v>
      </c>
      <c r="I192">
        <v>1</v>
      </c>
      <c r="J192">
        <v>4</v>
      </c>
      <c r="K192" t="s">
        <v>38</v>
      </c>
      <c r="L192">
        <v>1</v>
      </c>
      <c r="M192">
        <v>3</v>
      </c>
      <c r="N192" t="s">
        <v>46</v>
      </c>
      <c r="O192">
        <v>65</v>
      </c>
      <c r="P192">
        <v>2</v>
      </c>
      <c r="Q192">
        <v>5</v>
      </c>
      <c r="R192" t="s">
        <v>47</v>
      </c>
      <c r="S192">
        <v>3</v>
      </c>
      <c r="T192" t="str" cm="1">
        <f t="array" ref="T192">_xlfn.IFS(S192&lt;=2,"Poor",S192&lt;=3,"Fair",S192&gt;=4,"Good")</f>
        <v>Fair</v>
      </c>
      <c r="U192" t="s">
        <v>48</v>
      </c>
      <c r="V192" s="1">
        <v>19999</v>
      </c>
      <c r="W192" t="str" cm="1">
        <f t="array" ref="W192">_xlfn.IFS(V192&lt;=5000,"Low Salary",V192&lt;=12000,"Good Salary",V192&gt;12000,"High Salary")</f>
        <v>High Salary</v>
      </c>
      <c r="X192">
        <v>5678</v>
      </c>
      <c r="Y192">
        <v>0</v>
      </c>
      <c r="Z192" t="s">
        <v>42</v>
      </c>
      <c r="AA192" t="s">
        <v>35</v>
      </c>
      <c r="AB192">
        <v>14</v>
      </c>
      <c r="AC192">
        <v>3</v>
      </c>
      <c r="AD192" t="str">
        <f t="shared" si="5"/>
        <v>Low Performance</v>
      </c>
      <c r="AE192">
        <v>1</v>
      </c>
      <c r="AF192">
        <v>80</v>
      </c>
      <c r="AG192">
        <v>1</v>
      </c>
      <c r="AH192">
        <v>34</v>
      </c>
      <c r="AI192">
        <v>5</v>
      </c>
      <c r="AJ192">
        <v>3</v>
      </c>
      <c r="AK192" t="str" cm="1">
        <f t="array" ref="AK192">_xlfn.IFS(AJ192&lt;=2,"Poor",AJ192&lt;=3,"Fair",AJ192&gt;3,"Good")</f>
        <v>Fair</v>
      </c>
      <c r="AL192">
        <v>33</v>
      </c>
      <c r="AM192">
        <v>18</v>
      </c>
      <c r="AN192">
        <v>11</v>
      </c>
      <c r="AO192">
        <v>9</v>
      </c>
    </row>
    <row r="193" spans="1:41" x14ac:dyDescent="0.2">
      <c r="A193">
        <v>1155351</v>
      </c>
      <c r="B193">
        <v>27</v>
      </c>
      <c r="C193" t="str" cm="1">
        <f t="array" ref="C193">_xlfn.IFS(B193&lt;=25,"15-25",B193&lt;=35,"26-35",B193&lt;=45,"36-45",B193&lt;=55,"46-55",B193&lt;=65,"56-65")</f>
        <v>26-35</v>
      </c>
      <c r="D193" t="s">
        <v>35</v>
      </c>
      <c r="E193" t="str">
        <f t="shared" si="4"/>
        <v>Current Employee</v>
      </c>
      <c r="F193" t="s">
        <v>36</v>
      </c>
      <c r="G193">
        <v>894</v>
      </c>
      <c r="H193" t="s">
        <v>45</v>
      </c>
      <c r="I193">
        <v>9</v>
      </c>
      <c r="J193">
        <v>3</v>
      </c>
      <c r="K193" t="s">
        <v>49</v>
      </c>
      <c r="L193">
        <v>1</v>
      </c>
      <c r="M193">
        <v>4</v>
      </c>
      <c r="N193" t="s">
        <v>39</v>
      </c>
      <c r="O193">
        <v>99</v>
      </c>
      <c r="P193">
        <v>3</v>
      </c>
      <c r="Q193">
        <v>1</v>
      </c>
      <c r="R193" t="s">
        <v>47</v>
      </c>
      <c r="S193">
        <v>2</v>
      </c>
      <c r="T193" t="str" cm="1">
        <f t="array" ref="T193">_xlfn.IFS(S193&lt;=2,"Poor",S193&lt;=3,"Fair",S193&gt;=4,"Good")</f>
        <v>Poor</v>
      </c>
      <c r="U193" t="s">
        <v>41</v>
      </c>
      <c r="V193" s="1">
        <v>2279</v>
      </c>
      <c r="W193" t="str" cm="1">
        <f t="array" ref="W193">_xlfn.IFS(V193&lt;=5000,"Low Salary",V193&lt;=12000,"Good Salary",V193&gt;12000,"High Salary")</f>
        <v>Low Salary</v>
      </c>
      <c r="X193">
        <v>11781</v>
      </c>
      <c r="Y193">
        <v>1</v>
      </c>
      <c r="Z193" t="s">
        <v>42</v>
      </c>
      <c r="AA193" t="s">
        <v>35</v>
      </c>
      <c r="AB193">
        <v>16</v>
      </c>
      <c r="AC193">
        <v>3</v>
      </c>
      <c r="AD193" t="str">
        <f t="shared" si="5"/>
        <v>Low Performance</v>
      </c>
      <c r="AE193">
        <v>4</v>
      </c>
      <c r="AF193">
        <v>80</v>
      </c>
      <c r="AG193">
        <v>0</v>
      </c>
      <c r="AH193">
        <v>7</v>
      </c>
      <c r="AI193">
        <v>2</v>
      </c>
      <c r="AJ193">
        <v>2</v>
      </c>
      <c r="AK193" t="str" cm="1">
        <f t="array" ref="AK193">_xlfn.IFS(AJ193&lt;=2,"Poor",AJ193&lt;=3,"Fair",AJ193&gt;3,"Good")</f>
        <v>Poor</v>
      </c>
      <c r="AL193">
        <v>7</v>
      </c>
      <c r="AM193">
        <v>7</v>
      </c>
      <c r="AN193">
        <v>0</v>
      </c>
      <c r="AO193">
        <v>3</v>
      </c>
    </row>
    <row r="194" spans="1:41" x14ac:dyDescent="0.2">
      <c r="A194">
        <v>1409777</v>
      </c>
      <c r="B194">
        <v>35</v>
      </c>
      <c r="C194" t="str" cm="1">
        <f t="array" ref="C194">_xlfn.IFS(B194&lt;=25,"15-25",B194&lt;=35,"26-35",B194&lt;=45,"36-45",B194&lt;=55,"46-55",B194&lt;=65,"56-65")</f>
        <v>26-35</v>
      </c>
      <c r="D194" t="s">
        <v>43</v>
      </c>
      <c r="E194" t="str">
        <f t="shared" si="4"/>
        <v>Former Employee</v>
      </c>
      <c r="F194" t="s">
        <v>36</v>
      </c>
      <c r="G194">
        <v>556</v>
      </c>
      <c r="H194" t="s">
        <v>45</v>
      </c>
      <c r="I194">
        <v>23</v>
      </c>
      <c r="J194">
        <v>2</v>
      </c>
      <c r="K194" t="s">
        <v>38</v>
      </c>
      <c r="L194">
        <v>1</v>
      </c>
      <c r="M194">
        <v>2</v>
      </c>
      <c r="N194" t="s">
        <v>46</v>
      </c>
      <c r="O194">
        <v>50</v>
      </c>
      <c r="P194">
        <v>2</v>
      </c>
      <c r="Q194">
        <v>2</v>
      </c>
      <c r="R194" t="s">
        <v>51</v>
      </c>
      <c r="S194">
        <v>3</v>
      </c>
      <c r="T194" t="str" cm="1">
        <f t="array" ref="T194">_xlfn.IFS(S194&lt;=2,"Poor",S194&lt;=3,"Fair",S194&gt;=4,"Good")</f>
        <v>Fair</v>
      </c>
      <c r="U194" t="s">
        <v>48</v>
      </c>
      <c r="V194" s="1">
        <v>5916</v>
      </c>
      <c r="W194" t="str" cm="1">
        <f t="array" ref="W194">_xlfn.IFS(V194&lt;=5000,"Low Salary",V194&lt;=12000,"Good Salary",V194&gt;12000,"High Salary")</f>
        <v>Good Salary</v>
      </c>
      <c r="X194">
        <v>15497</v>
      </c>
      <c r="Y194">
        <v>3</v>
      </c>
      <c r="Z194" t="s">
        <v>42</v>
      </c>
      <c r="AA194" t="s">
        <v>43</v>
      </c>
      <c r="AB194">
        <v>13</v>
      </c>
      <c r="AC194">
        <v>3</v>
      </c>
      <c r="AD194" t="str">
        <f t="shared" si="5"/>
        <v>Low Performance</v>
      </c>
      <c r="AE194">
        <v>1</v>
      </c>
      <c r="AF194">
        <v>80</v>
      </c>
      <c r="AG194">
        <v>0</v>
      </c>
      <c r="AH194">
        <v>8</v>
      </c>
      <c r="AI194">
        <v>1</v>
      </c>
      <c r="AJ194">
        <v>3</v>
      </c>
      <c r="AK194" t="str" cm="1">
        <f t="array" ref="AK194">_xlfn.IFS(AJ194&lt;=2,"Poor",AJ194&lt;=3,"Fair",AJ194&gt;3,"Good")</f>
        <v>Fair</v>
      </c>
      <c r="AL194">
        <v>1</v>
      </c>
      <c r="AM194">
        <v>0</v>
      </c>
      <c r="AN194">
        <v>0</v>
      </c>
      <c r="AO194">
        <v>1</v>
      </c>
    </row>
    <row r="195" spans="1:41" x14ac:dyDescent="0.2">
      <c r="A195">
        <v>1175384</v>
      </c>
      <c r="B195">
        <v>43</v>
      </c>
      <c r="C195" t="str" cm="1">
        <f t="array" ref="C195">_xlfn.IFS(B195&lt;=25,"15-25",B195&lt;=35,"26-35",B195&lt;=45,"36-45",B195&lt;=55,"46-55",B195&lt;=65,"56-65")</f>
        <v>36-45</v>
      </c>
      <c r="D195" t="s">
        <v>35</v>
      </c>
      <c r="E195" t="str">
        <f t="shared" ref="E195:E258" si="6">IF(D195="No","Current Employee","Former Employee")</f>
        <v>Current Employee</v>
      </c>
      <c r="F195" t="s">
        <v>52</v>
      </c>
      <c r="G195">
        <v>1344</v>
      </c>
      <c r="H195" t="s">
        <v>45</v>
      </c>
      <c r="I195">
        <v>7</v>
      </c>
      <c r="J195">
        <v>3</v>
      </c>
      <c r="K195" t="s">
        <v>49</v>
      </c>
      <c r="L195">
        <v>1</v>
      </c>
      <c r="M195">
        <v>4</v>
      </c>
      <c r="N195" t="s">
        <v>46</v>
      </c>
      <c r="O195">
        <v>37</v>
      </c>
      <c r="P195">
        <v>4</v>
      </c>
      <c r="Q195">
        <v>1</v>
      </c>
      <c r="R195" t="s">
        <v>47</v>
      </c>
      <c r="S195">
        <v>4</v>
      </c>
      <c r="T195" t="str" cm="1">
        <f t="array" ref="T195">_xlfn.IFS(S195&lt;=2,"Poor",S195&lt;=3,"Fair",S195&gt;=4,"Good")</f>
        <v>Good</v>
      </c>
      <c r="U195" t="s">
        <v>50</v>
      </c>
      <c r="V195" s="1">
        <v>2089</v>
      </c>
      <c r="W195" t="str" cm="1">
        <f t="array" ref="W195">_xlfn.IFS(V195&lt;=5000,"Low Salary",V195&lt;=12000,"Good Salary",V195&gt;12000,"High Salary")</f>
        <v>Low Salary</v>
      </c>
      <c r="X195">
        <v>5228</v>
      </c>
      <c r="Y195">
        <v>4</v>
      </c>
      <c r="Z195" t="s">
        <v>42</v>
      </c>
      <c r="AA195" t="s">
        <v>35</v>
      </c>
      <c r="AB195">
        <v>14</v>
      </c>
      <c r="AC195">
        <v>3</v>
      </c>
      <c r="AD195" t="str">
        <f t="shared" ref="AD195:AD258" si="7">IF(AC195&lt;=3,"Low Performance","High Performance")</f>
        <v>Low Performance</v>
      </c>
      <c r="AE195">
        <v>4</v>
      </c>
      <c r="AF195">
        <v>80</v>
      </c>
      <c r="AG195">
        <v>3</v>
      </c>
      <c r="AH195">
        <v>7</v>
      </c>
      <c r="AI195">
        <v>3</v>
      </c>
      <c r="AJ195">
        <v>4</v>
      </c>
      <c r="AK195" t="str" cm="1">
        <f t="array" ref="AK195">_xlfn.IFS(AJ195&lt;=2,"Poor",AJ195&lt;=3,"Fair",AJ195&gt;3,"Good")</f>
        <v>Good</v>
      </c>
      <c r="AL195">
        <v>5</v>
      </c>
      <c r="AM195">
        <v>4</v>
      </c>
      <c r="AN195">
        <v>2</v>
      </c>
      <c r="AO195">
        <v>2</v>
      </c>
    </row>
    <row r="196" spans="1:41" x14ac:dyDescent="0.2">
      <c r="A196">
        <v>1447981</v>
      </c>
      <c r="B196">
        <v>45</v>
      </c>
      <c r="C196" t="str" cm="1">
        <f t="array" ref="C196">_xlfn.IFS(B196&lt;=25,"15-25",B196&lt;=35,"26-35",B196&lt;=45,"36-45",B196&lt;=55,"46-55",B196&lt;=65,"56-65")</f>
        <v>36-45</v>
      </c>
      <c r="D196" t="s">
        <v>35</v>
      </c>
      <c r="E196" t="str">
        <f t="shared" si="6"/>
        <v>Current Employee</v>
      </c>
      <c r="F196" t="s">
        <v>52</v>
      </c>
      <c r="G196">
        <v>1195</v>
      </c>
      <c r="H196" t="s">
        <v>54</v>
      </c>
      <c r="I196">
        <v>2</v>
      </c>
      <c r="J196">
        <v>2</v>
      </c>
      <c r="K196" t="s">
        <v>49</v>
      </c>
      <c r="L196">
        <v>1</v>
      </c>
      <c r="M196">
        <v>1</v>
      </c>
      <c r="N196" t="s">
        <v>46</v>
      </c>
      <c r="O196">
        <v>65</v>
      </c>
      <c r="P196">
        <v>2</v>
      </c>
      <c r="Q196">
        <v>4</v>
      </c>
      <c r="R196" t="s">
        <v>47</v>
      </c>
      <c r="S196">
        <v>4</v>
      </c>
      <c r="T196" t="str" cm="1">
        <f t="array" ref="T196">_xlfn.IFS(S196&lt;=2,"Poor",S196&lt;=3,"Fair",S196&gt;=4,"Good")</f>
        <v>Good</v>
      </c>
      <c r="U196" t="s">
        <v>48</v>
      </c>
      <c r="V196" s="1">
        <v>16792</v>
      </c>
      <c r="W196" t="str" cm="1">
        <f t="array" ref="W196">_xlfn.IFS(V196&lt;=5000,"Low Salary",V196&lt;=12000,"Good Salary",V196&gt;12000,"High Salary")</f>
        <v>High Salary</v>
      </c>
      <c r="X196">
        <v>20462</v>
      </c>
      <c r="Y196">
        <v>9</v>
      </c>
      <c r="Z196" t="s">
        <v>42</v>
      </c>
      <c r="AA196" t="s">
        <v>35</v>
      </c>
      <c r="AB196">
        <v>23</v>
      </c>
      <c r="AC196">
        <v>4</v>
      </c>
      <c r="AD196" t="str">
        <f t="shared" si="7"/>
        <v>High Performance</v>
      </c>
      <c r="AE196">
        <v>4</v>
      </c>
      <c r="AF196">
        <v>80</v>
      </c>
      <c r="AG196">
        <v>1</v>
      </c>
      <c r="AH196">
        <v>22</v>
      </c>
      <c r="AI196">
        <v>1</v>
      </c>
      <c r="AJ196">
        <v>3</v>
      </c>
      <c r="AK196" t="str" cm="1">
        <f t="array" ref="AK196">_xlfn.IFS(AJ196&lt;=2,"Poor",AJ196&lt;=3,"Fair",AJ196&gt;3,"Good")</f>
        <v>Fair</v>
      </c>
      <c r="AL196">
        <v>20</v>
      </c>
      <c r="AM196">
        <v>8</v>
      </c>
      <c r="AN196">
        <v>11</v>
      </c>
      <c r="AO196">
        <v>8</v>
      </c>
    </row>
    <row r="197" spans="1:41" x14ac:dyDescent="0.2">
      <c r="A197">
        <v>1643490</v>
      </c>
      <c r="B197">
        <v>37</v>
      </c>
      <c r="C197" t="str" cm="1">
        <f t="array" ref="C197">_xlfn.IFS(B197&lt;=25,"15-25",B197&lt;=35,"26-35",B197&lt;=45,"36-45",B197&lt;=55,"46-55",B197&lt;=65,"56-65")</f>
        <v>36-45</v>
      </c>
      <c r="D197" t="s">
        <v>35</v>
      </c>
      <c r="E197" t="str">
        <f t="shared" si="6"/>
        <v>Current Employee</v>
      </c>
      <c r="F197" t="s">
        <v>36</v>
      </c>
      <c r="G197">
        <v>290</v>
      </c>
      <c r="H197" t="s">
        <v>45</v>
      </c>
      <c r="I197">
        <v>21</v>
      </c>
      <c r="J197">
        <v>3</v>
      </c>
      <c r="K197" t="s">
        <v>38</v>
      </c>
      <c r="L197">
        <v>1</v>
      </c>
      <c r="M197">
        <v>2</v>
      </c>
      <c r="N197" t="s">
        <v>46</v>
      </c>
      <c r="O197">
        <v>65</v>
      </c>
      <c r="P197">
        <v>4</v>
      </c>
      <c r="Q197">
        <v>1</v>
      </c>
      <c r="R197" t="s">
        <v>47</v>
      </c>
      <c r="S197">
        <v>1</v>
      </c>
      <c r="T197" t="str" cm="1">
        <f t="array" ref="T197">_xlfn.IFS(S197&lt;=2,"Poor",S197&lt;=3,"Fair",S197&gt;=4,"Good")</f>
        <v>Poor</v>
      </c>
      <c r="U197" t="s">
        <v>48</v>
      </c>
      <c r="V197" s="1">
        <v>3564</v>
      </c>
      <c r="W197" t="str" cm="1">
        <f t="array" ref="W197">_xlfn.IFS(V197&lt;=5000,"Low Salary",V197&lt;=12000,"Good Salary",V197&gt;12000,"High Salary")</f>
        <v>Low Salary</v>
      </c>
      <c r="X197">
        <v>22977</v>
      </c>
      <c r="Y197">
        <v>1</v>
      </c>
      <c r="Z197" t="s">
        <v>42</v>
      </c>
      <c r="AA197" t="s">
        <v>43</v>
      </c>
      <c r="AB197">
        <v>12</v>
      </c>
      <c r="AC197">
        <v>3</v>
      </c>
      <c r="AD197" t="str">
        <f t="shared" si="7"/>
        <v>Low Performance</v>
      </c>
      <c r="AE197">
        <v>1</v>
      </c>
      <c r="AF197">
        <v>80</v>
      </c>
      <c r="AG197">
        <v>1</v>
      </c>
      <c r="AH197">
        <v>8</v>
      </c>
      <c r="AI197">
        <v>3</v>
      </c>
      <c r="AJ197">
        <v>2</v>
      </c>
      <c r="AK197" t="str" cm="1">
        <f t="array" ref="AK197">_xlfn.IFS(AJ197&lt;=2,"Poor",AJ197&lt;=3,"Fair",AJ197&gt;3,"Good")</f>
        <v>Poor</v>
      </c>
      <c r="AL197">
        <v>8</v>
      </c>
      <c r="AM197">
        <v>7</v>
      </c>
      <c r="AN197">
        <v>1</v>
      </c>
      <c r="AO197">
        <v>7</v>
      </c>
    </row>
    <row r="198" spans="1:41" x14ac:dyDescent="0.2">
      <c r="A198">
        <v>1132287</v>
      </c>
      <c r="B198">
        <v>35</v>
      </c>
      <c r="C198" t="str" cm="1">
        <f t="array" ref="C198">_xlfn.IFS(B198&lt;=25,"15-25",B198&lt;=35,"26-35",B198&lt;=45,"36-45",B198&lt;=55,"46-55",B198&lt;=65,"56-65")</f>
        <v>26-35</v>
      </c>
      <c r="D198" t="s">
        <v>35</v>
      </c>
      <c r="E198" t="str">
        <f t="shared" si="6"/>
        <v>Current Employee</v>
      </c>
      <c r="F198" t="s">
        <v>44</v>
      </c>
      <c r="G198">
        <v>138</v>
      </c>
      <c r="H198" t="s">
        <v>45</v>
      </c>
      <c r="I198">
        <v>2</v>
      </c>
      <c r="J198">
        <v>3</v>
      </c>
      <c r="K198" t="s">
        <v>49</v>
      </c>
      <c r="L198">
        <v>1</v>
      </c>
      <c r="M198">
        <v>2</v>
      </c>
      <c r="N198" t="s">
        <v>39</v>
      </c>
      <c r="O198">
        <v>37</v>
      </c>
      <c r="P198">
        <v>3</v>
      </c>
      <c r="Q198">
        <v>2</v>
      </c>
      <c r="R198" t="s">
        <v>40</v>
      </c>
      <c r="S198">
        <v>2</v>
      </c>
      <c r="T198" t="str" cm="1">
        <f t="array" ref="T198">_xlfn.IFS(S198&lt;=2,"Poor",S198&lt;=3,"Fair",S198&gt;=4,"Good")</f>
        <v>Poor</v>
      </c>
      <c r="U198" t="s">
        <v>41</v>
      </c>
      <c r="V198" s="1">
        <v>4425</v>
      </c>
      <c r="W198" t="str" cm="1">
        <f t="array" ref="W198">_xlfn.IFS(V198&lt;=5000,"Low Salary",V198&lt;=12000,"Good Salary",V198&gt;12000,"High Salary")</f>
        <v>Low Salary</v>
      </c>
      <c r="X198">
        <v>15986</v>
      </c>
      <c r="Y198">
        <v>5</v>
      </c>
      <c r="Z198" t="s">
        <v>42</v>
      </c>
      <c r="AA198" t="s">
        <v>35</v>
      </c>
      <c r="AB198">
        <v>11</v>
      </c>
      <c r="AC198">
        <v>3</v>
      </c>
      <c r="AD198" t="str">
        <f t="shared" si="7"/>
        <v>Low Performance</v>
      </c>
      <c r="AE198">
        <v>4</v>
      </c>
      <c r="AF198">
        <v>80</v>
      </c>
      <c r="AG198">
        <v>0</v>
      </c>
      <c r="AH198">
        <v>10</v>
      </c>
      <c r="AI198">
        <v>5</v>
      </c>
      <c r="AJ198">
        <v>3</v>
      </c>
      <c r="AK198" t="str" cm="1">
        <f t="array" ref="AK198">_xlfn.IFS(AJ198&lt;=2,"Poor",AJ198&lt;=3,"Fair",AJ198&gt;3,"Good")</f>
        <v>Fair</v>
      </c>
      <c r="AL198">
        <v>6</v>
      </c>
      <c r="AM198">
        <v>2</v>
      </c>
      <c r="AN198">
        <v>1</v>
      </c>
      <c r="AO198">
        <v>2</v>
      </c>
    </row>
    <row r="199" spans="1:41" x14ac:dyDescent="0.2">
      <c r="A199">
        <v>1238447</v>
      </c>
      <c r="B199">
        <v>42</v>
      </c>
      <c r="C199" t="str" cm="1">
        <f t="array" ref="C199">_xlfn.IFS(B199&lt;=25,"15-25",B199&lt;=35,"26-35",B199&lt;=45,"36-45",B199&lt;=55,"46-55",B199&lt;=65,"56-65")</f>
        <v>36-45</v>
      </c>
      <c r="D199" t="s">
        <v>35</v>
      </c>
      <c r="E199" t="str">
        <f t="shared" si="6"/>
        <v>Current Employee</v>
      </c>
      <c r="F199" t="s">
        <v>52</v>
      </c>
      <c r="G199">
        <v>926</v>
      </c>
      <c r="H199" t="s">
        <v>45</v>
      </c>
      <c r="I199">
        <v>21</v>
      </c>
      <c r="J199">
        <v>2</v>
      </c>
      <c r="K199" t="s">
        <v>49</v>
      </c>
      <c r="L199">
        <v>1</v>
      </c>
      <c r="M199">
        <v>3</v>
      </c>
      <c r="N199" t="s">
        <v>39</v>
      </c>
      <c r="O199">
        <v>36</v>
      </c>
      <c r="P199">
        <v>3</v>
      </c>
      <c r="Q199">
        <v>2</v>
      </c>
      <c r="R199" t="s">
        <v>51</v>
      </c>
      <c r="S199">
        <v>3</v>
      </c>
      <c r="T199" t="str" cm="1">
        <f t="array" ref="T199">_xlfn.IFS(S199&lt;=2,"Poor",S199&lt;=3,"Fair",S199&gt;=4,"Good")</f>
        <v>Fair</v>
      </c>
      <c r="U199" t="s">
        <v>50</v>
      </c>
      <c r="V199" s="1">
        <v>5265</v>
      </c>
      <c r="W199" t="str" cm="1">
        <f t="array" ref="W199">_xlfn.IFS(V199&lt;=5000,"Low Salary",V199&lt;=12000,"Good Salary",V199&gt;12000,"High Salary")</f>
        <v>Good Salary</v>
      </c>
      <c r="X199">
        <v>16439</v>
      </c>
      <c r="Y199">
        <v>2</v>
      </c>
      <c r="Z199" t="s">
        <v>42</v>
      </c>
      <c r="AA199" t="s">
        <v>35</v>
      </c>
      <c r="AB199">
        <v>16</v>
      </c>
      <c r="AC199">
        <v>3</v>
      </c>
      <c r="AD199" t="str">
        <f t="shared" si="7"/>
        <v>Low Performance</v>
      </c>
      <c r="AE199">
        <v>2</v>
      </c>
      <c r="AF199">
        <v>80</v>
      </c>
      <c r="AG199">
        <v>1</v>
      </c>
      <c r="AH199">
        <v>11</v>
      </c>
      <c r="AI199">
        <v>5</v>
      </c>
      <c r="AJ199">
        <v>3</v>
      </c>
      <c r="AK199" t="str" cm="1">
        <f t="array" ref="AK199">_xlfn.IFS(AJ199&lt;=2,"Poor",AJ199&lt;=3,"Fair",AJ199&gt;3,"Good")</f>
        <v>Fair</v>
      </c>
      <c r="AL199">
        <v>5</v>
      </c>
      <c r="AM199">
        <v>3</v>
      </c>
      <c r="AN199">
        <v>0</v>
      </c>
      <c r="AO199">
        <v>2</v>
      </c>
    </row>
    <row r="200" spans="1:41" x14ac:dyDescent="0.2">
      <c r="A200">
        <v>1314186</v>
      </c>
      <c r="B200">
        <v>38</v>
      </c>
      <c r="C200" t="str" cm="1">
        <f t="array" ref="C200">_xlfn.IFS(B200&lt;=25,"15-25",B200&lt;=35,"26-35",B200&lt;=45,"36-45",B200&lt;=55,"46-55",B200&lt;=65,"56-65")</f>
        <v>36-45</v>
      </c>
      <c r="D200" t="s">
        <v>35</v>
      </c>
      <c r="E200" t="str">
        <f t="shared" si="6"/>
        <v>Current Employee</v>
      </c>
      <c r="F200" t="s">
        <v>36</v>
      </c>
      <c r="G200">
        <v>1261</v>
      </c>
      <c r="H200" t="s">
        <v>54</v>
      </c>
      <c r="I200">
        <v>2</v>
      </c>
      <c r="J200">
        <v>4</v>
      </c>
      <c r="K200" t="s">
        <v>38</v>
      </c>
      <c r="L200">
        <v>1</v>
      </c>
      <c r="M200">
        <v>4</v>
      </c>
      <c r="N200" t="s">
        <v>46</v>
      </c>
      <c r="O200">
        <v>88</v>
      </c>
      <c r="P200">
        <v>3</v>
      </c>
      <c r="Q200">
        <v>2</v>
      </c>
      <c r="R200" t="s">
        <v>51</v>
      </c>
      <c r="S200">
        <v>3</v>
      </c>
      <c r="T200" t="str" cm="1">
        <f t="array" ref="T200">_xlfn.IFS(S200&lt;=2,"Poor",S200&lt;=3,"Fair",S200&gt;=4,"Good")</f>
        <v>Fair</v>
      </c>
      <c r="U200" t="s">
        <v>48</v>
      </c>
      <c r="V200" s="1">
        <v>6553</v>
      </c>
      <c r="W200" t="str" cm="1">
        <f t="array" ref="W200">_xlfn.IFS(V200&lt;=5000,"Low Salary",V200&lt;=12000,"Good Salary",V200&gt;12000,"High Salary")</f>
        <v>Good Salary</v>
      </c>
      <c r="X200">
        <v>7259</v>
      </c>
      <c r="Y200">
        <v>9</v>
      </c>
      <c r="Z200" t="s">
        <v>42</v>
      </c>
      <c r="AA200" t="s">
        <v>35</v>
      </c>
      <c r="AB200">
        <v>14</v>
      </c>
      <c r="AC200">
        <v>3</v>
      </c>
      <c r="AD200" t="str">
        <f t="shared" si="7"/>
        <v>Low Performance</v>
      </c>
      <c r="AE200">
        <v>2</v>
      </c>
      <c r="AF200">
        <v>80</v>
      </c>
      <c r="AG200">
        <v>0</v>
      </c>
      <c r="AH200">
        <v>14</v>
      </c>
      <c r="AI200">
        <v>3</v>
      </c>
      <c r="AJ200">
        <v>3</v>
      </c>
      <c r="AK200" t="str" cm="1">
        <f t="array" ref="AK200">_xlfn.IFS(AJ200&lt;=2,"Poor",AJ200&lt;=3,"Fair",AJ200&gt;3,"Good")</f>
        <v>Fair</v>
      </c>
      <c r="AL200">
        <v>1</v>
      </c>
      <c r="AM200">
        <v>0</v>
      </c>
      <c r="AN200">
        <v>0</v>
      </c>
      <c r="AO200">
        <v>0</v>
      </c>
    </row>
    <row r="201" spans="1:41" x14ac:dyDescent="0.2">
      <c r="A201">
        <v>1416095</v>
      </c>
      <c r="B201">
        <v>38</v>
      </c>
      <c r="C201" t="str" cm="1">
        <f t="array" ref="C201">_xlfn.IFS(B201&lt;=25,"15-25",B201&lt;=35,"26-35",B201&lt;=45,"36-45",B201&lt;=55,"46-55",B201&lt;=65,"56-65")</f>
        <v>36-45</v>
      </c>
      <c r="D201" t="s">
        <v>35</v>
      </c>
      <c r="E201" t="str">
        <f t="shared" si="6"/>
        <v>Current Employee</v>
      </c>
      <c r="F201" t="s">
        <v>36</v>
      </c>
      <c r="G201">
        <v>1084</v>
      </c>
      <c r="H201" t="s">
        <v>45</v>
      </c>
      <c r="I201">
        <v>29</v>
      </c>
      <c r="J201">
        <v>3</v>
      </c>
      <c r="K201" t="s">
        <v>56</v>
      </c>
      <c r="L201">
        <v>1</v>
      </c>
      <c r="M201">
        <v>4</v>
      </c>
      <c r="N201" t="s">
        <v>46</v>
      </c>
      <c r="O201">
        <v>54</v>
      </c>
      <c r="P201">
        <v>3</v>
      </c>
      <c r="Q201">
        <v>2</v>
      </c>
      <c r="R201" t="s">
        <v>51</v>
      </c>
      <c r="S201">
        <v>4</v>
      </c>
      <c r="T201" t="str" cm="1">
        <f t="array" ref="T201">_xlfn.IFS(S201&lt;=2,"Poor",S201&lt;=3,"Fair",S201&gt;=4,"Good")</f>
        <v>Good</v>
      </c>
      <c r="U201" t="s">
        <v>48</v>
      </c>
      <c r="V201" s="1">
        <v>6261</v>
      </c>
      <c r="W201" t="str" cm="1">
        <f t="array" ref="W201">_xlfn.IFS(V201&lt;=5000,"Low Salary",V201&lt;=12000,"Good Salary",V201&gt;12000,"High Salary")</f>
        <v>Good Salary</v>
      </c>
      <c r="X201">
        <v>4185</v>
      </c>
      <c r="Y201">
        <v>3</v>
      </c>
      <c r="Z201" t="s">
        <v>42</v>
      </c>
      <c r="AA201" t="s">
        <v>35</v>
      </c>
      <c r="AB201">
        <v>18</v>
      </c>
      <c r="AC201">
        <v>3</v>
      </c>
      <c r="AD201" t="str">
        <f t="shared" si="7"/>
        <v>Low Performance</v>
      </c>
      <c r="AE201">
        <v>1</v>
      </c>
      <c r="AF201">
        <v>80</v>
      </c>
      <c r="AG201">
        <v>1</v>
      </c>
      <c r="AH201">
        <v>9</v>
      </c>
      <c r="AI201">
        <v>3</v>
      </c>
      <c r="AJ201">
        <v>1</v>
      </c>
      <c r="AK201" t="str" cm="1">
        <f t="array" ref="AK201">_xlfn.IFS(AJ201&lt;=2,"Poor",AJ201&lt;=3,"Fair",AJ201&gt;3,"Good")</f>
        <v>Poor</v>
      </c>
      <c r="AL201">
        <v>7</v>
      </c>
      <c r="AM201">
        <v>7</v>
      </c>
      <c r="AN201">
        <v>1</v>
      </c>
      <c r="AO201">
        <v>7</v>
      </c>
    </row>
    <row r="202" spans="1:41" x14ac:dyDescent="0.2">
      <c r="A202">
        <v>1572943</v>
      </c>
      <c r="B202">
        <v>27</v>
      </c>
      <c r="C202" t="str" cm="1">
        <f t="array" ref="C202">_xlfn.IFS(B202&lt;=25,"15-25",B202&lt;=35,"26-35",B202&lt;=45,"36-45",B202&lt;=55,"46-55",B202&lt;=65,"56-65")</f>
        <v>26-35</v>
      </c>
      <c r="D202" t="s">
        <v>35</v>
      </c>
      <c r="E202" t="str">
        <f t="shared" si="6"/>
        <v>Current Employee</v>
      </c>
      <c r="F202" t="s">
        <v>44</v>
      </c>
      <c r="G202">
        <v>472</v>
      </c>
      <c r="H202" t="s">
        <v>54</v>
      </c>
      <c r="I202">
        <v>1</v>
      </c>
      <c r="J202">
        <v>1</v>
      </c>
      <c r="K202" t="s">
        <v>56</v>
      </c>
      <c r="L202">
        <v>1</v>
      </c>
      <c r="M202">
        <v>3</v>
      </c>
      <c r="N202" t="s">
        <v>46</v>
      </c>
      <c r="O202">
        <v>60</v>
      </c>
      <c r="P202">
        <v>2</v>
      </c>
      <c r="Q202">
        <v>2</v>
      </c>
      <c r="R202" t="s">
        <v>51</v>
      </c>
      <c r="S202">
        <v>1</v>
      </c>
      <c r="T202" t="str" cm="1">
        <f t="array" ref="T202">_xlfn.IFS(S202&lt;=2,"Poor",S202&lt;=3,"Fair",S202&gt;=4,"Good")</f>
        <v>Poor</v>
      </c>
      <c r="U202" t="s">
        <v>48</v>
      </c>
      <c r="V202" s="1">
        <v>4298</v>
      </c>
      <c r="W202" t="str" cm="1">
        <f t="array" ref="W202">_xlfn.IFS(V202&lt;=5000,"Low Salary",V202&lt;=12000,"Good Salary",V202&gt;12000,"High Salary")</f>
        <v>Low Salary</v>
      </c>
      <c r="X202">
        <v>9679</v>
      </c>
      <c r="Y202">
        <v>5</v>
      </c>
      <c r="Z202" t="s">
        <v>42</v>
      </c>
      <c r="AA202" t="s">
        <v>35</v>
      </c>
      <c r="AB202">
        <v>19</v>
      </c>
      <c r="AC202">
        <v>3</v>
      </c>
      <c r="AD202" t="str">
        <f t="shared" si="7"/>
        <v>Low Performance</v>
      </c>
      <c r="AE202">
        <v>3</v>
      </c>
      <c r="AF202">
        <v>80</v>
      </c>
      <c r="AG202">
        <v>1</v>
      </c>
      <c r="AH202">
        <v>6</v>
      </c>
      <c r="AI202">
        <v>1</v>
      </c>
      <c r="AJ202">
        <v>3</v>
      </c>
      <c r="AK202" t="str" cm="1">
        <f t="array" ref="AK202">_xlfn.IFS(AJ202&lt;=2,"Poor",AJ202&lt;=3,"Fair",AJ202&gt;3,"Good")</f>
        <v>Fair</v>
      </c>
      <c r="AL202">
        <v>2</v>
      </c>
      <c r="AM202">
        <v>2</v>
      </c>
      <c r="AN202">
        <v>2</v>
      </c>
      <c r="AO202">
        <v>0</v>
      </c>
    </row>
    <row r="203" spans="1:41" x14ac:dyDescent="0.2">
      <c r="A203">
        <v>1285655</v>
      </c>
      <c r="B203">
        <v>49</v>
      </c>
      <c r="C203" t="str" cm="1">
        <f t="array" ref="C203">_xlfn.IFS(B203&lt;=25,"15-25",B203&lt;=35,"26-35",B203&lt;=45,"36-45",B203&lt;=55,"46-55",B203&lt;=65,"56-65")</f>
        <v>46-55</v>
      </c>
      <c r="D203" t="s">
        <v>35</v>
      </c>
      <c r="E203" t="str">
        <f t="shared" si="6"/>
        <v>Current Employee</v>
      </c>
      <c r="F203" t="s">
        <v>52</v>
      </c>
      <c r="G203">
        <v>1002</v>
      </c>
      <c r="H203" t="s">
        <v>45</v>
      </c>
      <c r="I203">
        <v>18</v>
      </c>
      <c r="J203">
        <v>4</v>
      </c>
      <c r="K203" t="s">
        <v>38</v>
      </c>
      <c r="L203">
        <v>1</v>
      </c>
      <c r="M203">
        <v>4</v>
      </c>
      <c r="N203" t="s">
        <v>46</v>
      </c>
      <c r="O203">
        <v>92</v>
      </c>
      <c r="P203">
        <v>3</v>
      </c>
      <c r="Q203">
        <v>2</v>
      </c>
      <c r="R203" t="s">
        <v>51</v>
      </c>
      <c r="S203">
        <v>4</v>
      </c>
      <c r="T203" t="str" cm="1">
        <f t="array" ref="T203">_xlfn.IFS(S203&lt;=2,"Poor",S203&lt;=3,"Fair",S203&gt;=4,"Good")</f>
        <v>Good</v>
      </c>
      <c r="U203" t="s">
        <v>50</v>
      </c>
      <c r="V203" s="1">
        <v>6804</v>
      </c>
      <c r="W203" t="str" cm="1">
        <f t="array" ref="W203">_xlfn.IFS(V203&lt;=5000,"Low Salary",V203&lt;=12000,"Good Salary",V203&gt;12000,"High Salary")</f>
        <v>Good Salary</v>
      </c>
      <c r="X203">
        <v>23793</v>
      </c>
      <c r="Y203">
        <v>1</v>
      </c>
      <c r="Z203" t="s">
        <v>42</v>
      </c>
      <c r="AA203" t="s">
        <v>43</v>
      </c>
      <c r="AB203">
        <v>15</v>
      </c>
      <c r="AC203">
        <v>3</v>
      </c>
      <c r="AD203" t="str">
        <f t="shared" si="7"/>
        <v>Low Performance</v>
      </c>
      <c r="AE203">
        <v>1</v>
      </c>
      <c r="AF203">
        <v>80</v>
      </c>
      <c r="AG203">
        <v>2</v>
      </c>
      <c r="AH203">
        <v>7</v>
      </c>
      <c r="AI203">
        <v>0</v>
      </c>
      <c r="AJ203">
        <v>3</v>
      </c>
      <c r="AK203" t="str" cm="1">
        <f t="array" ref="AK203">_xlfn.IFS(AJ203&lt;=2,"Poor",AJ203&lt;=3,"Fair",AJ203&gt;3,"Good")</f>
        <v>Fair</v>
      </c>
      <c r="AL203">
        <v>7</v>
      </c>
      <c r="AM203">
        <v>7</v>
      </c>
      <c r="AN203">
        <v>1</v>
      </c>
      <c r="AO203">
        <v>7</v>
      </c>
    </row>
    <row r="204" spans="1:41" x14ac:dyDescent="0.2">
      <c r="A204">
        <v>1620253</v>
      </c>
      <c r="B204">
        <v>34</v>
      </c>
      <c r="C204" t="str" cm="1">
        <f t="array" ref="C204">_xlfn.IFS(B204&lt;=25,"15-25",B204&lt;=35,"26-35",B204&lt;=45,"36-45",B204&lt;=55,"46-55",B204&lt;=65,"56-65")</f>
        <v>26-35</v>
      </c>
      <c r="D204" t="s">
        <v>35</v>
      </c>
      <c r="E204" t="str">
        <f t="shared" si="6"/>
        <v>Current Employee</v>
      </c>
      <c r="F204" t="s">
        <v>44</v>
      </c>
      <c r="G204">
        <v>878</v>
      </c>
      <c r="H204" t="s">
        <v>45</v>
      </c>
      <c r="I204">
        <v>10</v>
      </c>
      <c r="J204">
        <v>4</v>
      </c>
      <c r="K204" t="s">
        <v>49</v>
      </c>
      <c r="L204">
        <v>1</v>
      </c>
      <c r="M204">
        <v>4</v>
      </c>
      <c r="N204" t="s">
        <v>46</v>
      </c>
      <c r="O204">
        <v>43</v>
      </c>
      <c r="P204">
        <v>3</v>
      </c>
      <c r="Q204">
        <v>1</v>
      </c>
      <c r="R204" t="s">
        <v>47</v>
      </c>
      <c r="S204">
        <v>3</v>
      </c>
      <c r="T204" t="str" cm="1">
        <f t="array" ref="T204">_xlfn.IFS(S204&lt;=2,"Poor",S204&lt;=3,"Fair",S204&gt;=4,"Good")</f>
        <v>Fair</v>
      </c>
      <c r="U204" t="s">
        <v>50</v>
      </c>
      <c r="V204" s="1">
        <v>3815</v>
      </c>
      <c r="W204" t="str" cm="1">
        <f t="array" ref="W204">_xlfn.IFS(V204&lt;=5000,"Low Salary",V204&lt;=12000,"Good Salary",V204&gt;12000,"High Salary")</f>
        <v>Low Salary</v>
      </c>
      <c r="X204">
        <v>5972</v>
      </c>
      <c r="Y204">
        <v>1</v>
      </c>
      <c r="Z204" t="s">
        <v>42</v>
      </c>
      <c r="AA204" t="s">
        <v>43</v>
      </c>
      <c r="AB204">
        <v>17</v>
      </c>
      <c r="AC204">
        <v>3</v>
      </c>
      <c r="AD204" t="str">
        <f t="shared" si="7"/>
        <v>Low Performance</v>
      </c>
      <c r="AE204">
        <v>4</v>
      </c>
      <c r="AF204">
        <v>80</v>
      </c>
      <c r="AG204">
        <v>1</v>
      </c>
      <c r="AH204">
        <v>5</v>
      </c>
      <c r="AI204">
        <v>4</v>
      </c>
      <c r="AJ204">
        <v>4</v>
      </c>
      <c r="AK204" t="str" cm="1">
        <f t="array" ref="AK204">_xlfn.IFS(AJ204&lt;=2,"Poor",AJ204&lt;=3,"Fair",AJ204&gt;3,"Good")</f>
        <v>Good</v>
      </c>
      <c r="AL204">
        <v>5</v>
      </c>
      <c r="AM204">
        <v>3</v>
      </c>
      <c r="AN204">
        <v>2</v>
      </c>
      <c r="AO204">
        <v>0</v>
      </c>
    </row>
    <row r="205" spans="1:41" x14ac:dyDescent="0.2">
      <c r="A205">
        <v>1224749</v>
      </c>
      <c r="B205">
        <v>40</v>
      </c>
      <c r="C205" t="str" cm="1">
        <f t="array" ref="C205">_xlfn.IFS(B205&lt;=25,"15-25",B205&lt;=35,"26-35",B205&lt;=45,"36-45",B205&lt;=55,"46-55",B205&lt;=65,"56-65")</f>
        <v>36-45</v>
      </c>
      <c r="D205" t="s">
        <v>35</v>
      </c>
      <c r="E205" t="str">
        <f t="shared" si="6"/>
        <v>Current Employee</v>
      </c>
      <c r="F205" t="s">
        <v>36</v>
      </c>
      <c r="G205">
        <v>905</v>
      </c>
      <c r="H205" t="s">
        <v>45</v>
      </c>
      <c r="I205">
        <v>19</v>
      </c>
      <c r="J205">
        <v>2</v>
      </c>
      <c r="K205" t="s">
        <v>49</v>
      </c>
      <c r="L205">
        <v>1</v>
      </c>
      <c r="M205">
        <v>3</v>
      </c>
      <c r="N205" t="s">
        <v>46</v>
      </c>
      <c r="O205">
        <v>99</v>
      </c>
      <c r="P205">
        <v>3</v>
      </c>
      <c r="Q205">
        <v>2</v>
      </c>
      <c r="R205" t="s">
        <v>40</v>
      </c>
      <c r="S205">
        <v>4</v>
      </c>
      <c r="T205" t="str" cm="1">
        <f t="array" ref="T205">_xlfn.IFS(S205&lt;=2,"Poor",S205&lt;=3,"Fair",S205&gt;=4,"Good")</f>
        <v>Good</v>
      </c>
      <c r="U205" t="s">
        <v>48</v>
      </c>
      <c r="V205" s="1">
        <v>2741</v>
      </c>
      <c r="W205" t="str" cm="1">
        <f t="array" ref="W205">_xlfn.IFS(V205&lt;=5000,"Low Salary",V205&lt;=12000,"Good Salary",V205&gt;12000,"High Salary")</f>
        <v>Low Salary</v>
      </c>
      <c r="X205">
        <v>16523</v>
      </c>
      <c r="Y205">
        <v>8</v>
      </c>
      <c r="Z205" t="s">
        <v>42</v>
      </c>
      <c r="AA205" t="s">
        <v>43</v>
      </c>
      <c r="AB205">
        <v>15</v>
      </c>
      <c r="AC205">
        <v>3</v>
      </c>
      <c r="AD205" t="str">
        <f t="shared" si="7"/>
        <v>Low Performance</v>
      </c>
      <c r="AE205">
        <v>3</v>
      </c>
      <c r="AF205">
        <v>80</v>
      </c>
      <c r="AG205">
        <v>1</v>
      </c>
      <c r="AH205">
        <v>15</v>
      </c>
      <c r="AI205">
        <v>2</v>
      </c>
      <c r="AJ205">
        <v>4</v>
      </c>
      <c r="AK205" t="str" cm="1">
        <f t="array" ref="AK205">_xlfn.IFS(AJ205&lt;=2,"Poor",AJ205&lt;=3,"Fair",AJ205&gt;3,"Good")</f>
        <v>Good</v>
      </c>
      <c r="AL205">
        <v>7</v>
      </c>
      <c r="AM205">
        <v>2</v>
      </c>
      <c r="AN205">
        <v>3</v>
      </c>
      <c r="AO205">
        <v>7</v>
      </c>
    </row>
    <row r="206" spans="1:41" x14ac:dyDescent="0.2">
      <c r="A206">
        <v>1056367</v>
      </c>
      <c r="B206">
        <v>38</v>
      </c>
      <c r="C206" t="str" cm="1">
        <f t="array" ref="C206">_xlfn.IFS(B206&lt;=25,"15-25",B206&lt;=35,"26-35",B206&lt;=45,"36-45",B206&lt;=55,"46-55",B206&lt;=65,"56-65")</f>
        <v>36-45</v>
      </c>
      <c r="D206" t="s">
        <v>43</v>
      </c>
      <c r="E206" t="str">
        <f t="shared" si="6"/>
        <v>Former Employee</v>
      </c>
      <c r="F206" t="s">
        <v>36</v>
      </c>
      <c r="G206">
        <v>1180</v>
      </c>
      <c r="H206" t="s">
        <v>45</v>
      </c>
      <c r="I206">
        <v>29</v>
      </c>
      <c r="J206">
        <v>1</v>
      </c>
      <c r="K206" t="s">
        <v>49</v>
      </c>
      <c r="L206">
        <v>1</v>
      </c>
      <c r="M206">
        <v>2</v>
      </c>
      <c r="N206" t="s">
        <v>46</v>
      </c>
      <c r="O206">
        <v>70</v>
      </c>
      <c r="P206">
        <v>3</v>
      </c>
      <c r="Q206">
        <v>2</v>
      </c>
      <c r="R206" t="s">
        <v>40</v>
      </c>
      <c r="S206">
        <v>1</v>
      </c>
      <c r="T206" t="str" cm="1">
        <f t="array" ref="T206">_xlfn.IFS(S206&lt;=2,"Poor",S206&lt;=3,"Fair",S206&gt;=4,"Good")</f>
        <v>Poor</v>
      </c>
      <c r="U206" t="s">
        <v>48</v>
      </c>
      <c r="V206" s="1">
        <v>6673</v>
      </c>
      <c r="W206" t="str" cm="1">
        <f t="array" ref="W206">_xlfn.IFS(V206&lt;=5000,"Low Salary",V206&lt;=12000,"Good Salary",V206&gt;12000,"High Salary")</f>
        <v>Good Salary</v>
      </c>
      <c r="X206">
        <v>11354</v>
      </c>
      <c r="Y206">
        <v>7</v>
      </c>
      <c r="Z206" t="s">
        <v>42</v>
      </c>
      <c r="AA206" t="s">
        <v>43</v>
      </c>
      <c r="AB206">
        <v>19</v>
      </c>
      <c r="AC206">
        <v>3</v>
      </c>
      <c r="AD206" t="str">
        <f t="shared" si="7"/>
        <v>Low Performance</v>
      </c>
      <c r="AE206">
        <v>2</v>
      </c>
      <c r="AF206">
        <v>80</v>
      </c>
      <c r="AG206">
        <v>0</v>
      </c>
      <c r="AH206">
        <v>17</v>
      </c>
      <c r="AI206">
        <v>2</v>
      </c>
      <c r="AJ206">
        <v>3</v>
      </c>
      <c r="AK206" t="str" cm="1">
        <f t="array" ref="AK206">_xlfn.IFS(AJ206&lt;=2,"Poor",AJ206&lt;=3,"Fair",AJ206&gt;3,"Good")</f>
        <v>Fair</v>
      </c>
      <c r="AL206">
        <v>1</v>
      </c>
      <c r="AM206">
        <v>0</v>
      </c>
      <c r="AN206">
        <v>0</v>
      </c>
      <c r="AO206">
        <v>0</v>
      </c>
    </row>
    <row r="207" spans="1:41" x14ac:dyDescent="0.2">
      <c r="A207">
        <v>1446715</v>
      </c>
      <c r="B207">
        <v>29</v>
      </c>
      <c r="C207" t="str" cm="1">
        <f t="array" ref="C207">_xlfn.IFS(B207&lt;=25,"15-25",B207&lt;=35,"26-35",B207&lt;=45,"36-45",B207&lt;=55,"46-55",B207&lt;=65,"56-65")</f>
        <v>26-35</v>
      </c>
      <c r="D207" t="s">
        <v>35</v>
      </c>
      <c r="E207" t="str">
        <f t="shared" si="6"/>
        <v>Current Employee</v>
      </c>
      <c r="F207" t="s">
        <v>36</v>
      </c>
      <c r="G207">
        <v>121</v>
      </c>
      <c r="H207" t="s">
        <v>37</v>
      </c>
      <c r="I207">
        <v>27</v>
      </c>
      <c r="J207">
        <v>3</v>
      </c>
      <c r="K207" t="s">
        <v>55</v>
      </c>
      <c r="L207">
        <v>1</v>
      </c>
      <c r="M207">
        <v>2</v>
      </c>
      <c r="N207" t="s">
        <v>39</v>
      </c>
      <c r="O207">
        <v>35</v>
      </c>
      <c r="P207">
        <v>3</v>
      </c>
      <c r="Q207">
        <v>3</v>
      </c>
      <c r="R207" t="s">
        <v>40</v>
      </c>
      <c r="S207">
        <v>4</v>
      </c>
      <c r="T207" t="str" cm="1">
        <f t="array" ref="T207">_xlfn.IFS(S207&lt;=2,"Poor",S207&lt;=3,"Fair",S207&gt;=4,"Good")</f>
        <v>Good</v>
      </c>
      <c r="U207" t="s">
        <v>48</v>
      </c>
      <c r="V207" s="1">
        <v>7639</v>
      </c>
      <c r="W207" t="str" cm="1">
        <f t="array" ref="W207">_xlfn.IFS(V207&lt;=5000,"Low Salary",V207&lt;=12000,"Good Salary",V207&gt;12000,"High Salary")</f>
        <v>Good Salary</v>
      </c>
      <c r="X207">
        <v>24525</v>
      </c>
      <c r="Y207">
        <v>1</v>
      </c>
      <c r="Z207" t="s">
        <v>42</v>
      </c>
      <c r="AA207" t="s">
        <v>35</v>
      </c>
      <c r="AB207">
        <v>22</v>
      </c>
      <c r="AC207">
        <v>4</v>
      </c>
      <c r="AD207" t="str">
        <f t="shared" si="7"/>
        <v>High Performance</v>
      </c>
      <c r="AE207">
        <v>4</v>
      </c>
      <c r="AF207">
        <v>80</v>
      </c>
      <c r="AG207">
        <v>3</v>
      </c>
      <c r="AH207">
        <v>10</v>
      </c>
      <c r="AI207">
        <v>3</v>
      </c>
      <c r="AJ207">
        <v>2</v>
      </c>
      <c r="AK207" t="str" cm="1">
        <f t="array" ref="AK207">_xlfn.IFS(AJ207&lt;=2,"Poor",AJ207&lt;=3,"Fair",AJ207&gt;3,"Good")</f>
        <v>Poor</v>
      </c>
      <c r="AL207">
        <v>10</v>
      </c>
      <c r="AM207">
        <v>4</v>
      </c>
      <c r="AN207">
        <v>1</v>
      </c>
      <c r="AO207">
        <v>9</v>
      </c>
    </row>
    <row r="208" spans="1:41" x14ac:dyDescent="0.2">
      <c r="A208">
        <v>1872375</v>
      </c>
      <c r="B208">
        <v>22</v>
      </c>
      <c r="C208" t="str" cm="1">
        <f t="array" ref="C208">_xlfn.IFS(B208&lt;=25,"15-25",B208&lt;=35,"26-35",B208&lt;=45,"36-45",B208&lt;=55,"46-55",B208&lt;=65,"56-65")</f>
        <v>15-25</v>
      </c>
      <c r="D208" t="s">
        <v>35</v>
      </c>
      <c r="E208" t="str">
        <f t="shared" si="6"/>
        <v>Current Employee</v>
      </c>
      <c r="F208" t="s">
        <v>36</v>
      </c>
      <c r="G208">
        <v>1136</v>
      </c>
      <c r="H208" t="s">
        <v>45</v>
      </c>
      <c r="I208">
        <v>5</v>
      </c>
      <c r="J208">
        <v>3</v>
      </c>
      <c r="K208" t="s">
        <v>38</v>
      </c>
      <c r="L208">
        <v>1</v>
      </c>
      <c r="M208">
        <v>4</v>
      </c>
      <c r="N208" t="s">
        <v>46</v>
      </c>
      <c r="O208">
        <v>60</v>
      </c>
      <c r="P208">
        <v>4</v>
      </c>
      <c r="Q208">
        <v>1</v>
      </c>
      <c r="R208" t="s">
        <v>47</v>
      </c>
      <c r="S208">
        <v>2</v>
      </c>
      <c r="T208" t="str" cm="1">
        <f t="array" ref="T208">_xlfn.IFS(S208&lt;=2,"Poor",S208&lt;=3,"Fair",S208&gt;=4,"Good")</f>
        <v>Poor</v>
      </c>
      <c r="U208" t="s">
        <v>50</v>
      </c>
      <c r="V208" s="1">
        <v>2328</v>
      </c>
      <c r="W208" t="str" cm="1">
        <f t="array" ref="W208">_xlfn.IFS(V208&lt;=5000,"Low Salary",V208&lt;=12000,"Good Salary",V208&gt;12000,"High Salary")</f>
        <v>Low Salary</v>
      </c>
      <c r="X208">
        <v>12392</v>
      </c>
      <c r="Y208">
        <v>1</v>
      </c>
      <c r="Z208" t="s">
        <v>42</v>
      </c>
      <c r="AA208" t="s">
        <v>43</v>
      </c>
      <c r="AB208">
        <v>16</v>
      </c>
      <c r="AC208">
        <v>3</v>
      </c>
      <c r="AD208" t="str">
        <f t="shared" si="7"/>
        <v>Low Performance</v>
      </c>
      <c r="AE208">
        <v>1</v>
      </c>
      <c r="AF208">
        <v>80</v>
      </c>
      <c r="AG208">
        <v>1</v>
      </c>
      <c r="AH208">
        <v>4</v>
      </c>
      <c r="AI208">
        <v>2</v>
      </c>
      <c r="AJ208">
        <v>2</v>
      </c>
      <c r="AK208" t="str" cm="1">
        <f t="array" ref="AK208">_xlfn.IFS(AJ208&lt;=2,"Poor",AJ208&lt;=3,"Fair",AJ208&gt;3,"Good")</f>
        <v>Poor</v>
      </c>
      <c r="AL208">
        <v>4</v>
      </c>
      <c r="AM208">
        <v>2</v>
      </c>
      <c r="AN208">
        <v>2</v>
      </c>
      <c r="AO208">
        <v>2</v>
      </c>
    </row>
    <row r="209" spans="1:41" x14ac:dyDescent="0.2">
      <c r="A209">
        <v>1251693</v>
      </c>
      <c r="B209">
        <v>36</v>
      </c>
      <c r="C209" t="str" cm="1">
        <f t="array" ref="C209">_xlfn.IFS(B209&lt;=25,"15-25",B209&lt;=35,"26-35",B209&lt;=45,"36-45",B209&lt;=55,"46-55",B209&lt;=65,"56-65")</f>
        <v>36-45</v>
      </c>
      <c r="D209" t="s">
        <v>35</v>
      </c>
      <c r="E209" t="str">
        <f t="shared" si="6"/>
        <v>Current Employee</v>
      </c>
      <c r="F209" t="s">
        <v>44</v>
      </c>
      <c r="G209">
        <v>635</v>
      </c>
      <c r="H209" t="s">
        <v>45</v>
      </c>
      <c r="I209">
        <v>18</v>
      </c>
      <c r="J209">
        <v>1</v>
      </c>
      <c r="K209" t="s">
        <v>49</v>
      </c>
      <c r="L209">
        <v>1</v>
      </c>
      <c r="M209">
        <v>2</v>
      </c>
      <c r="N209" t="s">
        <v>39</v>
      </c>
      <c r="O209">
        <v>73</v>
      </c>
      <c r="P209">
        <v>3</v>
      </c>
      <c r="Q209">
        <v>1</v>
      </c>
      <c r="R209" t="s">
        <v>40</v>
      </c>
      <c r="S209">
        <v>4</v>
      </c>
      <c r="T209" t="str" cm="1">
        <f t="array" ref="T209">_xlfn.IFS(S209&lt;=2,"Poor",S209&lt;=3,"Fair",S209&gt;=4,"Good")</f>
        <v>Good</v>
      </c>
      <c r="U209" t="s">
        <v>41</v>
      </c>
      <c r="V209" s="1">
        <v>2153</v>
      </c>
      <c r="W209" t="str" cm="1">
        <f t="array" ref="W209">_xlfn.IFS(V209&lt;=5000,"Low Salary",V209&lt;=12000,"Good Salary",V209&gt;12000,"High Salary")</f>
        <v>Low Salary</v>
      </c>
      <c r="X209">
        <v>7703</v>
      </c>
      <c r="Y209">
        <v>1</v>
      </c>
      <c r="Z209" t="s">
        <v>42</v>
      </c>
      <c r="AA209" t="s">
        <v>35</v>
      </c>
      <c r="AB209">
        <v>13</v>
      </c>
      <c r="AC209">
        <v>3</v>
      </c>
      <c r="AD209" t="str">
        <f t="shared" si="7"/>
        <v>Low Performance</v>
      </c>
      <c r="AE209">
        <v>1</v>
      </c>
      <c r="AF209">
        <v>80</v>
      </c>
      <c r="AG209">
        <v>0</v>
      </c>
      <c r="AH209">
        <v>8</v>
      </c>
      <c r="AI209">
        <v>2</v>
      </c>
      <c r="AJ209">
        <v>3</v>
      </c>
      <c r="AK209" t="str" cm="1">
        <f t="array" ref="AK209">_xlfn.IFS(AJ209&lt;=2,"Poor",AJ209&lt;=3,"Fair",AJ209&gt;3,"Good")</f>
        <v>Fair</v>
      </c>
      <c r="AL209">
        <v>8</v>
      </c>
      <c r="AM209">
        <v>1</v>
      </c>
      <c r="AN209">
        <v>1</v>
      </c>
      <c r="AO209">
        <v>7</v>
      </c>
    </row>
    <row r="210" spans="1:41" x14ac:dyDescent="0.2">
      <c r="A210">
        <v>1474327</v>
      </c>
      <c r="B210">
        <v>40</v>
      </c>
      <c r="C210" t="str" cm="1">
        <f t="array" ref="C210">_xlfn.IFS(B210&lt;=25,"15-25",B210&lt;=35,"26-35",B210&lt;=45,"36-45",B210&lt;=55,"46-55",B210&lt;=65,"56-65")</f>
        <v>36-45</v>
      </c>
      <c r="D210" t="s">
        <v>35</v>
      </c>
      <c r="E210" t="str">
        <f t="shared" si="6"/>
        <v>Current Employee</v>
      </c>
      <c r="F210" t="s">
        <v>52</v>
      </c>
      <c r="G210">
        <v>1151</v>
      </c>
      <c r="H210" t="s">
        <v>45</v>
      </c>
      <c r="I210">
        <v>9</v>
      </c>
      <c r="J210">
        <v>5</v>
      </c>
      <c r="K210" t="s">
        <v>38</v>
      </c>
      <c r="L210">
        <v>1</v>
      </c>
      <c r="M210">
        <v>4</v>
      </c>
      <c r="N210" t="s">
        <v>46</v>
      </c>
      <c r="O210">
        <v>63</v>
      </c>
      <c r="P210">
        <v>2</v>
      </c>
      <c r="Q210">
        <v>2</v>
      </c>
      <c r="R210" t="s">
        <v>40</v>
      </c>
      <c r="S210">
        <v>4</v>
      </c>
      <c r="T210" t="str" cm="1">
        <f t="array" ref="T210">_xlfn.IFS(S210&lt;=2,"Poor",S210&lt;=3,"Fair",S210&gt;=4,"Good")</f>
        <v>Good</v>
      </c>
      <c r="U210" t="s">
        <v>48</v>
      </c>
      <c r="V210" s="1">
        <v>4876</v>
      </c>
      <c r="W210" t="str" cm="1">
        <f t="array" ref="W210">_xlfn.IFS(V210&lt;=5000,"Low Salary",V210&lt;=12000,"Good Salary",V210&gt;12000,"High Salary")</f>
        <v>Low Salary</v>
      </c>
      <c r="X210">
        <v>14242</v>
      </c>
      <c r="Y210">
        <v>9</v>
      </c>
      <c r="Z210" t="s">
        <v>42</v>
      </c>
      <c r="AA210" t="s">
        <v>35</v>
      </c>
      <c r="AB210">
        <v>14</v>
      </c>
      <c r="AC210">
        <v>3</v>
      </c>
      <c r="AD210" t="str">
        <f t="shared" si="7"/>
        <v>Low Performance</v>
      </c>
      <c r="AE210">
        <v>4</v>
      </c>
      <c r="AF210">
        <v>80</v>
      </c>
      <c r="AG210">
        <v>1</v>
      </c>
      <c r="AH210">
        <v>5</v>
      </c>
      <c r="AI210">
        <v>5</v>
      </c>
      <c r="AJ210">
        <v>1</v>
      </c>
      <c r="AK210" t="str" cm="1">
        <f t="array" ref="AK210">_xlfn.IFS(AJ210&lt;=2,"Poor",AJ210&lt;=3,"Fair",AJ210&gt;3,"Good")</f>
        <v>Poor</v>
      </c>
      <c r="AL210">
        <v>3</v>
      </c>
      <c r="AM210">
        <v>2</v>
      </c>
      <c r="AN210">
        <v>0</v>
      </c>
      <c r="AO210">
        <v>2</v>
      </c>
    </row>
    <row r="211" spans="1:41" x14ac:dyDescent="0.2">
      <c r="A211">
        <v>1721417</v>
      </c>
      <c r="B211">
        <v>46</v>
      </c>
      <c r="C211" t="str" cm="1">
        <f t="array" ref="C211">_xlfn.IFS(B211&lt;=25,"15-25",B211&lt;=35,"26-35",B211&lt;=45,"36-45",B211&lt;=55,"46-55",B211&lt;=65,"56-65")</f>
        <v>46-55</v>
      </c>
      <c r="D211" t="s">
        <v>35</v>
      </c>
      <c r="E211" t="str">
        <f t="shared" si="6"/>
        <v>Current Employee</v>
      </c>
      <c r="F211" t="s">
        <v>36</v>
      </c>
      <c r="G211">
        <v>644</v>
      </c>
      <c r="H211" t="s">
        <v>45</v>
      </c>
      <c r="I211">
        <v>1</v>
      </c>
      <c r="J211">
        <v>4</v>
      </c>
      <c r="K211" t="s">
        <v>49</v>
      </c>
      <c r="L211">
        <v>1</v>
      </c>
      <c r="M211">
        <v>4</v>
      </c>
      <c r="N211" t="s">
        <v>46</v>
      </c>
      <c r="O211">
        <v>97</v>
      </c>
      <c r="P211">
        <v>3</v>
      </c>
      <c r="Q211">
        <v>3</v>
      </c>
      <c r="R211" t="s">
        <v>40</v>
      </c>
      <c r="S211">
        <v>1</v>
      </c>
      <c r="T211" t="str" cm="1">
        <f t="array" ref="T211">_xlfn.IFS(S211&lt;=2,"Poor",S211&lt;=3,"Fair",S211&gt;=4,"Good")</f>
        <v>Poor</v>
      </c>
      <c r="U211" t="s">
        <v>50</v>
      </c>
      <c r="V211" s="1">
        <v>9396</v>
      </c>
      <c r="W211" t="str" cm="1">
        <f t="array" ref="W211">_xlfn.IFS(V211&lt;=5000,"Low Salary",V211&lt;=12000,"Good Salary",V211&gt;12000,"High Salary")</f>
        <v>Good Salary</v>
      </c>
      <c r="X211">
        <v>12368</v>
      </c>
      <c r="Y211">
        <v>7</v>
      </c>
      <c r="Z211" t="s">
        <v>42</v>
      </c>
      <c r="AA211" t="s">
        <v>35</v>
      </c>
      <c r="AB211">
        <v>16</v>
      </c>
      <c r="AC211">
        <v>3</v>
      </c>
      <c r="AD211" t="str">
        <f t="shared" si="7"/>
        <v>Low Performance</v>
      </c>
      <c r="AE211">
        <v>3</v>
      </c>
      <c r="AF211">
        <v>80</v>
      </c>
      <c r="AG211">
        <v>1</v>
      </c>
      <c r="AH211">
        <v>17</v>
      </c>
      <c r="AI211">
        <v>3</v>
      </c>
      <c r="AJ211">
        <v>3</v>
      </c>
      <c r="AK211" t="str" cm="1">
        <f t="array" ref="AK211">_xlfn.IFS(AJ211&lt;=2,"Poor",AJ211&lt;=3,"Fair",AJ211&gt;3,"Good")</f>
        <v>Fair</v>
      </c>
      <c r="AL211">
        <v>4</v>
      </c>
      <c r="AM211">
        <v>2</v>
      </c>
      <c r="AN211">
        <v>0</v>
      </c>
      <c r="AO211">
        <v>3</v>
      </c>
    </row>
    <row r="212" spans="1:41" x14ac:dyDescent="0.2">
      <c r="A212">
        <v>1723897</v>
      </c>
      <c r="B212">
        <v>32</v>
      </c>
      <c r="C212" t="str" cm="1">
        <f t="array" ref="C212">_xlfn.IFS(B212&lt;=25,"15-25",B212&lt;=35,"26-35",B212&lt;=45,"36-45",B212&lt;=55,"46-55",B212&lt;=65,"56-65")</f>
        <v>26-35</v>
      </c>
      <c r="D212" t="s">
        <v>35</v>
      </c>
      <c r="E212" t="str">
        <f t="shared" si="6"/>
        <v>Current Employee</v>
      </c>
      <c r="F212" t="s">
        <v>36</v>
      </c>
      <c r="G212">
        <v>1045</v>
      </c>
      <c r="H212" t="s">
        <v>37</v>
      </c>
      <c r="I212">
        <v>4</v>
      </c>
      <c r="J212">
        <v>4</v>
      </c>
      <c r="K212" t="s">
        <v>49</v>
      </c>
      <c r="L212">
        <v>1</v>
      </c>
      <c r="M212">
        <v>4</v>
      </c>
      <c r="N212" t="s">
        <v>46</v>
      </c>
      <c r="O212">
        <v>32</v>
      </c>
      <c r="P212">
        <v>1</v>
      </c>
      <c r="Q212">
        <v>3</v>
      </c>
      <c r="R212" t="s">
        <v>40</v>
      </c>
      <c r="S212">
        <v>4</v>
      </c>
      <c r="T212" t="str" cm="1">
        <f t="array" ref="T212">_xlfn.IFS(S212&lt;=2,"Poor",S212&lt;=3,"Fair",S212&gt;=4,"Good")</f>
        <v>Good</v>
      </c>
      <c r="U212" t="s">
        <v>48</v>
      </c>
      <c r="V212" s="1">
        <v>10400</v>
      </c>
      <c r="W212" t="str" cm="1">
        <f t="array" ref="W212">_xlfn.IFS(V212&lt;=5000,"Low Salary",V212&lt;=12000,"Good Salary",V212&gt;12000,"High Salary")</f>
        <v>Good Salary</v>
      </c>
      <c r="X212">
        <v>25812</v>
      </c>
      <c r="Y212">
        <v>1</v>
      </c>
      <c r="Z212" t="s">
        <v>42</v>
      </c>
      <c r="AA212" t="s">
        <v>35</v>
      </c>
      <c r="AB212">
        <v>11</v>
      </c>
      <c r="AC212">
        <v>3</v>
      </c>
      <c r="AD212" t="str">
        <f t="shared" si="7"/>
        <v>Low Performance</v>
      </c>
      <c r="AE212">
        <v>3</v>
      </c>
      <c r="AF212">
        <v>80</v>
      </c>
      <c r="AG212">
        <v>0</v>
      </c>
      <c r="AH212">
        <v>14</v>
      </c>
      <c r="AI212">
        <v>2</v>
      </c>
      <c r="AJ212">
        <v>2</v>
      </c>
      <c r="AK212" t="str" cm="1">
        <f t="array" ref="AK212">_xlfn.IFS(AJ212&lt;=2,"Poor",AJ212&lt;=3,"Fair",AJ212&gt;3,"Good")</f>
        <v>Poor</v>
      </c>
      <c r="AL212">
        <v>14</v>
      </c>
      <c r="AM212">
        <v>8</v>
      </c>
      <c r="AN212">
        <v>9</v>
      </c>
      <c r="AO212">
        <v>8</v>
      </c>
    </row>
    <row r="213" spans="1:41" x14ac:dyDescent="0.2">
      <c r="A213">
        <v>1847119</v>
      </c>
      <c r="B213">
        <v>30</v>
      </c>
      <c r="C213" t="str" cm="1">
        <f t="array" ref="C213">_xlfn.IFS(B213&lt;=25,"15-25",B213&lt;=35,"26-35",B213&lt;=45,"36-45",B213&lt;=55,"46-55",B213&lt;=65,"56-65")</f>
        <v>26-35</v>
      </c>
      <c r="D213" t="s">
        <v>35</v>
      </c>
      <c r="E213" t="str">
        <f t="shared" si="6"/>
        <v>Current Employee</v>
      </c>
      <c r="F213" t="s">
        <v>52</v>
      </c>
      <c r="G213">
        <v>829</v>
      </c>
      <c r="H213" t="s">
        <v>54</v>
      </c>
      <c r="I213">
        <v>1</v>
      </c>
      <c r="J213">
        <v>1</v>
      </c>
      <c r="K213" t="s">
        <v>38</v>
      </c>
      <c r="L213">
        <v>1</v>
      </c>
      <c r="M213">
        <v>3</v>
      </c>
      <c r="N213" t="s">
        <v>46</v>
      </c>
      <c r="O213">
        <v>88</v>
      </c>
      <c r="P213">
        <v>2</v>
      </c>
      <c r="Q213">
        <v>3</v>
      </c>
      <c r="R213" t="s">
        <v>51</v>
      </c>
      <c r="S213">
        <v>3</v>
      </c>
      <c r="T213" t="str" cm="1">
        <f t="array" ref="T213">_xlfn.IFS(S213&lt;=2,"Poor",S213&lt;=3,"Fair",S213&gt;=4,"Good")</f>
        <v>Fair</v>
      </c>
      <c r="U213" t="s">
        <v>41</v>
      </c>
      <c r="V213" s="1">
        <v>8474</v>
      </c>
      <c r="W213" t="str" cm="1">
        <f t="array" ref="W213">_xlfn.IFS(V213&lt;=5000,"Low Salary",V213&lt;=12000,"Good Salary",V213&gt;12000,"High Salary")</f>
        <v>Good Salary</v>
      </c>
      <c r="X213">
        <v>20925</v>
      </c>
      <c r="Y213">
        <v>1</v>
      </c>
      <c r="Z213" t="s">
        <v>42</v>
      </c>
      <c r="AA213" t="s">
        <v>35</v>
      </c>
      <c r="AB213">
        <v>22</v>
      </c>
      <c r="AC213">
        <v>4</v>
      </c>
      <c r="AD213" t="str">
        <f t="shared" si="7"/>
        <v>High Performance</v>
      </c>
      <c r="AE213">
        <v>3</v>
      </c>
      <c r="AF213">
        <v>80</v>
      </c>
      <c r="AG213">
        <v>0</v>
      </c>
      <c r="AH213">
        <v>12</v>
      </c>
      <c r="AI213">
        <v>2</v>
      </c>
      <c r="AJ213">
        <v>3</v>
      </c>
      <c r="AK213" t="str" cm="1">
        <f t="array" ref="AK213">_xlfn.IFS(AJ213&lt;=2,"Poor",AJ213&lt;=3,"Fair",AJ213&gt;3,"Good")</f>
        <v>Fair</v>
      </c>
      <c r="AL213">
        <v>11</v>
      </c>
      <c r="AM213">
        <v>8</v>
      </c>
      <c r="AN213">
        <v>5</v>
      </c>
      <c r="AO213">
        <v>8</v>
      </c>
    </row>
    <row r="214" spans="1:41" x14ac:dyDescent="0.2">
      <c r="A214">
        <v>1213142</v>
      </c>
      <c r="B214">
        <v>27</v>
      </c>
      <c r="C214" t="str" cm="1">
        <f t="array" ref="C214">_xlfn.IFS(B214&lt;=25,"15-25",B214&lt;=35,"26-35",B214&lt;=45,"36-45",B214&lt;=55,"46-55",B214&lt;=65,"56-65")</f>
        <v>26-35</v>
      </c>
      <c r="D214" t="s">
        <v>35</v>
      </c>
      <c r="E214" t="str">
        <f t="shared" si="6"/>
        <v>Current Employee</v>
      </c>
      <c r="F214" t="s">
        <v>44</v>
      </c>
      <c r="G214">
        <v>1242</v>
      </c>
      <c r="H214" t="s">
        <v>37</v>
      </c>
      <c r="I214">
        <v>20</v>
      </c>
      <c r="J214">
        <v>3</v>
      </c>
      <c r="K214" t="s">
        <v>38</v>
      </c>
      <c r="L214">
        <v>1</v>
      </c>
      <c r="M214">
        <v>4</v>
      </c>
      <c r="N214" t="s">
        <v>39</v>
      </c>
      <c r="O214">
        <v>90</v>
      </c>
      <c r="P214">
        <v>3</v>
      </c>
      <c r="Q214">
        <v>2</v>
      </c>
      <c r="R214" t="s">
        <v>40</v>
      </c>
      <c r="S214">
        <v>3</v>
      </c>
      <c r="T214" t="str" cm="1">
        <f t="array" ref="T214">_xlfn.IFS(S214&lt;=2,"Poor",S214&lt;=3,"Fair",S214&gt;=4,"Good")</f>
        <v>Fair</v>
      </c>
      <c r="U214" t="s">
        <v>41</v>
      </c>
      <c r="V214" s="1">
        <v>9981</v>
      </c>
      <c r="W214" t="str" cm="1">
        <f t="array" ref="W214">_xlfn.IFS(V214&lt;=5000,"Low Salary",V214&lt;=12000,"Good Salary",V214&gt;12000,"High Salary")</f>
        <v>Good Salary</v>
      </c>
      <c r="X214">
        <v>12916</v>
      </c>
      <c r="Y214">
        <v>1</v>
      </c>
      <c r="Z214" t="s">
        <v>42</v>
      </c>
      <c r="AA214" t="s">
        <v>35</v>
      </c>
      <c r="AB214">
        <v>14</v>
      </c>
      <c r="AC214">
        <v>3</v>
      </c>
      <c r="AD214" t="str">
        <f t="shared" si="7"/>
        <v>Low Performance</v>
      </c>
      <c r="AE214">
        <v>4</v>
      </c>
      <c r="AF214">
        <v>80</v>
      </c>
      <c r="AG214">
        <v>0</v>
      </c>
      <c r="AH214">
        <v>7</v>
      </c>
      <c r="AI214">
        <v>2</v>
      </c>
      <c r="AJ214">
        <v>3</v>
      </c>
      <c r="AK214" t="str" cm="1">
        <f t="array" ref="AK214">_xlfn.IFS(AJ214&lt;=2,"Poor",AJ214&lt;=3,"Fair",AJ214&gt;3,"Good")</f>
        <v>Fair</v>
      </c>
      <c r="AL214">
        <v>7</v>
      </c>
      <c r="AM214">
        <v>7</v>
      </c>
      <c r="AN214">
        <v>0</v>
      </c>
      <c r="AO214">
        <v>7</v>
      </c>
    </row>
    <row r="215" spans="1:41" x14ac:dyDescent="0.2">
      <c r="A215">
        <v>1155192</v>
      </c>
      <c r="B215">
        <v>51</v>
      </c>
      <c r="C215" t="str" cm="1">
        <f t="array" ref="C215">_xlfn.IFS(B215&lt;=25,"15-25",B215&lt;=35,"26-35",B215&lt;=45,"36-45",B215&lt;=55,"46-55",B215&lt;=65,"56-65")</f>
        <v>46-55</v>
      </c>
      <c r="D215" t="s">
        <v>35</v>
      </c>
      <c r="E215" t="str">
        <f t="shared" si="6"/>
        <v>Current Employee</v>
      </c>
      <c r="F215" t="s">
        <v>36</v>
      </c>
      <c r="G215">
        <v>1469</v>
      </c>
      <c r="H215" t="s">
        <v>54</v>
      </c>
      <c r="I215">
        <v>8</v>
      </c>
      <c r="J215">
        <v>4</v>
      </c>
      <c r="K215" t="s">
        <v>38</v>
      </c>
      <c r="L215">
        <v>1</v>
      </c>
      <c r="M215">
        <v>2</v>
      </c>
      <c r="N215" t="s">
        <v>46</v>
      </c>
      <c r="O215">
        <v>81</v>
      </c>
      <c r="P215">
        <v>2</v>
      </c>
      <c r="Q215">
        <v>3</v>
      </c>
      <c r="R215" t="s">
        <v>47</v>
      </c>
      <c r="S215">
        <v>2</v>
      </c>
      <c r="T215" t="str" cm="1">
        <f t="array" ref="T215">_xlfn.IFS(S215&lt;=2,"Poor",S215&lt;=3,"Fair",S215&gt;=4,"Good")</f>
        <v>Poor</v>
      </c>
      <c r="U215" t="s">
        <v>48</v>
      </c>
      <c r="V215" s="1">
        <v>12490</v>
      </c>
      <c r="W215" t="str" cm="1">
        <f t="array" ref="W215">_xlfn.IFS(V215&lt;=5000,"Low Salary",V215&lt;=12000,"Good Salary",V215&gt;12000,"High Salary")</f>
        <v>High Salary</v>
      </c>
      <c r="X215">
        <v>15736</v>
      </c>
      <c r="Y215">
        <v>5</v>
      </c>
      <c r="Z215" t="s">
        <v>42</v>
      </c>
      <c r="AA215" t="s">
        <v>35</v>
      </c>
      <c r="AB215">
        <v>16</v>
      </c>
      <c r="AC215">
        <v>3</v>
      </c>
      <c r="AD215" t="str">
        <f t="shared" si="7"/>
        <v>Low Performance</v>
      </c>
      <c r="AE215">
        <v>4</v>
      </c>
      <c r="AF215">
        <v>80</v>
      </c>
      <c r="AG215">
        <v>2</v>
      </c>
      <c r="AH215">
        <v>16</v>
      </c>
      <c r="AI215">
        <v>5</v>
      </c>
      <c r="AJ215">
        <v>1</v>
      </c>
      <c r="AK215" t="str" cm="1">
        <f t="array" ref="AK215">_xlfn.IFS(AJ215&lt;=2,"Poor",AJ215&lt;=3,"Fair",AJ215&gt;3,"Good")</f>
        <v>Poor</v>
      </c>
      <c r="AL215">
        <v>10</v>
      </c>
      <c r="AM215">
        <v>9</v>
      </c>
      <c r="AN215">
        <v>4</v>
      </c>
      <c r="AO215">
        <v>7</v>
      </c>
    </row>
    <row r="216" spans="1:41" x14ac:dyDescent="0.2">
      <c r="A216">
        <v>1806025</v>
      </c>
      <c r="B216">
        <v>30</v>
      </c>
      <c r="C216" t="str" cm="1">
        <f t="array" ref="C216">_xlfn.IFS(B216&lt;=25,"15-25",B216&lt;=35,"26-35",B216&lt;=45,"36-45",B216&lt;=55,"46-55",B216&lt;=65,"56-65")</f>
        <v>26-35</v>
      </c>
      <c r="D216" t="s">
        <v>43</v>
      </c>
      <c r="E216" t="str">
        <f t="shared" si="6"/>
        <v>Former Employee</v>
      </c>
      <c r="F216" t="s">
        <v>36</v>
      </c>
      <c r="G216">
        <v>1005</v>
      </c>
      <c r="H216" t="s">
        <v>45</v>
      </c>
      <c r="I216">
        <v>3</v>
      </c>
      <c r="J216">
        <v>3</v>
      </c>
      <c r="K216" t="s">
        <v>56</v>
      </c>
      <c r="L216">
        <v>1</v>
      </c>
      <c r="M216">
        <v>4</v>
      </c>
      <c r="N216" t="s">
        <v>39</v>
      </c>
      <c r="O216">
        <v>88</v>
      </c>
      <c r="P216">
        <v>3</v>
      </c>
      <c r="Q216">
        <v>1</v>
      </c>
      <c r="R216" t="s">
        <v>47</v>
      </c>
      <c r="S216">
        <v>1</v>
      </c>
      <c r="T216" t="str" cm="1">
        <f t="array" ref="T216">_xlfn.IFS(S216&lt;=2,"Poor",S216&lt;=3,"Fair",S216&gt;=4,"Good")</f>
        <v>Poor</v>
      </c>
      <c r="U216" t="s">
        <v>41</v>
      </c>
      <c r="V216" s="1">
        <v>2657</v>
      </c>
      <c r="W216" t="str" cm="1">
        <f t="array" ref="W216">_xlfn.IFS(V216&lt;=5000,"Low Salary",V216&lt;=12000,"Good Salary",V216&gt;12000,"High Salary")</f>
        <v>Low Salary</v>
      </c>
      <c r="X216">
        <v>8556</v>
      </c>
      <c r="Y216">
        <v>5</v>
      </c>
      <c r="Z216" t="s">
        <v>42</v>
      </c>
      <c r="AA216" t="s">
        <v>43</v>
      </c>
      <c r="AB216">
        <v>11</v>
      </c>
      <c r="AC216">
        <v>3</v>
      </c>
      <c r="AD216" t="str">
        <f t="shared" si="7"/>
        <v>Low Performance</v>
      </c>
      <c r="AE216">
        <v>3</v>
      </c>
      <c r="AF216">
        <v>80</v>
      </c>
      <c r="AG216">
        <v>0</v>
      </c>
      <c r="AH216">
        <v>8</v>
      </c>
      <c r="AI216">
        <v>5</v>
      </c>
      <c r="AJ216">
        <v>3</v>
      </c>
      <c r="AK216" t="str" cm="1">
        <f t="array" ref="AK216">_xlfn.IFS(AJ216&lt;=2,"Poor",AJ216&lt;=3,"Fair",AJ216&gt;3,"Good")</f>
        <v>Fair</v>
      </c>
      <c r="AL216">
        <v>5</v>
      </c>
      <c r="AM216">
        <v>2</v>
      </c>
      <c r="AN216">
        <v>0</v>
      </c>
      <c r="AO216">
        <v>4</v>
      </c>
    </row>
    <row r="217" spans="1:41" x14ac:dyDescent="0.2">
      <c r="A217">
        <v>1296063</v>
      </c>
      <c r="B217">
        <v>41</v>
      </c>
      <c r="C217" t="str" cm="1">
        <f t="array" ref="C217">_xlfn.IFS(B217&lt;=25,"15-25",B217&lt;=35,"26-35",B217&lt;=45,"36-45",B217&lt;=55,"46-55",B217&lt;=65,"56-65")</f>
        <v>36-45</v>
      </c>
      <c r="D217" t="s">
        <v>35</v>
      </c>
      <c r="E217" t="str">
        <f t="shared" si="6"/>
        <v>Current Employee</v>
      </c>
      <c r="F217" t="s">
        <v>36</v>
      </c>
      <c r="G217">
        <v>896</v>
      </c>
      <c r="H217" t="s">
        <v>37</v>
      </c>
      <c r="I217">
        <v>6</v>
      </c>
      <c r="J217">
        <v>3</v>
      </c>
      <c r="K217" t="s">
        <v>38</v>
      </c>
      <c r="L217">
        <v>1</v>
      </c>
      <c r="M217">
        <v>4</v>
      </c>
      <c r="N217" t="s">
        <v>39</v>
      </c>
      <c r="O217">
        <v>75</v>
      </c>
      <c r="P217">
        <v>3</v>
      </c>
      <c r="Q217">
        <v>3</v>
      </c>
      <c r="R217" t="s">
        <v>53</v>
      </c>
      <c r="S217">
        <v>4</v>
      </c>
      <c r="T217" t="str" cm="1">
        <f t="array" ref="T217">_xlfn.IFS(S217&lt;=2,"Poor",S217&lt;=3,"Fair",S217&gt;=4,"Good")</f>
        <v>Good</v>
      </c>
      <c r="U217" t="s">
        <v>41</v>
      </c>
      <c r="V217" s="1">
        <v>13591</v>
      </c>
      <c r="W217" t="str" cm="1">
        <f t="array" ref="W217">_xlfn.IFS(V217&lt;=5000,"Low Salary",V217&lt;=12000,"Good Salary",V217&gt;12000,"High Salary")</f>
        <v>High Salary</v>
      </c>
      <c r="X217">
        <v>14674</v>
      </c>
      <c r="Y217">
        <v>3</v>
      </c>
      <c r="Z217" t="s">
        <v>42</v>
      </c>
      <c r="AA217" t="s">
        <v>43</v>
      </c>
      <c r="AB217">
        <v>18</v>
      </c>
      <c r="AC217">
        <v>3</v>
      </c>
      <c r="AD217" t="str">
        <f t="shared" si="7"/>
        <v>Low Performance</v>
      </c>
      <c r="AE217">
        <v>3</v>
      </c>
      <c r="AF217">
        <v>80</v>
      </c>
      <c r="AG217">
        <v>0</v>
      </c>
      <c r="AH217">
        <v>16</v>
      </c>
      <c r="AI217">
        <v>3</v>
      </c>
      <c r="AJ217">
        <v>3</v>
      </c>
      <c r="AK217" t="str" cm="1">
        <f t="array" ref="AK217">_xlfn.IFS(AJ217&lt;=2,"Poor",AJ217&lt;=3,"Fair",AJ217&gt;3,"Good")</f>
        <v>Fair</v>
      </c>
      <c r="AL217">
        <v>1</v>
      </c>
      <c r="AM217">
        <v>0</v>
      </c>
      <c r="AN217">
        <v>0</v>
      </c>
      <c r="AO217">
        <v>0</v>
      </c>
    </row>
    <row r="218" spans="1:41" x14ac:dyDescent="0.2">
      <c r="A218">
        <v>1502689</v>
      </c>
      <c r="B218">
        <v>30</v>
      </c>
      <c r="C218" t="str" cm="1">
        <f t="array" ref="C218">_xlfn.IFS(B218&lt;=25,"15-25",B218&lt;=35,"26-35",B218&lt;=45,"36-45",B218&lt;=55,"46-55",B218&lt;=65,"56-65")</f>
        <v>26-35</v>
      </c>
      <c r="D218" t="s">
        <v>43</v>
      </c>
      <c r="E218" t="str">
        <f t="shared" si="6"/>
        <v>Former Employee</v>
      </c>
      <c r="F218" t="s">
        <v>44</v>
      </c>
      <c r="G218">
        <v>334</v>
      </c>
      <c r="H218" t="s">
        <v>37</v>
      </c>
      <c r="I218">
        <v>26</v>
      </c>
      <c r="J218">
        <v>4</v>
      </c>
      <c r="K218" t="s">
        <v>55</v>
      </c>
      <c r="L218">
        <v>1</v>
      </c>
      <c r="M218">
        <v>3</v>
      </c>
      <c r="N218" t="s">
        <v>39</v>
      </c>
      <c r="O218">
        <v>52</v>
      </c>
      <c r="P218">
        <v>2</v>
      </c>
      <c r="Q218">
        <v>2</v>
      </c>
      <c r="R218" t="s">
        <v>40</v>
      </c>
      <c r="S218">
        <v>1</v>
      </c>
      <c r="T218" t="str" cm="1">
        <f t="array" ref="T218">_xlfn.IFS(S218&lt;=2,"Poor",S218&lt;=3,"Fair",S218&gt;=4,"Good")</f>
        <v>Poor</v>
      </c>
      <c r="U218" t="s">
        <v>41</v>
      </c>
      <c r="V218" s="1">
        <v>6696</v>
      </c>
      <c r="W218" t="str" cm="1">
        <f t="array" ref="W218">_xlfn.IFS(V218&lt;=5000,"Low Salary",V218&lt;=12000,"Good Salary",V218&gt;12000,"High Salary")</f>
        <v>Good Salary</v>
      </c>
      <c r="X218">
        <v>22967</v>
      </c>
      <c r="Y218">
        <v>5</v>
      </c>
      <c r="Z218" t="s">
        <v>42</v>
      </c>
      <c r="AA218" t="s">
        <v>35</v>
      </c>
      <c r="AB218">
        <v>15</v>
      </c>
      <c r="AC218">
        <v>3</v>
      </c>
      <c r="AD218" t="str">
        <f t="shared" si="7"/>
        <v>Low Performance</v>
      </c>
      <c r="AE218">
        <v>3</v>
      </c>
      <c r="AF218">
        <v>80</v>
      </c>
      <c r="AG218">
        <v>0</v>
      </c>
      <c r="AH218">
        <v>9</v>
      </c>
      <c r="AI218">
        <v>5</v>
      </c>
      <c r="AJ218">
        <v>2</v>
      </c>
      <c r="AK218" t="str" cm="1">
        <f t="array" ref="AK218">_xlfn.IFS(AJ218&lt;=2,"Poor",AJ218&lt;=3,"Fair",AJ218&gt;3,"Good")</f>
        <v>Poor</v>
      </c>
      <c r="AL218">
        <v>6</v>
      </c>
      <c r="AM218">
        <v>3</v>
      </c>
      <c r="AN218">
        <v>0</v>
      </c>
      <c r="AO218">
        <v>1</v>
      </c>
    </row>
    <row r="219" spans="1:41" x14ac:dyDescent="0.2">
      <c r="A219">
        <v>1849547</v>
      </c>
      <c r="B219">
        <v>29</v>
      </c>
      <c r="C219" t="str" cm="1">
        <f t="array" ref="C219">_xlfn.IFS(B219&lt;=25,"15-25",B219&lt;=35,"26-35",B219&lt;=45,"36-45",B219&lt;=55,"46-55",B219&lt;=65,"56-65")</f>
        <v>26-35</v>
      </c>
      <c r="D219" t="s">
        <v>35</v>
      </c>
      <c r="E219" t="str">
        <f t="shared" si="6"/>
        <v>Current Employee</v>
      </c>
      <c r="F219" t="s">
        <v>36</v>
      </c>
      <c r="G219">
        <v>992</v>
      </c>
      <c r="H219" t="s">
        <v>45</v>
      </c>
      <c r="I219">
        <v>1</v>
      </c>
      <c r="J219">
        <v>3</v>
      </c>
      <c r="K219" t="s">
        <v>56</v>
      </c>
      <c r="L219">
        <v>1</v>
      </c>
      <c r="M219">
        <v>3</v>
      </c>
      <c r="N219" t="s">
        <v>46</v>
      </c>
      <c r="O219">
        <v>85</v>
      </c>
      <c r="P219">
        <v>3</v>
      </c>
      <c r="Q219">
        <v>1</v>
      </c>
      <c r="R219" t="s">
        <v>47</v>
      </c>
      <c r="S219">
        <v>3</v>
      </c>
      <c r="T219" t="str" cm="1">
        <f t="array" ref="T219">_xlfn.IFS(S219&lt;=2,"Poor",S219&lt;=3,"Fair",S219&gt;=4,"Good")</f>
        <v>Fair</v>
      </c>
      <c r="U219" t="s">
        <v>41</v>
      </c>
      <c r="V219" s="1">
        <v>2058</v>
      </c>
      <c r="W219" t="str" cm="1">
        <f t="array" ref="W219">_xlfn.IFS(V219&lt;=5000,"Low Salary",V219&lt;=12000,"Good Salary",V219&gt;12000,"High Salary")</f>
        <v>Low Salary</v>
      </c>
      <c r="X219">
        <v>19757</v>
      </c>
      <c r="Y219">
        <v>0</v>
      </c>
      <c r="Z219" t="s">
        <v>42</v>
      </c>
      <c r="AA219" t="s">
        <v>35</v>
      </c>
      <c r="AB219">
        <v>14</v>
      </c>
      <c r="AC219">
        <v>3</v>
      </c>
      <c r="AD219" t="str">
        <f t="shared" si="7"/>
        <v>Low Performance</v>
      </c>
      <c r="AE219">
        <v>4</v>
      </c>
      <c r="AF219">
        <v>80</v>
      </c>
      <c r="AG219">
        <v>0</v>
      </c>
      <c r="AH219">
        <v>7</v>
      </c>
      <c r="AI219">
        <v>1</v>
      </c>
      <c r="AJ219">
        <v>2</v>
      </c>
      <c r="AK219" t="str" cm="1">
        <f t="array" ref="AK219">_xlfn.IFS(AJ219&lt;=2,"Poor",AJ219&lt;=3,"Fair",AJ219&gt;3,"Good")</f>
        <v>Poor</v>
      </c>
      <c r="AL219">
        <v>6</v>
      </c>
      <c r="AM219">
        <v>2</v>
      </c>
      <c r="AN219">
        <v>1</v>
      </c>
      <c r="AO219">
        <v>5</v>
      </c>
    </row>
    <row r="220" spans="1:41" x14ac:dyDescent="0.2">
      <c r="A220">
        <v>1715116</v>
      </c>
      <c r="B220">
        <v>45</v>
      </c>
      <c r="C220" t="str" cm="1">
        <f t="array" ref="C220">_xlfn.IFS(B220&lt;=25,"15-25",B220&lt;=35,"26-35",B220&lt;=45,"36-45",B220&lt;=55,"46-55",B220&lt;=65,"56-65")</f>
        <v>36-45</v>
      </c>
      <c r="D220" t="s">
        <v>35</v>
      </c>
      <c r="E220" t="str">
        <f t="shared" si="6"/>
        <v>Current Employee</v>
      </c>
      <c r="F220" t="s">
        <v>52</v>
      </c>
      <c r="G220">
        <v>1052</v>
      </c>
      <c r="H220" t="s">
        <v>37</v>
      </c>
      <c r="I220">
        <v>6</v>
      </c>
      <c r="J220">
        <v>3</v>
      </c>
      <c r="K220" t="s">
        <v>49</v>
      </c>
      <c r="L220">
        <v>1</v>
      </c>
      <c r="M220">
        <v>4</v>
      </c>
      <c r="N220" t="s">
        <v>39</v>
      </c>
      <c r="O220">
        <v>57</v>
      </c>
      <c r="P220">
        <v>2</v>
      </c>
      <c r="Q220">
        <v>3</v>
      </c>
      <c r="R220" t="s">
        <v>40</v>
      </c>
      <c r="S220">
        <v>4</v>
      </c>
      <c r="T220" t="str" cm="1">
        <f t="array" ref="T220">_xlfn.IFS(S220&lt;=2,"Poor",S220&lt;=3,"Fair",S220&gt;=4,"Good")</f>
        <v>Good</v>
      </c>
      <c r="U220" t="s">
        <v>41</v>
      </c>
      <c r="V220" s="1">
        <v>8865</v>
      </c>
      <c r="W220" t="str" cm="1">
        <f t="array" ref="W220">_xlfn.IFS(V220&lt;=5000,"Low Salary",V220&lt;=12000,"Good Salary",V220&gt;12000,"High Salary")</f>
        <v>Good Salary</v>
      </c>
      <c r="X220">
        <v>16840</v>
      </c>
      <c r="Y220">
        <v>6</v>
      </c>
      <c r="Z220" t="s">
        <v>42</v>
      </c>
      <c r="AA220" t="s">
        <v>35</v>
      </c>
      <c r="AB220">
        <v>12</v>
      </c>
      <c r="AC220">
        <v>3</v>
      </c>
      <c r="AD220" t="str">
        <f t="shared" si="7"/>
        <v>Low Performance</v>
      </c>
      <c r="AE220">
        <v>4</v>
      </c>
      <c r="AF220">
        <v>80</v>
      </c>
      <c r="AG220">
        <v>0</v>
      </c>
      <c r="AH220">
        <v>23</v>
      </c>
      <c r="AI220">
        <v>2</v>
      </c>
      <c r="AJ220">
        <v>3</v>
      </c>
      <c r="AK220" t="str" cm="1">
        <f t="array" ref="AK220">_xlfn.IFS(AJ220&lt;=2,"Poor",AJ220&lt;=3,"Fair",AJ220&gt;3,"Good")</f>
        <v>Fair</v>
      </c>
      <c r="AL220">
        <v>19</v>
      </c>
      <c r="AM220">
        <v>7</v>
      </c>
      <c r="AN220">
        <v>12</v>
      </c>
      <c r="AO220">
        <v>8</v>
      </c>
    </row>
    <row r="221" spans="1:41" x14ac:dyDescent="0.2">
      <c r="A221">
        <v>1088447</v>
      </c>
      <c r="B221">
        <v>54</v>
      </c>
      <c r="C221" t="str" cm="1">
        <f t="array" ref="C221">_xlfn.IFS(B221&lt;=25,"15-25",B221&lt;=35,"26-35",B221&lt;=45,"36-45",B221&lt;=55,"46-55",B221&lt;=65,"56-65")</f>
        <v>46-55</v>
      </c>
      <c r="D221" t="s">
        <v>35</v>
      </c>
      <c r="E221" t="str">
        <f t="shared" si="6"/>
        <v>Current Employee</v>
      </c>
      <c r="F221" t="s">
        <v>36</v>
      </c>
      <c r="G221">
        <v>1147</v>
      </c>
      <c r="H221" t="s">
        <v>37</v>
      </c>
      <c r="I221">
        <v>3</v>
      </c>
      <c r="J221">
        <v>3</v>
      </c>
      <c r="K221" t="s">
        <v>55</v>
      </c>
      <c r="L221">
        <v>1</v>
      </c>
      <c r="M221">
        <v>4</v>
      </c>
      <c r="N221" t="s">
        <v>39</v>
      </c>
      <c r="O221">
        <v>52</v>
      </c>
      <c r="P221">
        <v>3</v>
      </c>
      <c r="Q221">
        <v>2</v>
      </c>
      <c r="R221" t="s">
        <v>40</v>
      </c>
      <c r="S221">
        <v>1</v>
      </c>
      <c r="T221" t="str" cm="1">
        <f t="array" ref="T221">_xlfn.IFS(S221&lt;=2,"Poor",S221&lt;=3,"Fair",S221&gt;=4,"Good")</f>
        <v>Poor</v>
      </c>
      <c r="U221" t="s">
        <v>48</v>
      </c>
      <c r="V221" s="1">
        <v>5940</v>
      </c>
      <c r="W221" t="str" cm="1">
        <f t="array" ref="W221">_xlfn.IFS(V221&lt;=5000,"Low Salary",V221&lt;=12000,"Good Salary",V221&gt;12000,"High Salary")</f>
        <v>Good Salary</v>
      </c>
      <c r="X221">
        <v>17011</v>
      </c>
      <c r="Y221">
        <v>2</v>
      </c>
      <c r="Z221" t="s">
        <v>42</v>
      </c>
      <c r="AA221" t="s">
        <v>35</v>
      </c>
      <c r="AB221">
        <v>14</v>
      </c>
      <c r="AC221">
        <v>3</v>
      </c>
      <c r="AD221" t="str">
        <f t="shared" si="7"/>
        <v>Low Performance</v>
      </c>
      <c r="AE221">
        <v>4</v>
      </c>
      <c r="AF221">
        <v>80</v>
      </c>
      <c r="AG221">
        <v>1</v>
      </c>
      <c r="AH221">
        <v>16</v>
      </c>
      <c r="AI221">
        <v>4</v>
      </c>
      <c r="AJ221">
        <v>3</v>
      </c>
      <c r="AK221" t="str" cm="1">
        <f t="array" ref="AK221">_xlfn.IFS(AJ221&lt;=2,"Poor",AJ221&lt;=3,"Fair",AJ221&gt;3,"Good")</f>
        <v>Fair</v>
      </c>
      <c r="AL221">
        <v>6</v>
      </c>
      <c r="AM221">
        <v>2</v>
      </c>
      <c r="AN221">
        <v>0</v>
      </c>
      <c r="AO221">
        <v>5</v>
      </c>
    </row>
    <row r="222" spans="1:41" x14ac:dyDescent="0.2">
      <c r="A222">
        <v>1408349</v>
      </c>
      <c r="B222">
        <v>36</v>
      </c>
      <c r="C222" t="str" cm="1">
        <f t="array" ref="C222">_xlfn.IFS(B222&lt;=25,"15-25",B222&lt;=35,"26-35",B222&lt;=45,"36-45",B222&lt;=55,"46-55",B222&lt;=65,"56-65")</f>
        <v>36-45</v>
      </c>
      <c r="D222" t="s">
        <v>35</v>
      </c>
      <c r="E222" t="str">
        <f t="shared" si="6"/>
        <v>Current Employee</v>
      </c>
      <c r="F222" t="s">
        <v>36</v>
      </c>
      <c r="G222">
        <v>1396</v>
      </c>
      <c r="H222" t="s">
        <v>45</v>
      </c>
      <c r="I222">
        <v>5</v>
      </c>
      <c r="J222">
        <v>2</v>
      </c>
      <c r="K222" t="s">
        <v>38</v>
      </c>
      <c r="L222">
        <v>1</v>
      </c>
      <c r="M222">
        <v>4</v>
      </c>
      <c r="N222" t="s">
        <v>46</v>
      </c>
      <c r="O222">
        <v>62</v>
      </c>
      <c r="P222">
        <v>3</v>
      </c>
      <c r="Q222">
        <v>2</v>
      </c>
      <c r="R222" t="s">
        <v>40</v>
      </c>
      <c r="S222">
        <v>2</v>
      </c>
      <c r="T222" t="str" cm="1">
        <f t="array" ref="T222">_xlfn.IFS(S222&lt;=2,"Poor",S222&lt;=3,"Fair",S222&gt;=4,"Good")</f>
        <v>Poor</v>
      </c>
      <c r="U222" t="s">
        <v>41</v>
      </c>
      <c r="V222" s="1">
        <v>5914</v>
      </c>
      <c r="W222" t="str" cm="1">
        <f t="array" ref="W222">_xlfn.IFS(V222&lt;=5000,"Low Salary",V222&lt;=12000,"Good Salary",V222&gt;12000,"High Salary")</f>
        <v>Good Salary</v>
      </c>
      <c r="X222">
        <v>9945</v>
      </c>
      <c r="Y222">
        <v>8</v>
      </c>
      <c r="Z222" t="s">
        <v>42</v>
      </c>
      <c r="AA222" t="s">
        <v>35</v>
      </c>
      <c r="AB222">
        <v>16</v>
      </c>
      <c r="AC222">
        <v>3</v>
      </c>
      <c r="AD222" t="str">
        <f t="shared" si="7"/>
        <v>Low Performance</v>
      </c>
      <c r="AE222">
        <v>4</v>
      </c>
      <c r="AF222">
        <v>80</v>
      </c>
      <c r="AG222">
        <v>0</v>
      </c>
      <c r="AH222">
        <v>16</v>
      </c>
      <c r="AI222">
        <v>3</v>
      </c>
      <c r="AJ222">
        <v>4</v>
      </c>
      <c r="AK222" t="str" cm="1">
        <f t="array" ref="AK222">_xlfn.IFS(AJ222&lt;=2,"Poor",AJ222&lt;=3,"Fair",AJ222&gt;3,"Good")</f>
        <v>Good</v>
      </c>
      <c r="AL222">
        <v>13</v>
      </c>
      <c r="AM222">
        <v>11</v>
      </c>
      <c r="AN222">
        <v>3</v>
      </c>
      <c r="AO222">
        <v>7</v>
      </c>
    </row>
    <row r="223" spans="1:41" x14ac:dyDescent="0.2">
      <c r="A223">
        <v>1291194</v>
      </c>
      <c r="B223">
        <v>33</v>
      </c>
      <c r="C223" t="str" cm="1">
        <f t="array" ref="C223">_xlfn.IFS(B223&lt;=25,"15-25",B223&lt;=35,"26-35",B223&lt;=45,"36-45",B223&lt;=55,"46-55",B223&lt;=65,"56-65")</f>
        <v>26-35</v>
      </c>
      <c r="D223" t="s">
        <v>35</v>
      </c>
      <c r="E223" t="str">
        <f t="shared" si="6"/>
        <v>Current Employee</v>
      </c>
      <c r="F223" t="s">
        <v>36</v>
      </c>
      <c r="G223">
        <v>147</v>
      </c>
      <c r="H223" t="s">
        <v>45</v>
      </c>
      <c r="I223">
        <v>4</v>
      </c>
      <c r="J223">
        <v>4</v>
      </c>
      <c r="K223" t="s">
        <v>49</v>
      </c>
      <c r="L223">
        <v>1</v>
      </c>
      <c r="M223">
        <v>3</v>
      </c>
      <c r="N223" t="s">
        <v>39</v>
      </c>
      <c r="O223">
        <v>47</v>
      </c>
      <c r="P223">
        <v>2</v>
      </c>
      <c r="Q223">
        <v>1</v>
      </c>
      <c r="R223" t="s">
        <v>47</v>
      </c>
      <c r="S223">
        <v>2</v>
      </c>
      <c r="T223" t="str" cm="1">
        <f t="array" ref="T223">_xlfn.IFS(S223&lt;=2,"Poor",S223&lt;=3,"Fair",S223&gt;=4,"Good")</f>
        <v>Poor</v>
      </c>
      <c r="U223" t="s">
        <v>48</v>
      </c>
      <c r="V223" s="1">
        <v>2622</v>
      </c>
      <c r="W223" t="str" cm="1">
        <f t="array" ref="W223">_xlfn.IFS(V223&lt;=5000,"Low Salary",V223&lt;=12000,"Good Salary",V223&gt;12000,"High Salary")</f>
        <v>Low Salary</v>
      </c>
      <c r="X223">
        <v>13248</v>
      </c>
      <c r="Y223">
        <v>6</v>
      </c>
      <c r="Z223" t="s">
        <v>42</v>
      </c>
      <c r="AA223" t="s">
        <v>35</v>
      </c>
      <c r="AB223">
        <v>21</v>
      </c>
      <c r="AC223">
        <v>4</v>
      </c>
      <c r="AD223" t="str">
        <f t="shared" si="7"/>
        <v>High Performance</v>
      </c>
      <c r="AE223">
        <v>4</v>
      </c>
      <c r="AF223">
        <v>80</v>
      </c>
      <c r="AG223">
        <v>0</v>
      </c>
      <c r="AH223">
        <v>7</v>
      </c>
      <c r="AI223">
        <v>3</v>
      </c>
      <c r="AJ223">
        <v>3</v>
      </c>
      <c r="AK223" t="str" cm="1">
        <f t="array" ref="AK223">_xlfn.IFS(AJ223&lt;=2,"Poor",AJ223&lt;=3,"Fair",AJ223&gt;3,"Good")</f>
        <v>Fair</v>
      </c>
      <c r="AL223">
        <v>3</v>
      </c>
      <c r="AM223">
        <v>2</v>
      </c>
      <c r="AN223">
        <v>1</v>
      </c>
      <c r="AO223">
        <v>1</v>
      </c>
    </row>
    <row r="224" spans="1:41" x14ac:dyDescent="0.2">
      <c r="A224">
        <v>1699240</v>
      </c>
      <c r="B224">
        <v>37</v>
      </c>
      <c r="C224" t="str" cm="1">
        <f t="array" ref="C224">_xlfn.IFS(B224&lt;=25,"15-25",B224&lt;=35,"26-35",B224&lt;=45,"36-45",B224&lt;=55,"46-55",B224&lt;=65,"56-65")</f>
        <v>36-45</v>
      </c>
      <c r="D224" t="s">
        <v>35</v>
      </c>
      <c r="E224" t="str">
        <f t="shared" si="6"/>
        <v>Current Employee</v>
      </c>
      <c r="F224" t="s">
        <v>44</v>
      </c>
      <c r="G224">
        <v>663</v>
      </c>
      <c r="H224" t="s">
        <v>54</v>
      </c>
      <c r="I224">
        <v>11</v>
      </c>
      <c r="J224">
        <v>3</v>
      </c>
      <c r="K224" t="s">
        <v>47</v>
      </c>
      <c r="L224">
        <v>1</v>
      </c>
      <c r="M224">
        <v>2</v>
      </c>
      <c r="N224" t="s">
        <v>46</v>
      </c>
      <c r="O224">
        <v>47</v>
      </c>
      <c r="P224">
        <v>3</v>
      </c>
      <c r="Q224">
        <v>3</v>
      </c>
      <c r="R224" t="s">
        <v>47</v>
      </c>
      <c r="S224">
        <v>4</v>
      </c>
      <c r="T224" t="str" cm="1">
        <f t="array" ref="T224">_xlfn.IFS(S224&lt;=2,"Poor",S224&lt;=3,"Fair",S224&gt;=4,"Good")</f>
        <v>Good</v>
      </c>
      <c r="U224" t="s">
        <v>50</v>
      </c>
      <c r="V224" s="1">
        <v>12185</v>
      </c>
      <c r="W224" t="str" cm="1">
        <f t="array" ref="W224">_xlfn.IFS(V224&lt;=5000,"Low Salary",V224&lt;=12000,"Good Salary",V224&gt;12000,"High Salary")</f>
        <v>High Salary</v>
      </c>
      <c r="X224">
        <v>10056</v>
      </c>
      <c r="Y224">
        <v>1</v>
      </c>
      <c r="Z224" t="s">
        <v>42</v>
      </c>
      <c r="AA224" t="s">
        <v>43</v>
      </c>
      <c r="AB224">
        <v>14</v>
      </c>
      <c r="AC224">
        <v>3</v>
      </c>
      <c r="AD224" t="str">
        <f t="shared" si="7"/>
        <v>Low Performance</v>
      </c>
      <c r="AE224">
        <v>3</v>
      </c>
      <c r="AF224">
        <v>80</v>
      </c>
      <c r="AG224">
        <v>3</v>
      </c>
      <c r="AH224">
        <v>10</v>
      </c>
      <c r="AI224">
        <v>1</v>
      </c>
      <c r="AJ224">
        <v>3</v>
      </c>
      <c r="AK224" t="str" cm="1">
        <f t="array" ref="AK224">_xlfn.IFS(AJ224&lt;=2,"Poor",AJ224&lt;=3,"Fair",AJ224&gt;3,"Good")</f>
        <v>Fair</v>
      </c>
      <c r="AL224">
        <v>10</v>
      </c>
      <c r="AM224">
        <v>8</v>
      </c>
      <c r="AN224">
        <v>0</v>
      </c>
      <c r="AO224">
        <v>7</v>
      </c>
    </row>
    <row r="225" spans="1:41" x14ac:dyDescent="0.2">
      <c r="A225">
        <v>1059303</v>
      </c>
      <c r="B225">
        <v>38</v>
      </c>
      <c r="C225" t="str" cm="1">
        <f t="array" ref="C225">_xlfn.IFS(B225&lt;=25,"15-25",B225&lt;=35,"26-35",B225&lt;=45,"36-45",B225&lt;=55,"46-55",B225&lt;=65,"56-65")</f>
        <v>36-45</v>
      </c>
      <c r="D225" t="s">
        <v>35</v>
      </c>
      <c r="E225" t="str">
        <f t="shared" si="6"/>
        <v>Current Employee</v>
      </c>
      <c r="F225" t="s">
        <v>36</v>
      </c>
      <c r="G225">
        <v>119</v>
      </c>
      <c r="H225" t="s">
        <v>37</v>
      </c>
      <c r="I225">
        <v>3</v>
      </c>
      <c r="J225">
        <v>3</v>
      </c>
      <c r="K225" t="s">
        <v>38</v>
      </c>
      <c r="L225">
        <v>1</v>
      </c>
      <c r="M225">
        <v>1</v>
      </c>
      <c r="N225" t="s">
        <v>46</v>
      </c>
      <c r="O225">
        <v>76</v>
      </c>
      <c r="P225">
        <v>3</v>
      </c>
      <c r="Q225">
        <v>3</v>
      </c>
      <c r="R225" t="s">
        <v>40</v>
      </c>
      <c r="S225">
        <v>3</v>
      </c>
      <c r="T225" t="str" cm="1">
        <f t="array" ref="T225">_xlfn.IFS(S225&lt;=2,"Poor",S225&lt;=3,"Fair",S225&gt;=4,"Good")</f>
        <v>Fair</v>
      </c>
      <c r="U225" t="s">
        <v>50</v>
      </c>
      <c r="V225" s="1">
        <v>10609</v>
      </c>
      <c r="W225" t="str" cm="1">
        <f t="array" ref="W225">_xlfn.IFS(V225&lt;=5000,"Low Salary",V225&lt;=12000,"Good Salary",V225&gt;12000,"High Salary")</f>
        <v>Good Salary</v>
      </c>
      <c r="X225">
        <v>9647</v>
      </c>
      <c r="Y225">
        <v>0</v>
      </c>
      <c r="Z225" t="s">
        <v>42</v>
      </c>
      <c r="AA225" t="s">
        <v>35</v>
      </c>
      <c r="AB225">
        <v>12</v>
      </c>
      <c r="AC225">
        <v>3</v>
      </c>
      <c r="AD225" t="str">
        <f t="shared" si="7"/>
        <v>Low Performance</v>
      </c>
      <c r="AE225">
        <v>3</v>
      </c>
      <c r="AF225">
        <v>80</v>
      </c>
      <c r="AG225">
        <v>2</v>
      </c>
      <c r="AH225">
        <v>17</v>
      </c>
      <c r="AI225">
        <v>6</v>
      </c>
      <c r="AJ225">
        <v>2</v>
      </c>
      <c r="AK225" t="str" cm="1">
        <f t="array" ref="AK225">_xlfn.IFS(AJ225&lt;=2,"Poor",AJ225&lt;=3,"Fair",AJ225&gt;3,"Good")</f>
        <v>Poor</v>
      </c>
      <c r="AL225">
        <v>16</v>
      </c>
      <c r="AM225">
        <v>10</v>
      </c>
      <c r="AN225">
        <v>5</v>
      </c>
      <c r="AO225">
        <v>13</v>
      </c>
    </row>
    <row r="226" spans="1:41" x14ac:dyDescent="0.2">
      <c r="A226">
        <v>1530760</v>
      </c>
      <c r="B226">
        <v>31</v>
      </c>
      <c r="C226" t="str" cm="1">
        <f t="array" ref="C226">_xlfn.IFS(B226&lt;=25,"15-25",B226&lt;=35,"26-35",B226&lt;=45,"36-45",B226&lt;=55,"46-55",B226&lt;=65,"56-65")</f>
        <v>26-35</v>
      </c>
      <c r="D226" t="s">
        <v>35</v>
      </c>
      <c r="E226" t="str">
        <f t="shared" si="6"/>
        <v>Current Employee</v>
      </c>
      <c r="F226" t="s">
        <v>52</v>
      </c>
      <c r="G226">
        <v>979</v>
      </c>
      <c r="H226" t="s">
        <v>54</v>
      </c>
      <c r="I226">
        <v>1</v>
      </c>
      <c r="J226">
        <v>4</v>
      </c>
      <c r="K226" t="s">
        <v>49</v>
      </c>
      <c r="L226">
        <v>1</v>
      </c>
      <c r="M226">
        <v>3</v>
      </c>
      <c r="N226" t="s">
        <v>46</v>
      </c>
      <c r="O226">
        <v>90</v>
      </c>
      <c r="P226">
        <v>1</v>
      </c>
      <c r="Q226">
        <v>2</v>
      </c>
      <c r="R226" t="s">
        <v>51</v>
      </c>
      <c r="S226">
        <v>3</v>
      </c>
      <c r="T226" t="str" cm="1">
        <f t="array" ref="T226">_xlfn.IFS(S226&lt;=2,"Poor",S226&lt;=3,"Fair",S226&gt;=4,"Good")</f>
        <v>Fair</v>
      </c>
      <c r="U226" t="s">
        <v>48</v>
      </c>
      <c r="V226" s="1">
        <v>4345</v>
      </c>
      <c r="W226" t="str" cm="1">
        <f t="array" ref="W226">_xlfn.IFS(V226&lt;=5000,"Low Salary",V226&lt;=12000,"Good Salary",V226&gt;12000,"High Salary")</f>
        <v>Low Salary</v>
      </c>
      <c r="X226">
        <v>4381</v>
      </c>
      <c r="Y226">
        <v>0</v>
      </c>
      <c r="Z226" t="s">
        <v>42</v>
      </c>
      <c r="AA226" t="s">
        <v>35</v>
      </c>
      <c r="AB226">
        <v>12</v>
      </c>
      <c r="AC226">
        <v>3</v>
      </c>
      <c r="AD226" t="str">
        <f t="shared" si="7"/>
        <v>Low Performance</v>
      </c>
      <c r="AE226">
        <v>4</v>
      </c>
      <c r="AF226">
        <v>80</v>
      </c>
      <c r="AG226">
        <v>1</v>
      </c>
      <c r="AH226">
        <v>6</v>
      </c>
      <c r="AI226">
        <v>2</v>
      </c>
      <c r="AJ226">
        <v>3</v>
      </c>
      <c r="AK226" t="str" cm="1">
        <f t="array" ref="AK226">_xlfn.IFS(AJ226&lt;=2,"Poor",AJ226&lt;=3,"Fair",AJ226&gt;3,"Good")</f>
        <v>Fair</v>
      </c>
      <c r="AL226">
        <v>5</v>
      </c>
      <c r="AM226">
        <v>4</v>
      </c>
      <c r="AN226">
        <v>1</v>
      </c>
      <c r="AO226">
        <v>4</v>
      </c>
    </row>
    <row r="227" spans="1:41" x14ac:dyDescent="0.2">
      <c r="A227">
        <v>1187985</v>
      </c>
      <c r="B227">
        <v>59</v>
      </c>
      <c r="C227" t="str" cm="1">
        <f t="array" ref="C227">_xlfn.IFS(B227&lt;=25,"15-25",B227&lt;=35,"26-35",B227&lt;=45,"36-45",B227&lt;=55,"46-55",B227&lt;=65,"56-65")</f>
        <v>56-65</v>
      </c>
      <c r="D227" t="s">
        <v>35</v>
      </c>
      <c r="E227" t="str">
        <f t="shared" si="6"/>
        <v>Current Employee</v>
      </c>
      <c r="F227" t="s">
        <v>36</v>
      </c>
      <c r="G227">
        <v>142</v>
      </c>
      <c r="H227" t="s">
        <v>45</v>
      </c>
      <c r="I227">
        <v>3</v>
      </c>
      <c r="J227">
        <v>3</v>
      </c>
      <c r="K227" t="s">
        <v>38</v>
      </c>
      <c r="L227">
        <v>1</v>
      </c>
      <c r="M227">
        <v>3</v>
      </c>
      <c r="N227" t="s">
        <v>46</v>
      </c>
      <c r="O227">
        <v>70</v>
      </c>
      <c r="P227">
        <v>2</v>
      </c>
      <c r="Q227">
        <v>1</v>
      </c>
      <c r="R227" t="s">
        <v>47</v>
      </c>
      <c r="S227">
        <v>4</v>
      </c>
      <c r="T227" t="str" cm="1">
        <f t="array" ref="T227">_xlfn.IFS(S227&lt;=2,"Poor",S227&lt;=3,"Fair",S227&gt;=4,"Good")</f>
        <v>Good</v>
      </c>
      <c r="U227" t="s">
        <v>48</v>
      </c>
      <c r="V227" s="1">
        <v>2177</v>
      </c>
      <c r="W227" t="str" cm="1">
        <f t="array" ref="W227">_xlfn.IFS(V227&lt;=5000,"Low Salary",V227&lt;=12000,"Good Salary",V227&gt;12000,"High Salary")</f>
        <v>Low Salary</v>
      </c>
      <c r="X227">
        <v>8456</v>
      </c>
      <c r="Y227">
        <v>3</v>
      </c>
      <c r="Z227" t="s">
        <v>42</v>
      </c>
      <c r="AA227" t="s">
        <v>35</v>
      </c>
      <c r="AB227">
        <v>17</v>
      </c>
      <c r="AC227">
        <v>3</v>
      </c>
      <c r="AD227" t="str">
        <f t="shared" si="7"/>
        <v>Low Performance</v>
      </c>
      <c r="AE227">
        <v>1</v>
      </c>
      <c r="AF227">
        <v>80</v>
      </c>
      <c r="AG227">
        <v>1</v>
      </c>
      <c r="AH227">
        <v>7</v>
      </c>
      <c r="AI227">
        <v>6</v>
      </c>
      <c r="AJ227">
        <v>3</v>
      </c>
      <c r="AK227" t="str" cm="1">
        <f t="array" ref="AK227">_xlfn.IFS(AJ227&lt;=2,"Poor",AJ227&lt;=3,"Fair",AJ227&gt;3,"Good")</f>
        <v>Fair</v>
      </c>
      <c r="AL227">
        <v>1</v>
      </c>
      <c r="AM227">
        <v>0</v>
      </c>
      <c r="AN227">
        <v>0</v>
      </c>
      <c r="AO227">
        <v>0</v>
      </c>
    </row>
    <row r="228" spans="1:41" x14ac:dyDescent="0.2">
      <c r="A228">
        <v>1721312</v>
      </c>
      <c r="B228">
        <v>37</v>
      </c>
      <c r="C228" t="str" cm="1">
        <f t="array" ref="C228">_xlfn.IFS(B228&lt;=25,"15-25",B228&lt;=35,"26-35",B228&lt;=45,"36-45",B228&lt;=55,"46-55",B228&lt;=65,"56-65")</f>
        <v>36-45</v>
      </c>
      <c r="D228" t="s">
        <v>35</v>
      </c>
      <c r="E228" t="str">
        <f t="shared" si="6"/>
        <v>Current Employee</v>
      </c>
      <c r="F228" t="s">
        <v>44</v>
      </c>
      <c r="G228">
        <v>319</v>
      </c>
      <c r="H228" t="s">
        <v>37</v>
      </c>
      <c r="I228">
        <v>4</v>
      </c>
      <c r="J228">
        <v>4</v>
      </c>
      <c r="K228" t="s">
        <v>55</v>
      </c>
      <c r="L228">
        <v>1</v>
      </c>
      <c r="M228">
        <v>1</v>
      </c>
      <c r="N228" t="s">
        <v>46</v>
      </c>
      <c r="O228">
        <v>41</v>
      </c>
      <c r="P228">
        <v>3</v>
      </c>
      <c r="Q228">
        <v>1</v>
      </c>
      <c r="R228" t="s">
        <v>47</v>
      </c>
      <c r="S228">
        <v>4</v>
      </c>
      <c r="T228" t="str" cm="1">
        <f t="array" ref="T228">_xlfn.IFS(S228&lt;=2,"Poor",S228&lt;=3,"Fair",S228&gt;=4,"Good")</f>
        <v>Good</v>
      </c>
      <c r="U228" t="s">
        <v>50</v>
      </c>
      <c r="V228" s="1">
        <v>2793</v>
      </c>
      <c r="W228" t="str" cm="1">
        <f t="array" ref="W228">_xlfn.IFS(V228&lt;=5000,"Low Salary",V228&lt;=12000,"Good Salary",V228&gt;12000,"High Salary")</f>
        <v>Low Salary</v>
      </c>
      <c r="X228">
        <v>2539</v>
      </c>
      <c r="Y228">
        <v>4</v>
      </c>
      <c r="Z228" t="s">
        <v>42</v>
      </c>
      <c r="AA228" t="s">
        <v>35</v>
      </c>
      <c r="AB228">
        <v>17</v>
      </c>
      <c r="AC228">
        <v>3</v>
      </c>
      <c r="AD228" t="str">
        <f t="shared" si="7"/>
        <v>Low Performance</v>
      </c>
      <c r="AE228">
        <v>3</v>
      </c>
      <c r="AF228">
        <v>80</v>
      </c>
      <c r="AG228">
        <v>1</v>
      </c>
      <c r="AH228">
        <v>13</v>
      </c>
      <c r="AI228">
        <v>2</v>
      </c>
      <c r="AJ228">
        <v>3</v>
      </c>
      <c r="AK228" t="str" cm="1">
        <f t="array" ref="AK228">_xlfn.IFS(AJ228&lt;=2,"Poor",AJ228&lt;=3,"Fair",AJ228&gt;3,"Good")</f>
        <v>Fair</v>
      </c>
      <c r="AL228">
        <v>9</v>
      </c>
      <c r="AM228">
        <v>8</v>
      </c>
      <c r="AN228">
        <v>5</v>
      </c>
      <c r="AO228">
        <v>8</v>
      </c>
    </row>
    <row r="229" spans="1:41" x14ac:dyDescent="0.2">
      <c r="A229">
        <v>1129392</v>
      </c>
      <c r="B229">
        <v>29</v>
      </c>
      <c r="C229" t="str" cm="1">
        <f t="array" ref="C229">_xlfn.IFS(B229&lt;=25,"15-25",B229&lt;=35,"26-35",B229&lt;=45,"36-45",B229&lt;=55,"46-55",B229&lt;=65,"56-65")</f>
        <v>26-35</v>
      </c>
      <c r="D229" t="s">
        <v>35</v>
      </c>
      <c r="E229" t="str">
        <f t="shared" si="6"/>
        <v>Current Employee</v>
      </c>
      <c r="F229" t="s">
        <v>44</v>
      </c>
      <c r="G229">
        <v>1413</v>
      </c>
      <c r="H229" t="s">
        <v>37</v>
      </c>
      <c r="I229">
        <v>1</v>
      </c>
      <c r="J229">
        <v>1</v>
      </c>
      <c r="K229" t="s">
        <v>49</v>
      </c>
      <c r="L229">
        <v>1</v>
      </c>
      <c r="M229">
        <v>2</v>
      </c>
      <c r="N229" t="s">
        <v>39</v>
      </c>
      <c r="O229">
        <v>42</v>
      </c>
      <c r="P229">
        <v>3</v>
      </c>
      <c r="Q229">
        <v>3</v>
      </c>
      <c r="R229" t="s">
        <v>40</v>
      </c>
      <c r="S229">
        <v>4</v>
      </c>
      <c r="T229" t="str" cm="1">
        <f t="array" ref="T229">_xlfn.IFS(S229&lt;=2,"Poor",S229&lt;=3,"Fair",S229&gt;=4,"Good")</f>
        <v>Good</v>
      </c>
      <c r="U229" t="s">
        <v>48</v>
      </c>
      <c r="V229" s="1">
        <v>7918</v>
      </c>
      <c r="W229" t="str" cm="1">
        <f t="array" ref="W229">_xlfn.IFS(V229&lt;=5000,"Low Salary",V229&lt;=12000,"Good Salary",V229&gt;12000,"High Salary")</f>
        <v>Good Salary</v>
      </c>
      <c r="X229">
        <v>6599</v>
      </c>
      <c r="Y229">
        <v>1</v>
      </c>
      <c r="Z229" t="s">
        <v>42</v>
      </c>
      <c r="AA229" t="s">
        <v>35</v>
      </c>
      <c r="AB229">
        <v>14</v>
      </c>
      <c r="AC229">
        <v>3</v>
      </c>
      <c r="AD229" t="str">
        <f t="shared" si="7"/>
        <v>Low Performance</v>
      </c>
      <c r="AE229">
        <v>4</v>
      </c>
      <c r="AF229">
        <v>80</v>
      </c>
      <c r="AG229">
        <v>1</v>
      </c>
      <c r="AH229">
        <v>11</v>
      </c>
      <c r="AI229">
        <v>5</v>
      </c>
      <c r="AJ229">
        <v>3</v>
      </c>
      <c r="AK229" t="str" cm="1">
        <f t="array" ref="AK229">_xlfn.IFS(AJ229&lt;=2,"Poor",AJ229&lt;=3,"Fair",AJ229&gt;3,"Good")</f>
        <v>Fair</v>
      </c>
      <c r="AL229">
        <v>11</v>
      </c>
      <c r="AM229">
        <v>10</v>
      </c>
      <c r="AN229">
        <v>4</v>
      </c>
      <c r="AO229">
        <v>1</v>
      </c>
    </row>
    <row r="230" spans="1:41" x14ac:dyDescent="0.2">
      <c r="A230">
        <v>1278690</v>
      </c>
      <c r="B230">
        <v>35</v>
      </c>
      <c r="C230" t="str" cm="1">
        <f t="array" ref="C230">_xlfn.IFS(B230&lt;=25,"15-25",B230&lt;=35,"26-35",B230&lt;=45,"36-45",B230&lt;=55,"46-55",B230&lt;=65,"56-65")</f>
        <v>26-35</v>
      </c>
      <c r="D230" t="s">
        <v>35</v>
      </c>
      <c r="E230" t="str">
        <f t="shared" si="6"/>
        <v>Current Employee</v>
      </c>
      <c r="F230" t="s">
        <v>44</v>
      </c>
      <c r="G230">
        <v>944</v>
      </c>
      <c r="H230" t="s">
        <v>37</v>
      </c>
      <c r="I230">
        <v>1</v>
      </c>
      <c r="J230">
        <v>3</v>
      </c>
      <c r="K230" t="s">
        <v>55</v>
      </c>
      <c r="L230">
        <v>1</v>
      </c>
      <c r="M230">
        <v>3</v>
      </c>
      <c r="N230" t="s">
        <v>39</v>
      </c>
      <c r="O230">
        <v>92</v>
      </c>
      <c r="P230">
        <v>3</v>
      </c>
      <c r="Q230">
        <v>3</v>
      </c>
      <c r="R230" t="s">
        <v>40</v>
      </c>
      <c r="S230">
        <v>3</v>
      </c>
      <c r="T230" t="str" cm="1">
        <f t="array" ref="T230">_xlfn.IFS(S230&lt;=2,"Poor",S230&lt;=3,"Fair",S230&gt;=4,"Good")</f>
        <v>Fair</v>
      </c>
      <c r="U230" t="s">
        <v>41</v>
      </c>
      <c r="V230" s="1">
        <v>8789</v>
      </c>
      <c r="W230" t="str" cm="1">
        <f t="array" ref="W230">_xlfn.IFS(V230&lt;=5000,"Low Salary",V230&lt;=12000,"Good Salary",V230&gt;12000,"High Salary")</f>
        <v>Good Salary</v>
      </c>
      <c r="X230">
        <v>9096</v>
      </c>
      <c r="Y230">
        <v>1</v>
      </c>
      <c r="Z230" t="s">
        <v>42</v>
      </c>
      <c r="AA230" t="s">
        <v>35</v>
      </c>
      <c r="AB230">
        <v>14</v>
      </c>
      <c r="AC230">
        <v>3</v>
      </c>
      <c r="AD230" t="str">
        <f t="shared" si="7"/>
        <v>Low Performance</v>
      </c>
      <c r="AE230">
        <v>1</v>
      </c>
      <c r="AF230">
        <v>80</v>
      </c>
      <c r="AG230">
        <v>0</v>
      </c>
      <c r="AH230">
        <v>10</v>
      </c>
      <c r="AI230">
        <v>3</v>
      </c>
      <c r="AJ230">
        <v>4</v>
      </c>
      <c r="AK230" t="str" cm="1">
        <f t="array" ref="AK230">_xlfn.IFS(AJ230&lt;=2,"Poor",AJ230&lt;=3,"Fair",AJ230&gt;3,"Good")</f>
        <v>Good</v>
      </c>
      <c r="AL230">
        <v>10</v>
      </c>
      <c r="AM230">
        <v>7</v>
      </c>
      <c r="AN230">
        <v>0</v>
      </c>
      <c r="AO230">
        <v>8</v>
      </c>
    </row>
    <row r="231" spans="1:41" x14ac:dyDescent="0.2">
      <c r="A231">
        <v>1118323</v>
      </c>
      <c r="B231">
        <v>29</v>
      </c>
      <c r="C231" t="str" cm="1">
        <f t="array" ref="C231">_xlfn.IFS(B231&lt;=25,"15-25",B231&lt;=35,"26-35",B231&lt;=45,"36-45",B231&lt;=55,"46-55",B231&lt;=65,"56-65")</f>
        <v>26-35</v>
      </c>
      <c r="D231" t="s">
        <v>43</v>
      </c>
      <c r="E231" t="str">
        <f t="shared" si="6"/>
        <v>Former Employee</v>
      </c>
      <c r="F231" t="s">
        <v>36</v>
      </c>
      <c r="G231">
        <v>896</v>
      </c>
      <c r="H231" t="s">
        <v>45</v>
      </c>
      <c r="I231">
        <v>18</v>
      </c>
      <c r="J231">
        <v>1</v>
      </c>
      <c r="K231" t="s">
        <v>49</v>
      </c>
      <c r="L231">
        <v>1</v>
      </c>
      <c r="M231">
        <v>3</v>
      </c>
      <c r="N231" t="s">
        <v>46</v>
      </c>
      <c r="O231">
        <v>86</v>
      </c>
      <c r="P231">
        <v>2</v>
      </c>
      <c r="Q231">
        <v>1</v>
      </c>
      <c r="R231" t="s">
        <v>47</v>
      </c>
      <c r="S231">
        <v>4</v>
      </c>
      <c r="T231" t="str" cm="1">
        <f t="array" ref="T231">_xlfn.IFS(S231&lt;=2,"Poor",S231&lt;=3,"Fair",S231&gt;=4,"Good")</f>
        <v>Good</v>
      </c>
      <c r="U231" t="s">
        <v>41</v>
      </c>
      <c r="V231" s="1">
        <v>2389</v>
      </c>
      <c r="W231" t="str" cm="1">
        <f t="array" ref="W231">_xlfn.IFS(V231&lt;=5000,"Low Salary",V231&lt;=12000,"Good Salary",V231&gt;12000,"High Salary")</f>
        <v>Low Salary</v>
      </c>
      <c r="X231">
        <v>14961</v>
      </c>
      <c r="Y231">
        <v>1</v>
      </c>
      <c r="Z231" t="s">
        <v>42</v>
      </c>
      <c r="AA231" t="s">
        <v>43</v>
      </c>
      <c r="AB231">
        <v>13</v>
      </c>
      <c r="AC231">
        <v>3</v>
      </c>
      <c r="AD231" t="str">
        <f t="shared" si="7"/>
        <v>Low Performance</v>
      </c>
      <c r="AE231">
        <v>3</v>
      </c>
      <c r="AF231">
        <v>80</v>
      </c>
      <c r="AG231">
        <v>0</v>
      </c>
      <c r="AH231">
        <v>4</v>
      </c>
      <c r="AI231">
        <v>3</v>
      </c>
      <c r="AJ231">
        <v>2</v>
      </c>
      <c r="AK231" t="str" cm="1">
        <f t="array" ref="AK231">_xlfn.IFS(AJ231&lt;=2,"Poor",AJ231&lt;=3,"Fair",AJ231&gt;3,"Good")</f>
        <v>Poor</v>
      </c>
      <c r="AL231">
        <v>4</v>
      </c>
      <c r="AM231">
        <v>3</v>
      </c>
      <c r="AN231">
        <v>0</v>
      </c>
      <c r="AO231">
        <v>1</v>
      </c>
    </row>
    <row r="232" spans="1:41" x14ac:dyDescent="0.2">
      <c r="A232">
        <v>1709918</v>
      </c>
      <c r="B232">
        <v>52</v>
      </c>
      <c r="C232" t="str" cm="1">
        <f t="array" ref="C232">_xlfn.IFS(B232&lt;=25,"15-25",B232&lt;=35,"26-35",B232&lt;=45,"36-45",B232&lt;=55,"46-55",B232&lt;=65,"56-65")</f>
        <v>46-55</v>
      </c>
      <c r="D232" t="s">
        <v>35</v>
      </c>
      <c r="E232" t="str">
        <f t="shared" si="6"/>
        <v>Current Employee</v>
      </c>
      <c r="F232" t="s">
        <v>36</v>
      </c>
      <c r="G232">
        <v>1323</v>
      </c>
      <c r="H232" t="s">
        <v>45</v>
      </c>
      <c r="I232">
        <v>2</v>
      </c>
      <c r="J232">
        <v>3</v>
      </c>
      <c r="K232" t="s">
        <v>38</v>
      </c>
      <c r="L232">
        <v>1</v>
      </c>
      <c r="M232">
        <v>3</v>
      </c>
      <c r="N232" t="s">
        <v>39</v>
      </c>
      <c r="O232">
        <v>89</v>
      </c>
      <c r="P232">
        <v>2</v>
      </c>
      <c r="Q232">
        <v>1</v>
      </c>
      <c r="R232" t="s">
        <v>40</v>
      </c>
      <c r="S232">
        <v>4</v>
      </c>
      <c r="T232" t="str" cm="1">
        <f t="array" ref="T232">_xlfn.IFS(S232&lt;=2,"Poor",S232&lt;=3,"Fair",S232&gt;=4,"Good")</f>
        <v>Good</v>
      </c>
      <c r="U232" t="s">
        <v>41</v>
      </c>
      <c r="V232" s="1">
        <v>3212</v>
      </c>
      <c r="W232" t="str" cm="1">
        <f t="array" ref="W232">_xlfn.IFS(V232&lt;=5000,"Low Salary",V232&lt;=12000,"Good Salary",V232&gt;12000,"High Salary")</f>
        <v>Low Salary</v>
      </c>
      <c r="X232">
        <v>3300</v>
      </c>
      <c r="Y232">
        <v>7</v>
      </c>
      <c r="Z232" t="s">
        <v>42</v>
      </c>
      <c r="AA232" t="s">
        <v>35</v>
      </c>
      <c r="AB232">
        <v>15</v>
      </c>
      <c r="AC232">
        <v>3</v>
      </c>
      <c r="AD232" t="str">
        <f t="shared" si="7"/>
        <v>Low Performance</v>
      </c>
      <c r="AE232">
        <v>2</v>
      </c>
      <c r="AF232">
        <v>80</v>
      </c>
      <c r="AG232">
        <v>0</v>
      </c>
      <c r="AH232">
        <v>6</v>
      </c>
      <c r="AI232">
        <v>3</v>
      </c>
      <c r="AJ232">
        <v>2</v>
      </c>
      <c r="AK232" t="str" cm="1">
        <f t="array" ref="AK232">_xlfn.IFS(AJ232&lt;=2,"Poor",AJ232&lt;=3,"Fair",AJ232&gt;3,"Good")</f>
        <v>Poor</v>
      </c>
      <c r="AL232">
        <v>2</v>
      </c>
      <c r="AM232">
        <v>2</v>
      </c>
      <c r="AN232">
        <v>2</v>
      </c>
      <c r="AO232">
        <v>2</v>
      </c>
    </row>
    <row r="233" spans="1:41" x14ac:dyDescent="0.2">
      <c r="A233">
        <v>1470356</v>
      </c>
      <c r="B233">
        <v>42</v>
      </c>
      <c r="C233" t="str" cm="1">
        <f t="array" ref="C233">_xlfn.IFS(B233&lt;=25,"15-25",B233&lt;=35,"26-35",B233&lt;=45,"36-45",B233&lt;=55,"46-55",B233&lt;=65,"56-65")</f>
        <v>36-45</v>
      </c>
      <c r="D233" t="s">
        <v>35</v>
      </c>
      <c r="E233" t="str">
        <f t="shared" si="6"/>
        <v>Current Employee</v>
      </c>
      <c r="F233" t="s">
        <v>36</v>
      </c>
      <c r="G233">
        <v>532</v>
      </c>
      <c r="H233" t="s">
        <v>54</v>
      </c>
      <c r="I233">
        <v>4</v>
      </c>
      <c r="J233">
        <v>2</v>
      </c>
      <c r="K233" t="s">
        <v>56</v>
      </c>
      <c r="L233">
        <v>1</v>
      </c>
      <c r="M233">
        <v>3</v>
      </c>
      <c r="N233" t="s">
        <v>46</v>
      </c>
      <c r="O233">
        <v>58</v>
      </c>
      <c r="P233">
        <v>3</v>
      </c>
      <c r="Q233">
        <v>5</v>
      </c>
      <c r="R233" t="s">
        <v>47</v>
      </c>
      <c r="S233">
        <v>4</v>
      </c>
      <c r="T233" t="str" cm="1">
        <f t="array" ref="T233">_xlfn.IFS(S233&lt;=2,"Poor",S233&lt;=3,"Fair",S233&gt;=4,"Good")</f>
        <v>Good</v>
      </c>
      <c r="U233" t="s">
        <v>48</v>
      </c>
      <c r="V233" s="1">
        <v>19232</v>
      </c>
      <c r="W233" t="str" cm="1">
        <f t="array" ref="W233">_xlfn.IFS(V233&lt;=5000,"Low Salary",V233&lt;=12000,"Good Salary",V233&gt;12000,"High Salary")</f>
        <v>High Salary</v>
      </c>
      <c r="X233">
        <v>4933</v>
      </c>
      <c r="Y233">
        <v>1</v>
      </c>
      <c r="Z233" t="s">
        <v>42</v>
      </c>
      <c r="AA233" t="s">
        <v>35</v>
      </c>
      <c r="AB233">
        <v>11</v>
      </c>
      <c r="AC233">
        <v>3</v>
      </c>
      <c r="AD233" t="str">
        <f t="shared" si="7"/>
        <v>Low Performance</v>
      </c>
      <c r="AE233">
        <v>4</v>
      </c>
      <c r="AF233">
        <v>80</v>
      </c>
      <c r="AG233">
        <v>0</v>
      </c>
      <c r="AH233">
        <v>22</v>
      </c>
      <c r="AI233">
        <v>3</v>
      </c>
      <c r="AJ233">
        <v>3</v>
      </c>
      <c r="AK233" t="str" cm="1">
        <f t="array" ref="AK233">_xlfn.IFS(AJ233&lt;=2,"Poor",AJ233&lt;=3,"Fair",AJ233&gt;3,"Good")</f>
        <v>Fair</v>
      </c>
      <c r="AL233">
        <v>22</v>
      </c>
      <c r="AM233">
        <v>17</v>
      </c>
      <c r="AN233">
        <v>11</v>
      </c>
      <c r="AO233">
        <v>15</v>
      </c>
    </row>
    <row r="234" spans="1:41" x14ac:dyDescent="0.2">
      <c r="A234">
        <v>1128374</v>
      </c>
      <c r="B234">
        <v>59</v>
      </c>
      <c r="C234" t="str" cm="1">
        <f t="array" ref="C234">_xlfn.IFS(B234&lt;=25,"15-25",B234&lt;=35,"26-35",B234&lt;=45,"36-45",B234&lt;=55,"46-55",B234&lt;=65,"56-65")</f>
        <v>56-65</v>
      </c>
      <c r="D234" t="s">
        <v>35</v>
      </c>
      <c r="E234" t="str">
        <f t="shared" si="6"/>
        <v>Current Employee</v>
      </c>
      <c r="F234" t="s">
        <v>36</v>
      </c>
      <c r="G234">
        <v>818</v>
      </c>
      <c r="H234" t="s">
        <v>54</v>
      </c>
      <c r="I234">
        <v>6</v>
      </c>
      <c r="J234">
        <v>2</v>
      </c>
      <c r="K234" t="s">
        <v>49</v>
      </c>
      <c r="L234">
        <v>1</v>
      </c>
      <c r="M234">
        <v>2</v>
      </c>
      <c r="N234" t="s">
        <v>46</v>
      </c>
      <c r="O234">
        <v>52</v>
      </c>
      <c r="P234">
        <v>3</v>
      </c>
      <c r="Q234">
        <v>1</v>
      </c>
      <c r="R234" t="s">
        <v>47</v>
      </c>
      <c r="S234">
        <v>3</v>
      </c>
      <c r="T234" t="str" cm="1">
        <f t="array" ref="T234">_xlfn.IFS(S234&lt;=2,"Poor",S234&lt;=3,"Fair",S234&gt;=4,"Good")</f>
        <v>Fair</v>
      </c>
      <c r="U234" t="s">
        <v>48</v>
      </c>
      <c r="V234" s="1">
        <v>2267</v>
      </c>
      <c r="W234" t="str" cm="1">
        <f t="array" ref="W234">_xlfn.IFS(V234&lt;=5000,"Low Salary",V234&lt;=12000,"Good Salary",V234&gt;12000,"High Salary")</f>
        <v>Low Salary</v>
      </c>
      <c r="X234">
        <v>25657</v>
      </c>
      <c r="Y234">
        <v>8</v>
      </c>
      <c r="Z234" t="s">
        <v>42</v>
      </c>
      <c r="AA234" t="s">
        <v>35</v>
      </c>
      <c r="AB234">
        <v>17</v>
      </c>
      <c r="AC234">
        <v>3</v>
      </c>
      <c r="AD234" t="str">
        <f t="shared" si="7"/>
        <v>Low Performance</v>
      </c>
      <c r="AE234">
        <v>4</v>
      </c>
      <c r="AF234">
        <v>80</v>
      </c>
      <c r="AG234">
        <v>0</v>
      </c>
      <c r="AH234">
        <v>7</v>
      </c>
      <c r="AI234">
        <v>2</v>
      </c>
      <c r="AJ234">
        <v>2</v>
      </c>
      <c r="AK234" t="str" cm="1">
        <f t="array" ref="AK234">_xlfn.IFS(AJ234&lt;=2,"Poor",AJ234&lt;=3,"Fair",AJ234&gt;3,"Good")</f>
        <v>Poor</v>
      </c>
      <c r="AL234">
        <v>2</v>
      </c>
      <c r="AM234">
        <v>2</v>
      </c>
      <c r="AN234">
        <v>2</v>
      </c>
      <c r="AO234">
        <v>2</v>
      </c>
    </row>
    <row r="235" spans="1:41" x14ac:dyDescent="0.2">
      <c r="A235">
        <v>1508741</v>
      </c>
      <c r="B235">
        <v>50</v>
      </c>
      <c r="C235" t="str" cm="1">
        <f t="array" ref="C235">_xlfn.IFS(B235&lt;=25,"15-25",B235&lt;=35,"26-35",B235&lt;=45,"36-45",B235&lt;=55,"46-55",B235&lt;=65,"56-65")</f>
        <v>46-55</v>
      </c>
      <c r="D235" t="s">
        <v>35</v>
      </c>
      <c r="E235" t="str">
        <f t="shared" si="6"/>
        <v>Current Employee</v>
      </c>
      <c r="F235" t="s">
        <v>36</v>
      </c>
      <c r="G235">
        <v>854</v>
      </c>
      <c r="H235" t="s">
        <v>37</v>
      </c>
      <c r="I235">
        <v>1</v>
      </c>
      <c r="J235">
        <v>4</v>
      </c>
      <c r="K235" t="s">
        <v>49</v>
      </c>
      <c r="L235">
        <v>1</v>
      </c>
      <c r="M235">
        <v>4</v>
      </c>
      <c r="N235" t="s">
        <v>39</v>
      </c>
      <c r="O235">
        <v>68</v>
      </c>
      <c r="P235">
        <v>3</v>
      </c>
      <c r="Q235">
        <v>5</v>
      </c>
      <c r="R235" t="s">
        <v>53</v>
      </c>
      <c r="S235">
        <v>4</v>
      </c>
      <c r="T235" t="str" cm="1">
        <f t="array" ref="T235">_xlfn.IFS(S235&lt;=2,"Poor",S235&lt;=3,"Fair",S235&gt;=4,"Good")</f>
        <v>Good</v>
      </c>
      <c r="U235" t="s">
        <v>50</v>
      </c>
      <c r="V235" s="1">
        <v>19517</v>
      </c>
      <c r="W235" t="str" cm="1">
        <f t="array" ref="W235">_xlfn.IFS(V235&lt;=5000,"Low Salary",V235&lt;=12000,"Good Salary",V235&gt;12000,"High Salary")</f>
        <v>High Salary</v>
      </c>
      <c r="X235">
        <v>24118</v>
      </c>
      <c r="Y235">
        <v>3</v>
      </c>
      <c r="Z235" t="s">
        <v>42</v>
      </c>
      <c r="AA235" t="s">
        <v>35</v>
      </c>
      <c r="AB235">
        <v>11</v>
      </c>
      <c r="AC235">
        <v>3</v>
      </c>
      <c r="AD235" t="str">
        <f t="shared" si="7"/>
        <v>Low Performance</v>
      </c>
      <c r="AE235">
        <v>3</v>
      </c>
      <c r="AF235">
        <v>80</v>
      </c>
      <c r="AG235">
        <v>1</v>
      </c>
      <c r="AH235">
        <v>32</v>
      </c>
      <c r="AI235">
        <v>3</v>
      </c>
      <c r="AJ235">
        <v>2</v>
      </c>
      <c r="AK235" t="str" cm="1">
        <f t="array" ref="AK235">_xlfn.IFS(AJ235&lt;=2,"Poor",AJ235&lt;=3,"Fair",AJ235&gt;3,"Good")</f>
        <v>Poor</v>
      </c>
      <c r="AL235">
        <v>7</v>
      </c>
      <c r="AM235">
        <v>0</v>
      </c>
      <c r="AN235">
        <v>0</v>
      </c>
      <c r="AO235">
        <v>6</v>
      </c>
    </row>
    <row r="236" spans="1:41" x14ac:dyDescent="0.2">
      <c r="A236">
        <v>1598911</v>
      </c>
      <c r="B236">
        <v>33</v>
      </c>
      <c r="C236" t="str" cm="1">
        <f t="array" ref="C236">_xlfn.IFS(B236&lt;=25,"15-25",B236&lt;=35,"26-35",B236&lt;=45,"36-45",B236&lt;=55,"46-55",B236&lt;=65,"56-65")</f>
        <v>26-35</v>
      </c>
      <c r="D236" t="s">
        <v>43</v>
      </c>
      <c r="E236" t="str">
        <f t="shared" si="6"/>
        <v>Former Employee</v>
      </c>
      <c r="F236" t="s">
        <v>36</v>
      </c>
      <c r="G236">
        <v>813</v>
      </c>
      <c r="H236" t="s">
        <v>45</v>
      </c>
      <c r="I236">
        <v>14</v>
      </c>
      <c r="J236">
        <v>3</v>
      </c>
      <c r="K236" t="s">
        <v>49</v>
      </c>
      <c r="L236">
        <v>1</v>
      </c>
      <c r="M236">
        <v>3</v>
      </c>
      <c r="N236" t="s">
        <v>46</v>
      </c>
      <c r="O236">
        <v>58</v>
      </c>
      <c r="P236">
        <v>3</v>
      </c>
      <c r="Q236">
        <v>1</v>
      </c>
      <c r="R236" t="s">
        <v>40</v>
      </c>
      <c r="S236">
        <v>4</v>
      </c>
      <c r="T236" t="str" cm="1">
        <f t="array" ref="T236">_xlfn.IFS(S236&lt;=2,"Poor",S236&lt;=3,"Fair",S236&gt;=4,"Good")</f>
        <v>Good</v>
      </c>
      <c r="U236" t="s">
        <v>48</v>
      </c>
      <c r="V236" s="1">
        <v>2436</v>
      </c>
      <c r="W236" t="str" cm="1">
        <f t="array" ref="W236">_xlfn.IFS(V236&lt;=5000,"Low Salary",V236&lt;=12000,"Good Salary",V236&gt;12000,"High Salary")</f>
        <v>Low Salary</v>
      </c>
      <c r="X236">
        <v>22149</v>
      </c>
      <c r="Y236">
        <v>5</v>
      </c>
      <c r="Z236" t="s">
        <v>42</v>
      </c>
      <c r="AA236" t="s">
        <v>43</v>
      </c>
      <c r="AB236">
        <v>13</v>
      </c>
      <c r="AC236">
        <v>3</v>
      </c>
      <c r="AD236" t="str">
        <f t="shared" si="7"/>
        <v>Low Performance</v>
      </c>
      <c r="AE236">
        <v>3</v>
      </c>
      <c r="AF236">
        <v>80</v>
      </c>
      <c r="AG236">
        <v>1</v>
      </c>
      <c r="AH236">
        <v>8</v>
      </c>
      <c r="AI236">
        <v>2</v>
      </c>
      <c r="AJ236">
        <v>1</v>
      </c>
      <c r="AK236" t="str" cm="1">
        <f t="array" ref="AK236">_xlfn.IFS(AJ236&lt;=2,"Poor",AJ236&lt;=3,"Fair",AJ236&gt;3,"Good")</f>
        <v>Poor</v>
      </c>
      <c r="AL236">
        <v>5</v>
      </c>
      <c r="AM236">
        <v>4</v>
      </c>
      <c r="AN236">
        <v>0</v>
      </c>
      <c r="AO236">
        <v>4</v>
      </c>
    </row>
    <row r="237" spans="1:41" x14ac:dyDescent="0.2">
      <c r="A237">
        <v>1177110</v>
      </c>
      <c r="B237">
        <v>43</v>
      </c>
      <c r="C237" t="str" cm="1">
        <f t="array" ref="C237">_xlfn.IFS(B237&lt;=25,"15-25",B237&lt;=35,"26-35",B237&lt;=45,"36-45",B237&lt;=55,"46-55",B237&lt;=65,"56-65")</f>
        <v>36-45</v>
      </c>
      <c r="D237" t="s">
        <v>35</v>
      </c>
      <c r="E237" t="str">
        <f t="shared" si="6"/>
        <v>Current Employee</v>
      </c>
      <c r="F237" t="s">
        <v>36</v>
      </c>
      <c r="G237">
        <v>1034</v>
      </c>
      <c r="H237" t="s">
        <v>37</v>
      </c>
      <c r="I237">
        <v>16</v>
      </c>
      <c r="J237">
        <v>3</v>
      </c>
      <c r="K237" t="s">
        <v>55</v>
      </c>
      <c r="L237">
        <v>1</v>
      </c>
      <c r="M237">
        <v>4</v>
      </c>
      <c r="N237" t="s">
        <v>39</v>
      </c>
      <c r="O237">
        <v>80</v>
      </c>
      <c r="P237">
        <v>3</v>
      </c>
      <c r="Q237">
        <v>4</v>
      </c>
      <c r="R237" t="s">
        <v>53</v>
      </c>
      <c r="S237">
        <v>4</v>
      </c>
      <c r="T237" t="str" cm="1">
        <f t="array" ref="T237">_xlfn.IFS(S237&lt;=2,"Poor",S237&lt;=3,"Fair",S237&gt;=4,"Good")</f>
        <v>Good</v>
      </c>
      <c r="U237" t="s">
        <v>48</v>
      </c>
      <c r="V237" s="1">
        <v>16064</v>
      </c>
      <c r="W237" t="str" cm="1">
        <f t="array" ref="W237">_xlfn.IFS(V237&lt;=5000,"Low Salary",V237&lt;=12000,"Good Salary",V237&gt;12000,"High Salary")</f>
        <v>High Salary</v>
      </c>
      <c r="X237">
        <v>7744</v>
      </c>
      <c r="Y237">
        <v>5</v>
      </c>
      <c r="Z237" t="s">
        <v>42</v>
      </c>
      <c r="AA237" t="s">
        <v>43</v>
      </c>
      <c r="AB237">
        <v>22</v>
      </c>
      <c r="AC237">
        <v>4</v>
      </c>
      <c r="AD237" t="str">
        <f t="shared" si="7"/>
        <v>High Performance</v>
      </c>
      <c r="AE237">
        <v>3</v>
      </c>
      <c r="AF237">
        <v>80</v>
      </c>
      <c r="AG237">
        <v>1</v>
      </c>
      <c r="AH237">
        <v>22</v>
      </c>
      <c r="AI237">
        <v>3</v>
      </c>
      <c r="AJ237">
        <v>3</v>
      </c>
      <c r="AK237" t="str" cm="1">
        <f t="array" ref="AK237">_xlfn.IFS(AJ237&lt;=2,"Poor",AJ237&lt;=3,"Fair",AJ237&gt;3,"Good")</f>
        <v>Fair</v>
      </c>
      <c r="AL237">
        <v>17</v>
      </c>
      <c r="AM237">
        <v>13</v>
      </c>
      <c r="AN237">
        <v>1</v>
      </c>
      <c r="AO237">
        <v>9</v>
      </c>
    </row>
    <row r="238" spans="1:41" x14ac:dyDescent="0.2">
      <c r="A238">
        <v>1484656</v>
      </c>
      <c r="B238">
        <v>33</v>
      </c>
      <c r="C238" t="str" cm="1">
        <f t="array" ref="C238">_xlfn.IFS(B238&lt;=25,"15-25",B238&lt;=35,"26-35",B238&lt;=45,"36-45",B238&lt;=55,"46-55",B238&lt;=65,"56-65")</f>
        <v>26-35</v>
      </c>
      <c r="D238" t="s">
        <v>43</v>
      </c>
      <c r="E238" t="str">
        <f t="shared" si="6"/>
        <v>Former Employee</v>
      </c>
      <c r="F238" t="s">
        <v>36</v>
      </c>
      <c r="G238">
        <v>465</v>
      </c>
      <c r="H238" t="s">
        <v>45</v>
      </c>
      <c r="I238">
        <v>2</v>
      </c>
      <c r="J238">
        <v>2</v>
      </c>
      <c r="K238" t="s">
        <v>38</v>
      </c>
      <c r="L238">
        <v>1</v>
      </c>
      <c r="M238">
        <v>1</v>
      </c>
      <c r="N238" t="s">
        <v>39</v>
      </c>
      <c r="O238">
        <v>39</v>
      </c>
      <c r="P238">
        <v>3</v>
      </c>
      <c r="Q238">
        <v>1</v>
      </c>
      <c r="R238" t="s">
        <v>40</v>
      </c>
      <c r="S238">
        <v>1</v>
      </c>
      <c r="T238" t="str" cm="1">
        <f t="array" ref="T238">_xlfn.IFS(S238&lt;=2,"Poor",S238&lt;=3,"Fair",S238&gt;=4,"Good")</f>
        <v>Poor</v>
      </c>
      <c r="U238" t="s">
        <v>48</v>
      </c>
      <c r="V238" s="1">
        <v>2707</v>
      </c>
      <c r="W238" t="str" cm="1">
        <f t="array" ref="W238">_xlfn.IFS(V238&lt;=5000,"Low Salary",V238&lt;=12000,"Good Salary",V238&gt;12000,"High Salary")</f>
        <v>Low Salary</v>
      </c>
      <c r="X238">
        <v>21509</v>
      </c>
      <c r="Y238">
        <v>7</v>
      </c>
      <c r="Z238" t="s">
        <v>42</v>
      </c>
      <c r="AA238" t="s">
        <v>35</v>
      </c>
      <c r="AB238">
        <v>20</v>
      </c>
      <c r="AC238">
        <v>4</v>
      </c>
      <c r="AD238" t="str">
        <f t="shared" si="7"/>
        <v>High Performance</v>
      </c>
      <c r="AE238">
        <v>1</v>
      </c>
      <c r="AF238">
        <v>80</v>
      </c>
      <c r="AG238">
        <v>0</v>
      </c>
      <c r="AH238">
        <v>13</v>
      </c>
      <c r="AI238">
        <v>3</v>
      </c>
      <c r="AJ238">
        <v>4</v>
      </c>
      <c r="AK238" t="str" cm="1">
        <f t="array" ref="AK238">_xlfn.IFS(AJ238&lt;=2,"Poor",AJ238&lt;=3,"Fair",AJ238&gt;3,"Good")</f>
        <v>Good</v>
      </c>
      <c r="AL238">
        <v>9</v>
      </c>
      <c r="AM238">
        <v>7</v>
      </c>
      <c r="AN238">
        <v>1</v>
      </c>
      <c r="AO238">
        <v>7</v>
      </c>
    </row>
    <row r="239" spans="1:41" x14ac:dyDescent="0.2">
      <c r="A239">
        <v>1693414</v>
      </c>
      <c r="B239">
        <v>52</v>
      </c>
      <c r="C239" t="str" cm="1">
        <f t="array" ref="C239">_xlfn.IFS(B239&lt;=25,"15-25",B239&lt;=35,"26-35",B239&lt;=45,"36-45",B239&lt;=55,"46-55",B239&lt;=65,"56-65")</f>
        <v>46-55</v>
      </c>
      <c r="D239" t="s">
        <v>35</v>
      </c>
      <c r="E239" t="str">
        <f t="shared" si="6"/>
        <v>Current Employee</v>
      </c>
      <c r="F239" t="s">
        <v>52</v>
      </c>
      <c r="G239">
        <v>771</v>
      </c>
      <c r="H239" t="s">
        <v>37</v>
      </c>
      <c r="I239">
        <v>2</v>
      </c>
      <c r="J239">
        <v>4</v>
      </c>
      <c r="K239" t="s">
        <v>38</v>
      </c>
      <c r="L239">
        <v>1</v>
      </c>
      <c r="M239">
        <v>1</v>
      </c>
      <c r="N239" t="s">
        <v>46</v>
      </c>
      <c r="O239">
        <v>79</v>
      </c>
      <c r="P239">
        <v>2</v>
      </c>
      <c r="Q239">
        <v>5</v>
      </c>
      <c r="R239" t="s">
        <v>53</v>
      </c>
      <c r="S239">
        <v>3</v>
      </c>
      <c r="T239" t="str" cm="1">
        <f t="array" ref="T239">_xlfn.IFS(S239&lt;=2,"Poor",S239&lt;=3,"Fair",S239&gt;=4,"Good")</f>
        <v>Fair</v>
      </c>
      <c r="U239" t="s">
        <v>41</v>
      </c>
      <c r="V239" s="1">
        <v>19068</v>
      </c>
      <c r="W239" t="str" cm="1">
        <f t="array" ref="W239">_xlfn.IFS(V239&lt;=5000,"Low Salary",V239&lt;=12000,"Good Salary",V239&gt;12000,"High Salary")</f>
        <v>High Salary</v>
      </c>
      <c r="X239">
        <v>21030</v>
      </c>
      <c r="Y239">
        <v>1</v>
      </c>
      <c r="Z239" t="s">
        <v>42</v>
      </c>
      <c r="AA239" t="s">
        <v>43</v>
      </c>
      <c r="AB239">
        <v>18</v>
      </c>
      <c r="AC239">
        <v>3</v>
      </c>
      <c r="AD239" t="str">
        <f t="shared" si="7"/>
        <v>Low Performance</v>
      </c>
      <c r="AE239">
        <v>4</v>
      </c>
      <c r="AF239">
        <v>80</v>
      </c>
      <c r="AG239">
        <v>0</v>
      </c>
      <c r="AH239">
        <v>33</v>
      </c>
      <c r="AI239">
        <v>2</v>
      </c>
      <c r="AJ239">
        <v>4</v>
      </c>
      <c r="AK239" t="str" cm="1">
        <f t="array" ref="AK239">_xlfn.IFS(AJ239&lt;=2,"Poor",AJ239&lt;=3,"Fair",AJ239&gt;3,"Good")</f>
        <v>Good</v>
      </c>
      <c r="AL239">
        <v>33</v>
      </c>
      <c r="AM239">
        <v>7</v>
      </c>
      <c r="AN239">
        <v>15</v>
      </c>
      <c r="AO239">
        <v>12</v>
      </c>
    </row>
    <row r="240" spans="1:41" x14ac:dyDescent="0.2">
      <c r="A240">
        <v>1806233</v>
      </c>
      <c r="B240">
        <v>32</v>
      </c>
      <c r="C240" t="str" cm="1">
        <f t="array" ref="C240">_xlfn.IFS(B240&lt;=25,"15-25",B240&lt;=35,"26-35",B240&lt;=45,"36-45",B240&lt;=55,"46-55",B240&lt;=65,"56-65")</f>
        <v>26-35</v>
      </c>
      <c r="D240" t="s">
        <v>35</v>
      </c>
      <c r="E240" t="str">
        <f t="shared" si="6"/>
        <v>Current Employee</v>
      </c>
      <c r="F240" t="s">
        <v>36</v>
      </c>
      <c r="G240">
        <v>1401</v>
      </c>
      <c r="H240" t="s">
        <v>37</v>
      </c>
      <c r="I240">
        <v>4</v>
      </c>
      <c r="J240">
        <v>2</v>
      </c>
      <c r="K240" t="s">
        <v>38</v>
      </c>
      <c r="L240">
        <v>1</v>
      </c>
      <c r="M240">
        <v>3</v>
      </c>
      <c r="N240" t="s">
        <v>39</v>
      </c>
      <c r="O240">
        <v>56</v>
      </c>
      <c r="P240">
        <v>3</v>
      </c>
      <c r="Q240">
        <v>1</v>
      </c>
      <c r="R240" t="s">
        <v>47</v>
      </c>
      <c r="S240">
        <v>2</v>
      </c>
      <c r="T240" t="str" cm="1">
        <f t="array" ref="T240">_xlfn.IFS(S240&lt;=2,"Poor",S240&lt;=3,"Fair",S240&gt;=4,"Good")</f>
        <v>Poor</v>
      </c>
      <c r="U240" t="s">
        <v>48</v>
      </c>
      <c r="V240" s="1">
        <v>3931</v>
      </c>
      <c r="W240" t="str" cm="1">
        <f t="array" ref="W240">_xlfn.IFS(V240&lt;=5000,"Low Salary",V240&lt;=12000,"Good Salary",V240&gt;12000,"High Salary")</f>
        <v>Low Salary</v>
      </c>
      <c r="X240">
        <v>20990</v>
      </c>
      <c r="Y240">
        <v>2</v>
      </c>
      <c r="Z240" t="s">
        <v>42</v>
      </c>
      <c r="AA240" t="s">
        <v>35</v>
      </c>
      <c r="AB240">
        <v>11</v>
      </c>
      <c r="AC240">
        <v>3</v>
      </c>
      <c r="AD240" t="str">
        <f t="shared" si="7"/>
        <v>Low Performance</v>
      </c>
      <c r="AE240">
        <v>1</v>
      </c>
      <c r="AF240">
        <v>80</v>
      </c>
      <c r="AG240">
        <v>1</v>
      </c>
      <c r="AH240">
        <v>6</v>
      </c>
      <c r="AI240">
        <v>5</v>
      </c>
      <c r="AJ240">
        <v>3</v>
      </c>
      <c r="AK240" t="str" cm="1">
        <f t="array" ref="AK240">_xlfn.IFS(AJ240&lt;=2,"Poor",AJ240&lt;=3,"Fair",AJ240&gt;3,"Good")</f>
        <v>Fair</v>
      </c>
      <c r="AL240">
        <v>4</v>
      </c>
      <c r="AM240">
        <v>3</v>
      </c>
      <c r="AN240">
        <v>1</v>
      </c>
      <c r="AO240">
        <v>2</v>
      </c>
    </row>
    <row r="241" spans="1:41" x14ac:dyDescent="0.2">
      <c r="A241">
        <v>1127107</v>
      </c>
      <c r="B241">
        <v>32</v>
      </c>
      <c r="C241" t="str" cm="1">
        <f t="array" ref="C241">_xlfn.IFS(B241&lt;=25,"15-25",B241&lt;=35,"26-35",B241&lt;=45,"36-45",B241&lt;=55,"46-55",B241&lt;=65,"56-65")</f>
        <v>26-35</v>
      </c>
      <c r="D241" t="s">
        <v>43</v>
      </c>
      <c r="E241" t="str">
        <f t="shared" si="6"/>
        <v>Former Employee</v>
      </c>
      <c r="F241" t="s">
        <v>36</v>
      </c>
      <c r="G241">
        <v>515</v>
      </c>
      <c r="H241" t="s">
        <v>45</v>
      </c>
      <c r="I241">
        <v>1</v>
      </c>
      <c r="J241">
        <v>3</v>
      </c>
      <c r="K241" t="s">
        <v>38</v>
      </c>
      <c r="L241">
        <v>1</v>
      </c>
      <c r="M241">
        <v>4</v>
      </c>
      <c r="N241" t="s">
        <v>46</v>
      </c>
      <c r="O241">
        <v>62</v>
      </c>
      <c r="P241">
        <v>2</v>
      </c>
      <c r="Q241">
        <v>1</v>
      </c>
      <c r="R241" t="s">
        <v>40</v>
      </c>
      <c r="S241">
        <v>3</v>
      </c>
      <c r="T241" t="str" cm="1">
        <f t="array" ref="T241">_xlfn.IFS(S241&lt;=2,"Poor",S241&lt;=3,"Fair",S241&gt;=4,"Good")</f>
        <v>Fair</v>
      </c>
      <c r="U241" t="s">
        <v>41</v>
      </c>
      <c r="V241" s="1">
        <v>3730</v>
      </c>
      <c r="W241" t="str" cm="1">
        <f t="array" ref="W241">_xlfn.IFS(V241&lt;=5000,"Low Salary",V241&lt;=12000,"Good Salary",V241&gt;12000,"High Salary")</f>
        <v>Low Salary</v>
      </c>
      <c r="X241">
        <v>9571</v>
      </c>
      <c r="Y241">
        <v>0</v>
      </c>
      <c r="Z241" t="s">
        <v>42</v>
      </c>
      <c r="AA241" t="s">
        <v>43</v>
      </c>
      <c r="AB241">
        <v>14</v>
      </c>
      <c r="AC241">
        <v>3</v>
      </c>
      <c r="AD241" t="str">
        <f t="shared" si="7"/>
        <v>Low Performance</v>
      </c>
      <c r="AE241">
        <v>4</v>
      </c>
      <c r="AF241">
        <v>80</v>
      </c>
      <c r="AG241">
        <v>0</v>
      </c>
      <c r="AH241">
        <v>4</v>
      </c>
      <c r="AI241">
        <v>2</v>
      </c>
      <c r="AJ241">
        <v>1</v>
      </c>
      <c r="AK241" t="str" cm="1">
        <f t="array" ref="AK241">_xlfn.IFS(AJ241&lt;=2,"Poor",AJ241&lt;=3,"Fair",AJ241&gt;3,"Good")</f>
        <v>Poor</v>
      </c>
      <c r="AL241">
        <v>3</v>
      </c>
      <c r="AM241">
        <v>2</v>
      </c>
      <c r="AN241">
        <v>1</v>
      </c>
      <c r="AO241">
        <v>2</v>
      </c>
    </row>
    <row r="242" spans="1:41" x14ac:dyDescent="0.2">
      <c r="A242">
        <v>1548210</v>
      </c>
      <c r="B242">
        <v>39</v>
      </c>
      <c r="C242" t="str" cm="1">
        <f t="array" ref="C242">_xlfn.IFS(B242&lt;=25,"15-25",B242&lt;=35,"26-35",B242&lt;=45,"36-45",B242&lt;=55,"46-55",B242&lt;=65,"56-65")</f>
        <v>36-45</v>
      </c>
      <c r="D242" t="s">
        <v>35</v>
      </c>
      <c r="E242" t="str">
        <f t="shared" si="6"/>
        <v>Current Employee</v>
      </c>
      <c r="F242" t="s">
        <v>36</v>
      </c>
      <c r="G242">
        <v>1431</v>
      </c>
      <c r="H242" t="s">
        <v>45</v>
      </c>
      <c r="I242">
        <v>1</v>
      </c>
      <c r="J242">
        <v>4</v>
      </c>
      <c r="K242" t="s">
        <v>49</v>
      </c>
      <c r="L242">
        <v>1</v>
      </c>
      <c r="M242">
        <v>3</v>
      </c>
      <c r="N242" t="s">
        <v>39</v>
      </c>
      <c r="O242">
        <v>96</v>
      </c>
      <c r="P242">
        <v>3</v>
      </c>
      <c r="Q242">
        <v>1</v>
      </c>
      <c r="R242" t="s">
        <v>40</v>
      </c>
      <c r="S242">
        <v>3</v>
      </c>
      <c r="T242" t="str" cm="1">
        <f t="array" ref="T242">_xlfn.IFS(S242&lt;=2,"Poor",S242&lt;=3,"Fair",S242&gt;=4,"Good")</f>
        <v>Fair</v>
      </c>
      <c r="U242" t="s">
        <v>50</v>
      </c>
      <c r="V242" s="1">
        <v>2232</v>
      </c>
      <c r="W242" t="str" cm="1">
        <f t="array" ref="W242">_xlfn.IFS(V242&lt;=5000,"Low Salary",V242&lt;=12000,"Good Salary",V242&gt;12000,"High Salary")</f>
        <v>Low Salary</v>
      </c>
      <c r="X242">
        <v>15417</v>
      </c>
      <c r="Y242">
        <v>7</v>
      </c>
      <c r="Z242" t="s">
        <v>42</v>
      </c>
      <c r="AA242" t="s">
        <v>35</v>
      </c>
      <c r="AB242">
        <v>14</v>
      </c>
      <c r="AC242">
        <v>3</v>
      </c>
      <c r="AD242" t="str">
        <f t="shared" si="7"/>
        <v>Low Performance</v>
      </c>
      <c r="AE242">
        <v>3</v>
      </c>
      <c r="AF242">
        <v>80</v>
      </c>
      <c r="AG242">
        <v>3</v>
      </c>
      <c r="AH242">
        <v>7</v>
      </c>
      <c r="AI242">
        <v>1</v>
      </c>
      <c r="AJ242">
        <v>3</v>
      </c>
      <c r="AK242" t="str" cm="1">
        <f t="array" ref="AK242">_xlfn.IFS(AJ242&lt;=2,"Poor",AJ242&lt;=3,"Fair",AJ242&gt;3,"Good")</f>
        <v>Fair</v>
      </c>
      <c r="AL242">
        <v>3</v>
      </c>
      <c r="AM242">
        <v>2</v>
      </c>
      <c r="AN242">
        <v>1</v>
      </c>
      <c r="AO242">
        <v>2</v>
      </c>
    </row>
    <row r="243" spans="1:41" x14ac:dyDescent="0.2">
      <c r="A243">
        <v>1857248</v>
      </c>
      <c r="B243">
        <v>32</v>
      </c>
      <c r="C243" t="str" cm="1">
        <f t="array" ref="C243">_xlfn.IFS(B243&lt;=25,"15-25",B243&lt;=35,"26-35",B243&lt;=45,"36-45",B243&lt;=55,"46-55",B243&lt;=65,"56-65")</f>
        <v>26-35</v>
      </c>
      <c r="D243" t="s">
        <v>35</v>
      </c>
      <c r="E243" t="str">
        <f t="shared" si="6"/>
        <v>Current Employee</v>
      </c>
      <c r="F243" t="s">
        <v>52</v>
      </c>
      <c r="G243">
        <v>976</v>
      </c>
      <c r="H243" t="s">
        <v>37</v>
      </c>
      <c r="I243">
        <v>26</v>
      </c>
      <c r="J243">
        <v>4</v>
      </c>
      <c r="K243" t="s">
        <v>55</v>
      </c>
      <c r="L243">
        <v>1</v>
      </c>
      <c r="M243">
        <v>3</v>
      </c>
      <c r="N243" t="s">
        <v>46</v>
      </c>
      <c r="O243">
        <v>100</v>
      </c>
      <c r="P243">
        <v>3</v>
      </c>
      <c r="Q243">
        <v>2</v>
      </c>
      <c r="R243" t="s">
        <v>40</v>
      </c>
      <c r="S243">
        <v>4</v>
      </c>
      <c r="T243" t="str" cm="1">
        <f t="array" ref="T243">_xlfn.IFS(S243&lt;=2,"Poor",S243&lt;=3,"Fair",S243&gt;=4,"Good")</f>
        <v>Good</v>
      </c>
      <c r="U243" t="s">
        <v>48</v>
      </c>
      <c r="V243" s="1">
        <v>4465</v>
      </c>
      <c r="W243" t="str" cm="1">
        <f t="array" ref="W243">_xlfn.IFS(V243&lt;=5000,"Low Salary",V243&lt;=12000,"Good Salary",V243&gt;12000,"High Salary")</f>
        <v>Low Salary</v>
      </c>
      <c r="X243">
        <v>12069</v>
      </c>
      <c r="Y243">
        <v>0</v>
      </c>
      <c r="Z243" t="s">
        <v>42</v>
      </c>
      <c r="AA243" t="s">
        <v>35</v>
      </c>
      <c r="AB243">
        <v>18</v>
      </c>
      <c r="AC243">
        <v>3</v>
      </c>
      <c r="AD243" t="str">
        <f t="shared" si="7"/>
        <v>Low Performance</v>
      </c>
      <c r="AE243">
        <v>1</v>
      </c>
      <c r="AF243">
        <v>80</v>
      </c>
      <c r="AG243">
        <v>0</v>
      </c>
      <c r="AH243">
        <v>4</v>
      </c>
      <c r="AI243">
        <v>2</v>
      </c>
      <c r="AJ243">
        <v>3</v>
      </c>
      <c r="AK243" t="str" cm="1">
        <f t="array" ref="AK243">_xlfn.IFS(AJ243&lt;=2,"Poor",AJ243&lt;=3,"Fair",AJ243&gt;3,"Good")</f>
        <v>Fair</v>
      </c>
      <c r="AL243">
        <v>3</v>
      </c>
      <c r="AM243">
        <v>2</v>
      </c>
      <c r="AN243">
        <v>2</v>
      </c>
      <c r="AO243">
        <v>2</v>
      </c>
    </row>
    <row r="244" spans="1:41" x14ac:dyDescent="0.2">
      <c r="A244">
        <v>1491722</v>
      </c>
      <c r="B244">
        <v>41</v>
      </c>
      <c r="C244" t="str" cm="1">
        <f t="array" ref="C244">_xlfn.IFS(B244&lt;=25,"15-25",B244&lt;=35,"26-35",B244&lt;=45,"36-45",B244&lt;=55,"46-55",B244&lt;=65,"56-65")</f>
        <v>36-45</v>
      </c>
      <c r="D244" t="s">
        <v>35</v>
      </c>
      <c r="E244" t="str">
        <f t="shared" si="6"/>
        <v>Current Employee</v>
      </c>
      <c r="F244" t="s">
        <v>36</v>
      </c>
      <c r="G244">
        <v>1411</v>
      </c>
      <c r="H244" t="s">
        <v>45</v>
      </c>
      <c r="I244">
        <v>19</v>
      </c>
      <c r="J244">
        <v>2</v>
      </c>
      <c r="K244" t="s">
        <v>38</v>
      </c>
      <c r="L244">
        <v>1</v>
      </c>
      <c r="M244">
        <v>3</v>
      </c>
      <c r="N244" t="s">
        <v>46</v>
      </c>
      <c r="O244">
        <v>36</v>
      </c>
      <c r="P244">
        <v>3</v>
      </c>
      <c r="Q244">
        <v>2</v>
      </c>
      <c r="R244" t="s">
        <v>47</v>
      </c>
      <c r="S244">
        <v>1</v>
      </c>
      <c r="T244" t="str" cm="1">
        <f t="array" ref="T244">_xlfn.IFS(S244&lt;=2,"Poor",S244&lt;=3,"Fair",S244&gt;=4,"Good")</f>
        <v>Poor</v>
      </c>
      <c r="U244" t="s">
        <v>50</v>
      </c>
      <c r="V244" s="1">
        <v>3072</v>
      </c>
      <c r="W244" t="str" cm="1">
        <f t="array" ref="W244">_xlfn.IFS(V244&lt;=5000,"Low Salary",V244&lt;=12000,"Good Salary",V244&gt;12000,"High Salary")</f>
        <v>Low Salary</v>
      </c>
      <c r="X244">
        <v>19877</v>
      </c>
      <c r="Y244">
        <v>2</v>
      </c>
      <c r="Z244" t="s">
        <v>42</v>
      </c>
      <c r="AA244" t="s">
        <v>35</v>
      </c>
      <c r="AB244">
        <v>16</v>
      </c>
      <c r="AC244">
        <v>3</v>
      </c>
      <c r="AD244" t="str">
        <f t="shared" si="7"/>
        <v>Low Performance</v>
      </c>
      <c r="AE244">
        <v>1</v>
      </c>
      <c r="AF244">
        <v>80</v>
      </c>
      <c r="AG244">
        <v>2</v>
      </c>
      <c r="AH244">
        <v>17</v>
      </c>
      <c r="AI244">
        <v>2</v>
      </c>
      <c r="AJ244">
        <v>2</v>
      </c>
      <c r="AK244" t="str" cm="1">
        <f t="array" ref="AK244">_xlfn.IFS(AJ244&lt;=2,"Poor",AJ244&lt;=3,"Fair",AJ244&gt;3,"Good")</f>
        <v>Poor</v>
      </c>
      <c r="AL244">
        <v>1</v>
      </c>
      <c r="AM244">
        <v>0</v>
      </c>
      <c r="AN244">
        <v>0</v>
      </c>
      <c r="AO244">
        <v>0</v>
      </c>
    </row>
    <row r="245" spans="1:41" x14ac:dyDescent="0.2">
      <c r="A245">
        <v>1548175</v>
      </c>
      <c r="B245">
        <v>40</v>
      </c>
      <c r="C245" t="str" cm="1">
        <f t="array" ref="C245">_xlfn.IFS(B245&lt;=25,"15-25",B245&lt;=35,"26-35",B245&lt;=45,"36-45",B245&lt;=55,"46-55",B245&lt;=65,"56-65")</f>
        <v>36-45</v>
      </c>
      <c r="D245" t="s">
        <v>35</v>
      </c>
      <c r="E245" t="str">
        <f t="shared" si="6"/>
        <v>Current Employee</v>
      </c>
      <c r="F245" t="s">
        <v>36</v>
      </c>
      <c r="G245">
        <v>1300</v>
      </c>
      <c r="H245" t="s">
        <v>45</v>
      </c>
      <c r="I245">
        <v>24</v>
      </c>
      <c r="J245">
        <v>2</v>
      </c>
      <c r="K245" t="s">
        <v>56</v>
      </c>
      <c r="L245">
        <v>1</v>
      </c>
      <c r="M245">
        <v>1</v>
      </c>
      <c r="N245" t="s">
        <v>46</v>
      </c>
      <c r="O245">
        <v>62</v>
      </c>
      <c r="P245">
        <v>3</v>
      </c>
      <c r="Q245">
        <v>2</v>
      </c>
      <c r="R245" t="s">
        <v>47</v>
      </c>
      <c r="S245">
        <v>4</v>
      </c>
      <c r="T245" t="str" cm="1">
        <f t="array" ref="T245">_xlfn.IFS(S245&lt;=2,"Poor",S245&lt;=3,"Fair",S245&gt;=4,"Good")</f>
        <v>Good</v>
      </c>
      <c r="U245" t="s">
        <v>50</v>
      </c>
      <c r="V245" s="1">
        <v>3319</v>
      </c>
      <c r="W245" t="str" cm="1">
        <f t="array" ref="W245">_xlfn.IFS(V245&lt;=5000,"Low Salary",V245&lt;=12000,"Good Salary",V245&gt;12000,"High Salary")</f>
        <v>Low Salary</v>
      </c>
      <c r="X245">
        <v>24447</v>
      </c>
      <c r="Y245">
        <v>1</v>
      </c>
      <c r="Z245" t="s">
        <v>42</v>
      </c>
      <c r="AA245" t="s">
        <v>35</v>
      </c>
      <c r="AB245">
        <v>17</v>
      </c>
      <c r="AC245">
        <v>3</v>
      </c>
      <c r="AD245" t="str">
        <f t="shared" si="7"/>
        <v>Low Performance</v>
      </c>
      <c r="AE245">
        <v>1</v>
      </c>
      <c r="AF245">
        <v>80</v>
      </c>
      <c r="AG245">
        <v>2</v>
      </c>
      <c r="AH245">
        <v>9</v>
      </c>
      <c r="AI245">
        <v>3</v>
      </c>
      <c r="AJ245">
        <v>3</v>
      </c>
      <c r="AK245" t="str" cm="1">
        <f t="array" ref="AK245">_xlfn.IFS(AJ245&lt;=2,"Poor",AJ245&lt;=3,"Fair",AJ245&gt;3,"Good")</f>
        <v>Fair</v>
      </c>
      <c r="AL245">
        <v>9</v>
      </c>
      <c r="AM245">
        <v>8</v>
      </c>
      <c r="AN245">
        <v>4</v>
      </c>
      <c r="AO245">
        <v>7</v>
      </c>
    </row>
    <row r="246" spans="1:41" x14ac:dyDescent="0.2">
      <c r="A246">
        <v>1197716</v>
      </c>
      <c r="B246">
        <v>45</v>
      </c>
      <c r="C246" t="str" cm="1">
        <f t="array" ref="C246">_xlfn.IFS(B246&lt;=25,"15-25",B246&lt;=35,"26-35",B246&lt;=45,"36-45",B246&lt;=55,"46-55",B246&lt;=65,"56-65")</f>
        <v>36-45</v>
      </c>
      <c r="D246" t="s">
        <v>35</v>
      </c>
      <c r="E246" t="str">
        <f t="shared" si="6"/>
        <v>Current Employee</v>
      </c>
      <c r="F246" t="s">
        <v>36</v>
      </c>
      <c r="G246">
        <v>252</v>
      </c>
      <c r="H246" t="s">
        <v>54</v>
      </c>
      <c r="I246">
        <v>1</v>
      </c>
      <c r="J246">
        <v>3</v>
      </c>
      <c r="K246" t="s">
        <v>47</v>
      </c>
      <c r="L246">
        <v>1</v>
      </c>
      <c r="M246">
        <v>3</v>
      </c>
      <c r="N246" t="s">
        <v>46</v>
      </c>
      <c r="O246">
        <v>70</v>
      </c>
      <c r="P246">
        <v>4</v>
      </c>
      <c r="Q246">
        <v>5</v>
      </c>
      <c r="R246" t="s">
        <v>47</v>
      </c>
      <c r="S246">
        <v>4</v>
      </c>
      <c r="T246" t="str" cm="1">
        <f t="array" ref="T246">_xlfn.IFS(S246&lt;=2,"Poor",S246&lt;=3,"Fair",S246&gt;=4,"Good")</f>
        <v>Good</v>
      </c>
      <c r="U246" t="s">
        <v>48</v>
      </c>
      <c r="V246" s="1">
        <v>19202</v>
      </c>
      <c r="W246" t="str" cm="1">
        <f t="array" ref="W246">_xlfn.IFS(V246&lt;=5000,"Low Salary",V246&lt;=12000,"Good Salary",V246&gt;12000,"High Salary")</f>
        <v>High Salary</v>
      </c>
      <c r="X246">
        <v>15970</v>
      </c>
      <c r="Y246">
        <v>0</v>
      </c>
      <c r="Z246" t="s">
        <v>42</v>
      </c>
      <c r="AA246" t="s">
        <v>35</v>
      </c>
      <c r="AB246">
        <v>11</v>
      </c>
      <c r="AC246">
        <v>3</v>
      </c>
      <c r="AD246" t="str">
        <f t="shared" si="7"/>
        <v>Low Performance</v>
      </c>
      <c r="AE246">
        <v>3</v>
      </c>
      <c r="AF246">
        <v>80</v>
      </c>
      <c r="AG246">
        <v>1</v>
      </c>
      <c r="AH246">
        <v>25</v>
      </c>
      <c r="AI246">
        <v>2</v>
      </c>
      <c r="AJ246">
        <v>3</v>
      </c>
      <c r="AK246" t="str" cm="1">
        <f t="array" ref="AK246">_xlfn.IFS(AJ246&lt;=2,"Poor",AJ246&lt;=3,"Fair",AJ246&gt;3,"Good")</f>
        <v>Fair</v>
      </c>
      <c r="AL246">
        <v>24</v>
      </c>
      <c r="AM246">
        <v>0</v>
      </c>
      <c r="AN246">
        <v>1</v>
      </c>
      <c r="AO246">
        <v>7</v>
      </c>
    </row>
    <row r="247" spans="1:41" x14ac:dyDescent="0.2">
      <c r="A247">
        <v>1275604</v>
      </c>
      <c r="B247">
        <v>31</v>
      </c>
      <c r="C247" t="str" cm="1">
        <f t="array" ref="C247">_xlfn.IFS(B247&lt;=25,"15-25",B247&lt;=35,"26-35",B247&lt;=45,"36-45",B247&lt;=55,"46-55",B247&lt;=65,"56-65")</f>
        <v>26-35</v>
      </c>
      <c r="D247" t="s">
        <v>35</v>
      </c>
      <c r="E247" t="str">
        <f t="shared" si="6"/>
        <v>Current Employee</v>
      </c>
      <c r="F247" t="s">
        <v>44</v>
      </c>
      <c r="G247">
        <v>1327</v>
      </c>
      <c r="H247" t="s">
        <v>54</v>
      </c>
      <c r="I247">
        <v>3</v>
      </c>
      <c r="J247">
        <v>4</v>
      </c>
      <c r="K247" t="s">
        <v>49</v>
      </c>
      <c r="L247">
        <v>1</v>
      </c>
      <c r="M247">
        <v>2</v>
      </c>
      <c r="N247" t="s">
        <v>46</v>
      </c>
      <c r="O247">
        <v>73</v>
      </c>
      <c r="P247">
        <v>3</v>
      </c>
      <c r="Q247">
        <v>3</v>
      </c>
      <c r="R247" t="s">
        <v>47</v>
      </c>
      <c r="S247">
        <v>3</v>
      </c>
      <c r="T247" t="str" cm="1">
        <f t="array" ref="T247">_xlfn.IFS(S247&lt;=2,"Poor",S247&lt;=3,"Fair",S247&gt;=4,"Good")</f>
        <v>Fair</v>
      </c>
      <c r="U247" t="s">
        <v>50</v>
      </c>
      <c r="V247" s="1">
        <v>13675</v>
      </c>
      <c r="W247" t="str" cm="1">
        <f t="array" ref="W247">_xlfn.IFS(V247&lt;=5000,"Low Salary",V247&lt;=12000,"Good Salary",V247&gt;12000,"High Salary")</f>
        <v>High Salary</v>
      </c>
      <c r="X247">
        <v>13523</v>
      </c>
      <c r="Y247">
        <v>9</v>
      </c>
      <c r="Z247" t="s">
        <v>42</v>
      </c>
      <c r="AA247" t="s">
        <v>35</v>
      </c>
      <c r="AB247">
        <v>12</v>
      </c>
      <c r="AC247">
        <v>3</v>
      </c>
      <c r="AD247" t="str">
        <f t="shared" si="7"/>
        <v>Low Performance</v>
      </c>
      <c r="AE247">
        <v>1</v>
      </c>
      <c r="AF247">
        <v>80</v>
      </c>
      <c r="AG247">
        <v>1</v>
      </c>
      <c r="AH247">
        <v>9</v>
      </c>
      <c r="AI247">
        <v>3</v>
      </c>
      <c r="AJ247">
        <v>3</v>
      </c>
      <c r="AK247" t="str" cm="1">
        <f t="array" ref="AK247">_xlfn.IFS(AJ247&lt;=2,"Poor",AJ247&lt;=3,"Fair",AJ247&gt;3,"Good")</f>
        <v>Fair</v>
      </c>
      <c r="AL247">
        <v>2</v>
      </c>
      <c r="AM247">
        <v>2</v>
      </c>
      <c r="AN247">
        <v>2</v>
      </c>
      <c r="AO247">
        <v>2</v>
      </c>
    </row>
    <row r="248" spans="1:41" x14ac:dyDescent="0.2">
      <c r="A248">
        <v>1632856</v>
      </c>
      <c r="B248">
        <v>33</v>
      </c>
      <c r="C248" t="str" cm="1">
        <f t="array" ref="C248">_xlfn.IFS(B248&lt;=25,"15-25",B248&lt;=35,"26-35",B248&lt;=45,"36-45",B248&lt;=55,"46-55",B248&lt;=65,"56-65")</f>
        <v>26-35</v>
      </c>
      <c r="D248" t="s">
        <v>35</v>
      </c>
      <c r="E248" t="str">
        <f t="shared" si="6"/>
        <v>Current Employee</v>
      </c>
      <c r="F248" t="s">
        <v>36</v>
      </c>
      <c r="G248">
        <v>832</v>
      </c>
      <c r="H248" t="s">
        <v>45</v>
      </c>
      <c r="I248">
        <v>5</v>
      </c>
      <c r="J248">
        <v>4</v>
      </c>
      <c r="K248" t="s">
        <v>38</v>
      </c>
      <c r="L248">
        <v>1</v>
      </c>
      <c r="M248">
        <v>3</v>
      </c>
      <c r="N248" t="s">
        <v>39</v>
      </c>
      <c r="O248">
        <v>63</v>
      </c>
      <c r="P248">
        <v>2</v>
      </c>
      <c r="Q248">
        <v>1</v>
      </c>
      <c r="R248" t="s">
        <v>47</v>
      </c>
      <c r="S248">
        <v>4</v>
      </c>
      <c r="T248" t="str" cm="1">
        <f t="array" ref="T248">_xlfn.IFS(S248&lt;=2,"Poor",S248&lt;=3,"Fair",S248&gt;=4,"Good")</f>
        <v>Good</v>
      </c>
      <c r="U248" t="s">
        <v>48</v>
      </c>
      <c r="V248" s="1">
        <v>2911</v>
      </c>
      <c r="W248" t="str" cm="1">
        <f t="array" ref="W248">_xlfn.IFS(V248&lt;=5000,"Low Salary",V248&lt;=12000,"Good Salary",V248&gt;12000,"High Salary")</f>
        <v>Low Salary</v>
      </c>
      <c r="X248">
        <v>14776</v>
      </c>
      <c r="Y248">
        <v>1</v>
      </c>
      <c r="Z248" t="s">
        <v>42</v>
      </c>
      <c r="AA248" t="s">
        <v>35</v>
      </c>
      <c r="AB248">
        <v>13</v>
      </c>
      <c r="AC248">
        <v>3</v>
      </c>
      <c r="AD248" t="str">
        <f t="shared" si="7"/>
        <v>Low Performance</v>
      </c>
      <c r="AE248">
        <v>3</v>
      </c>
      <c r="AF248">
        <v>80</v>
      </c>
      <c r="AG248">
        <v>1</v>
      </c>
      <c r="AH248">
        <v>2</v>
      </c>
      <c r="AI248">
        <v>2</v>
      </c>
      <c r="AJ248">
        <v>2</v>
      </c>
      <c r="AK248" t="str" cm="1">
        <f t="array" ref="AK248">_xlfn.IFS(AJ248&lt;=2,"Poor",AJ248&lt;=3,"Fair",AJ248&gt;3,"Good")</f>
        <v>Poor</v>
      </c>
      <c r="AL248">
        <v>2</v>
      </c>
      <c r="AM248">
        <v>2</v>
      </c>
      <c r="AN248">
        <v>0</v>
      </c>
      <c r="AO248">
        <v>2</v>
      </c>
    </row>
    <row r="249" spans="1:41" x14ac:dyDescent="0.2">
      <c r="A249">
        <v>1874724</v>
      </c>
      <c r="B249">
        <v>34</v>
      </c>
      <c r="C249" t="str" cm="1">
        <f t="array" ref="C249">_xlfn.IFS(B249&lt;=25,"15-25",B249&lt;=35,"26-35",B249&lt;=45,"36-45",B249&lt;=55,"46-55",B249&lt;=65,"56-65")</f>
        <v>26-35</v>
      </c>
      <c r="D249" t="s">
        <v>35</v>
      </c>
      <c r="E249" t="str">
        <f t="shared" si="6"/>
        <v>Current Employee</v>
      </c>
      <c r="F249" t="s">
        <v>36</v>
      </c>
      <c r="G249">
        <v>470</v>
      </c>
      <c r="H249" t="s">
        <v>54</v>
      </c>
      <c r="I249">
        <v>2</v>
      </c>
      <c r="J249">
        <v>4</v>
      </c>
      <c r="K249" t="s">
        <v>38</v>
      </c>
      <c r="L249">
        <v>1</v>
      </c>
      <c r="M249">
        <v>4</v>
      </c>
      <c r="N249" t="s">
        <v>46</v>
      </c>
      <c r="O249">
        <v>84</v>
      </c>
      <c r="P249">
        <v>2</v>
      </c>
      <c r="Q249">
        <v>2</v>
      </c>
      <c r="R249" t="s">
        <v>51</v>
      </c>
      <c r="S249">
        <v>1</v>
      </c>
      <c r="T249" t="str" cm="1">
        <f t="array" ref="T249">_xlfn.IFS(S249&lt;=2,"Poor",S249&lt;=3,"Fair",S249&gt;=4,"Good")</f>
        <v>Poor</v>
      </c>
      <c r="U249" t="s">
        <v>48</v>
      </c>
      <c r="V249" s="1">
        <v>5957</v>
      </c>
      <c r="W249" t="str" cm="1">
        <f t="array" ref="W249">_xlfn.IFS(V249&lt;=5000,"Low Salary",V249&lt;=12000,"Good Salary",V249&gt;12000,"High Salary")</f>
        <v>Good Salary</v>
      </c>
      <c r="X249">
        <v>23687</v>
      </c>
      <c r="Y249">
        <v>6</v>
      </c>
      <c r="Z249" t="s">
        <v>42</v>
      </c>
      <c r="AA249" t="s">
        <v>35</v>
      </c>
      <c r="AB249">
        <v>13</v>
      </c>
      <c r="AC249">
        <v>3</v>
      </c>
      <c r="AD249" t="str">
        <f t="shared" si="7"/>
        <v>Low Performance</v>
      </c>
      <c r="AE249">
        <v>2</v>
      </c>
      <c r="AF249">
        <v>80</v>
      </c>
      <c r="AG249">
        <v>1</v>
      </c>
      <c r="AH249">
        <v>13</v>
      </c>
      <c r="AI249">
        <v>3</v>
      </c>
      <c r="AJ249">
        <v>3</v>
      </c>
      <c r="AK249" t="str" cm="1">
        <f t="array" ref="AK249">_xlfn.IFS(AJ249&lt;=2,"Poor",AJ249&lt;=3,"Fair",AJ249&gt;3,"Good")</f>
        <v>Fair</v>
      </c>
      <c r="AL249">
        <v>11</v>
      </c>
      <c r="AM249">
        <v>9</v>
      </c>
      <c r="AN249">
        <v>5</v>
      </c>
      <c r="AO249">
        <v>9</v>
      </c>
    </row>
    <row r="250" spans="1:41" x14ac:dyDescent="0.2">
      <c r="A250">
        <v>1133458</v>
      </c>
      <c r="B250">
        <v>37</v>
      </c>
      <c r="C250" t="str" cm="1">
        <f t="array" ref="C250">_xlfn.IFS(B250&lt;=25,"15-25",B250&lt;=35,"26-35",B250&lt;=45,"36-45",B250&lt;=55,"46-55",B250&lt;=65,"56-65")</f>
        <v>36-45</v>
      </c>
      <c r="D250" t="s">
        <v>35</v>
      </c>
      <c r="E250" t="str">
        <f t="shared" si="6"/>
        <v>Current Employee</v>
      </c>
      <c r="F250" t="s">
        <v>36</v>
      </c>
      <c r="G250">
        <v>1017</v>
      </c>
      <c r="H250" t="s">
        <v>45</v>
      </c>
      <c r="I250">
        <v>1</v>
      </c>
      <c r="J250">
        <v>2</v>
      </c>
      <c r="K250" t="s">
        <v>49</v>
      </c>
      <c r="L250">
        <v>1</v>
      </c>
      <c r="M250">
        <v>3</v>
      </c>
      <c r="N250" t="s">
        <v>39</v>
      </c>
      <c r="O250">
        <v>83</v>
      </c>
      <c r="P250">
        <v>2</v>
      </c>
      <c r="Q250">
        <v>1</v>
      </c>
      <c r="R250" t="s">
        <v>47</v>
      </c>
      <c r="S250">
        <v>1</v>
      </c>
      <c r="T250" t="str" cm="1">
        <f t="array" ref="T250">_xlfn.IFS(S250&lt;=2,"Poor",S250&lt;=3,"Fair",S250&gt;=4,"Good")</f>
        <v>Poor</v>
      </c>
      <c r="U250" t="s">
        <v>48</v>
      </c>
      <c r="V250" s="1">
        <v>3920</v>
      </c>
      <c r="W250" t="str" cm="1">
        <f t="array" ref="W250">_xlfn.IFS(V250&lt;=5000,"Low Salary",V250&lt;=12000,"Good Salary",V250&gt;12000,"High Salary")</f>
        <v>Low Salary</v>
      </c>
      <c r="X250">
        <v>18697</v>
      </c>
      <c r="Y250">
        <v>2</v>
      </c>
      <c r="Z250" t="s">
        <v>42</v>
      </c>
      <c r="AA250" t="s">
        <v>35</v>
      </c>
      <c r="AB250">
        <v>14</v>
      </c>
      <c r="AC250">
        <v>3</v>
      </c>
      <c r="AD250" t="str">
        <f t="shared" si="7"/>
        <v>Low Performance</v>
      </c>
      <c r="AE250">
        <v>1</v>
      </c>
      <c r="AF250">
        <v>80</v>
      </c>
      <c r="AG250">
        <v>1</v>
      </c>
      <c r="AH250">
        <v>17</v>
      </c>
      <c r="AI250">
        <v>2</v>
      </c>
      <c r="AJ250">
        <v>2</v>
      </c>
      <c r="AK250" t="str" cm="1">
        <f t="array" ref="AK250">_xlfn.IFS(AJ250&lt;=2,"Poor",AJ250&lt;=3,"Fair",AJ250&gt;3,"Good")</f>
        <v>Poor</v>
      </c>
      <c r="AL250">
        <v>3</v>
      </c>
      <c r="AM250">
        <v>1</v>
      </c>
      <c r="AN250">
        <v>0</v>
      </c>
      <c r="AO250">
        <v>2</v>
      </c>
    </row>
    <row r="251" spans="1:41" x14ac:dyDescent="0.2">
      <c r="A251">
        <v>1213490</v>
      </c>
      <c r="B251">
        <v>45</v>
      </c>
      <c r="C251" t="str" cm="1">
        <f t="array" ref="C251">_xlfn.IFS(B251&lt;=25,"15-25",B251&lt;=35,"26-35",B251&lt;=45,"36-45",B251&lt;=55,"46-55",B251&lt;=65,"56-65")</f>
        <v>36-45</v>
      </c>
      <c r="D251" t="s">
        <v>35</v>
      </c>
      <c r="E251" t="str">
        <f t="shared" si="6"/>
        <v>Current Employee</v>
      </c>
      <c r="F251" t="s">
        <v>44</v>
      </c>
      <c r="G251">
        <v>1199</v>
      </c>
      <c r="H251" t="s">
        <v>54</v>
      </c>
      <c r="I251">
        <v>7</v>
      </c>
      <c r="J251">
        <v>4</v>
      </c>
      <c r="K251" t="s">
        <v>38</v>
      </c>
      <c r="L251">
        <v>1</v>
      </c>
      <c r="M251">
        <v>1</v>
      </c>
      <c r="N251" t="s">
        <v>46</v>
      </c>
      <c r="O251">
        <v>77</v>
      </c>
      <c r="P251">
        <v>4</v>
      </c>
      <c r="Q251">
        <v>2</v>
      </c>
      <c r="R251" t="s">
        <v>51</v>
      </c>
      <c r="S251">
        <v>3</v>
      </c>
      <c r="T251" t="str" cm="1">
        <f t="array" ref="T251">_xlfn.IFS(S251&lt;=2,"Poor",S251&lt;=3,"Fair",S251&gt;=4,"Good")</f>
        <v>Fair</v>
      </c>
      <c r="U251" t="s">
        <v>48</v>
      </c>
      <c r="V251" s="1">
        <v>6434</v>
      </c>
      <c r="W251" t="str" cm="1">
        <f t="array" ref="W251">_xlfn.IFS(V251&lt;=5000,"Low Salary",V251&lt;=12000,"Good Salary",V251&gt;12000,"High Salary")</f>
        <v>Good Salary</v>
      </c>
      <c r="X251">
        <v>5118</v>
      </c>
      <c r="Y251">
        <v>4</v>
      </c>
      <c r="Z251" t="s">
        <v>42</v>
      </c>
      <c r="AA251" t="s">
        <v>35</v>
      </c>
      <c r="AB251">
        <v>17</v>
      </c>
      <c r="AC251">
        <v>3</v>
      </c>
      <c r="AD251" t="str">
        <f t="shared" si="7"/>
        <v>Low Performance</v>
      </c>
      <c r="AE251">
        <v>4</v>
      </c>
      <c r="AF251">
        <v>80</v>
      </c>
      <c r="AG251">
        <v>1</v>
      </c>
      <c r="AH251">
        <v>9</v>
      </c>
      <c r="AI251">
        <v>1</v>
      </c>
      <c r="AJ251">
        <v>3</v>
      </c>
      <c r="AK251" t="str" cm="1">
        <f t="array" ref="AK251">_xlfn.IFS(AJ251&lt;=2,"Poor",AJ251&lt;=3,"Fair",AJ251&gt;3,"Good")</f>
        <v>Fair</v>
      </c>
      <c r="AL251">
        <v>3</v>
      </c>
      <c r="AM251">
        <v>2</v>
      </c>
      <c r="AN251">
        <v>0</v>
      </c>
      <c r="AO251">
        <v>2</v>
      </c>
    </row>
    <row r="252" spans="1:41" x14ac:dyDescent="0.2">
      <c r="A252">
        <v>1440072</v>
      </c>
      <c r="B252">
        <v>37</v>
      </c>
      <c r="C252" t="str" cm="1">
        <f t="array" ref="C252">_xlfn.IFS(B252&lt;=25,"15-25",B252&lt;=35,"26-35",B252&lt;=45,"36-45",B252&lt;=55,"46-55",B252&lt;=65,"56-65")</f>
        <v>36-45</v>
      </c>
      <c r="D252" t="s">
        <v>35</v>
      </c>
      <c r="E252" t="str">
        <f t="shared" si="6"/>
        <v>Current Employee</v>
      </c>
      <c r="F252" t="s">
        <v>44</v>
      </c>
      <c r="G252">
        <v>504</v>
      </c>
      <c r="H252" t="s">
        <v>45</v>
      </c>
      <c r="I252">
        <v>10</v>
      </c>
      <c r="J252">
        <v>3</v>
      </c>
      <c r="K252" t="s">
        <v>49</v>
      </c>
      <c r="L252">
        <v>1</v>
      </c>
      <c r="M252">
        <v>1</v>
      </c>
      <c r="N252" t="s">
        <v>46</v>
      </c>
      <c r="O252">
        <v>61</v>
      </c>
      <c r="P252">
        <v>3</v>
      </c>
      <c r="Q252">
        <v>3</v>
      </c>
      <c r="R252" t="s">
        <v>51</v>
      </c>
      <c r="S252">
        <v>3</v>
      </c>
      <c r="T252" t="str" cm="1">
        <f t="array" ref="T252">_xlfn.IFS(S252&lt;=2,"Poor",S252&lt;=3,"Fair",S252&gt;=4,"Good")</f>
        <v>Fair</v>
      </c>
      <c r="U252" t="s">
        <v>50</v>
      </c>
      <c r="V252" s="1">
        <v>10048</v>
      </c>
      <c r="W252" t="str" cm="1">
        <f t="array" ref="W252">_xlfn.IFS(V252&lt;=5000,"Low Salary",V252&lt;=12000,"Good Salary",V252&gt;12000,"High Salary")</f>
        <v>Good Salary</v>
      </c>
      <c r="X252">
        <v>22573</v>
      </c>
      <c r="Y252">
        <v>6</v>
      </c>
      <c r="Z252" t="s">
        <v>42</v>
      </c>
      <c r="AA252" t="s">
        <v>35</v>
      </c>
      <c r="AB252">
        <v>11</v>
      </c>
      <c r="AC252">
        <v>3</v>
      </c>
      <c r="AD252" t="str">
        <f t="shared" si="7"/>
        <v>Low Performance</v>
      </c>
      <c r="AE252">
        <v>2</v>
      </c>
      <c r="AF252">
        <v>80</v>
      </c>
      <c r="AG252">
        <v>2</v>
      </c>
      <c r="AH252">
        <v>17</v>
      </c>
      <c r="AI252">
        <v>5</v>
      </c>
      <c r="AJ252">
        <v>3</v>
      </c>
      <c r="AK252" t="str" cm="1">
        <f t="array" ref="AK252">_xlfn.IFS(AJ252&lt;=2,"Poor",AJ252&lt;=3,"Fair",AJ252&gt;3,"Good")</f>
        <v>Fair</v>
      </c>
      <c r="AL252">
        <v>1</v>
      </c>
      <c r="AM252">
        <v>0</v>
      </c>
      <c r="AN252">
        <v>0</v>
      </c>
      <c r="AO252">
        <v>0</v>
      </c>
    </row>
    <row r="253" spans="1:41" x14ac:dyDescent="0.2">
      <c r="A253">
        <v>1492815</v>
      </c>
      <c r="B253">
        <v>39</v>
      </c>
      <c r="C253" t="str" cm="1">
        <f t="array" ref="C253">_xlfn.IFS(B253&lt;=25,"15-25",B253&lt;=35,"26-35",B253&lt;=45,"36-45",B253&lt;=55,"46-55",B253&lt;=65,"56-65")</f>
        <v>36-45</v>
      </c>
      <c r="D253" t="s">
        <v>35</v>
      </c>
      <c r="E253" t="str">
        <f t="shared" si="6"/>
        <v>Current Employee</v>
      </c>
      <c r="F253" t="s">
        <v>44</v>
      </c>
      <c r="G253">
        <v>505</v>
      </c>
      <c r="H253" t="s">
        <v>45</v>
      </c>
      <c r="I253">
        <v>2</v>
      </c>
      <c r="J253">
        <v>4</v>
      </c>
      <c r="K253" t="s">
        <v>56</v>
      </c>
      <c r="L253">
        <v>1</v>
      </c>
      <c r="M253">
        <v>3</v>
      </c>
      <c r="N253" t="s">
        <v>39</v>
      </c>
      <c r="O253">
        <v>64</v>
      </c>
      <c r="P253">
        <v>3</v>
      </c>
      <c r="Q253">
        <v>3</v>
      </c>
      <c r="R253" t="s">
        <v>40</v>
      </c>
      <c r="S253">
        <v>3</v>
      </c>
      <c r="T253" t="str" cm="1">
        <f t="array" ref="T253">_xlfn.IFS(S253&lt;=2,"Poor",S253&lt;=3,"Fair",S253&gt;=4,"Good")</f>
        <v>Fair</v>
      </c>
      <c r="U253" t="s">
        <v>41</v>
      </c>
      <c r="V253" s="1">
        <v>10938</v>
      </c>
      <c r="W253" t="str" cm="1">
        <f t="array" ref="W253">_xlfn.IFS(V253&lt;=5000,"Low Salary",V253&lt;=12000,"Good Salary",V253&gt;12000,"High Salary")</f>
        <v>Good Salary</v>
      </c>
      <c r="X253">
        <v>6420</v>
      </c>
      <c r="Y253">
        <v>0</v>
      </c>
      <c r="Z253" t="s">
        <v>42</v>
      </c>
      <c r="AA253" t="s">
        <v>35</v>
      </c>
      <c r="AB253">
        <v>25</v>
      </c>
      <c r="AC253">
        <v>4</v>
      </c>
      <c r="AD253" t="str">
        <f t="shared" si="7"/>
        <v>High Performance</v>
      </c>
      <c r="AE253">
        <v>4</v>
      </c>
      <c r="AF253">
        <v>80</v>
      </c>
      <c r="AG253">
        <v>0</v>
      </c>
      <c r="AH253">
        <v>20</v>
      </c>
      <c r="AI253">
        <v>1</v>
      </c>
      <c r="AJ253">
        <v>3</v>
      </c>
      <c r="AK253" t="str" cm="1">
        <f t="array" ref="AK253">_xlfn.IFS(AJ253&lt;=2,"Poor",AJ253&lt;=3,"Fair",AJ253&gt;3,"Good")</f>
        <v>Fair</v>
      </c>
      <c r="AL253">
        <v>19</v>
      </c>
      <c r="AM253">
        <v>6</v>
      </c>
      <c r="AN253">
        <v>11</v>
      </c>
      <c r="AO253">
        <v>8</v>
      </c>
    </row>
    <row r="254" spans="1:41" x14ac:dyDescent="0.2">
      <c r="A254">
        <v>1322829</v>
      </c>
      <c r="B254">
        <v>29</v>
      </c>
      <c r="C254" t="str" cm="1">
        <f t="array" ref="C254">_xlfn.IFS(B254&lt;=25,"15-25",B254&lt;=35,"26-35",B254&lt;=45,"36-45",B254&lt;=55,"46-55",B254&lt;=65,"56-65")</f>
        <v>26-35</v>
      </c>
      <c r="D254" t="s">
        <v>35</v>
      </c>
      <c r="E254" t="str">
        <f t="shared" si="6"/>
        <v>Current Employee</v>
      </c>
      <c r="F254" t="s">
        <v>36</v>
      </c>
      <c r="G254">
        <v>665</v>
      </c>
      <c r="H254" t="s">
        <v>45</v>
      </c>
      <c r="I254">
        <v>15</v>
      </c>
      <c r="J254">
        <v>3</v>
      </c>
      <c r="K254" t="s">
        <v>38</v>
      </c>
      <c r="L254">
        <v>1</v>
      </c>
      <c r="M254">
        <v>3</v>
      </c>
      <c r="N254" t="s">
        <v>46</v>
      </c>
      <c r="O254">
        <v>60</v>
      </c>
      <c r="P254">
        <v>3</v>
      </c>
      <c r="Q254">
        <v>1</v>
      </c>
      <c r="R254" t="s">
        <v>47</v>
      </c>
      <c r="S254">
        <v>4</v>
      </c>
      <c r="T254" t="str" cm="1">
        <f t="array" ref="T254">_xlfn.IFS(S254&lt;=2,"Poor",S254&lt;=3,"Fair",S254&gt;=4,"Good")</f>
        <v>Good</v>
      </c>
      <c r="U254" t="s">
        <v>41</v>
      </c>
      <c r="V254" s="1">
        <v>2340</v>
      </c>
      <c r="W254" t="str" cm="1">
        <f t="array" ref="W254">_xlfn.IFS(V254&lt;=5000,"Low Salary",V254&lt;=12000,"Good Salary",V254&gt;12000,"High Salary")</f>
        <v>Low Salary</v>
      </c>
      <c r="X254">
        <v>22673</v>
      </c>
      <c r="Y254">
        <v>1</v>
      </c>
      <c r="Z254" t="s">
        <v>42</v>
      </c>
      <c r="AA254" t="s">
        <v>35</v>
      </c>
      <c r="AB254">
        <v>19</v>
      </c>
      <c r="AC254">
        <v>3</v>
      </c>
      <c r="AD254" t="str">
        <f t="shared" si="7"/>
        <v>Low Performance</v>
      </c>
      <c r="AE254">
        <v>1</v>
      </c>
      <c r="AF254">
        <v>80</v>
      </c>
      <c r="AG254">
        <v>0</v>
      </c>
      <c r="AH254">
        <v>6</v>
      </c>
      <c r="AI254">
        <v>1</v>
      </c>
      <c r="AJ254">
        <v>3</v>
      </c>
      <c r="AK254" t="str" cm="1">
        <f t="array" ref="AK254">_xlfn.IFS(AJ254&lt;=2,"Poor",AJ254&lt;=3,"Fair",AJ254&gt;3,"Good")</f>
        <v>Fair</v>
      </c>
      <c r="AL254">
        <v>6</v>
      </c>
      <c r="AM254">
        <v>5</v>
      </c>
      <c r="AN254">
        <v>1</v>
      </c>
      <c r="AO254">
        <v>5</v>
      </c>
    </row>
    <row r="255" spans="1:41" x14ac:dyDescent="0.2">
      <c r="A255">
        <v>1453272</v>
      </c>
      <c r="B255">
        <v>42</v>
      </c>
      <c r="C255" t="str" cm="1">
        <f t="array" ref="C255">_xlfn.IFS(B255&lt;=25,"15-25",B255&lt;=35,"26-35",B255&lt;=45,"36-45",B255&lt;=55,"46-55",B255&lt;=65,"56-65")</f>
        <v>36-45</v>
      </c>
      <c r="D255" t="s">
        <v>35</v>
      </c>
      <c r="E255" t="str">
        <f t="shared" si="6"/>
        <v>Current Employee</v>
      </c>
      <c r="F255" t="s">
        <v>36</v>
      </c>
      <c r="G255">
        <v>916</v>
      </c>
      <c r="H255" t="s">
        <v>45</v>
      </c>
      <c r="I255">
        <v>17</v>
      </c>
      <c r="J255">
        <v>2</v>
      </c>
      <c r="K255" t="s">
        <v>38</v>
      </c>
      <c r="L255">
        <v>1</v>
      </c>
      <c r="M255">
        <v>4</v>
      </c>
      <c r="N255" t="s">
        <v>39</v>
      </c>
      <c r="O255">
        <v>82</v>
      </c>
      <c r="P255">
        <v>4</v>
      </c>
      <c r="Q255">
        <v>2</v>
      </c>
      <c r="R255" t="s">
        <v>47</v>
      </c>
      <c r="S255">
        <v>1</v>
      </c>
      <c r="T255" t="str" cm="1">
        <f t="array" ref="T255">_xlfn.IFS(S255&lt;=2,"Poor",S255&lt;=3,"Fair",S255&gt;=4,"Good")</f>
        <v>Poor</v>
      </c>
      <c r="U255" t="s">
        <v>41</v>
      </c>
      <c r="V255" s="1">
        <v>6545</v>
      </c>
      <c r="W255" t="str" cm="1">
        <f t="array" ref="W255">_xlfn.IFS(V255&lt;=5000,"Low Salary",V255&lt;=12000,"Good Salary",V255&gt;12000,"High Salary")</f>
        <v>Good Salary</v>
      </c>
      <c r="X255">
        <v>23016</v>
      </c>
      <c r="Y255">
        <v>3</v>
      </c>
      <c r="Z255" t="s">
        <v>42</v>
      </c>
      <c r="AA255" t="s">
        <v>43</v>
      </c>
      <c r="AB255">
        <v>13</v>
      </c>
      <c r="AC255">
        <v>3</v>
      </c>
      <c r="AD255" t="str">
        <f t="shared" si="7"/>
        <v>Low Performance</v>
      </c>
      <c r="AE255">
        <v>3</v>
      </c>
      <c r="AF255">
        <v>80</v>
      </c>
      <c r="AG255">
        <v>0</v>
      </c>
      <c r="AH255">
        <v>10</v>
      </c>
      <c r="AI255">
        <v>1</v>
      </c>
      <c r="AJ255">
        <v>3</v>
      </c>
      <c r="AK255" t="str" cm="1">
        <f t="array" ref="AK255">_xlfn.IFS(AJ255&lt;=2,"Poor",AJ255&lt;=3,"Fair",AJ255&gt;3,"Good")</f>
        <v>Fair</v>
      </c>
      <c r="AL255">
        <v>3</v>
      </c>
      <c r="AM255">
        <v>2</v>
      </c>
      <c r="AN255">
        <v>0</v>
      </c>
      <c r="AO255">
        <v>2</v>
      </c>
    </row>
    <row r="256" spans="1:41" x14ac:dyDescent="0.2">
      <c r="A256">
        <v>1234458</v>
      </c>
      <c r="B256">
        <v>29</v>
      </c>
      <c r="C256" t="str" cm="1">
        <f t="array" ref="C256">_xlfn.IFS(B256&lt;=25,"15-25",B256&lt;=35,"26-35",B256&lt;=45,"36-45",B256&lt;=55,"46-55",B256&lt;=65,"56-65")</f>
        <v>26-35</v>
      </c>
      <c r="D256" t="s">
        <v>35</v>
      </c>
      <c r="E256" t="str">
        <f t="shared" si="6"/>
        <v>Current Employee</v>
      </c>
      <c r="F256" t="s">
        <v>36</v>
      </c>
      <c r="G256">
        <v>1247</v>
      </c>
      <c r="H256" t="s">
        <v>37</v>
      </c>
      <c r="I256">
        <v>20</v>
      </c>
      <c r="J256">
        <v>2</v>
      </c>
      <c r="K256" t="s">
        <v>55</v>
      </c>
      <c r="L256">
        <v>1</v>
      </c>
      <c r="M256">
        <v>4</v>
      </c>
      <c r="N256" t="s">
        <v>46</v>
      </c>
      <c r="O256">
        <v>45</v>
      </c>
      <c r="P256">
        <v>3</v>
      </c>
      <c r="Q256">
        <v>2</v>
      </c>
      <c r="R256" t="s">
        <v>40</v>
      </c>
      <c r="S256">
        <v>4</v>
      </c>
      <c r="T256" t="str" cm="1">
        <f t="array" ref="T256">_xlfn.IFS(S256&lt;=2,"Poor",S256&lt;=3,"Fair",S256&gt;=4,"Good")</f>
        <v>Good</v>
      </c>
      <c r="U256" t="s">
        <v>50</v>
      </c>
      <c r="V256" s="1">
        <v>6931</v>
      </c>
      <c r="W256" t="str" cm="1">
        <f t="array" ref="W256">_xlfn.IFS(V256&lt;=5000,"Low Salary",V256&lt;=12000,"Good Salary",V256&gt;12000,"High Salary")</f>
        <v>Good Salary</v>
      </c>
      <c r="X256">
        <v>10732</v>
      </c>
      <c r="Y256">
        <v>2</v>
      </c>
      <c r="Z256" t="s">
        <v>42</v>
      </c>
      <c r="AA256" t="s">
        <v>35</v>
      </c>
      <c r="AB256">
        <v>14</v>
      </c>
      <c r="AC256">
        <v>3</v>
      </c>
      <c r="AD256" t="str">
        <f t="shared" si="7"/>
        <v>Low Performance</v>
      </c>
      <c r="AE256">
        <v>4</v>
      </c>
      <c r="AF256">
        <v>80</v>
      </c>
      <c r="AG256">
        <v>1</v>
      </c>
      <c r="AH256">
        <v>10</v>
      </c>
      <c r="AI256">
        <v>2</v>
      </c>
      <c r="AJ256">
        <v>3</v>
      </c>
      <c r="AK256" t="str" cm="1">
        <f t="array" ref="AK256">_xlfn.IFS(AJ256&lt;=2,"Poor",AJ256&lt;=3,"Fair",AJ256&gt;3,"Good")</f>
        <v>Fair</v>
      </c>
      <c r="AL256">
        <v>3</v>
      </c>
      <c r="AM256">
        <v>2</v>
      </c>
      <c r="AN256">
        <v>0</v>
      </c>
      <c r="AO256">
        <v>2</v>
      </c>
    </row>
    <row r="257" spans="1:41" x14ac:dyDescent="0.2">
      <c r="A257">
        <v>1336242</v>
      </c>
      <c r="B257">
        <v>25</v>
      </c>
      <c r="C257" t="str" cm="1">
        <f t="array" ref="C257">_xlfn.IFS(B257&lt;=25,"15-25",B257&lt;=35,"26-35",B257&lt;=45,"36-45",B257&lt;=55,"46-55",B257&lt;=65,"56-65")</f>
        <v>15-25</v>
      </c>
      <c r="D257" t="s">
        <v>35</v>
      </c>
      <c r="E257" t="str">
        <f t="shared" si="6"/>
        <v>Current Employee</v>
      </c>
      <c r="F257" t="s">
        <v>36</v>
      </c>
      <c r="G257">
        <v>685</v>
      </c>
      <c r="H257" t="s">
        <v>54</v>
      </c>
      <c r="I257">
        <v>1</v>
      </c>
      <c r="J257">
        <v>3</v>
      </c>
      <c r="K257" t="s">
        <v>38</v>
      </c>
      <c r="L257">
        <v>1</v>
      </c>
      <c r="M257">
        <v>1</v>
      </c>
      <c r="N257" t="s">
        <v>39</v>
      </c>
      <c r="O257">
        <v>62</v>
      </c>
      <c r="P257">
        <v>3</v>
      </c>
      <c r="Q257">
        <v>2</v>
      </c>
      <c r="R257" t="s">
        <v>51</v>
      </c>
      <c r="S257">
        <v>3</v>
      </c>
      <c r="T257" t="str" cm="1">
        <f t="array" ref="T257">_xlfn.IFS(S257&lt;=2,"Poor",S257&lt;=3,"Fair",S257&gt;=4,"Good")</f>
        <v>Fair</v>
      </c>
      <c r="U257" t="s">
        <v>48</v>
      </c>
      <c r="V257" s="1">
        <v>4898</v>
      </c>
      <c r="W257" t="str" cm="1">
        <f t="array" ref="W257">_xlfn.IFS(V257&lt;=5000,"Low Salary",V257&lt;=12000,"Good Salary",V257&gt;12000,"High Salary")</f>
        <v>Low Salary</v>
      </c>
      <c r="X257">
        <v>7505</v>
      </c>
      <c r="Y257">
        <v>0</v>
      </c>
      <c r="Z257" t="s">
        <v>42</v>
      </c>
      <c r="AA257" t="s">
        <v>35</v>
      </c>
      <c r="AB257">
        <v>12</v>
      </c>
      <c r="AC257">
        <v>3</v>
      </c>
      <c r="AD257" t="str">
        <f t="shared" si="7"/>
        <v>Low Performance</v>
      </c>
      <c r="AE257">
        <v>4</v>
      </c>
      <c r="AF257">
        <v>80</v>
      </c>
      <c r="AG257">
        <v>2</v>
      </c>
      <c r="AH257">
        <v>5</v>
      </c>
      <c r="AI257">
        <v>3</v>
      </c>
      <c r="AJ257">
        <v>3</v>
      </c>
      <c r="AK257" t="str" cm="1">
        <f t="array" ref="AK257">_xlfn.IFS(AJ257&lt;=2,"Poor",AJ257&lt;=3,"Fair",AJ257&gt;3,"Good")</f>
        <v>Fair</v>
      </c>
      <c r="AL257">
        <v>4</v>
      </c>
      <c r="AM257">
        <v>2</v>
      </c>
      <c r="AN257">
        <v>1</v>
      </c>
      <c r="AO257">
        <v>2</v>
      </c>
    </row>
    <row r="258" spans="1:41" x14ac:dyDescent="0.2">
      <c r="A258">
        <v>1068917</v>
      </c>
      <c r="B258">
        <v>42</v>
      </c>
      <c r="C258" t="str" cm="1">
        <f t="array" ref="C258">_xlfn.IFS(B258&lt;=25,"15-25",B258&lt;=35,"26-35",B258&lt;=45,"36-45",B258&lt;=55,"46-55",B258&lt;=65,"56-65")</f>
        <v>36-45</v>
      </c>
      <c r="D258" t="s">
        <v>35</v>
      </c>
      <c r="E258" t="str">
        <f t="shared" si="6"/>
        <v>Current Employee</v>
      </c>
      <c r="F258" t="s">
        <v>36</v>
      </c>
      <c r="G258">
        <v>269</v>
      </c>
      <c r="H258" t="s">
        <v>45</v>
      </c>
      <c r="I258">
        <v>2</v>
      </c>
      <c r="J258">
        <v>3</v>
      </c>
      <c r="K258" t="s">
        <v>49</v>
      </c>
      <c r="L258">
        <v>1</v>
      </c>
      <c r="M258">
        <v>4</v>
      </c>
      <c r="N258" t="s">
        <v>39</v>
      </c>
      <c r="O258">
        <v>56</v>
      </c>
      <c r="P258">
        <v>2</v>
      </c>
      <c r="Q258">
        <v>1</v>
      </c>
      <c r="R258" t="s">
        <v>40</v>
      </c>
      <c r="S258">
        <v>1</v>
      </c>
      <c r="T258" t="str" cm="1">
        <f t="array" ref="T258">_xlfn.IFS(S258&lt;=2,"Poor",S258&lt;=3,"Fair",S258&gt;=4,"Good")</f>
        <v>Poor</v>
      </c>
      <c r="U258" t="s">
        <v>50</v>
      </c>
      <c r="V258" s="1">
        <v>2593</v>
      </c>
      <c r="W258" t="str" cm="1">
        <f t="array" ref="W258">_xlfn.IFS(V258&lt;=5000,"Low Salary",V258&lt;=12000,"Good Salary",V258&gt;12000,"High Salary")</f>
        <v>Low Salary</v>
      </c>
      <c r="X258">
        <v>8007</v>
      </c>
      <c r="Y258">
        <v>0</v>
      </c>
      <c r="Z258" t="s">
        <v>42</v>
      </c>
      <c r="AA258" t="s">
        <v>43</v>
      </c>
      <c r="AB258">
        <v>11</v>
      </c>
      <c r="AC258">
        <v>3</v>
      </c>
      <c r="AD258" t="str">
        <f t="shared" si="7"/>
        <v>Low Performance</v>
      </c>
      <c r="AE258">
        <v>3</v>
      </c>
      <c r="AF258">
        <v>80</v>
      </c>
      <c r="AG258">
        <v>1</v>
      </c>
      <c r="AH258">
        <v>10</v>
      </c>
      <c r="AI258">
        <v>4</v>
      </c>
      <c r="AJ258">
        <v>3</v>
      </c>
      <c r="AK258" t="str" cm="1">
        <f t="array" ref="AK258">_xlfn.IFS(AJ258&lt;=2,"Poor",AJ258&lt;=3,"Fair",AJ258&gt;3,"Good")</f>
        <v>Fair</v>
      </c>
      <c r="AL258">
        <v>9</v>
      </c>
      <c r="AM258">
        <v>6</v>
      </c>
      <c r="AN258">
        <v>7</v>
      </c>
      <c r="AO258">
        <v>8</v>
      </c>
    </row>
    <row r="259" spans="1:41" x14ac:dyDescent="0.2">
      <c r="A259">
        <v>1804073</v>
      </c>
      <c r="B259">
        <v>40</v>
      </c>
      <c r="C259" t="str" cm="1">
        <f t="array" ref="C259">_xlfn.IFS(B259&lt;=25,"15-25",B259&lt;=35,"26-35",B259&lt;=45,"36-45",B259&lt;=55,"46-55",B259&lt;=65,"56-65")</f>
        <v>36-45</v>
      </c>
      <c r="D259" t="s">
        <v>35</v>
      </c>
      <c r="E259" t="str">
        <f t="shared" ref="E259:E322" si="8">IF(D259="No","Current Employee","Former Employee")</f>
        <v>Current Employee</v>
      </c>
      <c r="F259" t="s">
        <v>36</v>
      </c>
      <c r="G259">
        <v>1416</v>
      </c>
      <c r="H259" t="s">
        <v>54</v>
      </c>
      <c r="I259">
        <v>2</v>
      </c>
      <c r="J259">
        <v>2</v>
      </c>
      <c r="K259" t="s">
        <v>49</v>
      </c>
      <c r="L259">
        <v>1</v>
      </c>
      <c r="M259">
        <v>1</v>
      </c>
      <c r="N259" t="s">
        <v>46</v>
      </c>
      <c r="O259">
        <v>49</v>
      </c>
      <c r="P259">
        <v>3</v>
      </c>
      <c r="Q259">
        <v>5</v>
      </c>
      <c r="R259" t="s">
        <v>47</v>
      </c>
      <c r="S259">
        <v>3</v>
      </c>
      <c r="T259" t="str" cm="1">
        <f t="array" ref="T259">_xlfn.IFS(S259&lt;=2,"Poor",S259&lt;=3,"Fair",S259&gt;=4,"Good")</f>
        <v>Fair</v>
      </c>
      <c r="U259" t="s">
        <v>50</v>
      </c>
      <c r="V259" s="1">
        <v>19436</v>
      </c>
      <c r="W259" t="str" cm="1">
        <f t="array" ref="W259">_xlfn.IFS(V259&lt;=5000,"Low Salary",V259&lt;=12000,"Good Salary",V259&gt;12000,"High Salary")</f>
        <v>High Salary</v>
      </c>
      <c r="X259">
        <v>5949</v>
      </c>
      <c r="Y259">
        <v>0</v>
      </c>
      <c r="Z259" t="s">
        <v>42</v>
      </c>
      <c r="AA259" t="s">
        <v>35</v>
      </c>
      <c r="AB259">
        <v>19</v>
      </c>
      <c r="AC259">
        <v>3</v>
      </c>
      <c r="AD259" t="str">
        <f t="shared" ref="AD259:AD322" si="9">IF(AC259&lt;=3,"Low Performance","High Performance")</f>
        <v>Low Performance</v>
      </c>
      <c r="AE259">
        <v>4</v>
      </c>
      <c r="AF259">
        <v>80</v>
      </c>
      <c r="AG259">
        <v>1</v>
      </c>
      <c r="AH259">
        <v>22</v>
      </c>
      <c r="AI259">
        <v>5</v>
      </c>
      <c r="AJ259">
        <v>3</v>
      </c>
      <c r="AK259" t="str" cm="1">
        <f t="array" ref="AK259">_xlfn.IFS(AJ259&lt;=2,"Poor",AJ259&lt;=3,"Fair",AJ259&gt;3,"Good")</f>
        <v>Fair</v>
      </c>
      <c r="AL259">
        <v>21</v>
      </c>
      <c r="AM259">
        <v>7</v>
      </c>
      <c r="AN259">
        <v>3</v>
      </c>
      <c r="AO259">
        <v>9</v>
      </c>
    </row>
    <row r="260" spans="1:41" x14ac:dyDescent="0.2">
      <c r="A260">
        <v>1435995</v>
      </c>
      <c r="B260">
        <v>51</v>
      </c>
      <c r="C260" t="str" cm="1">
        <f t="array" ref="C260">_xlfn.IFS(B260&lt;=25,"15-25",B260&lt;=35,"26-35",B260&lt;=45,"36-45",B260&lt;=55,"46-55",B260&lt;=65,"56-65")</f>
        <v>46-55</v>
      </c>
      <c r="D260" t="s">
        <v>35</v>
      </c>
      <c r="E260" t="str">
        <f t="shared" si="8"/>
        <v>Current Employee</v>
      </c>
      <c r="F260" t="s">
        <v>36</v>
      </c>
      <c r="G260">
        <v>833</v>
      </c>
      <c r="H260" t="s">
        <v>45</v>
      </c>
      <c r="I260">
        <v>1</v>
      </c>
      <c r="J260">
        <v>3</v>
      </c>
      <c r="K260" t="s">
        <v>38</v>
      </c>
      <c r="L260">
        <v>1</v>
      </c>
      <c r="M260">
        <v>3</v>
      </c>
      <c r="N260" t="s">
        <v>46</v>
      </c>
      <c r="O260">
        <v>96</v>
      </c>
      <c r="P260">
        <v>3</v>
      </c>
      <c r="Q260">
        <v>1</v>
      </c>
      <c r="R260" t="s">
        <v>47</v>
      </c>
      <c r="S260">
        <v>4</v>
      </c>
      <c r="T260" t="str" cm="1">
        <f t="array" ref="T260">_xlfn.IFS(S260&lt;=2,"Poor",S260&lt;=3,"Fair",S260&gt;=4,"Good")</f>
        <v>Good</v>
      </c>
      <c r="U260" t="s">
        <v>48</v>
      </c>
      <c r="V260" s="1">
        <v>2723</v>
      </c>
      <c r="W260" t="str" cm="1">
        <f t="array" ref="W260">_xlfn.IFS(V260&lt;=5000,"Low Salary",V260&lt;=12000,"Good Salary",V260&gt;12000,"High Salary")</f>
        <v>Low Salary</v>
      </c>
      <c r="X260">
        <v>23231</v>
      </c>
      <c r="Y260">
        <v>1</v>
      </c>
      <c r="Z260" t="s">
        <v>42</v>
      </c>
      <c r="AA260" t="s">
        <v>35</v>
      </c>
      <c r="AB260">
        <v>11</v>
      </c>
      <c r="AC260">
        <v>3</v>
      </c>
      <c r="AD260" t="str">
        <f t="shared" si="9"/>
        <v>Low Performance</v>
      </c>
      <c r="AE260">
        <v>2</v>
      </c>
      <c r="AF260">
        <v>80</v>
      </c>
      <c r="AG260">
        <v>0</v>
      </c>
      <c r="AH260">
        <v>1</v>
      </c>
      <c r="AI260">
        <v>0</v>
      </c>
      <c r="AJ260">
        <v>2</v>
      </c>
      <c r="AK260" t="str" cm="1">
        <f t="array" ref="AK260">_xlfn.IFS(AJ260&lt;=2,"Poor",AJ260&lt;=3,"Fair",AJ260&gt;3,"Good")</f>
        <v>Poor</v>
      </c>
      <c r="AL260">
        <v>1</v>
      </c>
      <c r="AM260">
        <v>0</v>
      </c>
      <c r="AN260">
        <v>0</v>
      </c>
      <c r="AO260">
        <v>0</v>
      </c>
    </row>
    <row r="261" spans="1:41" x14ac:dyDescent="0.2">
      <c r="A261">
        <v>1577501</v>
      </c>
      <c r="B261">
        <v>31</v>
      </c>
      <c r="C261" t="str" cm="1">
        <f t="array" ref="C261">_xlfn.IFS(B261&lt;=25,"15-25",B261&lt;=35,"26-35",B261&lt;=45,"36-45",B261&lt;=55,"46-55",B261&lt;=65,"56-65")</f>
        <v>26-35</v>
      </c>
      <c r="D261" t="s">
        <v>35</v>
      </c>
      <c r="E261" t="str">
        <f t="shared" si="8"/>
        <v>Current Employee</v>
      </c>
      <c r="F261" t="s">
        <v>44</v>
      </c>
      <c r="G261">
        <v>307</v>
      </c>
      <c r="H261" t="s">
        <v>45</v>
      </c>
      <c r="I261">
        <v>29</v>
      </c>
      <c r="J261">
        <v>2</v>
      </c>
      <c r="K261" t="s">
        <v>49</v>
      </c>
      <c r="L261">
        <v>1</v>
      </c>
      <c r="M261">
        <v>3</v>
      </c>
      <c r="N261" t="s">
        <v>46</v>
      </c>
      <c r="O261">
        <v>71</v>
      </c>
      <c r="P261">
        <v>2</v>
      </c>
      <c r="Q261">
        <v>1</v>
      </c>
      <c r="R261" t="s">
        <v>40</v>
      </c>
      <c r="S261">
        <v>2</v>
      </c>
      <c r="T261" t="str" cm="1">
        <f t="array" ref="T261">_xlfn.IFS(S261&lt;=2,"Poor",S261&lt;=3,"Fair",S261&gt;=4,"Good")</f>
        <v>Poor</v>
      </c>
      <c r="U261" t="s">
        <v>41</v>
      </c>
      <c r="V261" s="1">
        <v>3479</v>
      </c>
      <c r="W261" t="str" cm="1">
        <f t="array" ref="W261">_xlfn.IFS(V261&lt;=5000,"Low Salary",V261&lt;=12000,"Good Salary",V261&gt;12000,"High Salary")</f>
        <v>Low Salary</v>
      </c>
      <c r="X261">
        <v>11652</v>
      </c>
      <c r="Y261">
        <v>0</v>
      </c>
      <c r="Z261" t="s">
        <v>42</v>
      </c>
      <c r="AA261" t="s">
        <v>35</v>
      </c>
      <c r="AB261">
        <v>11</v>
      </c>
      <c r="AC261">
        <v>3</v>
      </c>
      <c r="AD261" t="str">
        <f t="shared" si="9"/>
        <v>Low Performance</v>
      </c>
      <c r="AE261">
        <v>2</v>
      </c>
      <c r="AF261">
        <v>80</v>
      </c>
      <c r="AG261">
        <v>0</v>
      </c>
      <c r="AH261">
        <v>6</v>
      </c>
      <c r="AI261">
        <v>2</v>
      </c>
      <c r="AJ261">
        <v>4</v>
      </c>
      <c r="AK261" t="str" cm="1">
        <f t="array" ref="AK261">_xlfn.IFS(AJ261&lt;=2,"Poor",AJ261&lt;=3,"Fair",AJ261&gt;3,"Good")</f>
        <v>Good</v>
      </c>
      <c r="AL261">
        <v>5</v>
      </c>
      <c r="AM261">
        <v>4</v>
      </c>
      <c r="AN261">
        <v>1</v>
      </c>
      <c r="AO261">
        <v>4</v>
      </c>
    </row>
    <row r="262" spans="1:41" x14ac:dyDescent="0.2">
      <c r="A262">
        <v>1075035</v>
      </c>
      <c r="B262">
        <v>32</v>
      </c>
      <c r="C262" t="str" cm="1">
        <f t="array" ref="C262">_xlfn.IFS(B262&lt;=25,"15-25",B262&lt;=35,"26-35",B262&lt;=45,"36-45",B262&lt;=55,"46-55",B262&lt;=65,"56-65")</f>
        <v>26-35</v>
      </c>
      <c r="D262" t="s">
        <v>35</v>
      </c>
      <c r="E262" t="str">
        <f t="shared" si="8"/>
        <v>Current Employee</v>
      </c>
      <c r="F262" t="s">
        <v>44</v>
      </c>
      <c r="G262">
        <v>1311</v>
      </c>
      <c r="H262" t="s">
        <v>45</v>
      </c>
      <c r="I262">
        <v>7</v>
      </c>
      <c r="J262">
        <v>3</v>
      </c>
      <c r="K262" t="s">
        <v>38</v>
      </c>
      <c r="L262">
        <v>1</v>
      </c>
      <c r="M262">
        <v>2</v>
      </c>
      <c r="N262" t="s">
        <v>46</v>
      </c>
      <c r="O262">
        <v>100</v>
      </c>
      <c r="P262">
        <v>4</v>
      </c>
      <c r="Q262">
        <v>1</v>
      </c>
      <c r="R262" t="s">
        <v>40</v>
      </c>
      <c r="S262">
        <v>2</v>
      </c>
      <c r="T262" t="str" cm="1">
        <f t="array" ref="T262">_xlfn.IFS(S262&lt;=2,"Poor",S262&lt;=3,"Fair",S262&gt;=4,"Good")</f>
        <v>Poor</v>
      </c>
      <c r="U262" t="s">
        <v>48</v>
      </c>
      <c r="V262" s="1">
        <v>2794</v>
      </c>
      <c r="W262" t="str" cm="1">
        <f t="array" ref="W262">_xlfn.IFS(V262&lt;=5000,"Low Salary",V262&lt;=12000,"Good Salary",V262&gt;12000,"High Salary")</f>
        <v>Low Salary</v>
      </c>
      <c r="X262">
        <v>26062</v>
      </c>
      <c r="Y262">
        <v>1</v>
      </c>
      <c r="Z262" t="s">
        <v>42</v>
      </c>
      <c r="AA262" t="s">
        <v>35</v>
      </c>
      <c r="AB262">
        <v>20</v>
      </c>
      <c r="AC262">
        <v>4</v>
      </c>
      <c r="AD262" t="str">
        <f t="shared" si="9"/>
        <v>High Performance</v>
      </c>
      <c r="AE262">
        <v>3</v>
      </c>
      <c r="AF262">
        <v>80</v>
      </c>
      <c r="AG262">
        <v>0</v>
      </c>
      <c r="AH262">
        <v>5</v>
      </c>
      <c r="AI262">
        <v>3</v>
      </c>
      <c r="AJ262">
        <v>1</v>
      </c>
      <c r="AK262" t="str" cm="1">
        <f t="array" ref="AK262">_xlfn.IFS(AJ262&lt;=2,"Poor",AJ262&lt;=3,"Fair",AJ262&gt;3,"Good")</f>
        <v>Poor</v>
      </c>
      <c r="AL262">
        <v>5</v>
      </c>
      <c r="AM262">
        <v>1</v>
      </c>
      <c r="AN262">
        <v>0</v>
      </c>
      <c r="AO262">
        <v>3</v>
      </c>
    </row>
    <row r="263" spans="1:41" x14ac:dyDescent="0.2">
      <c r="A263">
        <v>1520532</v>
      </c>
      <c r="B263">
        <v>38</v>
      </c>
      <c r="C263" t="str" cm="1">
        <f t="array" ref="C263">_xlfn.IFS(B263&lt;=25,"15-25",B263&lt;=35,"26-35",B263&lt;=45,"36-45",B263&lt;=55,"46-55",B263&lt;=65,"56-65")</f>
        <v>36-45</v>
      </c>
      <c r="D263" t="s">
        <v>35</v>
      </c>
      <c r="E263" t="str">
        <f t="shared" si="8"/>
        <v>Current Employee</v>
      </c>
      <c r="F263" t="s">
        <v>52</v>
      </c>
      <c r="G263">
        <v>1327</v>
      </c>
      <c r="H263" t="s">
        <v>37</v>
      </c>
      <c r="I263">
        <v>2</v>
      </c>
      <c r="J263">
        <v>2</v>
      </c>
      <c r="K263" t="s">
        <v>38</v>
      </c>
      <c r="L263">
        <v>1</v>
      </c>
      <c r="M263">
        <v>4</v>
      </c>
      <c r="N263" t="s">
        <v>46</v>
      </c>
      <c r="O263">
        <v>39</v>
      </c>
      <c r="P263">
        <v>2</v>
      </c>
      <c r="Q263">
        <v>2</v>
      </c>
      <c r="R263" t="s">
        <v>40</v>
      </c>
      <c r="S263">
        <v>4</v>
      </c>
      <c r="T263" t="str" cm="1">
        <f t="array" ref="T263">_xlfn.IFS(S263&lt;=2,"Poor",S263&lt;=3,"Fair",S263&gt;=4,"Good")</f>
        <v>Good</v>
      </c>
      <c r="U263" t="s">
        <v>48</v>
      </c>
      <c r="V263" s="1">
        <v>5249</v>
      </c>
      <c r="W263" t="str" cm="1">
        <f t="array" ref="W263">_xlfn.IFS(V263&lt;=5000,"Low Salary",V263&lt;=12000,"Good Salary",V263&gt;12000,"High Salary")</f>
        <v>Good Salary</v>
      </c>
      <c r="X263">
        <v>19682</v>
      </c>
      <c r="Y263">
        <v>3</v>
      </c>
      <c r="Z263" t="s">
        <v>42</v>
      </c>
      <c r="AA263" t="s">
        <v>35</v>
      </c>
      <c r="AB263">
        <v>18</v>
      </c>
      <c r="AC263">
        <v>3</v>
      </c>
      <c r="AD263" t="str">
        <f t="shared" si="9"/>
        <v>Low Performance</v>
      </c>
      <c r="AE263">
        <v>4</v>
      </c>
      <c r="AF263">
        <v>80</v>
      </c>
      <c r="AG263">
        <v>1</v>
      </c>
      <c r="AH263">
        <v>13</v>
      </c>
      <c r="AI263">
        <v>0</v>
      </c>
      <c r="AJ263">
        <v>3</v>
      </c>
      <c r="AK263" t="str" cm="1">
        <f t="array" ref="AK263">_xlfn.IFS(AJ263&lt;=2,"Poor",AJ263&lt;=3,"Fair",AJ263&gt;3,"Good")</f>
        <v>Fair</v>
      </c>
      <c r="AL263">
        <v>8</v>
      </c>
      <c r="AM263">
        <v>7</v>
      </c>
      <c r="AN263">
        <v>7</v>
      </c>
      <c r="AO263">
        <v>5</v>
      </c>
    </row>
    <row r="264" spans="1:41" x14ac:dyDescent="0.2">
      <c r="A264">
        <v>1593179</v>
      </c>
      <c r="B264">
        <v>32</v>
      </c>
      <c r="C264" t="str" cm="1">
        <f t="array" ref="C264">_xlfn.IFS(B264&lt;=25,"15-25",B264&lt;=35,"26-35",B264&lt;=45,"36-45",B264&lt;=55,"46-55",B264&lt;=65,"56-65")</f>
        <v>26-35</v>
      </c>
      <c r="D264" t="s">
        <v>35</v>
      </c>
      <c r="E264" t="str">
        <f t="shared" si="8"/>
        <v>Current Employee</v>
      </c>
      <c r="F264" t="s">
        <v>36</v>
      </c>
      <c r="G264">
        <v>128</v>
      </c>
      <c r="H264" t="s">
        <v>45</v>
      </c>
      <c r="I264">
        <v>2</v>
      </c>
      <c r="J264">
        <v>1</v>
      </c>
      <c r="K264" t="s">
        <v>56</v>
      </c>
      <c r="L264">
        <v>1</v>
      </c>
      <c r="M264">
        <v>4</v>
      </c>
      <c r="N264" t="s">
        <v>46</v>
      </c>
      <c r="O264">
        <v>84</v>
      </c>
      <c r="P264">
        <v>2</v>
      </c>
      <c r="Q264">
        <v>2</v>
      </c>
      <c r="R264" t="s">
        <v>40</v>
      </c>
      <c r="S264">
        <v>1</v>
      </c>
      <c r="T264" t="str" cm="1">
        <f t="array" ref="T264">_xlfn.IFS(S264&lt;=2,"Poor",S264&lt;=3,"Fair",S264&gt;=4,"Good")</f>
        <v>Poor</v>
      </c>
      <c r="U264" t="s">
        <v>41</v>
      </c>
      <c r="V264" s="1">
        <v>2176</v>
      </c>
      <c r="W264" t="str" cm="1">
        <f t="array" ref="W264">_xlfn.IFS(V264&lt;=5000,"Low Salary",V264&lt;=12000,"Good Salary",V264&gt;12000,"High Salary")</f>
        <v>Low Salary</v>
      </c>
      <c r="X264">
        <v>19737</v>
      </c>
      <c r="Y264">
        <v>4</v>
      </c>
      <c r="Z264" t="s">
        <v>42</v>
      </c>
      <c r="AA264" t="s">
        <v>35</v>
      </c>
      <c r="AB264">
        <v>13</v>
      </c>
      <c r="AC264">
        <v>3</v>
      </c>
      <c r="AD264" t="str">
        <f t="shared" si="9"/>
        <v>Low Performance</v>
      </c>
      <c r="AE264">
        <v>4</v>
      </c>
      <c r="AF264">
        <v>80</v>
      </c>
      <c r="AG264">
        <v>0</v>
      </c>
      <c r="AH264">
        <v>9</v>
      </c>
      <c r="AI264">
        <v>5</v>
      </c>
      <c r="AJ264">
        <v>3</v>
      </c>
      <c r="AK264" t="str" cm="1">
        <f t="array" ref="AK264">_xlfn.IFS(AJ264&lt;=2,"Poor",AJ264&lt;=3,"Fair",AJ264&gt;3,"Good")</f>
        <v>Fair</v>
      </c>
      <c r="AL264">
        <v>6</v>
      </c>
      <c r="AM264">
        <v>2</v>
      </c>
      <c r="AN264">
        <v>0</v>
      </c>
      <c r="AO264">
        <v>4</v>
      </c>
    </row>
    <row r="265" spans="1:41" x14ac:dyDescent="0.2">
      <c r="A265">
        <v>1244300</v>
      </c>
      <c r="B265">
        <v>46</v>
      </c>
      <c r="C265" t="str" cm="1">
        <f t="array" ref="C265">_xlfn.IFS(B265&lt;=25,"15-25",B265&lt;=35,"26-35",B265&lt;=45,"36-45",B265&lt;=55,"46-55",B265&lt;=65,"56-65")</f>
        <v>46-55</v>
      </c>
      <c r="D265" t="s">
        <v>35</v>
      </c>
      <c r="E265" t="str">
        <f t="shared" si="8"/>
        <v>Current Employee</v>
      </c>
      <c r="F265" t="s">
        <v>36</v>
      </c>
      <c r="G265">
        <v>488</v>
      </c>
      <c r="H265" t="s">
        <v>37</v>
      </c>
      <c r="I265">
        <v>2</v>
      </c>
      <c r="J265">
        <v>3</v>
      </c>
      <c r="K265" t="s">
        <v>56</v>
      </c>
      <c r="L265">
        <v>1</v>
      </c>
      <c r="M265">
        <v>3</v>
      </c>
      <c r="N265" t="s">
        <v>39</v>
      </c>
      <c r="O265">
        <v>75</v>
      </c>
      <c r="P265">
        <v>1</v>
      </c>
      <c r="Q265">
        <v>4</v>
      </c>
      <c r="R265" t="s">
        <v>53</v>
      </c>
      <c r="S265">
        <v>2</v>
      </c>
      <c r="T265" t="str" cm="1">
        <f t="array" ref="T265">_xlfn.IFS(S265&lt;=2,"Poor",S265&lt;=3,"Fair",S265&gt;=4,"Good")</f>
        <v>Poor</v>
      </c>
      <c r="U265" t="s">
        <v>48</v>
      </c>
      <c r="V265" s="1">
        <v>16872</v>
      </c>
      <c r="W265" t="str" cm="1">
        <f t="array" ref="W265">_xlfn.IFS(V265&lt;=5000,"Low Salary",V265&lt;=12000,"Good Salary",V265&gt;12000,"High Salary")</f>
        <v>High Salary</v>
      </c>
      <c r="X265">
        <v>14977</v>
      </c>
      <c r="Y265">
        <v>3</v>
      </c>
      <c r="Z265" t="s">
        <v>42</v>
      </c>
      <c r="AA265" t="s">
        <v>43</v>
      </c>
      <c r="AB265">
        <v>12</v>
      </c>
      <c r="AC265">
        <v>3</v>
      </c>
      <c r="AD265" t="str">
        <f t="shared" si="9"/>
        <v>Low Performance</v>
      </c>
      <c r="AE265">
        <v>2</v>
      </c>
      <c r="AF265">
        <v>80</v>
      </c>
      <c r="AG265">
        <v>1</v>
      </c>
      <c r="AH265">
        <v>28</v>
      </c>
      <c r="AI265">
        <v>2</v>
      </c>
      <c r="AJ265">
        <v>2</v>
      </c>
      <c r="AK265" t="str" cm="1">
        <f t="array" ref="AK265">_xlfn.IFS(AJ265&lt;=2,"Poor",AJ265&lt;=3,"Fair",AJ265&gt;3,"Good")</f>
        <v>Poor</v>
      </c>
      <c r="AL265">
        <v>7</v>
      </c>
      <c r="AM265">
        <v>7</v>
      </c>
      <c r="AN265">
        <v>7</v>
      </c>
      <c r="AO265">
        <v>7</v>
      </c>
    </row>
    <row r="266" spans="1:41" x14ac:dyDescent="0.2">
      <c r="A266">
        <v>1622255</v>
      </c>
      <c r="B266">
        <v>28</v>
      </c>
      <c r="C266" t="str" cm="1">
        <f t="array" ref="C266">_xlfn.IFS(B266&lt;=25,"15-25",B266&lt;=35,"26-35",B266&lt;=45,"36-45",B266&lt;=55,"46-55",B266&lt;=65,"56-65")</f>
        <v>26-35</v>
      </c>
      <c r="D266" t="s">
        <v>43</v>
      </c>
      <c r="E266" t="str">
        <f t="shared" si="8"/>
        <v>Former Employee</v>
      </c>
      <c r="F266" t="s">
        <v>36</v>
      </c>
      <c r="G266">
        <v>529</v>
      </c>
      <c r="H266" t="s">
        <v>45</v>
      </c>
      <c r="I266">
        <v>2</v>
      </c>
      <c r="J266">
        <v>4</v>
      </c>
      <c r="K266" t="s">
        <v>38</v>
      </c>
      <c r="L266">
        <v>1</v>
      </c>
      <c r="M266">
        <v>1</v>
      </c>
      <c r="N266" t="s">
        <v>46</v>
      </c>
      <c r="O266">
        <v>79</v>
      </c>
      <c r="P266">
        <v>3</v>
      </c>
      <c r="Q266">
        <v>1</v>
      </c>
      <c r="R266" t="s">
        <v>40</v>
      </c>
      <c r="S266">
        <v>3</v>
      </c>
      <c r="T266" t="str" cm="1">
        <f t="array" ref="T266">_xlfn.IFS(S266&lt;=2,"Poor",S266&lt;=3,"Fair",S266&gt;=4,"Good")</f>
        <v>Fair</v>
      </c>
      <c r="U266" t="s">
        <v>41</v>
      </c>
      <c r="V266" s="1">
        <v>3485</v>
      </c>
      <c r="W266" t="str" cm="1">
        <f t="array" ref="W266">_xlfn.IFS(V266&lt;=5000,"Low Salary",V266&lt;=12000,"Good Salary",V266&gt;12000,"High Salary")</f>
        <v>Low Salary</v>
      </c>
      <c r="X266">
        <v>14935</v>
      </c>
      <c r="Y266">
        <v>2</v>
      </c>
      <c r="Z266" t="s">
        <v>42</v>
      </c>
      <c r="AA266" t="s">
        <v>35</v>
      </c>
      <c r="AB266">
        <v>11</v>
      </c>
      <c r="AC266">
        <v>3</v>
      </c>
      <c r="AD266" t="str">
        <f t="shared" si="9"/>
        <v>Low Performance</v>
      </c>
      <c r="AE266">
        <v>3</v>
      </c>
      <c r="AF266">
        <v>80</v>
      </c>
      <c r="AG266">
        <v>0</v>
      </c>
      <c r="AH266">
        <v>5</v>
      </c>
      <c r="AI266">
        <v>5</v>
      </c>
      <c r="AJ266">
        <v>1</v>
      </c>
      <c r="AK266" t="str" cm="1">
        <f t="array" ref="AK266">_xlfn.IFS(AJ266&lt;=2,"Poor",AJ266&lt;=3,"Fair",AJ266&gt;3,"Good")</f>
        <v>Poor</v>
      </c>
      <c r="AL266">
        <v>0</v>
      </c>
      <c r="AM266">
        <v>0</v>
      </c>
      <c r="AN266">
        <v>0</v>
      </c>
      <c r="AO266">
        <v>0</v>
      </c>
    </row>
    <row r="267" spans="1:41" x14ac:dyDescent="0.2">
      <c r="A267">
        <v>1662066</v>
      </c>
      <c r="B267">
        <v>29</v>
      </c>
      <c r="C267" t="str" cm="1">
        <f t="array" ref="C267">_xlfn.IFS(B267&lt;=25,"15-25",B267&lt;=35,"26-35",B267&lt;=45,"36-45",B267&lt;=55,"46-55",B267&lt;=65,"56-65")</f>
        <v>26-35</v>
      </c>
      <c r="D267" t="s">
        <v>35</v>
      </c>
      <c r="E267" t="str">
        <f t="shared" si="8"/>
        <v>Current Employee</v>
      </c>
      <c r="F267" t="s">
        <v>36</v>
      </c>
      <c r="G267">
        <v>1210</v>
      </c>
      <c r="H267" t="s">
        <v>37</v>
      </c>
      <c r="I267">
        <v>2</v>
      </c>
      <c r="J267">
        <v>3</v>
      </c>
      <c r="K267" t="s">
        <v>49</v>
      </c>
      <c r="L267">
        <v>1</v>
      </c>
      <c r="M267">
        <v>1</v>
      </c>
      <c r="N267" t="s">
        <v>46</v>
      </c>
      <c r="O267">
        <v>78</v>
      </c>
      <c r="P267">
        <v>2</v>
      </c>
      <c r="Q267">
        <v>2</v>
      </c>
      <c r="R267" t="s">
        <v>40</v>
      </c>
      <c r="S267">
        <v>2</v>
      </c>
      <c r="T267" t="str" cm="1">
        <f t="array" ref="T267">_xlfn.IFS(S267&lt;=2,"Poor",S267&lt;=3,"Fair",S267&gt;=4,"Good")</f>
        <v>Poor</v>
      </c>
      <c r="U267" t="s">
        <v>48</v>
      </c>
      <c r="V267" s="1">
        <v>6644</v>
      </c>
      <c r="W267" t="str" cm="1">
        <f t="array" ref="W267">_xlfn.IFS(V267&lt;=5000,"Low Salary",V267&lt;=12000,"Good Salary",V267&gt;12000,"High Salary")</f>
        <v>Good Salary</v>
      </c>
      <c r="X267">
        <v>3687</v>
      </c>
      <c r="Y267">
        <v>2</v>
      </c>
      <c r="Z267" t="s">
        <v>42</v>
      </c>
      <c r="AA267" t="s">
        <v>35</v>
      </c>
      <c r="AB267">
        <v>19</v>
      </c>
      <c r="AC267">
        <v>3</v>
      </c>
      <c r="AD267" t="str">
        <f t="shared" si="9"/>
        <v>Low Performance</v>
      </c>
      <c r="AE267">
        <v>2</v>
      </c>
      <c r="AF267">
        <v>80</v>
      </c>
      <c r="AG267">
        <v>2</v>
      </c>
      <c r="AH267">
        <v>10</v>
      </c>
      <c r="AI267">
        <v>2</v>
      </c>
      <c r="AJ267">
        <v>3</v>
      </c>
      <c r="AK267" t="str" cm="1">
        <f t="array" ref="AK267">_xlfn.IFS(AJ267&lt;=2,"Poor",AJ267&lt;=3,"Fair",AJ267&gt;3,"Good")</f>
        <v>Fair</v>
      </c>
      <c r="AL267">
        <v>0</v>
      </c>
      <c r="AM267">
        <v>0</v>
      </c>
      <c r="AN267">
        <v>0</v>
      </c>
      <c r="AO267">
        <v>0</v>
      </c>
    </row>
    <row r="268" spans="1:41" x14ac:dyDescent="0.2">
      <c r="A268">
        <v>1247928</v>
      </c>
      <c r="B268">
        <v>31</v>
      </c>
      <c r="C268" t="str" cm="1">
        <f t="array" ref="C268">_xlfn.IFS(B268&lt;=25,"15-25",B268&lt;=35,"26-35",B268&lt;=45,"36-45",B268&lt;=55,"46-55",B268&lt;=65,"56-65")</f>
        <v>26-35</v>
      </c>
      <c r="D268" t="s">
        <v>35</v>
      </c>
      <c r="E268" t="str">
        <f t="shared" si="8"/>
        <v>Current Employee</v>
      </c>
      <c r="F268" t="s">
        <v>36</v>
      </c>
      <c r="G268">
        <v>1463</v>
      </c>
      <c r="H268" t="s">
        <v>45</v>
      </c>
      <c r="I268">
        <v>23</v>
      </c>
      <c r="J268">
        <v>3</v>
      </c>
      <c r="K268" t="s">
        <v>49</v>
      </c>
      <c r="L268">
        <v>1</v>
      </c>
      <c r="M268">
        <v>2</v>
      </c>
      <c r="N268" t="s">
        <v>46</v>
      </c>
      <c r="O268">
        <v>64</v>
      </c>
      <c r="P268">
        <v>2</v>
      </c>
      <c r="Q268">
        <v>2</v>
      </c>
      <c r="R268" t="s">
        <v>40</v>
      </c>
      <c r="S268">
        <v>4</v>
      </c>
      <c r="T268" t="str" cm="1">
        <f t="array" ref="T268">_xlfn.IFS(S268&lt;=2,"Poor",S268&lt;=3,"Fair",S268&gt;=4,"Good")</f>
        <v>Good</v>
      </c>
      <c r="U268" t="s">
        <v>48</v>
      </c>
      <c r="V268" s="1">
        <v>5582</v>
      </c>
      <c r="W268" t="str" cm="1">
        <f t="array" ref="W268">_xlfn.IFS(V268&lt;=5000,"Low Salary",V268&lt;=12000,"Good Salary",V268&gt;12000,"High Salary")</f>
        <v>Good Salary</v>
      </c>
      <c r="X268">
        <v>14408</v>
      </c>
      <c r="Y268">
        <v>0</v>
      </c>
      <c r="Z268" t="s">
        <v>42</v>
      </c>
      <c r="AA268" t="s">
        <v>35</v>
      </c>
      <c r="AB268">
        <v>21</v>
      </c>
      <c r="AC268">
        <v>4</v>
      </c>
      <c r="AD268" t="str">
        <f t="shared" si="9"/>
        <v>High Performance</v>
      </c>
      <c r="AE268">
        <v>2</v>
      </c>
      <c r="AF268">
        <v>80</v>
      </c>
      <c r="AG268">
        <v>1</v>
      </c>
      <c r="AH268">
        <v>10</v>
      </c>
      <c r="AI268">
        <v>2</v>
      </c>
      <c r="AJ268">
        <v>3</v>
      </c>
      <c r="AK268" t="str" cm="1">
        <f t="array" ref="AK268">_xlfn.IFS(AJ268&lt;=2,"Poor",AJ268&lt;=3,"Fair",AJ268&gt;3,"Good")</f>
        <v>Fair</v>
      </c>
      <c r="AL268">
        <v>9</v>
      </c>
      <c r="AM268">
        <v>0</v>
      </c>
      <c r="AN268">
        <v>7</v>
      </c>
      <c r="AO268">
        <v>8</v>
      </c>
    </row>
    <row r="269" spans="1:41" x14ac:dyDescent="0.2">
      <c r="A269">
        <v>1087213</v>
      </c>
      <c r="B269">
        <v>25</v>
      </c>
      <c r="C269" t="str" cm="1">
        <f t="array" ref="C269">_xlfn.IFS(B269&lt;=25,"15-25",B269&lt;=35,"26-35",B269&lt;=45,"36-45",B269&lt;=55,"46-55",B269&lt;=65,"56-65")</f>
        <v>15-25</v>
      </c>
      <c r="D269" t="s">
        <v>35</v>
      </c>
      <c r="E269" t="str">
        <f t="shared" si="8"/>
        <v>Current Employee</v>
      </c>
      <c r="F269" t="s">
        <v>52</v>
      </c>
      <c r="G269">
        <v>675</v>
      </c>
      <c r="H269" t="s">
        <v>45</v>
      </c>
      <c r="I269">
        <v>5</v>
      </c>
      <c r="J269">
        <v>2</v>
      </c>
      <c r="K269" t="s">
        <v>38</v>
      </c>
      <c r="L269">
        <v>1</v>
      </c>
      <c r="M269">
        <v>2</v>
      </c>
      <c r="N269" t="s">
        <v>46</v>
      </c>
      <c r="O269">
        <v>85</v>
      </c>
      <c r="P269">
        <v>4</v>
      </c>
      <c r="Q269">
        <v>2</v>
      </c>
      <c r="R269" t="s">
        <v>40</v>
      </c>
      <c r="S269">
        <v>1</v>
      </c>
      <c r="T269" t="str" cm="1">
        <f t="array" ref="T269">_xlfn.IFS(S269&lt;=2,"Poor",S269&lt;=3,"Fair",S269&gt;=4,"Good")</f>
        <v>Poor</v>
      </c>
      <c r="U269" t="s">
        <v>50</v>
      </c>
      <c r="V269" s="1">
        <v>4000</v>
      </c>
      <c r="W269" t="str" cm="1">
        <f t="array" ref="W269">_xlfn.IFS(V269&lt;=5000,"Low Salary",V269&lt;=12000,"Good Salary",V269&gt;12000,"High Salary")</f>
        <v>Low Salary</v>
      </c>
      <c r="X269">
        <v>18384</v>
      </c>
      <c r="Y269">
        <v>1</v>
      </c>
      <c r="Z269" t="s">
        <v>42</v>
      </c>
      <c r="AA269" t="s">
        <v>35</v>
      </c>
      <c r="AB269">
        <v>12</v>
      </c>
      <c r="AC269">
        <v>3</v>
      </c>
      <c r="AD269" t="str">
        <f t="shared" si="9"/>
        <v>Low Performance</v>
      </c>
      <c r="AE269">
        <v>4</v>
      </c>
      <c r="AF269">
        <v>80</v>
      </c>
      <c r="AG269">
        <v>2</v>
      </c>
      <c r="AH269">
        <v>6</v>
      </c>
      <c r="AI269">
        <v>2</v>
      </c>
      <c r="AJ269">
        <v>3</v>
      </c>
      <c r="AK269" t="str" cm="1">
        <f t="array" ref="AK269">_xlfn.IFS(AJ269&lt;=2,"Poor",AJ269&lt;=3,"Fair",AJ269&gt;3,"Good")</f>
        <v>Fair</v>
      </c>
      <c r="AL269">
        <v>6</v>
      </c>
      <c r="AM269">
        <v>3</v>
      </c>
      <c r="AN269">
        <v>1</v>
      </c>
      <c r="AO269">
        <v>5</v>
      </c>
    </row>
    <row r="270" spans="1:41" x14ac:dyDescent="0.2">
      <c r="A270">
        <v>1269016</v>
      </c>
      <c r="B270">
        <v>45</v>
      </c>
      <c r="C270" t="str" cm="1">
        <f t="array" ref="C270">_xlfn.IFS(B270&lt;=25,"15-25",B270&lt;=35,"26-35",B270&lt;=45,"36-45",B270&lt;=55,"46-55",B270&lt;=65,"56-65")</f>
        <v>36-45</v>
      </c>
      <c r="D270" t="s">
        <v>35</v>
      </c>
      <c r="E270" t="str">
        <f t="shared" si="8"/>
        <v>Current Employee</v>
      </c>
      <c r="F270" t="s">
        <v>36</v>
      </c>
      <c r="G270">
        <v>1385</v>
      </c>
      <c r="H270" t="s">
        <v>45</v>
      </c>
      <c r="I270">
        <v>20</v>
      </c>
      <c r="J270">
        <v>2</v>
      </c>
      <c r="K270" t="s">
        <v>49</v>
      </c>
      <c r="L270">
        <v>1</v>
      </c>
      <c r="M270">
        <v>3</v>
      </c>
      <c r="N270" t="s">
        <v>46</v>
      </c>
      <c r="O270">
        <v>79</v>
      </c>
      <c r="P270">
        <v>3</v>
      </c>
      <c r="Q270">
        <v>4</v>
      </c>
      <c r="R270" t="s">
        <v>40</v>
      </c>
      <c r="S270">
        <v>4</v>
      </c>
      <c r="T270" t="str" cm="1">
        <f t="array" ref="T270">_xlfn.IFS(S270&lt;=2,"Poor",S270&lt;=3,"Fair",S270&gt;=4,"Good")</f>
        <v>Good</v>
      </c>
      <c r="U270" t="s">
        <v>48</v>
      </c>
      <c r="V270" s="1">
        <v>13496</v>
      </c>
      <c r="W270" t="str" cm="1">
        <f t="array" ref="W270">_xlfn.IFS(V270&lt;=5000,"Low Salary",V270&lt;=12000,"Good Salary",V270&gt;12000,"High Salary")</f>
        <v>High Salary</v>
      </c>
      <c r="X270">
        <v>7501</v>
      </c>
      <c r="Y270">
        <v>0</v>
      </c>
      <c r="Z270" t="s">
        <v>42</v>
      </c>
      <c r="AA270" t="s">
        <v>43</v>
      </c>
      <c r="AB270">
        <v>14</v>
      </c>
      <c r="AC270">
        <v>3</v>
      </c>
      <c r="AD270" t="str">
        <f t="shared" si="9"/>
        <v>Low Performance</v>
      </c>
      <c r="AE270">
        <v>2</v>
      </c>
      <c r="AF270">
        <v>80</v>
      </c>
      <c r="AG270">
        <v>0</v>
      </c>
      <c r="AH270">
        <v>21</v>
      </c>
      <c r="AI270">
        <v>2</v>
      </c>
      <c r="AJ270">
        <v>3</v>
      </c>
      <c r="AK270" t="str" cm="1">
        <f t="array" ref="AK270">_xlfn.IFS(AJ270&lt;=2,"Poor",AJ270&lt;=3,"Fair",AJ270&gt;3,"Good")</f>
        <v>Fair</v>
      </c>
      <c r="AL270">
        <v>20</v>
      </c>
      <c r="AM270">
        <v>7</v>
      </c>
      <c r="AN270">
        <v>4</v>
      </c>
      <c r="AO270">
        <v>10</v>
      </c>
    </row>
    <row r="271" spans="1:41" x14ac:dyDescent="0.2">
      <c r="A271">
        <v>1416436</v>
      </c>
      <c r="B271">
        <v>36</v>
      </c>
      <c r="C271" t="str" cm="1">
        <f t="array" ref="C271">_xlfn.IFS(B271&lt;=25,"15-25",B271&lt;=35,"26-35",B271&lt;=45,"36-45",B271&lt;=55,"46-55",B271&lt;=65,"56-65")</f>
        <v>36-45</v>
      </c>
      <c r="D271" t="s">
        <v>35</v>
      </c>
      <c r="E271" t="str">
        <f t="shared" si="8"/>
        <v>Current Employee</v>
      </c>
      <c r="F271" t="s">
        <v>36</v>
      </c>
      <c r="G271">
        <v>1403</v>
      </c>
      <c r="H271" t="s">
        <v>45</v>
      </c>
      <c r="I271">
        <v>6</v>
      </c>
      <c r="J271">
        <v>3</v>
      </c>
      <c r="K271" t="s">
        <v>38</v>
      </c>
      <c r="L271">
        <v>1</v>
      </c>
      <c r="M271">
        <v>4</v>
      </c>
      <c r="N271" t="s">
        <v>46</v>
      </c>
      <c r="O271">
        <v>47</v>
      </c>
      <c r="P271">
        <v>3</v>
      </c>
      <c r="Q271">
        <v>1</v>
      </c>
      <c r="R271" t="s">
        <v>40</v>
      </c>
      <c r="S271">
        <v>4</v>
      </c>
      <c r="T271" t="str" cm="1">
        <f t="array" ref="T271">_xlfn.IFS(S271&lt;=2,"Poor",S271&lt;=3,"Fair",S271&gt;=4,"Good")</f>
        <v>Good</v>
      </c>
      <c r="U271" t="s">
        <v>48</v>
      </c>
      <c r="V271" s="1">
        <v>3210</v>
      </c>
      <c r="W271" t="str" cm="1">
        <f t="array" ref="W271">_xlfn.IFS(V271&lt;=5000,"Low Salary",V271&lt;=12000,"Good Salary",V271&gt;12000,"High Salary")</f>
        <v>Low Salary</v>
      </c>
      <c r="X271">
        <v>20251</v>
      </c>
      <c r="Y271">
        <v>0</v>
      </c>
      <c r="Z271" t="s">
        <v>42</v>
      </c>
      <c r="AA271" t="s">
        <v>35</v>
      </c>
      <c r="AB271">
        <v>11</v>
      </c>
      <c r="AC271">
        <v>3</v>
      </c>
      <c r="AD271" t="str">
        <f t="shared" si="9"/>
        <v>Low Performance</v>
      </c>
      <c r="AE271">
        <v>3</v>
      </c>
      <c r="AF271">
        <v>80</v>
      </c>
      <c r="AG271">
        <v>1</v>
      </c>
      <c r="AH271">
        <v>16</v>
      </c>
      <c r="AI271">
        <v>4</v>
      </c>
      <c r="AJ271">
        <v>3</v>
      </c>
      <c r="AK271" t="str" cm="1">
        <f t="array" ref="AK271">_xlfn.IFS(AJ271&lt;=2,"Poor",AJ271&lt;=3,"Fair",AJ271&gt;3,"Good")</f>
        <v>Fair</v>
      </c>
      <c r="AL271">
        <v>15</v>
      </c>
      <c r="AM271">
        <v>13</v>
      </c>
      <c r="AN271">
        <v>10</v>
      </c>
      <c r="AO271">
        <v>11</v>
      </c>
    </row>
    <row r="272" spans="1:41" x14ac:dyDescent="0.2">
      <c r="A272">
        <v>1124764</v>
      </c>
      <c r="B272">
        <v>55</v>
      </c>
      <c r="C272" t="str" cm="1">
        <f t="array" ref="C272">_xlfn.IFS(B272&lt;=25,"15-25",B272&lt;=35,"26-35",B272&lt;=45,"36-45",B272&lt;=55,"46-55",B272&lt;=65,"56-65")</f>
        <v>46-55</v>
      </c>
      <c r="D272" t="s">
        <v>35</v>
      </c>
      <c r="E272" t="str">
        <f t="shared" si="8"/>
        <v>Current Employee</v>
      </c>
      <c r="F272" t="s">
        <v>36</v>
      </c>
      <c r="G272">
        <v>452</v>
      </c>
      <c r="H272" t="s">
        <v>54</v>
      </c>
      <c r="I272">
        <v>1</v>
      </c>
      <c r="J272">
        <v>3</v>
      </c>
      <c r="K272" t="s">
        <v>49</v>
      </c>
      <c r="L272">
        <v>1</v>
      </c>
      <c r="M272">
        <v>4</v>
      </c>
      <c r="N272" t="s">
        <v>46</v>
      </c>
      <c r="O272">
        <v>81</v>
      </c>
      <c r="P272">
        <v>3</v>
      </c>
      <c r="Q272">
        <v>5</v>
      </c>
      <c r="R272" t="s">
        <v>47</v>
      </c>
      <c r="S272">
        <v>1</v>
      </c>
      <c r="T272" t="str" cm="1">
        <f t="array" ref="T272">_xlfn.IFS(S272&lt;=2,"Poor",S272&lt;=3,"Fair",S272&gt;=4,"Good")</f>
        <v>Poor</v>
      </c>
      <c r="U272" t="s">
        <v>41</v>
      </c>
      <c r="V272" s="1">
        <v>19045</v>
      </c>
      <c r="W272" t="str" cm="1">
        <f t="array" ref="W272">_xlfn.IFS(V272&lt;=5000,"Low Salary",V272&lt;=12000,"Good Salary",V272&gt;12000,"High Salary")</f>
        <v>High Salary</v>
      </c>
      <c r="X272">
        <v>18938</v>
      </c>
      <c r="Y272">
        <v>0</v>
      </c>
      <c r="Z272" t="s">
        <v>42</v>
      </c>
      <c r="AA272" t="s">
        <v>43</v>
      </c>
      <c r="AB272">
        <v>14</v>
      </c>
      <c r="AC272">
        <v>3</v>
      </c>
      <c r="AD272" t="str">
        <f t="shared" si="9"/>
        <v>Low Performance</v>
      </c>
      <c r="AE272">
        <v>3</v>
      </c>
      <c r="AF272">
        <v>80</v>
      </c>
      <c r="AG272">
        <v>0</v>
      </c>
      <c r="AH272">
        <v>37</v>
      </c>
      <c r="AI272">
        <v>2</v>
      </c>
      <c r="AJ272">
        <v>3</v>
      </c>
      <c r="AK272" t="str" cm="1">
        <f t="array" ref="AK272">_xlfn.IFS(AJ272&lt;=2,"Poor",AJ272&lt;=3,"Fair",AJ272&gt;3,"Good")</f>
        <v>Fair</v>
      </c>
      <c r="AL272">
        <v>36</v>
      </c>
      <c r="AM272">
        <v>10</v>
      </c>
      <c r="AN272">
        <v>4</v>
      </c>
      <c r="AO272">
        <v>13</v>
      </c>
    </row>
    <row r="273" spans="1:41" x14ac:dyDescent="0.2">
      <c r="A273">
        <v>1524494</v>
      </c>
      <c r="B273">
        <v>47</v>
      </c>
      <c r="C273" t="str" cm="1">
        <f t="array" ref="C273">_xlfn.IFS(B273&lt;=25,"15-25",B273&lt;=35,"26-35",B273&lt;=45,"36-45",B273&lt;=55,"46-55",B273&lt;=65,"56-65")</f>
        <v>46-55</v>
      </c>
      <c r="D273" t="s">
        <v>43</v>
      </c>
      <c r="E273" t="str">
        <f t="shared" si="8"/>
        <v>Former Employee</v>
      </c>
      <c r="F273" t="s">
        <v>52</v>
      </c>
      <c r="G273">
        <v>666</v>
      </c>
      <c r="H273" t="s">
        <v>54</v>
      </c>
      <c r="I273">
        <v>29</v>
      </c>
      <c r="J273">
        <v>4</v>
      </c>
      <c r="K273" t="s">
        <v>38</v>
      </c>
      <c r="L273">
        <v>1</v>
      </c>
      <c r="M273">
        <v>1</v>
      </c>
      <c r="N273" t="s">
        <v>46</v>
      </c>
      <c r="O273">
        <v>88</v>
      </c>
      <c r="P273">
        <v>3</v>
      </c>
      <c r="Q273">
        <v>3</v>
      </c>
      <c r="R273" t="s">
        <v>47</v>
      </c>
      <c r="S273">
        <v>2</v>
      </c>
      <c r="T273" t="str" cm="1">
        <f t="array" ref="T273">_xlfn.IFS(S273&lt;=2,"Poor",S273&lt;=3,"Fair",S273&gt;=4,"Good")</f>
        <v>Poor</v>
      </c>
      <c r="U273" t="s">
        <v>48</v>
      </c>
      <c r="V273" s="1">
        <v>11849</v>
      </c>
      <c r="W273" t="str" cm="1">
        <f t="array" ref="W273">_xlfn.IFS(V273&lt;=5000,"Low Salary",V273&lt;=12000,"Good Salary",V273&gt;12000,"High Salary")</f>
        <v>Good Salary</v>
      </c>
      <c r="X273">
        <v>10268</v>
      </c>
      <c r="Y273">
        <v>1</v>
      </c>
      <c r="Z273" t="s">
        <v>42</v>
      </c>
      <c r="AA273" t="s">
        <v>43</v>
      </c>
      <c r="AB273">
        <v>12</v>
      </c>
      <c r="AC273">
        <v>3</v>
      </c>
      <c r="AD273" t="str">
        <f t="shared" si="9"/>
        <v>Low Performance</v>
      </c>
      <c r="AE273">
        <v>4</v>
      </c>
      <c r="AF273">
        <v>80</v>
      </c>
      <c r="AG273">
        <v>1</v>
      </c>
      <c r="AH273">
        <v>10</v>
      </c>
      <c r="AI273">
        <v>2</v>
      </c>
      <c r="AJ273">
        <v>2</v>
      </c>
      <c r="AK273" t="str" cm="1">
        <f t="array" ref="AK273">_xlfn.IFS(AJ273&lt;=2,"Poor",AJ273&lt;=3,"Fair",AJ273&gt;3,"Good")</f>
        <v>Poor</v>
      </c>
      <c r="AL273">
        <v>10</v>
      </c>
      <c r="AM273">
        <v>7</v>
      </c>
      <c r="AN273">
        <v>9</v>
      </c>
      <c r="AO273">
        <v>9</v>
      </c>
    </row>
    <row r="274" spans="1:41" x14ac:dyDescent="0.2">
      <c r="A274">
        <v>1376531</v>
      </c>
      <c r="B274">
        <v>28</v>
      </c>
      <c r="C274" t="str" cm="1">
        <f t="array" ref="C274">_xlfn.IFS(B274&lt;=25,"15-25",B274&lt;=35,"26-35",B274&lt;=45,"36-45",B274&lt;=55,"46-55",B274&lt;=65,"56-65")</f>
        <v>26-35</v>
      </c>
      <c r="D274" t="s">
        <v>35</v>
      </c>
      <c r="E274" t="str">
        <f t="shared" si="8"/>
        <v>Current Employee</v>
      </c>
      <c r="F274" t="s">
        <v>36</v>
      </c>
      <c r="G274">
        <v>1158</v>
      </c>
      <c r="H274" t="s">
        <v>45</v>
      </c>
      <c r="I274">
        <v>9</v>
      </c>
      <c r="J274">
        <v>3</v>
      </c>
      <c r="K274" t="s">
        <v>49</v>
      </c>
      <c r="L274">
        <v>1</v>
      </c>
      <c r="M274">
        <v>4</v>
      </c>
      <c r="N274" t="s">
        <v>46</v>
      </c>
      <c r="O274">
        <v>94</v>
      </c>
      <c r="P274">
        <v>3</v>
      </c>
      <c r="Q274">
        <v>1</v>
      </c>
      <c r="R274" t="s">
        <v>47</v>
      </c>
      <c r="S274">
        <v>4</v>
      </c>
      <c r="T274" t="str" cm="1">
        <f t="array" ref="T274">_xlfn.IFS(S274&lt;=2,"Poor",S274&lt;=3,"Fair",S274&gt;=4,"Good")</f>
        <v>Good</v>
      </c>
      <c r="U274" t="s">
        <v>48</v>
      </c>
      <c r="V274" s="1">
        <v>2070</v>
      </c>
      <c r="W274" t="str" cm="1">
        <f t="array" ref="W274">_xlfn.IFS(V274&lt;=5000,"Low Salary",V274&lt;=12000,"Good Salary",V274&gt;12000,"High Salary")</f>
        <v>Low Salary</v>
      </c>
      <c r="X274">
        <v>2613</v>
      </c>
      <c r="Y274">
        <v>1</v>
      </c>
      <c r="Z274" t="s">
        <v>42</v>
      </c>
      <c r="AA274" t="s">
        <v>35</v>
      </c>
      <c r="AB274">
        <v>23</v>
      </c>
      <c r="AC274">
        <v>4</v>
      </c>
      <c r="AD274" t="str">
        <f t="shared" si="9"/>
        <v>High Performance</v>
      </c>
      <c r="AE274">
        <v>4</v>
      </c>
      <c r="AF274">
        <v>80</v>
      </c>
      <c r="AG274">
        <v>1</v>
      </c>
      <c r="AH274">
        <v>5</v>
      </c>
      <c r="AI274">
        <v>3</v>
      </c>
      <c r="AJ274">
        <v>2</v>
      </c>
      <c r="AK274" t="str" cm="1">
        <f t="array" ref="AK274">_xlfn.IFS(AJ274&lt;=2,"Poor",AJ274&lt;=3,"Fair",AJ274&gt;3,"Good")</f>
        <v>Poor</v>
      </c>
      <c r="AL274">
        <v>5</v>
      </c>
      <c r="AM274">
        <v>2</v>
      </c>
      <c r="AN274">
        <v>0</v>
      </c>
      <c r="AO274">
        <v>4</v>
      </c>
    </row>
    <row r="275" spans="1:41" x14ac:dyDescent="0.2">
      <c r="A275">
        <v>1487080</v>
      </c>
      <c r="B275">
        <v>37</v>
      </c>
      <c r="C275" t="str" cm="1">
        <f t="array" ref="C275">_xlfn.IFS(B275&lt;=25,"15-25",B275&lt;=35,"26-35",B275&lt;=45,"36-45",B275&lt;=55,"46-55",B275&lt;=65,"56-65")</f>
        <v>36-45</v>
      </c>
      <c r="D275" t="s">
        <v>35</v>
      </c>
      <c r="E275" t="str">
        <f t="shared" si="8"/>
        <v>Current Employee</v>
      </c>
      <c r="F275" t="s">
        <v>36</v>
      </c>
      <c r="G275">
        <v>228</v>
      </c>
      <c r="H275" t="s">
        <v>37</v>
      </c>
      <c r="I275">
        <v>6</v>
      </c>
      <c r="J275">
        <v>4</v>
      </c>
      <c r="K275" t="s">
        <v>49</v>
      </c>
      <c r="L275">
        <v>1</v>
      </c>
      <c r="M275">
        <v>3</v>
      </c>
      <c r="N275" t="s">
        <v>46</v>
      </c>
      <c r="O275">
        <v>98</v>
      </c>
      <c r="P275">
        <v>3</v>
      </c>
      <c r="Q275">
        <v>2</v>
      </c>
      <c r="R275" t="s">
        <v>40</v>
      </c>
      <c r="S275">
        <v>4</v>
      </c>
      <c r="T275" t="str" cm="1">
        <f t="array" ref="T275">_xlfn.IFS(S275&lt;=2,"Poor",S275&lt;=3,"Fair",S275&gt;=4,"Good")</f>
        <v>Good</v>
      </c>
      <c r="U275" t="s">
        <v>48</v>
      </c>
      <c r="V275" s="1">
        <v>6502</v>
      </c>
      <c r="W275" t="str" cm="1">
        <f t="array" ref="W275">_xlfn.IFS(V275&lt;=5000,"Low Salary",V275&lt;=12000,"Good Salary",V275&gt;12000,"High Salary")</f>
        <v>Good Salary</v>
      </c>
      <c r="X275">
        <v>22825</v>
      </c>
      <c r="Y275">
        <v>4</v>
      </c>
      <c r="Z275" t="s">
        <v>42</v>
      </c>
      <c r="AA275" t="s">
        <v>35</v>
      </c>
      <c r="AB275">
        <v>14</v>
      </c>
      <c r="AC275">
        <v>3</v>
      </c>
      <c r="AD275" t="str">
        <f t="shared" si="9"/>
        <v>Low Performance</v>
      </c>
      <c r="AE275">
        <v>2</v>
      </c>
      <c r="AF275">
        <v>80</v>
      </c>
      <c r="AG275">
        <v>1</v>
      </c>
      <c r="AH275">
        <v>7</v>
      </c>
      <c r="AI275">
        <v>5</v>
      </c>
      <c r="AJ275">
        <v>4</v>
      </c>
      <c r="AK275" t="str" cm="1">
        <f t="array" ref="AK275">_xlfn.IFS(AJ275&lt;=2,"Poor",AJ275&lt;=3,"Fair",AJ275&gt;3,"Good")</f>
        <v>Good</v>
      </c>
      <c r="AL275">
        <v>5</v>
      </c>
      <c r="AM275">
        <v>4</v>
      </c>
      <c r="AN275">
        <v>0</v>
      </c>
      <c r="AO275">
        <v>1</v>
      </c>
    </row>
    <row r="276" spans="1:41" x14ac:dyDescent="0.2">
      <c r="A276">
        <v>1836214</v>
      </c>
      <c r="B276">
        <v>21</v>
      </c>
      <c r="C276" t="str" cm="1">
        <f t="array" ref="C276">_xlfn.IFS(B276&lt;=25,"15-25",B276&lt;=35,"26-35",B276&lt;=45,"36-45",B276&lt;=55,"46-55",B276&lt;=65,"56-65")</f>
        <v>15-25</v>
      </c>
      <c r="D276" t="s">
        <v>35</v>
      </c>
      <c r="E276" t="str">
        <f t="shared" si="8"/>
        <v>Current Employee</v>
      </c>
      <c r="F276" t="s">
        <v>36</v>
      </c>
      <c r="G276">
        <v>996</v>
      </c>
      <c r="H276" t="s">
        <v>45</v>
      </c>
      <c r="I276">
        <v>3</v>
      </c>
      <c r="J276">
        <v>2</v>
      </c>
      <c r="K276" t="s">
        <v>49</v>
      </c>
      <c r="L276">
        <v>1</v>
      </c>
      <c r="M276">
        <v>4</v>
      </c>
      <c r="N276" t="s">
        <v>46</v>
      </c>
      <c r="O276">
        <v>100</v>
      </c>
      <c r="P276">
        <v>2</v>
      </c>
      <c r="Q276">
        <v>1</v>
      </c>
      <c r="R276" t="s">
        <v>47</v>
      </c>
      <c r="S276">
        <v>3</v>
      </c>
      <c r="T276" t="str" cm="1">
        <f t="array" ref="T276">_xlfn.IFS(S276&lt;=2,"Poor",S276&lt;=3,"Fair",S276&gt;=4,"Good")</f>
        <v>Fair</v>
      </c>
      <c r="U276" t="s">
        <v>41</v>
      </c>
      <c r="V276" s="1">
        <v>3230</v>
      </c>
      <c r="W276" t="str" cm="1">
        <f t="array" ref="W276">_xlfn.IFS(V276&lt;=5000,"Low Salary",V276&lt;=12000,"Good Salary",V276&gt;12000,"High Salary")</f>
        <v>Low Salary</v>
      </c>
      <c r="X276">
        <v>10531</v>
      </c>
      <c r="Y276">
        <v>1</v>
      </c>
      <c r="Z276" t="s">
        <v>42</v>
      </c>
      <c r="AA276" t="s">
        <v>35</v>
      </c>
      <c r="AB276">
        <v>17</v>
      </c>
      <c r="AC276">
        <v>3</v>
      </c>
      <c r="AD276" t="str">
        <f t="shared" si="9"/>
        <v>Low Performance</v>
      </c>
      <c r="AE276">
        <v>1</v>
      </c>
      <c r="AF276">
        <v>80</v>
      </c>
      <c r="AG276">
        <v>0</v>
      </c>
      <c r="AH276">
        <v>3</v>
      </c>
      <c r="AI276">
        <v>4</v>
      </c>
      <c r="AJ276">
        <v>4</v>
      </c>
      <c r="AK276" t="str" cm="1">
        <f t="array" ref="AK276">_xlfn.IFS(AJ276&lt;=2,"Poor",AJ276&lt;=3,"Fair",AJ276&gt;3,"Good")</f>
        <v>Good</v>
      </c>
      <c r="AL276">
        <v>3</v>
      </c>
      <c r="AM276">
        <v>2</v>
      </c>
      <c r="AN276">
        <v>1</v>
      </c>
      <c r="AO276">
        <v>0</v>
      </c>
    </row>
    <row r="277" spans="1:41" x14ac:dyDescent="0.2">
      <c r="A277">
        <v>1397780</v>
      </c>
      <c r="B277">
        <v>37</v>
      </c>
      <c r="C277" t="str" cm="1">
        <f t="array" ref="C277">_xlfn.IFS(B277&lt;=25,"15-25",B277&lt;=35,"26-35",B277&lt;=45,"36-45",B277&lt;=55,"46-55",B277&lt;=65,"56-65")</f>
        <v>36-45</v>
      </c>
      <c r="D277" t="s">
        <v>35</v>
      </c>
      <c r="E277" t="str">
        <f t="shared" si="8"/>
        <v>Current Employee</v>
      </c>
      <c r="F277" t="s">
        <v>52</v>
      </c>
      <c r="G277">
        <v>728</v>
      </c>
      <c r="H277" t="s">
        <v>54</v>
      </c>
      <c r="I277">
        <v>1</v>
      </c>
      <c r="J277">
        <v>4</v>
      </c>
      <c r="K277" t="s">
        <v>49</v>
      </c>
      <c r="L277">
        <v>1</v>
      </c>
      <c r="M277">
        <v>1</v>
      </c>
      <c r="N277" t="s">
        <v>39</v>
      </c>
      <c r="O277">
        <v>80</v>
      </c>
      <c r="P277">
        <v>3</v>
      </c>
      <c r="Q277">
        <v>3</v>
      </c>
      <c r="R277" t="s">
        <v>47</v>
      </c>
      <c r="S277">
        <v>4</v>
      </c>
      <c r="T277" t="str" cm="1">
        <f t="array" ref="T277">_xlfn.IFS(S277&lt;=2,"Poor",S277&lt;=3,"Fair",S277&gt;=4,"Good")</f>
        <v>Good</v>
      </c>
      <c r="U277" t="s">
        <v>50</v>
      </c>
      <c r="V277" s="1">
        <v>13603</v>
      </c>
      <c r="W277" t="str" cm="1">
        <f t="array" ref="W277">_xlfn.IFS(V277&lt;=5000,"Low Salary",V277&lt;=12000,"Good Salary",V277&gt;12000,"High Salary")</f>
        <v>High Salary</v>
      </c>
      <c r="X277">
        <v>11677</v>
      </c>
      <c r="Y277">
        <v>2</v>
      </c>
      <c r="Z277" t="s">
        <v>42</v>
      </c>
      <c r="AA277" t="s">
        <v>43</v>
      </c>
      <c r="AB277">
        <v>18</v>
      </c>
      <c r="AC277">
        <v>3</v>
      </c>
      <c r="AD277" t="str">
        <f t="shared" si="9"/>
        <v>Low Performance</v>
      </c>
      <c r="AE277">
        <v>1</v>
      </c>
      <c r="AF277">
        <v>80</v>
      </c>
      <c r="AG277">
        <v>2</v>
      </c>
      <c r="AH277">
        <v>15</v>
      </c>
      <c r="AI277">
        <v>2</v>
      </c>
      <c r="AJ277">
        <v>3</v>
      </c>
      <c r="AK277" t="str" cm="1">
        <f t="array" ref="AK277">_xlfn.IFS(AJ277&lt;=2,"Poor",AJ277&lt;=3,"Fair",AJ277&gt;3,"Good")</f>
        <v>Fair</v>
      </c>
      <c r="AL277">
        <v>5</v>
      </c>
      <c r="AM277">
        <v>2</v>
      </c>
      <c r="AN277">
        <v>0</v>
      </c>
      <c r="AO277">
        <v>2</v>
      </c>
    </row>
    <row r="278" spans="1:41" x14ac:dyDescent="0.2">
      <c r="A278">
        <v>1281199</v>
      </c>
      <c r="B278">
        <v>35</v>
      </c>
      <c r="C278" t="str" cm="1">
        <f t="array" ref="C278">_xlfn.IFS(B278&lt;=25,"15-25",B278&lt;=35,"26-35",B278&lt;=45,"36-45",B278&lt;=55,"46-55",B278&lt;=65,"56-65")</f>
        <v>26-35</v>
      </c>
      <c r="D278" t="s">
        <v>35</v>
      </c>
      <c r="E278" t="str">
        <f t="shared" si="8"/>
        <v>Current Employee</v>
      </c>
      <c r="F278" t="s">
        <v>36</v>
      </c>
      <c r="G278">
        <v>1315</v>
      </c>
      <c r="H278" t="s">
        <v>54</v>
      </c>
      <c r="I278">
        <v>22</v>
      </c>
      <c r="J278">
        <v>3</v>
      </c>
      <c r="K278" t="s">
        <v>38</v>
      </c>
      <c r="L278">
        <v>1</v>
      </c>
      <c r="M278">
        <v>2</v>
      </c>
      <c r="N278" t="s">
        <v>39</v>
      </c>
      <c r="O278">
        <v>71</v>
      </c>
      <c r="P278">
        <v>4</v>
      </c>
      <c r="Q278">
        <v>3</v>
      </c>
      <c r="R278" t="s">
        <v>47</v>
      </c>
      <c r="S278">
        <v>2</v>
      </c>
      <c r="T278" t="str" cm="1">
        <f t="array" ref="T278">_xlfn.IFS(S278&lt;=2,"Poor",S278&lt;=3,"Fair",S278&gt;=4,"Good")</f>
        <v>Poor</v>
      </c>
      <c r="U278" t="s">
        <v>50</v>
      </c>
      <c r="V278" s="1">
        <v>11996</v>
      </c>
      <c r="W278" t="str" cm="1">
        <f t="array" ref="W278">_xlfn.IFS(V278&lt;=5000,"Low Salary",V278&lt;=12000,"Good Salary",V278&gt;12000,"High Salary")</f>
        <v>Good Salary</v>
      </c>
      <c r="X278">
        <v>19100</v>
      </c>
      <c r="Y278">
        <v>7</v>
      </c>
      <c r="Z278" t="s">
        <v>42</v>
      </c>
      <c r="AA278" t="s">
        <v>35</v>
      </c>
      <c r="AB278">
        <v>18</v>
      </c>
      <c r="AC278">
        <v>3</v>
      </c>
      <c r="AD278" t="str">
        <f t="shared" si="9"/>
        <v>Low Performance</v>
      </c>
      <c r="AE278">
        <v>2</v>
      </c>
      <c r="AF278">
        <v>80</v>
      </c>
      <c r="AG278">
        <v>1</v>
      </c>
      <c r="AH278">
        <v>10</v>
      </c>
      <c r="AI278">
        <v>6</v>
      </c>
      <c r="AJ278">
        <v>2</v>
      </c>
      <c r="AK278" t="str" cm="1">
        <f t="array" ref="AK278">_xlfn.IFS(AJ278&lt;=2,"Poor",AJ278&lt;=3,"Fair",AJ278&gt;3,"Good")</f>
        <v>Poor</v>
      </c>
      <c r="AL278">
        <v>7</v>
      </c>
      <c r="AM278">
        <v>7</v>
      </c>
      <c r="AN278">
        <v>6</v>
      </c>
      <c r="AO278">
        <v>2</v>
      </c>
    </row>
    <row r="279" spans="1:41" x14ac:dyDescent="0.2">
      <c r="A279">
        <v>1566712</v>
      </c>
      <c r="B279">
        <v>38</v>
      </c>
      <c r="C279" t="str" cm="1">
        <f t="array" ref="C279">_xlfn.IFS(B279&lt;=25,"15-25",B279&lt;=35,"26-35",B279&lt;=45,"36-45",B279&lt;=55,"46-55",B279&lt;=65,"56-65")</f>
        <v>36-45</v>
      </c>
      <c r="D279" t="s">
        <v>35</v>
      </c>
      <c r="E279" t="str">
        <f t="shared" si="8"/>
        <v>Current Employee</v>
      </c>
      <c r="F279" t="s">
        <v>36</v>
      </c>
      <c r="G279">
        <v>322</v>
      </c>
      <c r="H279" t="s">
        <v>37</v>
      </c>
      <c r="I279">
        <v>7</v>
      </c>
      <c r="J279">
        <v>2</v>
      </c>
      <c r="K279" t="s">
        <v>49</v>
      </c>
      <c r="L279">
        <v>1</v>
      </c>
      <c r="M279">
        <v>1</v>
      </c>
      <c r="N279" t="s">
        <v>39</v>
      </c>
      <c r="O279">
        <v>44</v>
      </c>
      <c r="P279">
        <v>4</v>
      </c>
      <c r="Q279">
        <v>2</v>
      </c>
      <c r="R279" t="s">
        <v>40</v>
      </c>
      <c r="S279">
        <v>1</v>
      </c>
      <c r="T279" t="str" cm="1">
        <f t="array" ref="T279">_xlfn.IFS(S279&lt;=2,"Poor",S279&lt;=3,"Fair",S279&gt;=4,"Good")</f>
        <v>Poor</v>
      </c>
      <c r="U279" t="s">
        <v>50</v>
      </c>
      <c r="V279" s="1">
        <v>5605</v>
      </c>
      <c r="W279" t="str" cm="1">
        <f t="array" ref="W279">_xlfn.IFS(V279&lt;=5000,"Low Salary",V279&lt;=12000,"Good Salary",V279&gt;12000,"High Salary")</f>
        <v>Good Salary</v>
      </c>
      <c r="X279">
        <v>19191</v>
      </c>
      <c r="Y279">
        <v>1</v>
      </c>
      <c r="Z279" t="s">
        <v>42</v>
      </c>
      <c r="AA279" t="s">
        <v>43</v>
      </c>
      <c r="AB279">
        <v>24</v>
      </c>
      <c r="AC279">
        <v>4</v>
      </c>
      <c r="AD279" t="str">
        <f t="shared" si="9"/>
        <v>High Performance</v>
      </c>
      <c r="AE279">
        <v>3</v>
      </c>
      <c r="AF279">
        <v>80</v>
      </c>
      <c r="AG279">
        <v>1</v>
      </c>
      <c r="AH279">
        <v>8</v>
      </c>
      <c r="AI279">
        <v>3</v>
      </c>
      <c r="AJ279">
        <v>3</v>
      </c>
      <c r="AK279" t="str" cm="1">
        <f t="array" ref="AK279">_xlfn.IFS(AJ279&lt;=2,"Poor",AJ279&lt;=3,"Fair",AJ279&gt;3,"Good")</f>
        <v>Fair</v>
      </c>
      <c r="AL279">
        <v>8</v>
      </c>
      <c r="AM279">
        <v>0</v>
      </c>
      <c r="AN279">
        <v>7</v>
      </c>
      <c r="AO279">
        <v>7</v>
      </c>
    </row>
    <row r="280" spans="1:41" x14ac:dyDescent="0.2">
      <c r="A280">
        <v>1256655</v>
      </c>
      <c r="B280">
        <v>26</v>
      </c>
      <c r="C280" t="str" cm="1">
        <f t="array" ref="C280">_xlfn.IFS(B280&lt;=25,"15-25",B280&lt;=35,"26-35",B280&lt;=45,"36-45",B280&lt;=55,"46-55",B280&lt;=65,"56-65")</f>
        <v>26-35</v>
      </c>
      <c r="D280" t="s">
        <v>35</v>
      </c>
      <c r="E280" t="str">
        <f t="shared" si="8"/>
        <v>Current Employee</v>
      </c>
      <c r="F280" t="s">
        <v>44</v>
      </c>
      <c r="G280">
        <v>1479</v>
      </c>
      <c r="H280" t="s">
        <v>54</v>
      </c>
      <c r="I280">
        <v>1</v>
      </c>
      <c r="J280">
        <v>3</v>
      </c>
      <c r="K280" t="s">
        <v>38</v>
      </c>
      <c r="L280">
        <v>1</v>
      </c>
      <c r="M280">
        <v>3</v>
      </c>
      <c r="N280" t="s">
        <v>39</v>
      </c>
      <c r="O280">
        <v>84</v>
      </c>
      <c r="P280">
        <v>3</v>
      </c>
      <c r="Q280">
        <v>2</v>
      </c>
      <c r="R280" t="s">
        <v>51</v>
      </c>
      <c r="S280">
        <v>2</v>
      </c>
      <c r="T280" t="str" cm="1">
        <f t="array" ref="T280">_xlfn.IFS(S280&lt;=2,"Poor",S280&lt;=3,"Fair",S280&gt;=4,"Good")</f>
        <v>Poor</v>
      </c>
      <c r="U280" t="s">
        <v>50</v>
      </c>
      <c r="V280" s="1">
        <v>6397</v>
      </c>
      <c r="W280" t="str" cm="1">
        <f t="array" ref="W280">_xlfn.IFS(V280&lt;=5000,"Low Salary",V280&lt;=12000,"Good Salary",V280&gt;12000,"High Salary")</f>
        <v>Good Salary</v>
      </c>
      <c r="X280">
        <v>26767</v>
      </c>
      <c r="Y280">
        <v>1</v>
      </c>
      <c r="Z280" t="s">
        <v>42</v>
      </c>
      <c r="AA280" t="s">
        <v>35</v>
      </c>
      <c r="AB280">
        <v>20</v>
      </c>
      <c r="AC280">
        <v>4</v>
      </c>
      <c r="AD280" t="str">
        <f t="shared" si="9"/>
        <v>High Performance</v>
      </c>
      <c r="AE280">
        <v>1</v>
      </c>
      <c r="AF280">
        <v>80</v>
      </c>
      <c r="AG280">
        <v>1</v>
      </c>
      <c r="AH280">
        <v>6</v>
      </c>
      <c r="AI280">
        <v>6</v>
      </c>
      <c r="AJ280">
        <v>1</v>
      </c>
      <c r="AK280" t="str" cm="1">
        <f t="array" ref="AK280">_xlfn.IFS(AJ280&lt;=2,"Poor",AJ280&lt;=3,"Fair",AJ280&gt;3,"Good")</f>
        <v>Poor</v>
      </c>
      <c r="AL280">
        <v>6</v>
      </c>
      <c r="AM280">
        <v>5</v>
      </c>
      <c r="AN280">
        <v>1</v>
      </c>
      <c r="AO280">
        <v>4</v>
      </c>
    </row>
    <row r="281" spans="1:41" x14ac:dyDescent="0.2">
      <c r="A281">
        <v>1187620</v>
      </c>
      <c r="B281">
        <v>50</v>
      </c>
      <c r="C281" t="str" cm="1">
        <f t="array" ref="C281">_xlfn.IFS(B281&lt;=25,"15-25",B281&lt;=35,"26-35",B281&lt;=45,"36-45",B281&lt;=55,"46-55",B281&lt;=65,"56-65")</f>
        <v>46-55</v>
      </c>
      <c r="D281" t="s">
        <v>35</v>
      </c>
      <c r="E281" t="str">
        <f t="shared" si="8"/>
        <v>Current Employee</v>
      </c>
      <c r="F281" t="s">
        <v>36</v>
      </c>
      <c r="G281">
        <v>797</v>
      </c>
      <c r="H281" t="s">
        <v>54</v>
      </c>
      <c r="I281">
        <v>4</v>
      </c>
      <c r="J281">
        <v>1</v>
      </c>
      <c r="K281" t="s">
        <v>38</v>
      </c>
      <c r="L281">
        <v>1</v>
      </c>
      <c r="M281">
        <v>1</v>
      </c>
      <c r="N281" t="s">
        <v>46</v>
      </c>
      <c r="O281">
        <v>96</v>
      </c>
      <c r="P281">
        <v>3</v>
      </c>
      <c r="Q281">
        <v>5</v>
      </c>
      <c r="R281" t="s">
        <v>47</v>
      </c>
      <c r="S281">
        <v>2</v>
      </c>
      <c r="T281" t="str" cm="1">
        <f t="array" ref="T281">_xlfn.IFS(S281&lt;=2,"Poor",S281&lt;=3,"Fair",S281&gt;=4,"Good")</f>
        <v>Poor</v>
      </c>
      <c r="U281" t="s">
        <v>50</v>
      </c>
      <c r="V281" s="1">
        <v>19144</v>
      </c>
      <c r="W281" t="str" cm="1">
        <f t="array" ref="W281">_xlfn.IFS(V281&lt;=5000,"Low Salary",V281&lt;=12000,"Good Salary",V281&gt;12000,"High Salary")</f>
        <v>High Salary</v>
      </c>
      <c r="X281">
        <v>15815</v>
      </c>
      <c r="Y281">
        <v>3</v>
      </c>
      <c r="Z281" t="s">
        <v>42</v>
      </c>
      <c r="AA281" t="s">
        <v>35</v>
      </c>
      <c r="AB281">
        <v>14</v>
      </c>
      <c r="AC281">
        <v>3</v>
      </c>
      <c r="AD281" t="str">
        <f t="shared" si="9"/>
        <v>Low Performance</v>
      </c>
      <c r="AE281">
        <v>1</v>
      </c>
      <c r="AF281">
        <v>80</v>
      </c>
      <c r="AG281">
        <v>2</v>
      </c>
      <c r="AH281">
        <v>28</v>
      </c>
      <c r="AI281">
        <v>4</v>
      </c>
      <c r="AJ281">
        <v>2</v>
      </c>
      <c r="AK281" t="str" cm="1">
        <f t="array" ref="AK281">_xlfn.IFS(AJ281&lt;=2,"Poor",AJ281&lt;=3,"Fair",AJ281&gt;3,"Good")</f>
        <v>Poor</v>
      </c>
      <c r="AL281">
        <v>10</v>
      </c>
      <c r="AM281">
        <v>4</v>
      </c>
      <c r="AN281">
        <v>1</v>
      </c>
      <c r="AO281">
        <v>6</v>
      </c>
    </row>
    <row r="282" spans="1:41" x14ac:dyDescent="0.2">
      <c r="A282">
        <v>1032001</v>
      </c>
      <c r="B282">
        <v>53</v>
      </c>
      <c r="C282" t="str" cm="1">
        <f t="array" ref="C282">_xlfn.IFS(B282&lt;=25,"15-25",B282&lt;=35,"26-35",B282&lt;=45,"36-45",B282&lt;=55,"46-55",B282&lt;=65,"56-65")</f>
        <v>46-55</v>
      </c>
      <c r="D282" t="s">
        <v>35</v>
      </c>
      <c r="E282" t="str">
        <f t="shared" si="8"/>
        <v>Current Employee</v>
      </c>
      <c r="F282" t="s">
        <v>36</v>
      </c>
      <c r="G282">
        <v>1070</v>
      </c>
      <c r="H282" t="s">
        <v>54</v>
      </c>
      <c r="I282">
        <v>3</v>
      </c>
      <c r="J282">
        <v>4</v>
      </c>
      <c r="K282" t="s">
        <v>49</v>
      </c>
      <c r="L282">
        <v>1</v>
      </c>
      <c r="M282">
        <v>3</v>
      </c>
      <c r="N282" t="s">
        <v>46</v>
      </c>
      <c r="O282">
        <v>45</v>
      </c>
      <c r="P282">
        <v>3</v>
      </c>
      <c r="Q282">
        <v>4</v>
      </c>
      <c r="R282" t="s">
        <v>47</v>
      </c>
      <c r="S282">
        <v>3</v>
      </c>
      <c r="T282" t="str" cm="1">
        <f t="array" ref="T282">_xlfn.IFS(S282&lt;=2,"Poor",S282&lt;=3,"Fair",S282&gt;=4,"Good")</f>
        <v>Fair</v>
      </c>
      <c r="U282" t="s">
        <v>48</v>
      </c>
      <c r="V282" s="1">
        <v>17584</v>
      </c>
      <c r="W282" t="str" cm="1">
        <f t="array" ref="W282">_xlfn.IFS(V282&lt;=5000,"Low Salary",V282&lt;=12000,"Good Salary",V282&gt;12000,"High Salary")</f>
        <v>High Salary</v>
      </c>
      <c r="X282">
        <v>21016</v>
      </c>
      <c r="Y282">
        <v>3</v>
      </c>
      <c r="Z282" t="s">
        <v>42</v>
      </c>
      <c r="AA282" t="s">
        <v>43</v>
      </c>
      <c r="AB282">
        <v>16</v>
      </c>
      <c r="AC282">
        <v>3</v>
      </c>
      <c r="AD282" t="str">
        <f t="shared" si="9"/>
        <v>Low Performance</v>
      </c>
      <c r="AE282">
        <v>4</v>
      </c>
      <c r="AF282">
        <v>80</v>
      </c>
      <c r="AG282">
        <v>3</v>
      </c>
      <c r="AH282">
        <v>21</v>
      </c>
      <c r="AI282">
        <v>5</v>
      </c>
      <c r="AJ282">
        <v>2</v>
      </c>
      <c r="AK282" t="str" cm="1">
        <f t="array" ref="AK282">_xlfn.IFS(AJ282&lt;=2,"Poor",AJ282&lt;=3,"Fair",AJ282&gt;3,"Good")</f>
        <v>Poor</v>
      </c>
      <c r="AL282">
        <v>5</v>
      </c>
      <c r="AM282">
        <v>3</v>
      </c>
      <c r="AN282">
        <v>1</v>
      </c>
      <c r="AO282">
        <v>3</v>
      </c>
    </row>
    <row r="283" spans="1:41" x14ac:dyDescent="0.2">
      <c r="A283">
        <v>1220520</v>
      </c>
      <c r="B283">
        <v>42</v>
      </c>
      <c r="C283" t="str" cm="1">
        <f t="array" ref="C283">_xlfn.IFS(B283&lt;=25,"15-25",B283&lt;=35,"26-35",B283&lt;=45,"36-45",B283&lt;=55,"46-55",B283&lt;=65,"56-65")</f>
        <v>36-45</v>
      </c>
      <c r="D283" t="s">
        <v>35</v>
      </c>
      <c r="E283" t="str">
        <f t="shared" si="8"/>
        <v>Current Employee</v>
      </c>
      <c r="F283" t="s">
        <v>36</v>
      </c>
      <c r="G283">
        <v>635</v>
      </c>
      <c r="H283" t="s">
        <v>37</v>
      </c>
      <c r="I283">
        <v>1</v>
      </c>
      <c r="J283">
        <v>1</v>
      </c>
      <c r="K283" t="s">
        <v>38</v>
      </c>
      <c r="L283">
        <v>1</v>
      </c>
      <c r="M283">
        <v>2</v>
      </c>
      <c r="N283" t="s">
        <v>46</v>
      </c>
      <c r="O283">
        <v>99</v>
      </c>
      <c r="P283">
        <v>3</v>
      </c>
      <c r="Q283">
        <v>2</v>
      </c>
      <c r="R283" t="s">
        <v>40</v>
      </c>
      <c r="S283">
        <v>3</v>
      </c>
      <c r="T283" t="str" cm="1">
        <f t="array" ref="T283">_xlfn.IFS(S283&lt;=2,"Poor",S283&lt;=3,"Fair",S283&gt;=4,"Good")</f>
        <v>Fair</v>
      </c>
      <c r="U283" t="s">
        <v>48</v>
      </c>
      <c r="V283" s="1">
        <v>4907</v>
      </c>
      <c r="W283" t="str" cm="1">
        <f t="array" ref="W283">_xlfn.IFS(V283&lt;=5000,"Low Salary",V283&lt;=12000,"Good Salary",V283&gt;12000,"High Salary")</f>
        <v>Low Salary</v>
      </c>
      <c r="X283">
        <v>24532</v>
      </c>
      <c r="Y283">
        <v>1</v>
      </c>
      <c r="Z283" t="s">
        <v>42</v>
      </c>
      <c r="AA283" t="s">
        <v>35</v>
      </c>
      <c r="AB283">
        <v>25</v>
      </c>
      <c r="AC283">
        <v>4</v>
      </c>
      <c r="AD283" t="str">
        <f t="shared" si="9"/>
        <v>High Performance</v>
      </c>
      <c r="AE283">
        <v>3</v>
      </c>
      <c r="AF283">
        <v>80</v>
      </c>
      <c r="AG283">
        <v>0</v>
      </c>
      <c r="AH283">
        <v>20</v>
      </c>
      <c r="AI283">
        <v>3</v>
      </c>
      <c r="AJ283">
        <v>3</v>
      </c>
      <c r="AK283" t="str" cm="1">
        <f t="array" ref="AK283">_xlfn.IFS(AJ283&lt;=2,"Poor",AJ283&lt;=3,"Fair",AJ283&gt;3,"Good")</f>
        <v>Fair</v>
      </c>
      <c r="AL283">
        <v>20</v>
      </c>
      <c r="AM283">
        <v>16</v>
      </c>
      <c r="AN283">
        <v>11</v>
      </c>
      <c r="AO283">
        <v>6</v>
      </c>
    </row>
    <row r="284" spans="1:41" x14ac:dyDescent="0.2">
      <c r="A284">
        <v>1524207</v>
      </c>
      <c r="B284">
        <v>29</v>
      </c>
      <c r="C284" t="str" cm="1">
        <f t="array" ref="C284">_xlfn.IFS(B284&lt;=25,"15-25",B284&lt;=35,"26-35",B284&lt;=45,"36-45",B284&lt;=55,"46-55",B284&lt;=65,"56-65")</f>
        <v>26-35</v>
      </c>
      <c r="D284" t="s">
        <v>35</v>
      </c>
      <c r="E284" t="str">
        <f t="shared" si="8"/>
        <v>Current Employee</v>
      </c>
      <c r="F284" t="s">
        <v>44</v>
      </c>
      <c r="G284">
        <v>442</v>
      </c>
      <c r="H284" t="s">
        <v>37</v>
      </c>
      <c r="I284">
        <v>2</v>
      </c>
      <c r="J284">
        <v>2</v>
      </c>
      <c r="K284" t="s">
        <v>38</v>
      </c>
      <c r="L284">
        <v>1</v>
      </c>
      <c r="M284">
        <v>2</v>
      </c>
      <c r="N284" t="s">
        <v>46</v>
      </c>
      <c r="O284">
        <v>44</v>
      </c>
      <c r="P284">
        <v>3</v>
      </c>
      <c r="Q284">
        <v>2</v>
      </c>
      <c r="R284" t="s">
        <v>40</v>
      </c>
      <c r="S284">
        <v>4</v>
      </c>
      <c r="T284" t="str" cm="1">
        <f t="array" ref="T284">_xlfn.IFS(S284&lt;=2,"Poor",S284&lt;=3,"Fair",S284&gt;=4,"Good")</f>
        <v>Good</v>
      </c>
      <c r="U284" t="s">
        <v>41</v>
      </c>
      <c r="V284" s="1">
        <v>4554</v>
      </c>
      <c r="W284" t="str" cm="1">
        <f t="array" ref="W284">_xlfn.IFS(V284&lt;=5000,"Low Salary",V284&lt;=12000,"Good Salary",V284&gt;12000,"High Salary")</f>
        <v>Low Salary</v>
      </c>
      <c r="X284">
        <v>20260</v>
      </c>
      <c r="Y284">
        <v>1</v>
      </c>
      <c r="Z284" t="s">
        <v>42</v>
      </c>
      <c r="AA284" t="s">
        <v>35</v>
      </c>
      <c r="AB284">
        <v>18</v>
      </c>
      <c r="AC284">
        <v>3</v>
      </c>
      <c r="AD284" t="str">
        <f t="shared" si="9"/>
        <v>Low Performance</v>
      </c>
      <c r="AE284">
        <v>1</v>
      </c>
      <c r="AF284">
        <v>80</v>
      </c>
      <c r="AG284">
        <v>0</v>
      </c>
      <c r="AH284">
        <v>10</v>
      </c>
      <c r="AI284">
        <v>3</v>
      </c>
      <c r="AJ284">
        <v>2</v>
      </c>
      <c r="AK284" t="str" cm="1">
        <f t="array" ref="AK284">_xlfn.IFS(AJ284&lt;=2,"Poor",AJ284&lt;=3,"Fair",AJ284&gt;3,"Good")</f>
        <v>Poor</v>
      </c>
      <c r="AL284">
        <v>10</v>
      </c>
      <c r="AM284">
        <v>7</v>
      </c>
      <c r="AN284">
        <v>0</v>
      </c>
      <c r="AO284">
        <v>9</v>
      </c>
    </row>
    <row r="285" spans="1:41" x14ac:dyDescent="0.2">
      <c r="A285">
        <v>1552398</v>
      </c>
      <c r="B285">
        <v>55</v>
      </c>
      <c r="C285" t="str" cm="1">
        <f t="array" ref="C285">_xlfn.IFS(B285&lt;=25,"15-25",B285&lt;=35,"26-35",B285&lt;=45,"36-45",B285&lt;=55,"46-55",B285&lt;=65,"56-65")</f>
        <v>46-55</v>
      </c>
      <c r="D285" t="s">
        <v>35</v>
      </c>
      <c r="E285" t="str">
        <f t="shared" si="8"/>
        <v>Current Employee</v>
      </c>
      <c r="F285" t="s">
        <v>36</v>
      </c>
      <c r="G285">
        <v>147</v>
      </c>
      <c r="H285" t="s">
        <v>45</v>
      </c>
      <c r="I285">
        <v>20</v>
      </c>
      <c r="J285">
        <v>2</v>
      </c>
      <c r="K285" t="s">
        <v>56</v>
      </c>
      <c r="L285">
        <v>1</v>
      </c>
      <c r="M285">
        <v>2</v>
      </c>
      <c r="N285" t="s">
        <v>46</v>
      </c>
      <c r="O285">
        <v>37</v>
      </c>
      <c r="P285">
        <v>3</v>
      </c>
      <c r="Q285">
        <v>2</v>
      </c>
      <c r="R285" t="s">
        <v>40</v>
      </c>
      <c r="S285">
        <v>4</v>
      </c>
      <c r="T285" t="str" cm="1">
        <f t="array" ref="T285">_xlfn.IFS(S285&lt;=2,"Poor",S285&lt;=3,"Fair",S285&gt;=4,"Good")</f>
        <v>Good</v>
      </c>
      <c r="U285" t="s">
        <v>48</v>
      </c>
      <c r="V285" s="1">
        <v>5415</v>
      </c>
      <c r="W285" t="str" cm="1">
        <f t="array" ref="W285">_xlfn.IFS(V285&lt;=5000,"Low Salary",V285&lt;=12000,"Good Salary",V285&gt;12000,"High Salary")</f>
        <v>Good Salary</v>
      </c>
      <c r="X285">
        <v>15972</v>
      </c>
      <c r="Y285">
        <v>3</v>
      </c>
      <c r="Z285" t="s">
        <v>42</v>
      </c>
      <c r="AA285" t="s">
        <v>43</v>
      </c>
      <c r="AB285">
        <v>19</v>
      </c>
      <c r="AC285">
        <v>3</v>
      </c>
      <c r="AD285" t="str">
        <f t="shared" si="9"/>
        <v>Low Performance</v>
      </c>
      <c r="AE285">
        <v>4</v>
      </c>
      <c r="AF285">
        <v>80</v>
      </c>
      <c r="AG285">
        <v>1</v>
      </c>
      <c r="AH285">
        <v>12</v>
      </c>
      <c r="AI285">
        <v>4</v>
      </c>
      <c r="AJ285">
        <v>3</v>
      </c>
      <c r="AK285" t="str" cm="1">
        <f t="array" ref="AK285">_xlfn.IFS(AJ285&lt;=2,"Poor",AJ285&lt;=3,"Fair",AJ285&gt;3,"Good")</f>
        <v>Fair</v>
      </c>
      <c r="AL285">
        <v>10</v>
      </c>
      <c r="AM285">
        <v>7</v>
      </c>
      <c r="AN285">
        <v>0</v>
      </c>
      <c r="AO285">
        <v>8</v>
      </c>
    </row>
    <row r="286" spans="1:41" x14ac:dyDescent="0.2">
      <c r="A286">
        <v>1753629</v>
      </c>
      <c r="B286">
        <v>26</v>
      </c>
      <c r="C286" t="str" cm="1">
        <f t="array" ref="C286">_xlfn.IFS(B286&lt;=25,"15-25",B286&lt;=35,"26-35",B286&lt;=45,"36-45",B286&lt;=55,"46-55",B286&lt;=65,"56-65")</f>
        <v>26-35</v>
      </c>
      <c r="D286" t="s">
        <v>35</v>
      </c>
      <c r="E286" t="str">
        <f t="shared" si="8"/>
        <v>Current Employee</v>
      </c>
      <c r="F286" t="s">
        <v>44</v>
      </c>
      <c r="G286">
        <v>496</v>
      </c>
      <c r="H286" t="s">
        <v>45</v>
      </c>
      <c r="I286">
        <v>11</v>
      </c>
      <c r="J286">
        <v>2</v>
      </c>
      <c r="K286" t="s">
        <v>49</v>
      </c>
      <c r="L286">
        <v>1</v>
      </c>
      <c r="M286">
        <v>1</v>
      </c>
      <c r="N286" t="s">
        <v>46</v>
      </c>
      <c r="O286">
        <v>60</v>
      </c>
      <c r="P286">
        <v>3</v>
      </c>
      <c r="Q286">
        <v>2</v>
      </c>
      <c r="R286" t="s">
        <v>40</v>
      </c>
      <c r="S286">
        <v>1</v>
      </c>
      <c r="T286" t="str" cm="1">
        <f t="array" ref="T286">_xlfn.IFS(S286&lt;=2,"Poor",S286&lt;=3,"Fair",S286&gt;=4,"Good")</f>
        <v>Poor</v>
      </c>
      <c r="U286" t="s">
        <v>48</v>
      </c>
      <c r="V286" s="1">
        <v>4741</v>
      </c>
      <c r="W286" t="str" cm="1">
        <f t="array" ref="W286">_xlfn.IFS(V286&lt;=5000,"Low Salary",V286&lt;=12000,"Good Salary",V286&gt;12000,"High Salary")</f>
        <v>Low Salary</v>
      </c>
      <c r="X286">
        <v>22722</v>
      </c>
      <c r="Y286">
        <v>1</v>
      </c>
      <c r="Z286" t="s">
        <v>42</v>
      </c>
      <c r="AA286" t="s">
        <v>43</v>
      </c>
      <c r="AB286">
        <v>13</v>
      </c>
      <c r="AC286">
        <v>3</v>
      </c>
      <c r="AD286" t="str">
        <f t="shared" si="9"/>
        <v>Low Performance</v>
      </c>
      <c r="AE286">
        <v>3</v>
      </c>
      <c r="AF286">
        <v>80</v>
      </c>
      <c r="AG286">
        <v>1</v>
      </c>
      <c r="AH286">
        <v>5</v>
      </c>
      <c r="AI286">
        <v>3</v>
      </c>
      <c r="AJ286">
        <v>3</v>
      </c>
      <c r="AK286" t="str" cm="1">
        <f t="array" ref="AK286">_xlfn.IFS(AJ286&lt;=2,"Poor",AJ286&lt;=3,"Fair",AJ286&gt;3,"Good")</f>
        <v>Fair</v>
      </c>
      <c r="AL286">
        <v>5</v>
      </c>
      <c r="AM286">
        <v>3</v>
      </c>
      <c r="AN286">
        <v>3</v>
      </c>
      <c r="AO286">
        <v>3</v>
      </c>
    </row>
    <row r="287" spans="1:41" x14ac:dyDescent="0.2">
      <c r="A287">
        <v>1649314</v>
      </c>
      <c r="B287">
        <v>37</v>
      </c>
      <c r="C287" t="str" cm="1">
        <f t="array" ref="C287">_xlfn.IFS(B287&lt;=25,"15-25",B287&lt;=35,"26-35",B287&lt;=45,"36-45",B287&lt;=55,"46-55",B287&lt;=65,"56-65")</f>
        <v>36-45</v>
      </c>
      <c r="D287" t="s">
        <v>35</v>
      </c>
      <c r="E287" t="str">
        <f t="shared" si="8"/>
        <v>Current Employee</v>
      </c>
      <c r="F287" t="s">
        <v>36</v>
      </c>
      <c r="G287">
        <v>1372</v>
      </c>
      <c r="H287" t="s">
        <v>45</v>
      </c>
      <c r="I287">
        <v>1</v>
      </c>
      <c r="J287">
        <v>3</v>
      </c>
      <c r="K287" t="s">
        <v>38</v>
      </c>
      <c r="L287">
        <v>1</v>
      </c>
      <c r="M287">
        <v>4</v>
      </c>
      <c r="N287" t="s">
        <v>39</v>
      </c>
      <c r="O287">
        <v>42</v>
      </c>
      <c r="P287">
        <v>3</v>
      </c>
      <c r="Q287">
        <v>1</v>
      </c>
      <c r="R287" t="s">
        <v>47</v>
      </c>
      <c r="S287">
        <v>4</v>
      </c>
      <c r="T287" t="str" cm="1">
        <f t="array" ref="T287">_xlfn.IFS(S287&lt;=2,"Poor",S287&lt;=3,"Fair",S287&gt;=4,"Good")</f>
        <v>Good</v>
      </c>
      <c r="U287" t="s">
        <v>41</v>
      </c>
      <c r="V287" s="1">
        <v>2115</v>
      </c>
      <c r="W287" t="str" cm="1">
        <f t="array" ref="W287">_xlfn.IFS(V287&lt;=5000,"Low Salary",V287&lt;=12000,"Good Salary",V287&gt;12000,"High Salary")</f>
        <v>Low Salary</v>
      </c>
      <c r="X287">
        <v>15881</v>
      </c>
      <c r="Y287">
        <v>1</v>
      </c>
      <c r="Z287" t="s">
        <v>42</v>
      </c>
      <c r="AA287" t="s">
        <v>35</v>
      </c>
      <c r="AB287">
        <v>12</v>
      </c>
      <c r="AC287">
        <v>3</v>
      </c>
      <c r="AD287" t="str">
        <f t="shared" si="9"/>
        <v>Low Performance</v>
      </c>
      <c r="AE287">
        <v>2</v>
      </c>
      <c r="AF287">
        <v>80</v>
      </c>
      <c r="AG287">
        <v>0</v>
      </c>
      <c r="AH287">
        <v>17</v>
      </c>
      <c r="AI287">
        <v>3</v>
      </c>
      <c r="AJ287">
        <v>3</v>
      </c>
      <c r="AK287" t="str" cm="1">
        <f t="array" ref="AK287">_xlfn.IFS(AJ287&lt;=2,"Poor",AJ287&lt;=3,"Fair",AJ287&gt;3,"Good")</f>
        <v>Fair</v>
      </c>
      <c r="AL287">
        <v>17</v>
      </c>
      <c r="AM287">
        <v>12</v>
      </c>
      <c r="AN287">
        <v>5</v>
      </c>
      <c r="AO287">
        <v>7</v>
      </c>
    </row>
    <row r="288" spans="1:41" x14ac:dyDescent="0.2">
      <c r="A288">
        <v>1353021</v>
      </c>
      <c r="B288">
        <v>44</v>
      </c>
      <c r="C288" t="str" cm="1">
        <f t="array" ref="C288">_xlfn.IFS(B288&lt;=25,"15-25",B288&lt;=35,"26-35",B288&lt;=45,"36-45",B288&lt;=55,"46-55",B288&lt;=65,"56-65")</f>
        <v>36-45</v>
      </c>
      <c r="D288" t="s">
        <v>43</v>
      </c>
      <c r="E288" t="str">
        <f t="shared" si="8"/>
        <v>Former Employee</v>
      </c>
      <c r="F288" t="s">
        <v>44</v>
      </c>
      <c r="G288">
        <v>920</v>
      </c>
      <c r="H288" t="s">
        <v>45</v>
      </c>
      <c r="I288">
        <v>24</v>
      </c>
      <c r="J288">
        <v>3</v>
      </c>
      <c r="K288" t="s">
        <v>38</v>
      </c>
      <c r="L288">
        <v>1</v>
      </c>
      <c r="M288">
        <v>4</v>
      </c>
      <c r="N288" t="s">
        <v>46</v>
      </c>
      <c r="O288">
        <v>43</v>
      </c>
      <c r="P288">
        <v>3</v>
      </c>
      <c r="Q288">
        <v>1</v>
      </c>
      <c r="R288" t="s">
        <v>40</v>
      </c>
      <c r="S288">
        <v>3</v>
      </c>
      <c r="T288" t="str" cm="1">
        <f t="array" ref="T288">_xlfn.IFS(S288&lt;=2,"Poor",S288&lt;=3,"Fair",S288&gt;=4,"Good")</f>
        <v>Fair</v>
      </c>
      <c r="U288" t="s">
        <v>50</v>
      </c>
      <c r="V288" s="1">
        <v>3161</v>
      </c>
      <c r="W288" t="str" cm="1">
        <f t="array" ref="W288">_xlfn.IFS(V288&lt;=5000,"Low Salary",V288&lt;=12000,"Good Salary",V288&gt;12000,"High Salary")</f>
        <v>Low Salary</v>
      </c>
      <c r="X288">
        <v>19920</v>
      </c>
      <c r="Y288">
        <v>3</v>
      </c>
      <c r="Z288" t="s">
        <v>42</v>
      </c>
      <c r="AA288" t="s">
        <v>43</v>
      </c>
      <c r="AB288">
        <v>22</v>
      </c>
      <c r="AC288">
        <v>4</v>
      </c>
      <c r="AD288" t="str">
        <f t="shared" si="9"/>
        <v>High Performance</v>
      </c>
      <c r="AE288">
        <v>4</v>
      </c>
      <c r="AF288">
        <v>80</v>
      </c>
      <c r="AG288">
        <v>1</v>
      </c>
      <c r="AH288">
        <v>19</v>
      </c>
      <c r="AI288">
        <v>0</v>
      </c>
      <c r="AJ288">
        <v>1</v>
      </c>
      <c r="AK288" t="str" cm="1">
        <f t="array" ref="AK288">_xlfn.IFS(AJ288&lt;=2,"Poor",AJ288&lt;=3,"Fair",AJ288&gt;3,"Good")</f>
        <v>Poor</v>
      </c>
      <c r="AL288">
        <v>1</v>
      </c>
      <c r="AM288">
        <v>0</v>
      </c>
      <c r="AN288">
        <v>0</v>
      </c>
      <c r="AO288">
        <v>0</v>
      </c>
    </row>
    <row r="289" spans="1:41" x14ac:dyDescent="0.2">
      <c r="A289">
        <v>1704408</v>
      </c>
      <c r="B289">
        <v>38</v>
      </c>
      <c r="C289" t="str" cm="1">
        <f t="array" ref="C289">_xlfn.IFS(B289&lt;=25,"15-25",B289&lt;=35,"26-35",B289&lt;=45,"36-45",B289&lt;=55,"46-55",B289&lt;=65,"56-65")</f>
        <v>36-45</v>
      </c>
      <c r="D289" t="s">
        <v>35</v>
      </c>
      <c r="E289" t="str">
        <f t="shared" si="8"/>
        <v>Current Employee</v>
      </c>
      <c r="F289" t="s">
        <v>36</v>
      </c>
      <c r="G289">
        <v>688</v>
      </c>
      <c r="H289" t="s">
        <v>45</v>
      </c>
      <c r="I289">
        <v>23</v>
      </c>
      <c r="J289">
        <v>4</v>
      </c>
      <c r="K289" t="s">
        <v>38</v>
      </c>
      <c r="L289">
        <v>1</v>
      </c>
      <c r="M289">
        <v>4</v>
      </c>
      <c r="N289" t="s">
        <v>46</v>
      </c>
      <c r="O289">
        <v>82</v>
      </c>
      <c r="P289">
        <v>3</v>
      </c>
      <c r="Q289">
        <v>2</v>
      </c>
      <c r="R289" t="s">
        <v>40</v>
      </c>
      <c r="S289">
        <v>4</v>
      </c>
      <c r="T289" t="str" cm="1">
        <f t="array" ref="T289">_xlfn.IFS(S289&lt;=2,"Poor",S289&lt;=3,"Fair",S289&gt;=4,"Good")</f>
        <v>Good</v>
      </c>
      <c r="U289" t="s">
        <v>50</v>
      </c>
      <c r="V289" s="1">
        <v>5745</v>
      </c>
      <c r="W289" t="str" cm="1">
        <f t="array" ref="W289">_xlfn.IFS(V289&lt;=5000,"Low Salary",V289&lt;=12000,"Good Salary",V289&gt;12000,"High Salary")</f>
        <v>Good Salary</v>
      </c>
      <c r="X289">
        <v>18899</v>
      </c>
      <c r="Y289">
        <v>9</v>
      </c>
      <c r="Z289" t="s">
        <v>42</v>
      </c>
      <c r="AA289" t="s">
        <v>35</v>
      </c>
      <c r="AB289">
        <v>14</v>
      </c>
      <c r="AC289">
        <v>3</v>
      </c>
      <c r="AD289" t="str">
        <f t="shared" si="9"/>
        <v>Low Performance</v>
      </c>
      <c r="AE289">
        <v>2</v>
      </c>
      <c r="AF289">
        <v>80</v>
      </c>
      <c r="AG289">
        <v>1</v>
      </c>
      <c r="AH289">
        <v>10</v>
      </c>
      <c r="AI289">
        <v>2</v>
      </c>
      <c r="AJ289">
        <v>3</v>
      </c>
      <c r="AK289" t="str" cm="1">
        <f t="array" ref="AK289">_xlfn.IFS(AJ289&lt;=2,"Poor",AJ289&lt;=3,"Fair",AJ289&gt;3,"Good")</f>
        <v>Fair</v>
      </c>
      <c r="AL289">
        <v>2</v>
      </c>
      <c r="AM289">
        <v>2</v>
      </c>
      <c r="AN289">
        <v>1</v>
      </c>
      <c r="AO289">
        <v>2</v>
      </c>
    </row>
    <row r="290" spans="1:41" x14ac:dyDescent="0.2">
      <c r="A290">
        <v>1031524</v>
      </c>
      <c r="B290">
        <v>26</v>
      </c>
      <c r="C290" t="str" cm="1">
        <f t="array" ref="C290">_xlfn.IFS(B290&lt;=25,"15-25",B290&lt;=35,"26-35",B290&lt;=45,"36-45",B290&lt;=55,"46-55",B290&lt;=65,"56-65")</f>
        <v>26-35</v>
      </c>
      <c r="D290" t="s">
        <v>43</v>
      </c>
      <c r="E290" t="str">
        <f t="shared" si="8"/>
        <v>Former Employee</v>
      </c>
      <c r="F290" t="s">
        <v>36</v>
      </c>
      <c r="G290">
        <v>1449</v>
      </c>
      <c r="H290" t="s">
        <v>45</v>
      </c>
      <c r="I290">
        <v>16</v>
      </c>
      <c r="J290">
        <v>4</v>
      </c>
      <c r="K290" t="s">
        <v>49</v>
      </c>
      <c r="L290">
        <v>1</v>
      </c>
      <c r="M290">
        <v>1</v>
      </c>
      <c r="N290" t="s">
        <v>46</v>
      </c>
      <c r="O290">
        <v>45</v>
      </c>
      <c r="P290">
        <v>3</v>
      </c>
      <c r="Q290">
        <v>1</v>
      </c>
      <c r="R290" t="s">
        <v>40</v>
      </c>
      <c r="S290">
        <v>2</v>
      </c>
      <c r="T290" t="str" cm="1">
        <f t="array" ref="T290">_xlfn.IFS(S290&lt;=2,"Poor",S290&lt;=3,"Fair",S290&gt;=4,"Good")</f>
        <v>Poor</v>
      </c>
      <c r="U290" t="s">
        <v>50</v>
      </c>
      <c r="V290" s="1">
        <v>2373</v>
      </c>
      <c r="W290" t="str" cm="1">
        <f t="array" ref="W290">_xlfn.IFS(V290&lt;=5000,"Low Salary",V290&lt;=12000,"Good Salary",V290&gt;12000,"High Salary")</f>
        <v>Low Salary</v>
      </c>
      <c r="X290">
        <v>14180</v>
      </c>
      <c r="Y290">
        <v>2</v>
      </c>
      <c r="Z290" t="s">
        <v>42</v>
      </c>
      <c r="AA290" t="s">
        <v>43</v>
      </c>
      <c r="AB290">
        <v>13</v>
      </c>
      <c r="AC290">
        <v>3</v>
      </c>
      <c r="AD290" t="str">
        <f t="shared" si="9"/>
        <v>Low Performance</v>
      </c>
      <c r="AE290">
        <v>4</v>
      </c>
      <c r="AF290">
        <v>80</v>
      </c>
      <c r="AG290">
        <v>1</v>
      </c>
      <c r="AH290">
        <v>5</v>
      </c>
      <c r="AI290">
        <v>2</v>
      </c>
      <c r="AJ290">
        <v>3</v>
      </c>
      <c r="AK290" t="str" cm="1">
        <f t="array" ref="AK290">_xlfn.IFS(AJ290&lt;=2,"Poor",AJ290&lt;=3,"Fair",AJ290&gt;3,"Good")</f>
        <v>Fair</v>
      </c>
      <c r="AL290">
        <v>3</v>
      </c>
      <c r="AM290">
        <v>2</v>
      </c>
      <c r="AN290">
        <v>0</v>
      </c>
      <c r="AO290">
        <v>2</v>
      </c>
    </row>
    <row r="291" spans="1:41" x14ac:dyDescent="0.2">
      <c r="A291">
        <v>1124932</v>
      </c>
      <c r="B291">
        <v>28</v>
      </c>
      <c r="C291" t="str" cm="1">
        <f t="array" ref="C291">_xlfn.IFS(B291&lt;=25,"15-25",B291&lt;=35,"26-35",B291&lt;=45,"36-45",B291&lt;=55,"46-55",B291&lt;=65,"56-65")</f>
        <v>26-35</v>
      </c>
      <c r="D291" t="s">
        <v>35</v>
      </c>
      <c r="E291" t="str">
        <f t="shared" si="8"/>
        <v>Current Employee</v>
      </c>
      <c r="F291" t="s">
        <v>36</v>
      </c>
      <c r="G291">
        <v>1117</v>
      </c>
      <c r="H291" t="s">
        <v>45</v>
      </c>
      <c r="I291">
        <v>8</v>
      </c>
      <c r="J291">
        <v>2</v>
      </c>
      <c r="K291" t="s">
        <v>38</v>
      </c>
      <c r="L291">
        <v>1</v>
      </c>
      <c r="M291">
        <v>4</v>
      </c>
      <c r="N291" t="s">
        <v>39</v>
      </c>
      <c r="O291">
        <v>66</v>
      </c>
      <c r="P291">
        <v>3</v>
      </c>
      <c r="Q291">
        <v>1</v>
      </c>
      <c r="R291" t="s">
        <v>47</v>
      </c>
      <c r="S291">
        <v>4</v>
      </c>
      <c r="T291" t="str" cm="1">
        <f t="array" ref="T291">_xlfn.IFS(S291&lt;=2,"Poor",S291&lt;=3,"Fair",S291&gt;=4,"Good")</f>
        <v>Good</v>
      </c>
      <c r="U291" t="s">
        <v>41</v>
      </c>
      <c r="V291" s="1">
        <v>3310</v>
      </c>
      <c r="W291" t="str" cm="1">
        <f t="array" ref="W291">_xlfn.IFS(V291&lt;=5000,"Low Salary",V291&lt;=12000,"Good Salary",V291&gt;12000,"High Salary")</f>
        <v>Low Salary</v>
      </c>
      <c r="X291">
        <v>4488</v>
      </c>
      <c r="Y291">
        <v>1</v>
      </c>
      <c r="Z291" t="s">
        <v>42</v>
      </c>
      <c r="AA291" t="s">
        <v>35</v>
      </c>
      <c r="AB291">
        <v>21</v>
      </c>
      <c r="AC291">
        <v>4</v>
      </c>
      <c r="AD291" t="str">
        <f t="shared" si="9"/>
        <v>High Performance</v>
      </c>
      <c r="AE291">
        <v>4</v>
      </c>
      <c r="AF291">
        <v>80</v>
      </c>
      <c r="AG291">
        <v>0</v>
      </c>
      <c r="AH291">
        <v>5</v>
      </c>
      <c r="AI291">
        <v>3</v>
      </c>
      <c r="AJ291">
        <v>3</v>
      </c>
      <c r="AK291" t="str" cm="1">
        <f t="array" ref="AK291">_xlfn.IFS(AJ291&lt;=2,"Poor",AJ291&lt;=3,"Fair",AJ291&gt;3,"Good")</f>
        <v>Fair</v>
      </c>
      <c r="AL291">
        <v>5</v>
      </c>
      <c r="AM291">
        <v>3</v>
      </c>
      <c r="AN291">
        <v>0</v>
      </c>
      <c r="AO291">
        <v>2</v>
      </c>
    </row>
    <row r="292" spans="1:41" x14ac:dyDescent="0.2">
      <c r="A292">
        <v>1865139</v>
      </c>
      <c r="B292">
        <v>49</v>
      </c>
      <c r="C292" t="str" cm="1">
        <f t="array" ref="C292">_xlfn.IFS(B292&lt;=25,"15-25",B292&lt;=35,"26-35",B292&lt;=45,"36-45",B292&lt;=55,"46-55",B292&lt;=65,"56-65")</f>
        <v>46-55</v>
      </c>
      <c r="D292" t="s">
        <v>35</v>
      </c>
      <c r="E292" t="str">
        <f t="shared" si="8"/>
        <v>Current Employee</v>
      </c>
      <c r="F292" t="s">
        <v>44</v>
      </c>
      <c r="G292">
        <v>636</v>
      </c>
      <c r="H292" t="s">
        <v>54</v>
      </c>
      <c r="I292">
        <v>10</v>
      </c>
      <c r="J292">
        <v>4</v>
      </c>
      <c r="K292" t="s">
        <v>38</v>
      </c>
      <c r="L292">
        <v>1</v>
      </c>
      <c r="M292">
        <v>3</v>
      </c>
      <c r="N292" t="s">
        <v>39</v>
      </c>
      <c r="O292">
        <v>35</v>
      </c>
      <c r="P292">
        <v>3</v>
      </c>
      <c r="Q292">
        <v>5</v>
      </c>
      <c r="R292" t="s">
        <v>47</v>
      </c>
      <c r="S292">
        <v>1</v>
      </c>
      <c r="T292" t="str" cm="1">
        <f t="array" ref="T292">_xlfn.IFS(S292&lt;=2,"Poor",S292&lt;=3,"Fair",S292&gt;=4,"Good")</f>
        <v>Poor</v>
      </c>
      <c r="U292" t="s">
        <v>41</v>
      </c>
      <c r="V292" s="1">
        <v>18665</v>
      </c>
      <c r="W292" t="str" cm="1">
        <f t="array" ref="W292">_xlfn.IFS(V292&lt;=5000,"Low Salary",V292&lt;=12000,"Good Salary",V292&gt;12000,"High Salary")</f>
        <v>High Salary</v>
      </c>
      <c r="X292">
        <v>25594</v>
      </c>
      <c r="Y292">
        <v>9</v>
      </c>
      <c r="Z292" t="s">
        <v>42</v>
      </c>
      <c r="AA292" t="s">
        <v>43</v>
      </c>
      <c r="AB292">
        <v>11</v>
      </c>
      <c r="AC292">
        <v>3</v>
      </c>
      <c r="AD292" t="str">
        <f t="shared" si="9"/>
        <v>Low Performance</v>
      </c>
      <c r="AE292">
        <v>4</v>
      </c>
      <c r="AF292">
        <v>80</v>
      </c>
      <c r="AG292">
        <v>0</v>
      </c>
      <c r="AH292">
        <v>22</v>
      </c>
      <c r="AI292">
        <v>4</v>
      </c>
      <c r="AJ292">
        <v>3</v>
      </c>
      <c r="AK292" t="str" cm="1">
        <f t="array" ref="AK292">_xlfn.IFS(AJ292&lt;=2,"Poor",AJ292&lt;=3,"Fair",AJ292&gt;3,"Good")</f>
        <v>Fair</v>
      </c>
      <c r="AL292">
        <v>3</v>
      </c>
      <c r="AM292">
        <v>2</v>
      </c>
      <c r="AN292">
        <v>1</v>
      </c>
      <c r="AO292">
        <v>2</v>
      </c>
    </row>
    <row r="293" spans="1:41" x14ac:dyDescent="0.2">
      <c r="A293">
        <v>1158764</v>
      </c>
      <c r="B293">
        <v>36</v>
      </c>
      <c r="C293" t="str" cm="1">
        <f t="array" ref="C293">_xlfn.IFS(B293&lt;=25,"15-25",B293&lt;=35,"26-35",B293&lt;=45,"36-45",B293&lt;=55,"46-55",B293&lt;=65,"56-65")</f>
        <v>36-45</v>
      </c>
      <c r="D293" t="s">
        <v>35</v>
      </c>
      <c r="E293" t="str">
        <f t="shared" si="8"/>
        <v>Current Employee</v>
      </c>
      <c r="F293" t="s">
        <v>36</v>
      </c>
      <c r="G293">
        <v>506</v>
      </c>
      <c r="H293" t="s">
        <v>45</v>
      </c>
      <c r="I293">
        <v>3</v>
      </c>
      <c r="J293">
        <v>3</v>
      </c>
      <c r="K293" t="s">
        <v>56</v>
      </c>
      <c r="L293">
        <v>1</v>
      </c>
      <c r="M293">
        <v>3</v>
      </c>
      <c r="N293" t="s">
        <v>46</v>
      </c>
      <c r="O293">
        <v>30</v>
      </c>
      <c r="P293">
        <v>3</v>
      </c>
      <c r="Q293">
        <v>2</v>
      </c>
      <c r="R293" t="s">
        <v>47</v>
      </c>
      <c r="S293">
        <v>2</v>
      </c>
      <c r="T293" t="str" cm="1">
        <f t="array" ref="T293">_xlfn.IFS(S293&lt;=2,"Poor",S293&lt;=3,"Fair",S293&gt;=4,"Good")</f>
        <v>Poor</v>
      </c>
      <c r="U293" t="s">
        <v>41</v>
      </c>
      <c r="V293" s="1">
        <v>4485</v>
      </c>
      <c r="W293" t="str" cm="1">
        <f t="array" ref="W293">_xlfn.IFS(V293&lt;=5000,"Low Salary",V293&lt;=12000,"Good Salary",V293&gt;12000,"High Salary")</f>
        <v>Low Salary</v>
      </c>
      <c r="X293">
        <v>26285</v>
      </c>
      <c r="Y293">
        <v>4</v>
      </c>
      <c r="Z293" t="s">
        <v>42</v>
      </c>
      <c r="AA293" t="s">
        <v>35</v>
      </c>
      <c r="AB293">
        <v>12</v>
      </c>
      <c r="AC293">
        <v>3</v>
      </c>
      <c r="AD293" t="str">
        <f t="shared" si="9"/>
        <v>Low Performance</v>
      </c>
      <c r="AE293">
        <v>4</v>
      </c>
      <c r="AF293">
        <v>80</v>
      </c>
      <c r="AG293">
        <v>0</v>
      </c>
      <c r="AH293">
        <v>10</v>
      </c>
      <c r="AI293">
        <v>2</v>
      </c>
      <c r="AJ293">
        <v>3</v>
      </c>
      <c r="AK293" t="str" cm="1">
        <f t="array" ref="AK293">_xlfn.IFS(AJ293&lt;=2,"Poor",AJ293&lt;=3,"Fair",AJ293&gt;3,"Good")</f>
        <v>Fair</v>
      </c>
      <c r="AL293">
        <v>8</v>
      </c>
      <c r="AM293">
        <v>0</v>
      </c>
      <c r="AN293">
        <v>7</v>
      </c>
      <c r="AO293">
        <v>7</v>
      </c>
    </row>
    <row r="294" spans="1:41" x14ac:dyDescent="0.2">
      <c r="A294">
        <v>1794901</v>
      </c>
      <c r="B294">
        <v>31</v>
      </c>
      <c r="C294" t="str" cm="1">
        <f t="array" ref="C294">_xlfn.IFS(B294&lt;=25,"15-25",B294&lt;=35,"26-35",B294&lt;=45,"36-45",B294&lt;=55,"46-55",B294&lt;=65,"56-65")</f>
        <v>26-35</v>
      </c>
      <c r="D294" t="s">
        <v>35</v>
      </c>
      <c r="E294" t="str">
        <f t="shared" si="8"/>
        <v>Current Employee</v>
      </c>
      <c r="F294" t="s">
        <v>44</v>
      </c>
      <c r="G294">
        <v>444</v>
      </c>
      <c r="H294" t="s">
        <v>37</v>
      </c>
      <c r="I294">
        <v>5</v>
      </c>
      <c r="J294">
        <v>3</v>
      </c>
      <c r="K294" t="s">
        <v>55</v>
      </c>
      <c r="L294">
        <v>1</v>
      </c>
      <c r="M294">
        <v>4</v>
      </c>
      <c r="N294" t="s">
        <v>39</v>
      </c>
      <c r="O294">
        <v>84</v>
      </c>
      <c r="P294">
        <v>3</v>
      </c>
      <c r="Q294">
        <v>1</v>
      </c>
      <c r="R294" t="s">
        <v>47</v>
      </c>
      <c r="S294">
        <v>2</v>
      </c>
      <c r="T294" t="str" cm="1">
        <f t="array" ref="T294">_xlfn.IFS(S294&lt;=2,"Poor",S294&lt;=3,"Fair",S294&gt;=4,"Good")</f>
        <v>Poor</v>
      </c>
      <c r="U294" t="s">
        <v>50</v>
      </c>
      <c r="V294" s="1">
        <v>2789</v>
      </c>
      <c r="W294" t="str" cm="1">
        <f t="array" ref="W294">_xlfn.IFS(V294&lt;=5000,"Low Salary",V294&lt;=12000,"Good Salary",V294&gt;12000,"High Salary")</f>
        <v>Low Salary</v>
      </c>
      <c r="X294">
        <v>3909</v>
      </c>
      <c r="Y294">
        <v>1</v>
      </c>
      <c r="Z294" t="s">
        <v>42</v>
      </c>
      <c r="AA294" t="s">
        <v>35</v>
      </c>
      <c r="AB294">
        <v>11</v>
      </c>
      <c r="AC294">
        <v>3</v>
      </c>
      <c r="AD294" t="str">
        <f t="shared" si="9"/>
        <v>Low Performance</v>
      </c>
      <c r="AE294">
        <v>3</v>
      </c>
      <c r="AF294">
        <v>80</v>
      </c>
      <c r="AG294">
        <v>1</v>
      </c>
      <c r="AH294">
        <v>2</v>
      </c>
      <c r="AI294">
        <v>5</v>
      </c>
      <c r="AJ294">
        <v>2</v>
      </c>
      <c r="AK294" t="str" cm="1">
        <f t="array" ref="AK294">_xlfn.IFS(AJ294&lt;=2,"Poor",AJ294&lt;=3,"Fair",AJ294&gt;3,"Good")</f>
        <v>Poor</v>
      </c>
      <c r="AL294">
        <v>2</v>
      </c>
      <c r="AM294">
        <v>2</v>
      </c>
      <c r="AN294">
        <v>2</v>
      </c>
      <c r="AO294">
        <v>2</v>
      </c>
    </row>
    <row r="295" spans="1:41" x14ac:dyDescent="0.2">
      <c r="A295">
        <v>1707521</v>
      </c>
      <c r="B295">
        <v>26</v>
      </c>
      <c r="C295" t="str" cm="1">
        <f t="array" ref="C295">_xlfn.IFS(B295&lt;=25,"15-25",B295&lt;=35,"26-35",B295&lt;=45,"36-45",B295&lt;=55,"46-55",B295&lt;=65,"56-65")</f>
        <v>26-35</v>
      </c>
      <c r="D295" t="s">
        <v>43</v>
      </c>
      <c r="E295" t="str">
        <f t="shared" si="8"/>
        <v>Former Employee</v>
      </c>
      <c r="F295" t="s">
        <v>36</v>
      </c>
      <c r="G295">
        <v>950</v>
      </c>
      <c r="H295" t="s">
        <v>37</v>
      </c>
      <c r="I295">
        <v>4</v>
      </c>
      <c r="J295">
        <v>4</v>
      </c>
      <c r="K295" t="s">
        <v>55</v>
      </c>
      <c r="L295">
        <v>1</v>
      </c>
      <c r="M295">
        <v>4</v>
      </c>
      <c r="N295" t="s">
        <v>46</v>
      </c>
      <c r="O295">
        <v>48</v>
      </c>
      <c r="P295">
        <v>2</v>
      </c>
      <c r="Q295">
        <v>2</v>
      </c>
      <c r="R295" t="s">
        <v>40</v>
      </c>
      <c r="S295">
        <v>4</v>
      </c>
      <c r="T295" t="str" cm="1">
        <f t="array" ref="T295">_xlfn.IFS(S295&lt;=2,"Poor",S295&lt;=3,"Fair",S295&gt;=4,"Good")</f>
        <v>Good</v>
      </c>
      <c r="U295" t="s">
        <v>41</v>
      </c>
      <c r="V295" s="1">
        <v>5828</v>
      </c>
      <c r="W295" t="str" cm="1">
        <f t="array" ref="W295">_xlfn.IFS(V295&lt;=5000,"Low Salary",V295&lt;=12000,"Good Salary",V295&gt;12000,"High Salary")</f>
        <v>Good Salary</v>
      </c>
      <c r="X295">
        <v>8450</v>
      </c>
      <c r="Y295">
        <v>1</v>
      </c>
      <c r="Z295" t="s">
        <v>42</v>
      </c>
      <c r="AA295" t="s">
        <v>43</v>
      </c>
      <c r="AB295">
        <v>12</v>
      </c>
      <c r="AC295">
        <v>3</v>
      </c>
      <c r="AD295" t="str">
        <f t="shared" si="9"/>
        <v>Low Performance</v>
      </c>
      <c r="AE295">
        <v>2</v>
      </c>
      <c r="AF295">
        <v>80</v>
      </c>
      <c r="AG295">
        <v>0</v>
      </c>
      <c r="AH295">
        <v>8</v>
      </c>
      <c r="AI295">
        <v>0</v>
      </c>
      <c r="AJ295">
        <v>3</v>
      </c>
      <c r="AK295" t="str" cm="1">
        <f t="array" ref="AK295">_xlfn.IFS(AJ295&lt;=2,"Poor",AJ295&lt;=3,"Fair",AJ295&gt;3,"Good")</f>
        <v>Fair</v>
      </c>
      <c r="AL295">
        <v>8</v>
      </c>
      <c r="AM295">
        <v>7</v>
      </c>
      <c r="AN295">
        <v>7</v>
      </c>
      <c r="AO295">
        <v>4</v>
      </c>
    </row>
    <row r="296" spans="1:41" x14ac:dyDescent="0.2">
      <c r="A296">
        <v>1628660</v>
      </c>
      <c r="B296">
        <v>37</v>
      </c>
      <c r="C296" t="str" cm="1">
        <f t="array" ref="C296">_xlfn.IFS(B296&lt;=25,"15-25",B296&lt;=35,"26-35",B296&lt;=45,"36-45",B296&lt;=55,"46-55",B296&lt;=65,"56-65")</f>
        <v>36-45</v>
      </c>
      <c r="D296" t="s">
        <v>35</v>
      </c>
      <c r="E296" t="str">
        <f t="shared" si="8"/>
        <v>Current Employee</v>
      </c>
      <c r="F296" t="s">
        <v>44</v>
      </c>
      <c r="G296">
        <v>889</v>
      </c>
      <c r="H296" t="s">
        <v>45</v>
      </c>
      <c r="I296">
        <v>9</v>
      </c>
      <c r="J296">
        <v>3</v>
      </c>
      <c r="K296" t="s">
        <v>49</v>
      </c>
      <c r="L296">
        <v>1</v>
      </c>
      <c r="M296">
        <v>2</v>
      </c>
      <c r="N296" t="s">
        <v>46</v>
      </c>
      <c r="O296">
        <v>53</v>
      </c>
      <c r="P296">
        <v>3</v>
      </c>
      <c r="Q296">
        <v>1</v>
      </c>
      <c r="R296" t="s">
        <v>47</v>
      </c>
      <c r="S296">
        <v>4</v>
      </c>
      <c r="T296" t="str" cm="1">
        <f t="array" ref="T296">_xlfn.IFS(S296&lt;=2,"Poor",S296&lt;=3,"Fair",S296&gt;=4,"Good")</f>
        <v>Good</v>
      </c>
      <c r="U296" t="s">
        <v>48</v>
      </c>
      <c r="V296" s="1">
        <v>2326</v>
      </c>
      <c r="W296" t="str" cm="1">
        <f t="array" ref="W296">_xlfn.IFS(V296&lt;=5000,"Low Salary",V296&lt;=12000,"Good Salary",V296&gt;12000,"High Salary")</f>
        <v>Low Salary</v>
      </c>
      <c r="X296">
        <v>11411</v>
      </c>
      <c r="Y296">
        <v>1</v>
      </c>
      <c r="Z296" t="s">
        <v>42</v>
      </c>
      <c r="AA296" t="s">
        <v>43</v>
      </c>
      <c r="AB296">
        <v>12</v>
      </c>
      <c r="AC296">
        <v>3</v>
      </c>
      <c r="AD296" t="str">
        <f t="shared" si="9"/>
        <v>Low Performance</v>
      </c>
      <c r="AE296">
        <v>3</v>
      </c>
      <c r="AF296">
        <v>80</v>
      </c>
      <c r="AG296">
        <v>3</v>
      </c>
      <c r="AH296">
        <v>4</v>
      </c>
      <c r="AI296">
        <v>3</v>
      </c>
      <c r="AJ296">
        <v>2</v>
      </c>
      <c r="AK296" t="str" cm="1">
        <f t="array" ref="AK296">_xlfn.IFS(AJ296&lt;=2,"Poor",AJ296&lt;=3,"Fair",AJ296&gt;3,"Good")</f>
        <v>Poor</v>
      </c>
      <c r="AL296">
        <v>4</v>
      </c>
      <c r="AM296">
        <v>2</v>
      </c>
      <c r="AN296">
        <v>1</v>
      </c>
      <c r="AO296">
        <v>2</v>
      </c>
    </row>
    <row r="297" spans="1:41" x14ac:dyDescent="0.2">
      <c r="A297">
        <v>1099592</v>
      </c>
      <c r="B297">
        <v>42</v>
      </c>
      <c r="C297" t="str" cm="1">
        <f t="array" ref="C297">_xlfn.IFS(B297&lt;=25,"15-25",B297&lt;=35,"26-35",B297&lt;=45,"36-45",B297&lt;=55,"46-55",B297&lt;=65,"56-65")</f>
        <v>36-45</v>
      </c>
      <c r="D297" t="s">
        <v>35</v>
      </c>
      <c r="E297" t="str">
        <f t="shared" si="8"/>
        <v>Current Employee</v>
      </c>
      <c r="F297" t="s">
        <v>44</v>
      </c>
      <c r="G297">
        <v>555</v>
      </c>
      <c r="H297" t="s">
        <v>37</v>
      </c>
      <c r="I297">
        <v>26</v>
      </c>
      <c r="J297">
        <v>3</v>
      </c>
      <c r="K297" t="s">
        <v>55</v>
      </c>
      <c r="L297">
        <v>1</v>
      </c>
      <c r="M297">
        <v>3</v>
      </c>
      <c r="N297" t="s">
        <v>39</v>
      </c>
      <c r="O297">
        <v>77</v>
      </c>
      <c r="P297">
        <v>3</v>
      </c>
      <c r="Q297">
        <v>4</v>
      </c>
      <c r="R297" t="s">
        <v>40</v>
      </c>
      <c r="S297">
        <v>2</v>
      </c>
      <c r="T297" t="str" cm="1">
        <f t="array" ref="T297">_xlfn.IFS(S297&lt;=2,"Poor",S297&lt;=3,"Fair",S297&gt;=4,"Good")</f>
        <v>Poor</v>
      </c>
      <c r="U297" t="s">
        <v>48</v>
      </c>
      <c r="V297" s="1">
        <v>13525</v>
      </c>
      <c r="W297" t="str" cm="1">
        <f t="array" ref="W297">_xlfn.IFS(V297&lt;=5000,"Low Salary",V297&lt;=12000,"Good Salary",V297&gt;12000,"High Salary")</f>
        <v>High Salary</v>
      </c>
      <c r="X297">
        <v>14864</v>
      </c>
      <c r="Y297">
        <v>5</v>
      </c>
      <c r="Z297" t="s">
        <v>42</v>
      </c>
      <c r="AA297" t="s">
        <v>35</v>
      </c>
      <c r="AB297">
        <v>14</v>
      </c>
      <c r="AC297">
        <v>3</v>
      </c>
      <c r="AD297" t="str">
        <f t="shared" si="9"/>
        <v>Low Performance</v>
      </c>
      <c r="AE297">
        <v>4</v>
      </c>
      <c r="AF297">
        <v>80</v>
      </c>
      <c r="AG297">
        <v>1</v>
      </c>
      <c r="AH297">
        <v>23</v>
      </c>
      <c r="AI297">
        <v>2</v>
      </c>
      <c r="AJ297">
        <v>4</v>
      </c>
      <c r="AK297" t="str" cm="1">
        <f t="array" ref="AK297">_xlfn.IFS(AJ297&lt;=2,"Poor",AJ297&lt;=3,"Fair",AJ297&gt;3,"Good")</f>
        <v>Good</v>
      </c>
      <c r="AL297">
        <v>20</v>
      </c>
      <c r="AM297">
        <v>4</v>
      </c>
      <c r="AN297">
        <v>4</v>
      </c>
      <c r="AO297">
        <v>8</v>
      </c>
    </row>
    <row r="298" spans="1:41" x14ac:dyDescent="0.2">
      <c r="A298">
        <v>1837825</v>
      </c>
      <c r="B298">
        <v>18</v>
      </c>
      <c r="C298" t="str" cm="1">
        <f t="array" ref="C298">_xlfn.IFS(B298&lt;=25,"15-25",B298&lt;=35,"26-35",B298&lt;=45,"36-45",B298&lt;=55,"46-55",B298&lt;=65,"56-65")</f>
        <v>15-25</v>
      </c>
      <c r="D298" t="s">
        <v>35</v>
      </c>
      <c r="E298" t="str">
        <f t="shared" si="8"/>
        <v>Current Employee</v>
      </c>
      <c r="F298" t="s">
        <v>36</v>
      </c>
      <c r="G298">
        <v>230</v>
      </c>
      <c r="H298" t="s">
        <v>45</v>
      </c>
      <c r="I298">
        <v>3</v>
      </c>
      <c r="J298">
        <v>3</v>
      </c>
      <c r="K298" t="s">
        <v>38</v>
      </c>
      <c r="L298">
        <v>1</v>
      </c>
      <c r="M298">
        <v>3</v>
      </c>
      <c r="N298" t="s">
        <v>46</v>
      </c>
      <c r="O298">
        <v>54</v>
      </c>
      <c r="P298">
        <v>3</v>
      </c>
      <c r="Q298">
        <v>1</v>
      </c>
      <c r="R298" t="s">
        <v>40</v>
      </c>
      <c r="S298">
        <v>3</v>
      </c>
      <c r="T298" t="str" cm="1">
        <f t="array" ref="T298">_xlfn.IFS(S298&lt;=2,"Poor",S298&lt;=3,"Fair",S298&gt;=4,"Good")</f>
        <v>Fair</v>
      </c>
      <c r="U298" t="s">
        <v>41</v>
      </c>
      <c r="V298" s="1">
        <v>1420</v>
      </c>
      <c r="W298" t="str" cm="1">
        <f t="array" ref="W298">_xlfn.IFS(V298&lt;=5000,"Low Salary",V298&lt;=12000,"Good Salary",V298&gt;12000,"High Salary")</f>
        <v>Low Salary</v>
      </c>
      <c r="X298">
        <v>25233</v>
      </c>
      <c r="Y298">
        <v>1</v>
      </c>
      <c r="Z298" t="s">
        <v>42</v>
      </c>
      <c r="AA298" t="s">
        <v>35</v>
      </c>
      <c r="AB298">
        <v>13</v>
      </c>
      <c r="AC298">
        <v>3</v>
      </c>
      <c r="AD298" t="str">
        <f t="shared" si="9"/>
        <v>Low Performance</v>
      </c>
      <c r="AE298">
        <v>3</v>
      </c>
      <c r="AF298">
        <v>80</v>
      </c>
      <c r="AG298">
        <v>0</v>
      </c>
      <c r="AH298">
        <v>0</v>
      </c>
      <c r="AI298">
        <v>2</v>
      </c>
      <c r="AJ298">
        <v>3</v>
      </c>
      <c r="AK298" t="str" cm="1">
        <f t="array" ref="AK298">_xlfn.IFS(AJ298&lt;=2,"Poor",AJ298&lt;=3,"Fair",AJ298&gt;3,"Good")</f>
        <v>Fair</v>
      </c>
      <c r="AL298">
        <v>0</v>
      </c>
      <c r="AM298">
        <v>0</v>
      </c>
      <c r="AN298">
        <v>0</v>
      </c>
      <c r="AO298">
        <v>0</v>
      </c>
    </row>
    <row r="299" spans="1:41" x14ac:dyDescent="0.2">
      <c r="A299">
        <v>1284393</v>
      </c>
      <c r="B299">
        <v>35</v>
      </c>
      <c r="C299" t="str" cm="1">
        <f t="array" ref="C299">_xlfn.IFS(B299&lt;=25,"15-25",B299&lt;=35,"26-35",B299&lt;=45,"36-45",B299&lt;=55,"46-55",B299&lt;=65,"56-65")</f>
        <v>26-35</v>
      </c>
      <c r="D299" t="s">
        <v>35</v>
      </c>
      <c r="E299" t="str">
        <f t="shared" si="8"/>
        <v>Current Employee</v>
      </c>
      <c r="F299" t="s">
        <v>36</v>
      </c>
      <c r="G299">
        <v>1232</v>
      </c>
      <c r="H299" t="s">
        <v>37</v>
      </c>
      <c r="I299">
        <v>16</v>
      </c>
      <c r="J299">
        <v>3</v>
      </c>
      <c r="K299" t="s">
        <v>55</v>
      </c>
      <c r="L299">
        <v>1</v>
      </c>
      <c r="M299">
        <v>3</v>
      </c>
      <c r="N299" t="s">
        <v>46</v>
      </c>
      <c r="O299">
        <v>96</v>
      </c>
      <c r="P299">
        <v>3</v>
      </c>
      <c r="Q299">
        <v>3</v>
      </c>
      <c r="R299" t="s">
        <v>40</v>
      </c>
      <c r="S299">
        <v>2</v>
      </c>
      <c r="T299" t="str" cm="1">
        <f t="array" ref="T299">_xlfn.IFS(S299&lt;=2,"Poor",S299&lt;=3,"Fair",S299&gt;=4,"Good")</f>
        <v>Poor</v>
      </c>
      <c r="U299" t="s">
        <v>48</v>
      </c>
      <c r="V299" s="1">
        <v>8020</v>
      </c>
      <c r="W299" t="str" cm="1">
        <f t="array" ref="W299">_xlfn.IFS(V299&lt;=5000,"Low Salary",V299&lt;=12000,"Good Salary",V299&gt;12000,"High Salary")</f>
        <v>Good Salary</v>
      </c>
      <c r="X299">
        <v>5100</v>
      </c>
      <c r="Y299">
        <v>0</v>
      </c>
      <c r="Z299" t="s">
        <v>42</v>
      </c>
      <c r="AA299" t="s">
        <v>35</v>
      </c>
      <c r="AB299">
        <v>15</v>
      </c>
      <c r="AC299">
        <v>3</v>
      </c>
      <c r="AD299" t="str">
        <f t="shared" si="9"/>
        <v>Low Performance</v>
      </c>
      <c r="AE299">
        <v>3</v>
      </c>
      <c r="AF299">
        <v>80</v>
      </c>
      <c r="AG299">
        <v>2</v>
      </c>
      <c r="AH299">
        <v>12</v>
      </c>
      <c r="AI299">
        <v>3</v>
      </c>
      <c r="AJ299">
        <v>2</v>
      </c>
      <c r="AK299" t="str" cm="1">
        <f t="array" ref="AK299">_xlfn.IFS(AJ299&lt;=2,"Poor",AJ299&lt;=3,"Fair",AJ299&gt;3,"Good")</f>
        <v>Poor</v>
      </c>
      <c r="AL299">
        <v>11</v>
      </c>
      <c r="AM299">
        <v>9</v>
      </c>
      <c r="AN299">
        <v>6</v>
      </c>
      <c r="AO299">
        <v>9</v>
      </c>
    </row>
    <row r="300" spans="1:41" x14ac:dyDescent="0.2">
      <c r="A300">
        <v>1720804</v>
      </c>
      <c r="B300">
        <v>36</v>
      </c>
      <c r="C300" t="str" cm="1">
        <f t="array" ref="C300">_xlfn.IFS(B300&lt;=25,"15-25",B300&lt;=35,"26-35",B300&lt;=45,"36-45",B300&lt;=55,"46-55",B300&lt;=65,"56-65")</f>
        <v>36-45</v>
      </c>
      <c r="D300" t="s">
        <v>35</v>
      </c>
      <c r="E300" t="str">
        <f t="shared" si="8"/>
        <v>Current Employee</v>
      </c>
      <c r="F300" t="s">
        <v>44</v>
      </c>
      <c r="G300">
        <v>566</v>
      </c>
      <c r="H300" t="s">
        <v>45</v>
      </c>
      <c r="I300">
        <v>18</v>
      </c>
      <c r="J300">
        <v>4</v>
      </c>
      <c r="K300" t="s">
        <v>38</v>
      </c>
      <c r="L300">
        <v>1</v>
      </c>
      <c r="M300">
        <v>3</v>
      </c>
      <c r="N300" t="s">
        <v>46</v>
      </c>
      <c r="O300">
        <v>81</v>
      </c>
      <c r="P300">
        <v>4</v>
      </c>
      <c r="Q300">
        <v>1</v>
      </c>
      <c r="R300" t="s">
        <v>40</v>
      </c>
      <c r="S300">
        <v>4</v>
      </c>
      <c r="T300" t="str" cm="1">
        <f t="array" ref="T300">_xlfn.IFS(S300&lt;=2,"Poor",S300&lt;=3,"Fair",S300&gt;=4,"Good")</f>
        <v>Good</v>
      </c>
      <c r="U300" t="s">
        <v>48</v>
      </c>
      <c r="V300" s="1">
        <v>3688</v>
      </c>
      <c r="W300" t="str" cm="1">
        <f t="array" ref="W300">_xlfn.IFS(V300&lt;=5000,"Low Salary",V300&lt;=12000,"Good Salary",V300&gt;12000,"High Salary")</f>
        <v>Low Salary</v>
      </c>
      <c r="X300">
        <v>7122</v>
      </c>
      <c r="Y300">
        <v>4</v>
      </c>
      <c r="Z300" t="s">
        <v>42</v>
      </c>
      <c r="AA300" t="s">
        <v>35</v>
      </c>
      <c r="AB300">
        <v>18</v>
      </c>
      <c r="AC300">
        <v>3</v>
      </c>
      <c r="AD300" t="str">
        <f t="shared" si="9"/>
        <v>Low Performance</v>
      </c>
      <c r="AE300">
        <v>4</v>
      </c>
      <c r="AF300">
        <v>80</v>
      </c>
      <c r="AG300">
        <v>2</v>
      </c>
      <c r="AH300">
        <v>4</v>
      </c>
      <c r="AI300">
        <v>2</v>
      </c>
      <c r="AJ300">
        <v>3</v>
      </c>
      <c r="AK300" t="str" cm="1">
        <f t="array" ref="AK300">_xlfn.IFS(AJ300&lt;=2,"Poor",AJ300&lt;=3,"Fair",AJ300&gt;3,"Good")</f>
        <v>Fair</v>
      </c>
      <c r="AL300">
        <v>1</v>
      </c>
      <c r="AM300">
        <v>0</v>
      </c>
      <c r="AN300">
        <v>0</v>
      </c>
      <c r="AO300">
        <v>0</v>
      </c>
    </row>
    <row r="301" spans="1:41" x14ac:dyDescent="0.2">
      <c r="A301">
        <v>1749725</v>
      </c>
      <c r="B301">
        <v>51</v>
      </c>
      <c r="C301" t="str" cm="1">
        <f t="array" ref="C301">_xlfn.IFS(B301&lt;=25,"15-25",B301&lt;=35,"26-35",B301&lt;=45,"36-45",B301&lt;=55,"46-55",B301&lt;=65,"56-65")</f>
        <v>46-55</v>
      </c>
      <c r="D301" t="s">
        <v>35</v>
      </c>
      <c r="E301" t="str">
        <f t="shared" si="8"/>
        <v>Current Employee</v>
      </c>
      <c r="F301" t="s">
        <v>36</v>
      </c>
      <c r="G301">
        <v>1302</v>
      </c>
      <c r="H301" t="s">
        <v>54</v>
      </c>
      <c r="I301">
        <v>2</v>
      </c>
      <c r="J301">
        <v>3</v>
      </c>
      <c r="K301" t="s">
        <v>49</v>
      </c>
      <c r="L301">
        <v>1</v>
      </c>
      <c r="M301">
        <v>4</v>
      </c>
      <c r="N301" t="s">
        <v>46</v>
      </c>
      <c r="O301">
        <v>84</v>
      </c>
      <c r="P301">
        <v>1</v>
      </c>
      <c r="Q301">
        <v>2</v>
      </c>
      <c r="R301" t="s">
        <v>51</v>
      </c>
      <c r="S301">
        <v>2</v>
      </c>
      <c r="T301" t="str" cm="1">
        <f t="array" ref="T301">_xlfn.IFS(S301&lt;=2,"Poor",S301&lt;=3,"Fair",S301&gt;=4,"Good")</f>
        <v>Poor</v>
      </c>
      <c r="U301" t="s">
        <v>50</v>
      </c>
      <c r="V301" s="1">
        <v>5482</v>
      </c>
      <c r="W301" t="str" cm="1">
        <f t="array" ref="W301">_xlfn.IFS(V301&lt;=5000,"Low Salary",V301&lt;=12000,"Good Salary",V301&gt;12000,"High Salary")</f>
        <v>Good Salary</v>
      </c>
      <c r="X301">
        <v>16321</v>
      </c>
      <c r="Y301">
        <v>5</v>
      </c>
      <c r="Z301" t="s">
        <v>42</v>
      </c>
      <c r="AA301" t="s">
        <v>35</v>
      </c>
      <c r="AB301">
        <v>18</v>
      </c>
      <c r="AC301">
        <v>3</v>
      </c>
      <c r="AD301" t="str">
        <f t="shared" si="9"/>
        <v>Low Performance</v>
      </c>
      <c r="AE301">
        <v>4</v>
      </c>
      <c r="AF301">
        <v>80</v>
      </c>
      <c r="AG301">
        <v>1</v>
      </c>
      <c r="AH301">
        <v>13</v>
      </c>
      <c r="AI301">
        <v>3</v>
      </c>
      <c r="AJ301">
        <v>3</v>
      </c>
      <c r="AK301" t="str" cm="1">
        <f t="array" ref="AK301">_xlfn.IFS(AJ301&lt;=2,"Poor",AJ301&lt;=3,"Fair",AJ301&gt;3,"Good")</f>
        <v>Fair</v>
      </c>
      <c r="AL301">
        <v>4</v>
      </c>
      <c r="AM301">
        <v>1</v>
      </c>
      <c r="AN301">
        <v>1</v>
      </c>
      <c r="AO301">
        <v>2</v>
      </c>
    </row>
    <row r="302" spans="1:41" x14ac:dyDescent="0.2">
      <c r="A302">
        <v>1460737</v>
      </c>
      <c r="B302">
        <v>41</v>
      </c>
      <c r="C302" t="str" cm="1">
        <f t="array" ref="C302">_xlfn.IFS(B302&lt;=25,"15-25",B302&lt;=35,"26-35",B302&lt;=45,"36-45",B302&lt;=55,"46-55",B302&lt;=65,"56-65")</f>
        <v>36-45</v>
      </c>
      <c r="D302" t="s">
        <v>35</v>
      </c>
      <c r="E302" t="str">
        <f t="shared" si="8"/>
        <v>Current Employee</v>
      </c>
      <c r="F302" t="s">
        <v>36</v>
      </c>
      <c r="G302">
        <v>334</v>
      </c>
      <c r="H302" t="s">
        <v>37</v>
      </c>
      <c r="I302">
        <v>2</v>
      </c>
      <c r="J302">
        <v>4</v>
      </c>
      <c r="K302" t="s">
        <v>38</v>
      </c>
      <c r="L302">
        <v>1</v>
      </c>
      <c r="M302">
        <v>4</v>
      </c>
      <c r="N302" t="s">
        <v>46</v>
      </c>
      <c r="O302">
        <v>88</v>
      </c>
      <c r="P302">
        <v>3</v>
      </c>
      <c r="Q302">
        <v>4</v>
      </c>
      <c r="R302" t="s">
        <v>53</v>
      </c>
      <c r="S302">
        <v>2</v>
      </c>
      <c r="T302" t="str" cm="1">
        <f t="array" ref="T302">_xlfn.IFS(S302&lt;=2,"Poor",S302&lt;=3,"Fair",S302&gt;=4,"Good")</f>
        <v>Poor</v>
      </c>
      <c r="U302" t="s">
        <v>41</v>
      </c>
      <c r="V302" s="1">
        <v>16015</v>
      </c>
      <c r="W302" t="str" cm="1">
        <f t="array" ref="W302">_xlfn.IFS(V302&lt;=5000,"Low Salary",V302&lt;=12000,"Good Salary",V302&gt;12000,"High Salary")</f>
        <v>High Salary</v>
      </c>
      <c r="X302">
        <v>15896</v>
      </c>
      <c r="Y302">
        <v>1</v>
      </c>
      <c r="Z302" t="s">
        <v>42</v>
      </c>
      <c r="AA302" t="s">
        <v>35</v>
      </c>
      <c r="AB302">
        <v>19</v>
      </c>
      <c r="AC302">
        <v>3</v>
      </c>
      <c r="AD302" t="str">
        <f t="shared" si="9"/>
        <v>Low Performance</v>
      </c>
      <c r="AE302">
        <v>2</v>
      </c>
      <c r="AF302">
        <v>80</v>
      </c>
      <c r="AG302">
        <v>0</v>
      </c>
      <c r="AH302">
        <v>22</v>
      </c>
      <c r="AI302">
        <v>2</v>
      </c>
      <c r="AJ302">
        <v>3</v>
      </c>
      <c r="AK302" t="str" cm="1">
        <f t="array" ref="AK302">_xlfn.IFS(AJ302&lt;=2,"Poor",AJ302&lt;=3,"Fair",AJ302&gt;3,"Good")</f>
        <v>Fair</v>
      </c>
      <c r="AL302">
        <v>22</v>
      </c>
      <c r="AM302">
        <v>10</v>
      </c>
      <c r="AN302">
        <v>0</v>
      </c>
      <c r="AO302">
        <v>4</v>
      </c>
    </row>
    <row r="303" spans="1:41" x14ac:dyDescent="0.2">
      <c r="A303">
        <v>1464566</v>
      </c>
      <c r="B303">
        <v>18</v>
      </c>
      <c r="C303" t="str" cm="1">
        <f t="array" ref="C303">_xlfn.IFS(B303&lt;=25,"15-25",B303&lt;=35,"26-35",B303&lt;=45,"36-45",B303&lt;=55,"46-55",B303&lt;=65,"56-65")</f>
        <v>15-25</v>
      </c>
      <c r="D303" t="s">
        <v>43</v>
      </c>
      <c r="E303" t="str">
        <f t="shared" si="8"/>
        <v>Former Employee</v>
      </c>
      <c r="F303" t="s">
        <v>36</v>
      </c>
      <c r="G303">
        <v>812</v>
      </c>
      <c r="H303" t="s">
        <v>37</v>
      </c>
      <c r="I303">
        <v>10</v>
      </c>
      <c r="J303">
        <v>3</v>
      </c>
      <c r="K303" t="s">
        <v>49</v>
      </c>
      <c r="L303">
        <v>1</v>
      </c>
      <c r="M303">
        <v>4</v>
      </c>
      <c r="N303" t="s">
        <v>39</v>
      </c>
      <c r="O303">
        <v>69</v>
      </c>
      <c r="P303">
        <v>2</v>
      </c>
      <c r="Q303">
        <v>1</v>
      </c>
      <c r="R303" t="s">
        <v>47</v>
      </c>
      <c r="S303">
        <v>3</v>
      </c>
      <c r="T303" t="str" cm="1">
        <f t="array" ref="T303">_xlfn.IFS(S303&lt;=2,"Poor",S303&lt;=3,"Fair",S303&gt;=4,"Good")</f>
        <v>Fair</v>
      </c>
      <c r="U303" t="s">
        <v>41</v>
      </c>
      <c r="V303" s="1">
        <v>1200</v>
      </c>
      <c r="W303" t="str" cm="1">
        <f t="array" ref="W303">_xlfn.IFS(V303&lt;=5000,"Low Salary",V303&lt;=12000,"Good Salary",V303&gt;12000,"High Salary")</f>
        <v>Low Salary</v>
      </c>
      <c r="X303">
        <v>9724</v>
      </c>
      <c r="Y303">
        <v>1</v>
      </c>
      <c r="Z303" t="s">
        <v>42</v>
      </c>
      <c r="AA303" t="s">
        <v>35</v>
      </c>
      <c r="AB303">
        <v>12</v>
      </c>
      <c r="AC303">
        <v>3</v>
      </c>
      <c r="AD303" t="str">
        <f t="shared" si="9"/>
        <v>Low Performance</v>
      </c>
      <c r="AE303">
        <v>1</v>
      </c>
      <c r="AF303">
        <v>80</v>
      </c>
      <c r="AG303">
        <v>0</v>
      </c>
      <c r="AH303">
        <v>0</v>
      </c>
      <c r="AI303">
        <v>2</v>
      </c>
      <c r="AJ303">
        <v>3</v>
      </c>
      <c r="AK303" t="str" cm="1">
        <f t="array" ref="AK303">_xlfn.IFS(AJ303&lt;=2,"Poor",AJ303&lt;=3,"Fair",AJ303&gt;3,"Good")</f>
        <v>Fair</v>
      </c>
      <c r="AL303">
        <v>0</v>
      </c>
      <c r="AM303">
        <v>0</v>
      </c>
      <c r="AN303">
        <v>0</v>
      </c>
      <c r="AO303">
        <v>0</v>
      </c>
    </row>
    <row r="304" spans="1:41" x14ac:dyDescent="0.2">
      <c r="A304">
        <v>1608953</v>
      </c>
      <c r="B304">
        <v>28</v>
      </c>
      <c r="C304" t="str" cm="1">
        <f t="array" ref="C304">_xlfn.IFS(B304&lt;=25,"15-25",B304&lt;=35,"26-35",B304&lt;=45,"36-45",B304&lt;=55,"46-55",B304&lt;=65,"56-65")</f>
        <v>26-35</v>
      </c>
      <c r="D304" t="s">
        <v>35</v>
      </c>
      <c r="E304" t="str">
        <f t="shared" si="8"/>
        <v>Current Employee</v>
      </c>
      <c r="F304" t="s">
        <v>36</v>
      </c>
      <c r="G304">
        <v>1476</v>
      </c>
      <c r="H304" t="s">
        <v>45</v>
      </c>
      <c r="I304">
        <v>16</v>
      </c>
      <c r="J304">
        <v>2</v>
      </c>
      <c r="K304" t="s">
        <v>49</v>
      </c>
      <c r="L304">
        <v>1</v>
      </c>
      <c r="M304">
        <v>2</v>
      </c>
      <c r="N304" t="s">
        <v>46</v>
      </c>
      <c r="O304">
        <v>68</v>
      </c>
      <c r="P304">
        <v>4</v>
      </c>
      <c r="Q304">
        <v>2</v>
      </c>
      <c r="R304" t="s">
        <v>40</v>
      </c>
      <c r="S304">
        <v>1</v>
      </c>
      <c r="T304" t="str" cm="1">
        <f t="array" ref="T304">_xlfn.IFS(S304&lt;=2,"Poor",S304&lt;=3,"Fair",S304&gt;=4,"Good")</f>
        <v>Poor</v>
      </c>
      <c r="U304" t="s">
        <v>41</v>
      </c>
      <c r="V304" s="1">
        <v>5661</v>
      </c>
      <c r="W304" t="str" cm="1">
        <f t="array" ref="W304">_xlfn.IFS(V304&lt;=5000,"Low Salary",V304&lt;=12000,"Good Salary",V304&gt;12000,"High Salary")</f>
        <v>Good Salary</v>
      </c>
      <c r="X304">
        <v>4824</v>
      </c>
      <c r="Y304">
        <v>0</v>
      </c>
      <c r="Z304" t="s">
        <v>42</v>
      </c>
      <c r="AA304" t="s">
        <v>35</v>
      </c>
      <c r="AB304">
        <v>19</v>
      </c>
      <c r="AC304">
        <v>3</v>
      </c>
      <c r="AD304" t="str">
        <f t="shared" si="9"/>
        <v>Low Performance</v>
      </c>
      <c r="AE304">
        <v>3</v>
      </c>
      <c r="AF304">
        <v>80</v>
      </c>
      <c r="AG304">
        <v>0</v>
      </c>
      <c r="AH304">
        <v>9</v>
      </c>
      <c r="AI304">
        <v>2</v>
      </c>
      <c r="AJ304">
        <v>3</v>
      </c>
      <c r="AK304" t="str" cm="1">
        <f t="array" ref="AK304">_xlfn.IFS(AJ304&lt;=2,"Poor",AJ304&lt;=3,"Fair",AJ304&gt;3,"Good")</f>
        <v>Fair</v>
      </c>
      <c r="AL304">
        <v>8</v>
      </c>
      <c r="AM304">
        <v>3</v>
      </c>
      <c r="AN304">
        <v>0</v>
      </c>
      <c r="AO304">
        <v>7</v>
      </c>
    </row>
    <row r="305" spans="1:41" x14ac:dyDescent="0.2">
      <c r="A305">
        <v>1162080</v>
      </c>
      <c r="B305">
        <v>31</v>
      </c>
      <c r="C305" t="str" cm="1">
        <f t="array" ref="C305">_xlfn.IFS(B305&lt;=25,"15-25",B305&lt;=35,"26-35",B305&lt;=45,"36-45",B305&lt;=55,"46-55",B305&lt;=65,"56-65")</f>
        <v>26-35</v>
      </c>
      <c r="D305" t="s">
        <v>35</v>
      </c>
      <c r="E305" t="str">
        <f t="shared" si="8"/>
        <v>Current Employee</v>
      </c>
      <c r="F305" t="s">
        <v>36</v>
      </c>
      <c r="G305">
        <v>218</v>
      </c>
      <c r="H305" t="s">
        <v>37</v>
      </c>
      <c r="I305">
        <v>7</v>
      </c>
      <c r="J305">
        <v>3</v>
      </c>
      <c r="K305" t="s">
        <v>56</v>
      </c>
      <c r="L305">
        <v>1</v>
      </c>
      <c r="M305">
        <v>2</v>
      </c>
      <c r="N305" t="s">
        <v>46</v>
      </c>
      <c r="O305">
        <v>100</v>
      </c>
      <c r="P305">
        <v>4</v>
      </c>
      <c r="Q305">
        <v>2</v>
      </c>
      <c r="R305" t="s">
        <v>40</v>
      </c>
      <c r="S305">
        <v>4</v>
      </c>
      <c r="T305" t="str" cm="1">
        <f t="array" ref="T305">_xlfn.IFS(S305&lt;=2,"Poor",S305&lt;=3,"Fair",S305&gt;=4,"Good")</f>
        <v>Good</v>
      </c>
      <c r="U305" t="s">
        <v>48</v>
      </c>
      <c r="V305" s="1">
        <v>6929</v>
      </c>
      <c r="W305" t="str" cm="1">
        <f t="array" ref="W305">_xlfn.IFS(V305&lt;=5000,"Low Salary",V305&lt;=12000,"Good Salary",V305&gt;12000,"High Salary")</f>
        <v>Good Salary</v>
      </c>
      <c r="X305">
        <v>12241</v>
      </c>
      <c r="Y305">
        <v>4</v>
      </c>
      <c r="Z305" t="s">
        <v>42</v>
      </c>
      <c r="AA305" t="s">
        <v>35</v>
      </c>
      <c r="AB305">
        <v>11</v>
      </c>
      <c r="AC305">
        <v>3</v>
      </c>
      <c r="AD305" t="str">
        <f t="shared" si="9"/>
        <v>Low Performance</v>
      </c>
      <c r="AE305">
        <v>2</v>
      </c>
      <c r="AF305">
        <v>80</v>
      </c>
      <c r="AG305">
        <v>1</v>
      </c>
      <c r="AH305">
        <v>10</v>
      </c>
      <c r="AI305">
        <v>3</v>
      </c>
      <c r="AJ305">
        <v>2</v>
      </c>
      <c r="AK305" t="str" cm="1">
        <f t="array" ref="AK305">_xlfn.IFS(AJ305&lt;=2,"Poor",AJ305&lt;=3,"Fair",AJ305&gt;3,"Good")</f>
        <v>Poor</v>
      </c>
      <c r="AL305">
        <v>8</v>
      </c>
      <c r="AM305">
        <v>7</v>
      </c>
      <c r="AN305">
        <v>7</v>
      </c>
      <c r="AO305">
        <v>7</v>
      </c>
    </row>
    <row r="306" spans="1:41" x14ac:dyDescent="0.2">
      <c r="A306">
        <v>1317347</v>
      </c>
      <c r="B306">
        <v>39</v>
      </c>
      <c r="C306" t="str" cm="1">
        <f t="array" ref="C306">_xlfn.IFS(B306&lt;=25,"15-25",B306&lt;=35,"26-35",B306&lt;=45,"36-45",B306&lt;=55,"46-55",B306&lt;=65,"56-65")</f>
        <v>36-45</v>
      </c>
      <c r="D306" t="s">
        <v>35</v>
      </c>
      <c r="E306" t="str">
        <f t="shared" si="8"/>
        <v>Current Employee</v>
      </c>
      <c r="F306" t="s">
        <v>36</v>
      </c>
      <c r="G306">
        <v>1132</v>
      </c>
      <c r="H306" t="s">
        <v>45</v>
      </c>
      <c r="I306">
        <v>1</v>
      </c>
      <c r="J306">
        <v>3</v>
      </c>
      <c r="K306" t="s">
        <v>49</v>
      </c>
      <c r="L306">
        <v>1</v>
      </c>
      <c r="M306">
        <v>3</v>
      </c>
      <c r="N306" t="s">
        <v>46</v>
      </c>
      <c r="O306">
        <v>48</v>
      </c>
      <c r="P306">
        <v>4</v>
      </c>
      <c r="Q306">
        <v>3</v>
      </c>
      <c r="R306" t="s">
        <v>40</v>
      </c>
      <c r="S306">
        <v>4</v>
      </c>
      <c r="T306" t="str" cm="1">
        <f t="array" ref="T306">_xlfn.IFS(S306&lt;=2,"Poor",S306&lt;=3,"Fair",S306&gt;=4,"Good")</f>
        <v>Good</v>
      </c>
      <c r="U306" t="s">
        <v>50</v>
      </c>
      <c r="V306" s="1">
        <v>9613</v>
      </c>
      <c r="W306" t="str" cm="1">
        <f t="array" ref="W306">_xlfn.IFS(V306&lt;=5000,"Low Salary",V306&lt;=12000,"Good Salary",V306&gt;12000,"High Salary")</f>
        <v>Good Salary</v>
      </c>
      <c r="X306">
        <v>10942</v>
      </c>
      <c r="Y306">
        <v>0</v>
      </c>
      <c r="Z306" t="s">
        <v>42</v>
      </c>
      <c r="AA306" t="s">
        <v>35</v>
      </c>
      <c r="AB306">
        <v>17</v>
      </c>
      <c r="AC306">
        <v>3</v>
      </c>
      <c r="AD306" t="str">
        <f t="shared" si="9"/>
        <v>Low Performance</v>
      </c>
      <c r="AE306">
        <v>1</v>
      </c>
      <c r="AF306">
        <v>80</v>
      </c>
      <c r="AG306">
        <v>3</v>
      </c>
      <c r="AH306">
        <v>19</v>
      </c>
      <c r="AI306">
        <v>5</v>
      </c>
      <c r="AJ306">
        <v>2</v>
      </c>
      <c r="AK306" t="str" cm="1">
        <f t="array" ref="AK306">_xlfn.IFS(AJ306&lt;=2,"Poor",AJ306&lt;=3,"Fair",AJ306&gt;3,"Good")</f>
        <v>Poor</v>
      </c>
      <c r="AL306">
        <v>18</v>
      </c>
      <c r="AM306">
        <v>10</v>
      </c>
      <c r="AN306">
        <v>3</v>
      </c>
      <c r="AO306">
        <v>7</v>
      </c>
    </row>
    <row r="307" spans="1:41" x14ac:dyDescent="0.2">
      <c r="A307">
        <v>1712914</v>
      </c>
      <c r="B307">
        <v>36</v>
      </c>
      <c r="C307" t="str" cm="1">
        <f t="array" ref="C307">_xlfn.IFS(B307&lt;=25,"15-25",B307&lt;=35,"26-35",B307&lt;=45,"36-45",B307&lt;=55,"46-55",B307&lt;=65,"56-65")</f>
        <v>36-45</v>
      </c>
      <c r="D307" t="s">
        <v>35</v>
      </c>
      <c r="E307" t="str">
        <f t="shared" si="8"/>
        <v>Current Employee</v>
      </c>
      <c r="F307" t="s">
        <v>52</v>
      </c>
      <c r="G307">
        <v>1105</v>
      </c>
      <c r="H307" t="s">
        <v>45</v>
      </c>
      <c r="I307">
        <v>24</v>
      </c>
      <c r="J307">
        <v>4</v>
      </c>
      <c r="K307" t="s">
        <v>38</v>
      </c>
      <c r="L307">
        <v>1</v>
      </c>
      <c r="M307">
        <v>2</v>
      </c>
      <c r="N307" t="s">
        <v>39</v>
      </c>
      <c r="O307">
        <v>47</v>
      </c>
      <c r="P307">
        <v>3</v>
      </c>
      <c r="Q307">
        <v>2</v>
      </c>
      <c r="R307" t="s">
        <v>40</v>
      </c>
      <c r="S307">
        <v>2</v>
      </c>
      <c r="T307" t="str" cm="1">
        <f t="array" ref="T307">_xlfn.IFS(S307&lt;=2,"Poor",S307&lt;=3,"Fair",S307&gt;=4,"Good")</f>
        <v>Poor</v>
      </c>
      <c r="U307" t="s">
        <v>48</v>
      </c>
      <c r="V307" s="1">
        <v>5674</v>
      </c>
      <c r="W307" t="str" cm="1">
        <f t="array" ref="W307">_xlfn.IFS(V307&lt;=5000,"Low Salary",V307&lt;=12000,"Good Salary",V307&gt;12000,"High Salary")</f>
        <v>Good Salary</v>
      </c>
      <c r="X307">
        <v>6927</v>
      </c>
      <c r="Y307">
        <v>7</v>
      </c>
      <c r="Z307" t="s">
        <v>42</v>
      </c>
      <c r="AA307" t="s">
        <v>35</v>
      </c>
      <c r="AB307">
        <v>15</v>
      </c>
      <c r="AC307">
        <v>3</v>
      </c>
      <c r="AD307" t="str">
        <f t="shared" si="9"/>
        <v>Low Performance</v>
      </c>
      <c r="AE307">
        <v>3</v>
      </c>
      <c r="AF307">
        <v>80</v>
      </c>
      <c r="AG307">
        <v>1</v>
      </c>
      <c r="AH307">
        <v>11</v>
      </c>
      <c r="AI307">
        <v>3</v>
      </c>
      <c r="AJ307">
        <v>3</v>
      </c>
      <c r="AK307" t="str" cm="1">
        <f t="array" ref="AK307">_xlfn.IFS(AJ307&lt;=2,"Poor",AJ307&lt;=3,"Fair",AJ307&gt;3,"Good")</f>
        <v>Fair</v>
      </c>
      <c r="AL307">
        <v>9</v>
      </c>
      <c r="AM307">
        <v>8</v>
      </c>
      <c r="AN307">
        <v>0</v>
      </c>
      <c r="AO307">
        <v>8</v>
      </c>
    </row>
    <row r="308" spans="1:41" x14ac:dyDescent="0.2">
      <c r="A308">
        <v>1672940</v>
      </c>
      <c r="B308">
        <v>32</v>
      </c>
      <c r="C308" t="str" cm="1">
        <f t="array" ref="C308">_xlfn.IFS(B308&lt;=25,"15-25",B308&lt;=35,"26-35",B308&lt;=45,"36-45",B308&lt;=55,"46-55",B308&lt;=65,"56-65")</f>
        <v>26-35</v>
      </c>
      <c r="D308" t="s">
        <v>35</v>
      </c>
      <c r="E308" t="str">
        <f t="shared" si="8"/>
        <v>Current Employee</v>
      </c>
      <c r="F308" t="s">
        <v>36</v>
      </c>
      <c r="G308">
        <v>906</v>
      </c>
      <c r="H308" t="s">
        <v>37</v>
      </c>
      <c r="I308">
        <v>7</v>
      </c>
      <c r="J308">
        <v>3</v>
      </c>
      <c r="K308" t="s">
        <v>38</v>
      </c>
      <c r="L308">
        <v>1</v>
      </c>
      <c r="M308">
        <v>4</v>
      </c>
      <c r="N308" t="s">
        <v>46</v>
      </c>
      <c r="O308">
        <v>91</v>
      </c>
      <c r="P308">
        <v>2</v>
      </c>
      <c r="Q308">
        <v>2</v>
      </c>
      <c r="R308" t="s">
        <v>40</v>
      </c>
      <c r="S308">
        <v>3</v>
      </c>
      <c r="T308" t="str" cm="1">
        <f t="array" ref="T308">_xlfn.IFS(S308&lt;=2,"Poor",S308&lt;=3,"Fair",S308&gt;=4,"Good")</f>
        <v>Fair</v>
      </c>
      <c r="U308" t="s">
        <v>48</v>
      </c>
      <c r="V308" s="1">
        <v>5484</v>
      </c>
      <c r="W308" t="str" cm="1">
        <f t="array" ref="W308">_xlfn.IFS(V308&lt;=5000,"Low Salary",V308&lt;=12000,"Good Salary",V308&gt;12000,"High Salary")</f>
        <v>Good Salary</v>
      </c>
      <c r="X308">
        <v>16985</v>
      </c>
      <c r="Y308">
        <v>1</v>
      </c>
      <c r="Z308" t="s">
        <v>42</v>
      </c>
      <c r="AA308" t="s">
        <v>35</v>
      </c>
      <c r="AB308">
        <v>14</v>
      </c>
      <c r="AC308">
        <v>3</v>
      </c>
      <c r="AD308" t="str">
        <f t="shared" si="9"/>
        <v>Low Performance</v>
      </c>
      <c r="AE308">
        <v>3</v>
      </c>
      <c r="AF308">
        <v>80</v>
      </c>
      <c r="AG308">
        <v>1</v>
      </c>
      <c r="AH308">
        <v>13</v>
      </c>
      <c r="AI308">
        <v>3</v>
      </c>
      <c r="AJ308">
        <v>2</v>
      </c>
      <c r="AK308" t="str" cm="1">
        <f t="array" ref="AK308">_xlfn.IFS(AJ308&lt;=2,"Poor",AJ308&lt;=3,"Fair",AJ308&gt;3,"Good")</f>
        <v>Poor</v>
      </c>
      <c r="AL308">
        <v>13</v>
      </c>
      <c r="AM308">
        <v>8</v>
      </c>
      <c r="AN308">
        <v>4</v>
      </c>
      <c r="AO308">
        <v>8</v>
      </c>
    </row>
    <row r="309" spans="1:41" x14ac:dyDescent="0.2">
      <c r="A309">
        <v>1535275</v>
      </c>
      <c r="B309">
        <v>38</v>
      </c>
      <c r="C309" t="str" cm="1">
        <f t="array" ref="C309">_xlfn.IFS(B309&lt;=25,"15-25",B309&lt;=35,"26-35",B309&lt;=45,"36-45",B309&lt;=55,"46-55",B309&lt;=65,"56-65")</f>
        <v>36-45</v>
      </c>
      <c r="D309" t="s">
        <v>35</v>
      </c>
      <c r="E309" t="str">
        <f t="shared" si="8"/>
        <v>Current Employee</v>
      </c>
      <c r="F309" t="s">
        <v>36</v>
      </c>
      <c r="G309">
        <v>849</v>
      </c>
      <c r="H309" t="s">
        <v>45</v>
      </c>
      <c r="I309">
        <v>25</v>
      </c>
      <c r="J309">
        <v>2</v>
      </c>
      <c r="K309" t="s">
        <v>38</v>
      </c>
      <c r="L309">
        <v>1</v>
      </c>
      <c r="M309">
        <v>1</v>
      </c>
      <c r="N309" t="s">
        <v>39</v>
      </c>
      <c r="O309">
        <v>81</v>
      </c>
      <c r="P309">
        <v>2</v>
      </c>
      <c r="Q309">
        <v>3</v>
      </c>
      <c r="R309" t="s">
        <v>53</v>
      </c>
      <c r="S309">
        <v>2</v>
      </c>
      <c r="T309" t="str" cm="1">
        <f t="array" ref="T309">_xlfn.IFS(S309&lt;=2,"Poor",S309&lt;=3,"Fair",S309&gt;=4,"Good")</f>
        <v>Poor</v>
      </c>
      <c r="U309" t="s">
        <v>48</v>
      </c>
      <c r="V309" s="1">
        <v>12061</v>
      </c>
      <c r="W309" t="str" cm="1">
        <f t="array" ref="W309">_xlfn.IFS(V309&lt;=5000,"Low Salary",V309&lt;=12000,"Good Salary",V309&gt;12000,"High Salary")</f>
        <v>High Salary</v>
      </c>
      <c r="X309">
        <v>26707</v>
      </c>
      <c r="Y309">
        <v>3</v>
      </c>
      <c r="Z309" t="s">
        <v>42</v>
      </c>
      <c r="AA309" t="s">
        <v>35</v>
      </c>
      <c r="AB309">
        <v>17</v>
      </c>
      <c r="AC309">
        <v>3</v>
      </c>
      <c r="AD309" t="str">
        <f t="shared" si="9"/>
        <v>Low Performance</v>
      </c>
      <c r="AE309">
        <v>3</v>
      </c>
      <c r="AF309">
        <v>80</v>
      </c>
      <c r="AG309">
        <v>1</v>
      </c>
      <c r="AH309">
        <v>19</v>
      </c>
      <c r="AI309">
        <v>2</v>
      </c>
      <c r="AJ309">
        <v>3</v>
      </c>
      <c r="AK309" t="str" cm="1">
        <f t="array" ref="AK309">_xlfn.IFS(AJ309&lt;=2,"Poor",AJ309&lt;=3,"Fair",AJ309&gt;3,"Good")</f>
        <v>Fair</v>
      </c>
      <c r="AL309">
        <v>10</v>
      </c>
      <c r="AM309">
        <v>8</v>
      </c>
      <c r="AN309">
        <v>0</v>
      </c>
      <c r="AO309">
        <v>1</v>
      </c>
    </row>
    <row r="310" spans="1:41" x14ac:dyDescent="0.2">
      <c r="A310">
        <v>1505031</v>
      </c>
      <c r="B310">
        <v>58</v>
      </c>
      <c r="C310" t="str" cm="1">
        <f t="array" ref="C310">_xlfn.IFS(B310&lt;=25,"15-25",B310&lt;=35,"26-35",B310&lt;=45,"36-45",B310&lt;=55,"46-55",B310&lt;=65,"56-65")</f>
        <v>56-65</v>
      </c>
      <c r="D310" t="s">
        <v>35</v>
      </c>
      <c r="E310" t="str">
        <f t="shared" si="8"/>
        <v>Current Employee</v>
      </c>
      <c r="F310" t="s">
        <v>52</v>
      </c>
      <c r="G310">
        <v>390</v>
      </c>
      <c r="H310" t="s">
        <v>45</v>
      </c>
      <c r="I310">
        <v>1</v>
      </c>
      <c r="J310">
        <v>4</v>
      </c>
      <c r="K310" t="s">
        <v>38</v>
      </c>
      <c r="L310">
        <v>1</v>
      </c>
      <c r="M310">
        <v>4</v>
      </c>
      <c r="N310" t="s">
        <v>46</v>
      </c>
      <c r="O310">
        <v>32</v>
      </c>
      <c r="P310">
        <v>1</v>
      </c>
      <c r="Q310">
        <v>2</v>
      </c>
      <c r="R310" t="s">
        <v>40</v>
      </c>
      <c r="S310">
        <v>3</v>
      </c>
      <c r="T310" t="str" cm="1">
        <f t="array" ref="T310">_xlfn.IFS(S310&lt;=2,"Poor",S310&lt;=3,"Fair",S310&gt;=4,"Good")</f>
        <v>Fair</v>
      </c>
      <c r="U310" t="s">
        <v>50</v>
      </c>
      <c r="V310" s="1">
        <v>5660</v>
      </c>
      <c r="W310" t="str" cm="1">
        <f t="array" ref="W310">_xlfn.IFS(V310&lt;=5000,"Low Salary",V310&lt;=12000,"Good Salary",V310&gt;12000,"High Salary")</f>
        <v>Good Salary</v>
      </c>
      <c r="X310">
        <v>17056</v>
      </c>
      <c r="Y310">
        <v>2</v>
      </c>
      <c r="Z310" t="s">
        <v>42</v>
      </c>
      <c r="AA310" t="s">
        <v>43</v>
      </c>
      <c r="AB310">
        <v>13</v>
      </c>
      <c r="AC310">
        <v>3</v>
      </c>
      <c r="AD310" t="str">
        <f t="shared" si="9"/>
        <v>Low Performance</v>
      </c>
      <c r="AE310">
        <v>4</v>
      </c>
      <c r="AF310">
        <v>80</v>
      </c>
      <c r="AG310">
        <v>1</v>
      </c>
      <c r="AH310">
        <v>12</v>
      </c>
      <c r="AI310">
        <v>2</v>
      </c>
      <c r="AJ310">
        <v>3</v>
      </c>
      <c r="AK310" t="str" cm="1">
        <f t="array" ref="AK310">_xlfn.IFS(AJ310&lt;=2,"Poor",AJ310&lt;=3,"Fair",AJ310&gt;3,"Good")</f>
        <v>Fair</v>
      </c>
      <c r="AL310">
        <v>5</v>
      </c>
      <c r="AM310">
        <v>3</v>
      </c>
      <c r="AN310">
        <v>1</v>
      </c>
      <c r="AO310">
        <v>2</v>
      </c>
    </row>
    <row r="311" spans="1:41" x14ac:dyDescent="0.2">
      <c r="A311">
        <v>1546688</v>
      </c>
      <c r="B311">
        <v>31</v>
      </c>
      <c r="C311" t="str" cm="1">
        <f t="array" ref="C311">_xlfn.IFS(B311&lt;=25,"15-25",B311&lt;=35,"26-35",B311&lt;=45,"36-45",B311&lt;=55,"46-55",B311&lt;=65,"56-65")</f>
        <v>26-35</v>
      </c>
      <c r="D311" t="s">
        <v>35</v>
      </c>
      <c r="E311" t="str">
        <f t="shared" si="8"/>
        <v>Current Employee</v>
      </c>
      <c r="F311" t="s">
        <v>36</v>
      </c>
      <c r="G311">
        <v>691</v>
      </c>
      <c r="H311" t="s">
        <v>45</v>
      </c>
      <c r="I311">
        <v>5</v>
      </c>
      <c r="J311">
        <v>4</v>
      </c>
      <c r="K311" t="s">
        <v>56</v>
      </c>
      <c r="L311">
        <v>1</v>
      </c>
      <c r="M311">
        <v>3</v>
      </c>
      <c r="N311" t="s">
        <v>46</v>
      </c>
      <c r="O311">
        <v>86</v>
      </c>
      <c r="P311">
        <v>3</v>
      </c>
      <c r="Q311">
        <v>1</v>
      </c>
      <c r="R311" t="s">
        <v>47</v>
      </c>
      <c r="S311">
        <v>4</v>
      </c>
      <c r="T311" t="str" cm="1">
        <f t="array" ref="T311">_xlfn.IFS(S311&lt;=2,"Poor",S311&lt;=3,"Fair",S311&gt;=4,"Good")</f>
        <v>Good</v>
      </c>
      <c r="U311" t="s">
        <v>48</v>
      </c>
      <c r="V311" s="1">
        <v>4821</v>
      </c>
      <c r="W311" t="str" cm="1">
        <f t="array" ref="W311">_xlfn.IFS(V311&lt;=5000,"Low Salary",V311&lt;=12000,"Good Salary",V311&gt;12000,"High Salary")</f>
        <v>Low Salary</v>
      </c>
      <c r="X311">
        <v>10077</v>
      </c>
      <c r="Y311">
        <v>0</v>
      </c>
      <c r="Z311" t="s">
        <v>42</v>
      </c>
      <c r="AA311" t="s">
        <v>43</v>
      </c>
      <c r="AB311">
        <v>12</v>
      </c>
      <c r="AC311">
        <v>3</v>
      </c>
      <c r="AD311" t="str">
        <f t="shared" si="9"/>
        <v>Low Performance</v>
      </c>
      <c r="AE311">
        <v>3</v>
      </c>
      <c r="AF311">
        <v>80</v>
      </c>
      <c r="AG311">
        <v>1</v>
      </c>
      <c r="AH311">
        <v>6</v>
      </c>
      <c r="AI311">
        <v>4</v>
      </c>
      <c r="AJ311">
        <v>3</v>
      </c>
      <c r="AK311" t="str" cm="1">
        <f t="array" ref="AK311">_xlfn.IFS(AJ311&lt;=2,"Poor",AJ311&lt;=3,"Fair",AJ311&gt;3,"Good")</f>
        <v>Fair</v>
      </c>
      <c r="AL311">
        <v>5</v>
      </c>
      <c r="AM311">
        <v>2</v>
      </c>
      <c r="AN311">
        <v>0</v>
      </c>
      <c r="AO311">
        <v>3</v>
      </c>
    </row>
    <row r="312" spans="1:41" x14ac:dyDescent="0.2">
      <c r="A312">
        <v>1578970</v>
      </c>
      <c r="B312">
        <v>31</v>
      </c>
      <c r="C312" t="str" cm="1">
        <f t="array" ref="C312">_xlfn.IFS(B312&lt;=25,"15-25",B312&lt;=35,"26-35",B312&lt;=45,"36-45",B312&lt;=55,"46-55",B312&lt;=65,"56-65")</f>
        <v>26-35</v>
      </c>
      <c r="D312" t="s">
        <v>35</v>
      </c>
      <c r="E312" t="str">
        <f t="shared" si="8"/>
        <v>Current Employee</v>
      </c>
      <c r="F312" t="s">
        <v>36</v>
      </c>
      <c r="G312">
        <v>106</v>
      </c>
      <c r="H312" t="s">
        <v>54</v>
      </c>
      <c r="I312">
        <v>2</v>
      </c>
      <c r="J312">
        <v>3</v>
      </c>
      <c r="K312" t="s">
        <v>57</v>
      </c>
      <c r="L312">
        <v>1</v>
      </c>
      <c r="M312">
        <v>1</v>
      </c>
      <c r="N312" t="s">
        <v>46</v>
      </c>
      <c r="O312">
        <v>62</v>
      </c>
      <c r="P312">
        <v>2</v>
      </c>
      <c r="Q312">
        <v>2</v>
      </c>
      <c r="R312" t="s">
        <v>47</v>
      </c>
      <c r="S312">
        <v>1</v>
      </c>
      <c r="T312" t="str" cm="1">
        <f t="array" ref="T312">_xlfn.IFS(S312&lt;=2,"Poor",S312&lt;=3,"Fair",S312&gt;=4,"Good")</f>
        <v>Poor</v>
      </c>
      <c r="U312" t="s">
        <v>48</v>
      </c>
      <c r="V312" s="1">
        <v>6410</v>
      </c>
      <c r="W312" t="str" cm="1">
        <f t="array" ref="W312">_xlfn.IFS(V312&lt;=5000,"Low Salary",V312&lt;=12000,"Good Salary",V312&gt;12000,"High Salary")</f>
        <v>Good Salary</v>
      </c>
      <c r="X312">
        <v>17822</v>
      </c>
      <c r="Y312">
        <v>3</v>
      </c>
      <c r="Z312" t="s">
        <v>42</v>
      </c>
      <c r="AA312" t="s">
        <v>35</v>
      </c>
      <c r="AB312">
        <v>12</v>
      </c>
      <c r="AC312">
        <v>3</v>
      </c>
      <c r="AD312" t="str">
        <f t="shared" si="9"/>
        <v>Low Performance</v>
      </c>
      <c r="AE312">
        <v>4</v>
      </c>
      <c r="AF312">
        <v>80</v>
      </c>
      <c r="AG312">
        <v>0</v>
      </c>
      <c r="AH312">
        <v>9</v>
      </c>
      <c r="AI312">
        <v>1</v>
      </c>
      <c r="AJ312">
        <v>3</v>
      </c>
      <c r="AK312" t="str" cm="1">
        <f t="array" ref="AK312">_xlfn.IFS(AJ312&lt;=2,"Poor",AJ312&lt;=3,"Fair",AJ312&gt;3,"Good")</f>
        <v>Fair</v>
      </c>
      <c r="AL312">
        <v>2</v>
      </c>
      <c r="AM312">
        <v>2</v>
      </c>
      <c r="AN312">
        <v>1</v>
      </c>
      <c r="AO312">
        <v>0</v>
      </c>
    </row>
    <row r="313" spans="1:41" x14ac:dyDescent="0.2">
      <c r="A313">
        <v>1304896</v>
      </c>
      <c r="B313">
        <v>45</v>
      </c>
      <c r="C313" t="str" cm="1">
        <f t="array" ref="C313">_xlfn.IFS(B313&lt;=25,"15-25",B313&lt;=35,"26-35",B313&lt;=45,"36-45",B313&lt;=55,"46-55",B313&lt;=65,"56-65")</f>
        <v>36-45</v>
      </c>
      <c r="D313" t="s">
        <v>35</v>
      </c>
      <c r="E313" t="str">
        <f t="shared" si="8"/>
        <v>Current Employee</v>
      </c>
      <c r="F313" t="s">
        <v>44</v>
      </c>
      <c r="G313">
        <v>1249</v>
      </c>
      <c r="H313" t="s">
        <v>45</v>
      </c>
      <c r="I313">
        <v>7</v>
      </c>
      <c r="J313">
        <v>3</v>
      </c>
      <c r="K313" t="s">
        <v>38</v>
      </c>
      <c r="L313">
        <v>1</v>
      </c>
      <c r="M313">
        <v>1</v>
      </c>
      <c r="N313" t="s">
        <v>46</v>
      </c>
      <c r="O313">
        <v>97</v>
      </c>
      <c r="P313">
        <v>3</v>
      </c>
      <c r="Q313">
        <v>3</v>
      </c>
      <c r="R313" t="s">
        <v>40</v>
      </c>
      <c r="S313">
        <v>1</v>
      </c>
      <c r="T313" t="str" cm="1">
        <f t="array" ref="T313">_xlfn.IFS(S313&lt;=2,"Poor",S313&lt;=3,"Fair",S313&gt;=4,"Good")</f>
        <v>Poor</v>
      </c>
      <c r="U313" t="s">
        <v>50</v>
      </c>
      <c r="V313" s="1">
        <v>5210</v>
      </c>
      <c r="W313" t="str" cm="1">
        <f t="array" ref="W313">_xlfn.IFS(V313&lt;=5000,"Low Salary",V313&lt;=12000,"Good Salary",V313&gt;12000,"High Salary")</f>
        <v>Good Salary</v>
      </c>
      <c r="X313">
        <v>20308</v>
      </c>
      <c r="Y313">
        <v>1</v>
      </c>
      <c r="Z313" t="s">
        <v>42</v>
      </c>
      <c r="AA313" t="s">
        <v>35</v>
      </c>
      <c r="AB313">
        <v>18</v>
      </c>
      <c r="AC313">
        <v>3</v>
      </c>
      <c r="AD313" t="str">
        <f t="shared" si="9"/>
        <v>Low Performance</v>
      </c>
      <c r="AE313">
        <v>1</v>
      </c>
      <c r="AF313">
        <v>80</v>
      </c>
      <c r="AG313">
        <v>1</v>
      </c>
      <c r="AH313">
        <v>24</v>
      </c>
      <c r="AI313">
        <v>2</v>
      </c>
      <c r="AJ313">
        <v>3</v>
      </c>
      <c r="AK313" t="str" cm="1">
        <f t="array" ref="AK313">_xlfn.IFS(AJ313&lt;=2,"Poor",AJ313&lt;=3,"Fair",AJ313&gt;3,"Good")</f>
        <v>Fair</v>
      </c>
      <c r="AL313">
        <v>24</v>
      </c>
      <c r="AM313">
        <v>9</v>
      </c>
      <c r="AN313">
        <v>9</v>
      </c>
      <c r="AO313">
        <v>11</v>
      </c>
    </row>
    <row r="314" spans="1:41" x14ac:dyDescent="0.2">
      <c r="A314">
        <v>1685562</v>
      </c>
      <c r="B314">
        <v>31</v>
      </c>
      <c r="C314" t="str" cm="1">
        <f t="array" ref="C314">_xlfn.IFS(B314&lt;=25,"15-25",B314&lt;=35,"26-35",B314&lt;=45,"36-45",B314&lt;=55,"46-55",B314&lt;=65,"56-65")</f>
        <v>26-35</v>
      </c>
      <c r="D314" t="s">
        <v>35</v>
      </c>
      <c r="E314" t="str">
        <f t="shared" si="8"/>
        <v>Current Employee</v>
      </c>
      <c r="F314" t="s">
        <v>36</v>
      </c>
      <c r="G314">
        <v>192</v>
      </c>
      <c r="H314" t="s">
        <v>45</v>
      </c>
      <c r="I314">
        <v>2</v>
      </c>
      <c r="J314">
        <v>4</v>
      </c>
      <c r="K314" t="s">
        <v>38</v>
      </c>
      <c r="L314">
        <v>1</v>
      </c>
      <c r="M314">
        <v>3</v>
      </c>
      <c r="N314" t="s">
        <v>46</v>
      </c>
      <c r="O314">
        <v>32</v>
      </c>
      <c r="P314">
        <v>3</v>
      </c>
      <c r="Q314">
        <v>1</v>
      </c>
      <c r="R314" t="s">
        <v>47</v>
      </c>
      <c r="S314">
        <v>4</v>
      </c>
      <c r="T314" t="str" cm="1">
        <f t="array" ref="T314">_xlfn.IFS(S314&lt;=2,"Poor",S314&lt;=3,"Fair",S314&gt;=4,"Good")</f>
        <v>Good</v>
      </c>
      <c r="U314" t="s">
        <v>50</v>
      </c>
      <c r="V314" s="1">
        <v>2695</v>
      </c>
      <c r="W314" t="str" cm="1">
        <f t="array" ref="W314">_xlfn.IFS(V314&lt;=5000,"Low Salary",V314&lt;=12000,"Good Salary",V314&gt;12000,"High Salary")</f>
        <v>Low Salary</v>
      </c>
      <c r="X314">
        <v>7747</v>
      </c>
      <c r="Y314">
        <v>0</v>
      </c>
      <c r="Z314" t="s">
        <v>42</v>
      </c>
      <c r="AA314" t="s">
        <v>43</v>
      </c>
      <c r="AB314">
        <v>18</v>
      </c>
      <c r="AC314">
        <v>3</v>
      </c>
      <c r="AD314" t="str">
        <f t="shared" si="9"/>
        <v>Low Performance</v>
      </c>
      <c r="AE314">
        <v>2</v>
      </c>
      <c r="AF314">
        <v>80</v>
      </c>
      <c r="AG314">
        <v>1</v>
      </c>
      <c r="AH314">
        <v>3</v>
      </c>
      <c r="AI314">
        <v>2</v>
      </c>
      <c r="AJ314">
        <v>1</v>
      </c>
      <c r="AK314" t="str" cm="1">
        <f t="array" ref="AK314">_xlfn.IFS(AJ314&lt;=2,"Poor",AJ314&lt;=3,"Fair",AJ314&gt;3,"Good")</f>
        <v>Poor</v>
      </c>
      <c r="AL314">
        <v>2</v>
      </c>
      <c r="AM314">
        <v>2</v>
      </c>
      <c r="AN314">
        <v>2</v>
      </c>
      <c r="AO314">
        <v>2</v>
      </c>
    </row>
    <row r="315" spans="1:41" x14ac:dyDescent="0.2">
      <c r="A315">
        <v>1172739</v>
      </c>
      <c r="B315">
        <v>33</v>
      </c>
      <c r="C315" t="str" cm="1">
        <f t="array" ref="C315">_xlfn.IFS(B315&lt;=25,"15-25",B315&lt;=35,"26-35",B315&lt;=45,"36-45",B315&lt;=55,"46-55",B315&lt;=65,"56-65")</f>
        <v>26-35</v>
      </c>
      <c r="D315" t="s">
        <v>35</v>
      </c>
      <c r="E315" t="str">
        <f t="shared" si="8"/>
        <v>Current Employee</v>
      </c>
      <c r="F315" t="s">
        <v>44</v>
      </c>
      <c r="G315">
        <v>553</v>
      </c>
      <c r="H315" t="s">
        <v>54</v>
      </c>
      <c r="I315">
        <v>5</v>
      </c>
      <c r="J315">
        <v>4</v>
      </c>
      <c r="K315" t="s">
        <v>38</v>
      </c>
      <c r="L315">
        <v>1</v>
      </c>
      <c r="M315">
        <v>4</v>
      </c>
      <c r="N315" t="s">
        <v>39</v>
      </c>
      <c r="O315">
        <v>74</v>
      </c>
      <c r="P315">
        <v>3</v>
      </c>
      <c r="Q315">
        <v>3</v>
      </c>
      <c r="R315" t="s">
        <v>47</v>
      </c>
      <c r="S315">
        <v>2</v>
      </c>
      <c r="T315" t="str" cm="1">
        <f t="array" ref="T315">_xlfn.IFS(S315&lt;=2,"Poor",S315&lt;=3,"Fair",S315&gt;=4,"Good")</f>
        <v>Poor</v>
      </c>
      <c r="U315" t="s">
        <v>48</v>
      </c>
      <c r="V315" s="1">
        <v>11878</v>
      </c>
      <c r="W315" t="str" cm="1">
        <f t="array" ref="W315">_xlfn.IFS(V315&lt;=5000,"Low Salary",V315&lt;=12000,"Good Salary",V315&gt;12000,"High Salary")</f>
        <v>Good Salary</v>
      </c>
      <c r="X315">
        <v>23364</v>
      </c>
      <c r="Y315">
        <v>6</v>
      </c>
      <c r="Z315" t="s">
        <v>42</v>
      </c>
      <c r="AA315" t="s">
        <v>35</v>
      </c>
      <c r="AB315">
        <v>11</v>
      </c>
      <c r="AC315">
        <v>3</v>
      </c>
      <c r="AD315" t="str">
        <f t="shared" si="9"/>
        <v>Low Performance</v>
      </c>
      <c r="AE315">
        <v>2</v>
      </c>
      <c r="AF315">
        <v>80</v>
      </c>
      <c r="AG315">
        <v>2</v>
      </c>
      <c r="AH315">
        <v>12</v>
      </c>
      <c r="AI315">
        <v>2</v>
      </c>
      <c r="AJ315">
        <v>3</v>
      </c>
      <c r="AK315" t="str" cm="1">
        <f t="array" ref="AK315">_xlfn.IFS(AJ315&lt;=2,"Poor",AJ315&lt;=3,"Fair",AJ315&gt;3,"Good")</f>
        <v>Fair</v>
      </c>
      <c r="AL315">
        <v>10</v>
      </c>
      <c r="AM315">
        <v>6</v>
      </c>
      <c r="AN315">
        <v>8</v>
      </c>
      <c r="AO315">
        <v>8</v>
      </c>
    </row>
    <row r="316" spans="1:41" x14ac:dyDescent="0.2">
      <c r="A316">
        <v>1536502</v>
      </c>
      <c r="B316">
        <v>39</v>
      </c>
      <c r="C316" t="str" cm="1">
        <f t="array" ref="C316">_xlfn.IFS(B316&lt;=25,"15-25",B316&lt;=35,"26-35",B316&lt;=45,"36-45",B316&lt;=55,"46-55",B316&lt;=65,"56-65")</f>
        <v>36-45</v>
      </c>
      <c r="D316" t="s">
        <v>35</v>
      </c>
      <c r="E316" t="str">
        <f t="shared" si="8"/>
        <v>Current Employee</v>
      </c>
      <c r="F316" t="s">
        <v>36</v>
      </c>
      <c r="G316">
        <v>117</v>
      </c>
      <c r="H316" t="s">
        <v>54</v>
      </c>
      <c r="I316">
        <v>10</v>
      </c>
      <c r="J316">
        <v>1</v>
      </c>
      <c r="K316" t="s">
        <v>49</v>
      </c>
      <c r="L316">
        <v>1</v>
      </c>
      <c r="M316">
        <v>3</v>
      </c>
      <c r="N316" t="s">
        <v>46</v>
      </c>
      <c r="O316">
        <v>99</v>
      </c>
      <c r="P316">
        <v>3</v>
      </c>
      <c r="Q316">
        <v>4</v>
      </c>
      <c r="R316" t="s">
        <v>47</v>
      </c>
      <c r="S316">
        <v>1</v>
      </c>
      <c r="T316" t="str" cm="1">
        <f t="array" ref="T316">_xlfn.IFS(S316&lt;=2,"Poor",S316&lt;=3,"Fair",S316&gt;=4,"Good")</f>
        <v>Poor</v>
      </c>
      <c r="U316" t="s">
        <v>48</v>
      </c>
      <c r="V316" s="1">
        <v>17068</v>
      </c>
      <c r="W316" t="str" cm="1">
        <f t="array" ref="W316">_xlfn.IFS(V316&lt;=5000,"Low Salary",V316&lt;=12000,"Good Salary",V316&gt;12000,"High Salary")</f>
        <v>High Salary</v>
      </c>
      <c r="X316">
        <v>5355</v>
      </c>
      <c r="Y316">
        <v>1</v>
      </c>
      <c r="Z316" t="s">
        <v>42</v>
      </c>
      <c r="AA316" t="s">
        <v>43</v>
      </c>
      <c r="AB316">
        <v>14</v>
      </c>
      <c r="AC316">
        <v>3</v>
      </c>
      <c r="AD316" t="str">
        <f t="shared" si="9"/>
        <v>Low Performance</v>
      </c>
      <c r="AE316">
        <v>4</v>
      </c>
      <c r="AF316">
        <v>80</v>
      </c>
      <c r="AG316">
        <v>0</v>
      </c>
      <c r="AH316">
        <v>21</v>
      </c>
      <c r="AI316">
        <v>3</v>
      </c>
      <c r="AJ316">
        <v>3</v>
      </c>
      <c r="AK316" t="str" cm="1">
        <f t="array" ref="AK316">_xlfn.IFS(AJ316&lt;=2,"Poor",AJ316&lt;=3,"Fair",AJ316&gt;3,"Good")</f>
        <v>Fair</v>
      </c>
      <c r="AL316">
        <v>21</v>
      </c>
      <c r="AM316">
        <v>9</v>
      </c>
      <c r="AN316">
        <v>11</v>
      </c>
      <c r="AO316">
        <v>10</v>
      </c>
    </row>
    <row r="317" spans="1:41" x14ac:dyDescent="0.2">
      <c r="A317">
        <v>1837585</v>
      </c>
      <c r="B317">
        <v>43</v>
      </c>
      <c r="C317" t="str" cm="1">
        <f t="array" ref="C317">_xlfn.IFS(B317&lt;=25,"15-25",B317&lt;=35,"26-35",B317&lt;=45,"36-45",B317&lt;=55,"46-55",B317&lt;=65,"56-65")</f>
        <v>36-45</v>
      </c>
      <c r="D317" t="s">
        <v>35</v>
      </c>
      <c r="E317" t="str">
        <f t="shared" si="8"/>
        <v>Current Employee</v>
      </c>
      <c r="F317" t="s">
        <v>44</v>
      </c>
      <c r="G317">
        <v>185</v>
      </c>
      <c r="H317" t="s">
        <v>45</v>
      </c>
      <c r="I317">
        <v>10</v>
      </c>
      <c r="J317">
        <v>4</v>
      </c>
      <c r="K317" t="s">
        <v>38</v>
      </c>
      <c r="L317">
        <v>1</v>
      </c>
      <c r="M317">
        <v>3</v>
      </c>
      <c r="N317" t="s">
        <v>39</v>
      </c>
      <c r="O317">
        <v>33</v>
      </c>
      <c r="P317">
        <v>3</v>
      </c>
      <c r="Q317">
        <v>1</v>
      </c>
      <c r="R317" t="s">
        <v>40</v>
      </c>
      <c r="S317">
        <v>4</v>
      </c>
      <c r="T317" t="str" cm="1">
        <f t="array" ref="T317">_xlfn.IFS(S317&lt;=2,"Poor",S317&lt;=3,"Fair",S317&gt;=4,"Good")</f>
        <v>Good</v>
      </c>
      <c r="U317" t="s">
        <v>41</v>
      </c>
      <c r="V317" s="1">
        <v>2455</v>
      </c>
      <c r="W317" t="str" cm="1">
        <f t="array" ref="W317">_xlfn.IFS(V317&lt;=5000,"Low Salary",V317&lt;=12000,"Good Salary",V317&gt;12000,"High Salary")</f>
        <v>Low Salary</v>
      </c>
      <c r="X317">
        <v>10675</v>
      </c>
      <c r="Y317">
        <v>0</v>
      </c>
      <c r="Z317" t="s">
        <v>42</v>
      </c>
      <c r="AA317" t="s">
        <v>35</v>
      </c>
      <c r="AB317">
        <v>19</v>
      </c>
      <c r="AC317">
        <v>3</v>
      </c>
      <c r="AD317" t="str">
        <f t="shared" si="9"/>
        <v>Low Performance</v>
      </c>
      <c r="AE317">
        <v>1</v>
      </c>
      <c r="AF317">
        <v>80</v>
      </c>
      <c r="AG317">
        <v>0</v>
      </c>
      <c r="AH317">
        <v>9</v>
      </c>
      <c r="AI317">
        <v>5</v>
      </c>
      <c r="AJ317">
        <v>3</v>
      </c>
      <c r="AK317" t="str" cm="1">
        <f t="array" ref="AK317">_xlfn.IFS(AJ317&lt;=2,"Poor",AJ317&lt;=3,"Fair",AJ317&gt;3,"Good")</f>
        <v>Fair</v>
      </c>
      <c r="AL317">
        <v>8</v>
      </c>
      <c r="AM317">
        <v>7</v>
      </c>
      <c r="AN317">
        <v>1</v>
      </c>
      <c r="AO317">
        <v>7</v>
      </c>
    </row>
    <row r="318" spans="1:41" x14ac:dyDescent="0.2">
      <c r="A318">
        <v>1230043</v>
      </c>
      <c r="B318">
        <v>49</v>
      </c>
      <c r="C318" t="str" cm="1">
        <f t="array" ref="C318">_xlfn.IFS(B318&lt;=25,"15-25",B318&lt;=35,"26-35",B318&lt;=45,"36-45",B318&lt;=55,"46-55",B318&lt;=65,"56-65")</f>
        <v>46-55</v>
      </c>
      <c r="D318" t="s">
        <v>35</v>
      </c>
      <c r="E318" t="str">
        <f t="shared" si="8"/>
        <v>Current Employee</v>
      </c>
      <c r="F318" t="s">
        <v>36</v>
      </c>
      <c r="G318">
        <v>1091</v>
      </c>
      <c r="H318" t="s">
        <v>45</v>
      </c>
      <c r="I318">
        <v>1</v>
      </c>
      <c r="J318">
        <v>2</v>
      </c>
      <c r="K318" t="s">
        <v>56</v>
      </c>
      <c r="L318">
        <v>1</v>
      </c>
      <c r="M318">
        <v>3</v>
      </c>
      <c r="N318" t="s">
        <v>39</v>
      </c>
      <c r="O318">
        <v>90</v>
      </c>
      <c r="P318">
        <v>2</v>
      </c>
      <c r="Q318">
        <v>4</v>
      </c>
      <c r="R318" t="s">
        <v>40</v>
      </c>
      <c r="S318">
        <v>3</v>
      </c>
      <c r="T318" t="str" cm="1">
        <f t="array" ref="T318">_xlfn.IFS(S318&lt;=2,"Poor",S318&lt;=3,"Fair",S318&gt;=4,"Good")</f>
        <v>Fair</v>
      </c>
      <c r="U318" t="s">
        <v>41</v>
      </c>
      <c r="V318" s="1">
        <v>13964</v>
      </c>
      <c r="W318" t="str" cm="1">
        <f t="array" ref="W318">_xlfn.IFS(V318&lt;=5000,"Low Salary",V318&lt;=12000,"Good Salary",V318&gt;12000,"High Salary")</f>
        <v>High Salary</v>
      </c>
      <c r="X318">
        <v>17810</v>
      </c>
      <c r="Y318">
        <v>7</v>
      </c>
      <c r="Z318" t="s">
        <v>42</v>
      </c>
      <c r="AA318" t="s">
        <v>43</v>
      </c>
      <c r="AB318">
        <v>12</v>
      </c>
      <c r="AC318">
        <v>3</v>
      </c>
      <c r="AD318" t="str">
        <f t="shared" si="9"/>
        <v>Low Performance</v>
      </c>
      <c r="AE318">
        <v>4</v>
      </c>
      <c r="AF318">
        <v>80</v>
      </c>
      <c r="AG318">
        <v>0</v>
      </c>
      <c r="AH318">
        <v>25</v>
      </c>
      <c r="AI318">
        <v>2</v>
      </c>
      <c r="AJ318">
        <v>3</v>
      </c>
      <c r="AK318" t="str" cm="1">
        <f t="array" ref="AK318">_xlfn.IFS(AJ318&lt;=2,"Poor",AJ318&lt;=3,"Fair",AJ318&gt;3,"Good")</f>
        <v>Fair</v>
      </c>
      <c r="AL318">
        <v>7</v>
      </c>
      <c r="AM318">
        <v>1</v>
      </c>
      <c r="AN318">
        <v>0</v>
      </c>
      <c r="AO318">
        <v>7</v>
      </c>
    </row>
    <row r="319" spans="1:41" x14ac:dyDescent="0.2">
      <c r="A319">
        <v>1202360</v>
      </c>
      <c r="B319">
        <v>52</v>
      </c>
      <c r="C319" t="str" cm="1">
        <f t="array" ref="C319">_xlfn.IFS(B319&lt;=25,"15-25",B319&lt;=35,"26-35",B319&lt;=45,"36-45",B319&lt;=55,"46-55",B319&lt;=65,"56-65")</f>
        <v>46-55</v>
      </c>
      <c r="D319" t="s">
        <v>35</v>
      </c>
      <c r="E319" t="str">
        <f t="shared" si="8"/>
        <v>Current Employee</v>
      </c>
      <c r="F319" t="s">
        <v>36</v>
      </c>
      <c r="G319">
        <v>723</v>
      </c>
      <c r="H319" t="s">
        <v>45</v>
      </c>
      <c r="I319">
        <v>8</v>
      </c>
      <c r="J319">
        <v>4</v>
      </c>
      <c r="K319" t="s">
        <v>49</v>
      </c>
      <c r="L319">
        <v>1</v>
      </c>
      <c r="M319">
        <v>3</v>
      </c>
      <c r="N319" t="s">
        <v>46</v>
      </c>
      <c r="O319">
        <v>85</v>
      </c>
      <c r="P319">
        <v>2</v>
      </c>
      <c r="Q319">
        <v>2</v>
      </c>
      <c r="R319" t="s">
        <v>47</v>
      </c>
      <c r="S319">
        <v>2</v>
      </c>
      <c r="T319" t="str" cm="1">
        <f t="array" ref="T319">_xlfn.IFS(S319&lt;=2,"Poor",S319&lt;=3,"Fair",S319&gt;=4,"Good")</f>
        <v>Poor</v>
      </c>
      <c r="U319" t="s">
        <v>48</v>
      </c>
      <c r="V319" s="1">
        <v>4941</v>
      </c>
      <c r="W319" t="str" cm="1">
        <f t="array" ref="W319">_xlfn.IFS(V319&lt;=5000,"Low Salary",V319&lt;=12000,"Good Salary",V319&gt;12000,"High Salary")</f>
        <v>Low Salary</v>
      </c>
      <c r="X319">
        <v>17747</v>
      </c>
      <c r="Y319">
        <v>2</v>
      </c>
      <c r="Z319" t="s">
        <v>42</v>
      </c>
      <c r="AA319" t="s">
        <v>35</v>
      </c>
      <c r="AB319">
        <v>15</v>
      </c>
      <c r="AC319">
        <v>3</v>
      </c>
      <c r="AD319" t="str">
        <f t="shared" si="9"/>
        <v>Low Performance</v>
      </c>
      <c r="AE319">
        <v>1</v>
      </c>
      <c r="AF319">
        <v>80</v>
      </c>
      <c r="AG319">
        <v>0</v>
      </c>
      <c r="AH319">
        <v>11</v>
      </c>
      <c r="AI319">
        <v>3</v>
      </c>
      <c r="AJ319">
        <v>2</v>
      </c>
      <c r="AK319" t="str" cm="1">
        <f t="array" ref="AK319">_xlfn.IFS(AJ319&lt;=2,"Poor",AJ319&lt;=3,"Fair",AJ319&gt;3,"Good")</f>
        <v>Poor</v>
      </c>
      <c r="AL319">
        <v>8</v>
      </c>
      <c r="AM319">
        <v>2</v>
      </c>
      <c r="AN319">
        <v>7</v>
      </c>
      <c r="AO319">
        <v>7</v>
      </c>
    </row>
    <row r="320" spans="1:41" x14ac:dyDescent="0.2">
      <c r="A320">
        <v>1680149</v>
      </c>
      <c r="B320">
        <v>27</v>
      </c>
      <c r="C320" t="str" cm="1">
        <f t="array" ref="C320">_xlfn.IFS(B320&lt;=25,"15-25",B320&lt;=35,"26-35",B320&lt;=45,"36-45",B320&lt;=55,"46-55",B320&lt;=65,"56-65")</f>
        <v>26-35</v>
      </c>
      <c r="D320" t="s">
        <v>35</v>
      </c>
      <c r="E320" t="str">
        <f t="shared" si="8"/>
        <v>Current Employee</v>
      </c>
      <c r="F320" t="s">
        <v>36</v>
      </c>
      <c r="G320">
        <v>1220</v>
      </c>
      <c r="H320" t="s">
        <v>45</v>
      </c>
      <c r="I320">
        <v>5</v>
      </c>
      <c r="J320">
        <v>3</v>
      </c>
      <c r="K320" t="s">
        <v>38</v>
      </c>
      <c r="L320">
        <v>1</v>
      </c>
      <c r="M320">
        <v>3</v>
      </c>
      <c r="N320" t="s">
        <v>39</v>
      </c>
      <c r="O320">
        <v>85</v>
      </c>
      <c r="P320">
        <v>3</v>
      </c>
      <c r="Q320">
        <v>1</v>
      </c>
      <c r="R320" t="s">
        <v>47</v>
      </c>
      <c r="S320">
        <v>2</v>
      </c>
      <c r="T320" t="str" cm="1">
        <f t="array" ref="T320">_xlfn.IFS(S320&lt;=2,"Poor",S320&lt;=3,"Fair",S320&gt;=4,"Good")</f>
        <v>Poor</v>
      </c>
      <c r="U320" t="s">
        <v>41</v>
      </c>
      <c r="V320" s="1">
        <v>2478</v>
      </c>
      <c r="W320" t="str" cm="1">
        <f t="array" ref="W320">_xlfn.IFS(V320&lt;=5000,"Low Salary",V320&lt;=12000,"Good Salary",V320&gt;12000,"High Salary")</f>
        <v>Low Salary</v>
      </c>
      <c r="X320">
        <v>20938</v>
      </c>
      <c r="Y320">
        <v>1</v>
      </c>
      <c r="Z320" t="s">
        <v>42</v>
      </c>
      <c r="AA320" t="s">
        <v>43</v>
      </c>
      <c r="AB320">
        <v>12</v>
      </c>
      <c r="AC320">
        <v>3</v>
      </c>
      <c r="AD320" t="str">
        <f t="shared" si="9"/>
        <v>Low Performance</v>
      </c>
      <c r="AE320">
        <v>2</v>
      </c>
      <c r="AF320">
        <v>80</v>
      </c>
      <c r="AG320">
        <v>0</v>
      </c>
      <c r="AH320">
        <v>4</v>
      </c>
      <c r="AI320">
        <v>2</v>
      </c>
      <c r="AJ320">
        <v>2</v>
      </c>
      <c r="AK320" t="str" cm="1">
        <f t="array" ref="AK320">_xlfn.IFS(AJ320&lt;=2,"Poor",AJ320&lt;=3,"Fair",AJ320&gt;3,"Good")</f>
        <v>Poor</v>
      </c>
      <c r="AL320">
        <v>4</v>
      </c>
      <c r="AM320">
        <v>3</v>
      </c>
      <c r="AN320">
        <v>1</v>
      </c>
      <c r="AO320">
        <v>2</v>
      </c>
    </row>
    <row r="321" spans="1:41" x14ac:dyDescent="0.2">
      <c r="A321">
        <v>1696143</v>
      </c>
      <c r="B321">
        <v>32</v>
      </c>
      <c r="C321" t="str" cm="1">
        <f t="array" ref="C321">_xlfn.IFS(B321&lt;=25,"15-25",B321&lt;=35,"26-35",B321&lt;=45,"36-45",B321&lt;=55,"46-55",B321&lt;=65,"56-65")</f>
        <v>26-35</v>
      </c>
      <c r="D321" t="s">
        <v>35</v>
      </c>
      <c r="E321" t="str">
        <f t="shared" si="8"/>
        <v>Current Employee</v>
      </c>
      <c r="F321" t="s">
        <v>36</v>
      </c>
      <c r="G321">
        <v>588</v>
      </c>
      <c r="H321" t="s">
        <v>37</v>
      </c>
      <c r="I321">
        <v>8</v>
      </c>
      <c r="J321">
        <v>2</v>
      </c>
      <c r="K321" t="s">
        <v>56</v>
      </c>
      <c r="L321">
        <v>1</v>
      </c>
      <c r="M321">
        <v>3</v>
      </c>
      <c r="N321" t="s">
        <v>39</v>
      </c>
      <c r="O321">
        <v>65</v>
      </c>
      <c r="P321">
        <v>2</v>
      </c>
      <c r="Q321">
        <v>2</v>
      </c>
      <c r="R321" t="s">
        <v>40</v>
      </c>
      <c r="S321">
        <v>2</v>
      </c>
      <c r="T321" t="str" cm="1">
        <f t="array" ref="T321">_xlfn.IFS(S321&lt;=2,"Poor",S321&lt;=3,"Fair",S321&gt;=4,"Good")</f>
        <v>Poor</v>
      </c>
      <c r="U321" t="s">
        <v>48</v>
      </c>
      <c r="V321" s="1">
        <v>5228</v>
      </c>
      <c r="W321" t="str" cm="1">
        <f t="array" ref="W321">_xlfn.IFS(V321&lt;=5000,"Low Salary",V321&lt;=12000,"Good Salary",V321&gt;12000,"High Salary")</f>
        <v>Good Salary</v>
      </c>
      <c r="X321">
        <v>24624</v>
      </c>
      <c r="Y321">
        <v>1</v>
      </c>
      <c r="Z321" t="s">
        <v>42</v>
      </c>
      <c r="AA321" t="s">
        <v>43</v>
      </c>
      <c r="AB321">
        <v>11</v>
      </c>
      <c r="AC321">
        <v>3</v>
      </c>
      <c r="AD321" t="str">
        <f t="shared" si="9"/>
        <v>Low Performance</v>
      </c>
      <c r="AE321">
        <v>4</v>
      </c>
      <c r="AF321">
        <v>80</v>
      </c>
      <c r="AG321">
        <v>0</v>
      </c>
      <c r="AH321">
        <v>13</v>
      </c>
      <c r="AI321">
        <v>2</v>
      </c>
      <c r="AJ321">
        <v>3</v>
      </c>
      <c r="AK321" t="str" cm="1">
        <f t="array" ref="AK321">_xlfn.IFS(AJ321&lt;=2,"Poor",AJ321&lt;=3,"Fair",AJ321&gt;3,"Good")</f>
        <v>Fair</v>
      </c>
      <c r="AL321">
        <v>13</v>
      </c>
      <c r="AM321">
        <v>12</v>
      </c>
      <c r="AN321">
        <v>11</v>
      </c>
      <c r="AO321">
        <v>9</v>
      </c>
    </row>
    <row r="322" spans="1:41" x14ac:dyDescent="0.2">
      <c r="A322">
        <v>1773686</v>
      </c>
      <c r="B322">
        <v>27</v>
      </c>
      <c r="C322" t="str" cm="1">
        <f t="array" ref="C322">_xlfn.IFS(B322&lt;=25,"15-25",B322&lt;=35,"26-35",B322&lt;=45,"36-45",B322&lt;=55,"46-55",B322&lt;=65,"56-65")</f>
        <v>26-35</v>
      </c>
      <c r="D322" t="s">
        <v>35</v>
      </c>
      <c r="E322" t="str">
        <f t="shared" si="8"/>
        <v>Current Employee</v>
      </c>
      <c r="F322" t="s">
        <v>36</v>
      </c>
      <c r="G322">
        <v>1377</v>
      </c>
      <c r="H322" t="s">
        <v>37</v>
      </c>
      <c r="I322">
        <v>2</v>
      </c>
      <c r="J322">
        <v>3</v>
      </c>
      <c r="K322" t="s">
        <v>38</v>
      </c>
      <c r="L322">
        <v>1</v>
      </c>
      <c r="M322">
        <v>4</v>
      </c>
      <c r="N322" t="s">
        <v>46</v>
      </c>
      <c r="O322">
        <v>74</v>
      </c>
      <c r="P322">
        <v>3</v>
      </c>
      <c r="Q322">
        <v>2</v>
      </c>
      <c r="R322" t="s">
        <v>40</v>
      </c>
      <c r="S322">
        <v>3</v>
      </c>
      <c r="T322" t="str" cm="1">
        <f t="array" ref="T322">_xlfn.IFS(S322&lt;=2,"Poor",S322&lt;=3,"Fair",S322&gt;=4,"Good")</f>
        <v>Fair</v>
      </c>
      <c r="U322" t="s">
        <v>41</v>
      </c>
      <c r="V322" s="1">
        <v>4478</v>
      </c>
      <c r="W322" t="str" cm="1">
        <f t="array" ref="W322">_xlfn.IFS(V322&lt;=5000,"Low Salary",V322&lt;=12000,"Good Salary",V322&gt;12000,"High Salary")</f>
        <v>Low Salary</v>
      </c>
      <c r="X322">
        <v>5242</v>
      </c>
      <c r="Y322">
        <v>1</v>
      </c>
      <c r="Z322" t="s">
        <v>42</v>
      </c>
      <c r="AA322" t="s">
        <v>43</v>
      </c>
      <c r="AB322">
        <v>11</v>
      </c>
      <c r="AC322">
        <v>3</v>
      </c>
      <c r="AD322" t="str">
        <f t="shared" si="9"/>
        <v>Low Performance</v>
      </c>
      <c r="AE322">
        <v>1</v>
      </c>
      <c r="AF322">
        <v>80</v>
      </c>
      <c r="AG322">
        <v>0</v>
      </c>
      <c r="AH322">
        <v>5</v>
      </c>
      <c r="AI322">
        <v>3</v>
      </c>
      <c r="AJ322">
        <v>3</v>
      </c>
      <c r="AK322" t="str" cm="1">
        <f t="array" ref="AK322">_xlfn.IFS(AJ322&lt;=2,"Poor",AJ322&lt;=3,"Fair",AJ322&gt;3,"Good")</f>
        <v>Fair</v>
      </c>
      <c r="AL322">
        <v>5</v>
      </c>
      <c r="AM322">
        <v>4</v>
      </c>
      <c r="AN322">
        <v>0</v>
      </c>
      <c r="AO322">
        <v>4</v>
      </c>
    </row>
    <row r="323" spans="1:41" x14ac:dyDescent="0.2">
      <c r="A323">
        <v>1625490</v>
      </c>
      <c r="B323">
        <v>31</v>
      </c>
      <c r="C323" t="str" cm="1">
        <f t="array" ref="C323">_xlfn.IFS(B323&lt;=25,"15-25",B323&lt;=35,"26-35",B323&lt;=45,"36-45",B323&lt;=55,"46-55",B323&lt;=65,"56-65")</f>
        <v>26-35</v>
      </c>
      <c r="D323" t="s">
        <v>35</v>
      </c>
      <c r="E323" t="str">
        <f t="shared" ref="E323:E386" si="10">IF(D323="No","Current Employee","Former Employee")</f>
        <v>Current Employee</v>
      </c>
      <c r="F323" t="s">
        <v>36</v>
      </c>
      <c r="G323">
        <v>691</v>
      </c>
      <c r="H323" t="s">
        <v>37</v>
      </c>
      <c r="I323">
        <v>7</v>
      </c>
      <c r="J323">
        <v>3</v>
      </c>
      <c r="K323" t="s">
        <v>55</v>
      </c>
      <c r="L323">
        <v>1</v>
      </c>
      <c r="M323">
        <v>4</v>
      </c>
      <c r="N323" t="s">
        <v>46</v>
      </c>
      <c r="O323">
        <v>73</v>
      </c>
      <c r="P323">
        <v>3</v>
      </c>
      <c r="Q323">
        <v>2</v>
      </c>
      <c r="R323" t="s">
        <v>40</v>
      </c>
      <c r="S323">
        <v>4</v>
      </c>
      <c r="T323" t="str" cm="1">
        <f t="array" ref="T323">_xlfn.IFS(S323&lt;=2,"Poor",S323&lt;=3,"Fair",S323&gt;=4,"Good")</f>
        <v>Good</v>
      </c>
      <c r="U323" t="s">
        <v>50</v>
      </c>
      <c r="V323" s="1">
        <v>7547</v>
      </c>
      <c r="W323" t="str" cm="1">
        <f t="array" ref="W323">_xlfn.IFS(V323&lt;=5000,"Low Salary",V323&lt;=12000,"Good Salary",V323&gt;12000,"High Salary")</f>
        <v>Good Salary</v>
      </c>
      <c r="X323">
        <v>7143</v>
      </c>
      <c r="Y323">
        <v>4</v>
      </c>
      <c r="Z323" t="s">
        <v>42</v>
      </c>
      <c r="AA323" t="s">
        <v>35</v>
      </c>
      <c r="AB323">
        <v>12</v>
      </c>
      <c r="AC323">
        <v>3</v>
      </c>
      <c r="AD323" t="str">
        <f t="shared" ref="AD323:AD386" si="11">IF(AC323&lt;=3,"Low Performance","High Performance")</f>
        <v>Low Performance</v>
      </c>
      <c r="AE323">
        <v>4</v>
      </c>
      <c r="AF323">
        <v>80</v>
      </c>
      <c r="AG323">
        <v>3</v>
      </c>
      <c r="AH323">
        <v>13</v>
      </c>
      <c r="AI323">
        <v>3</v>
      </c>
      <c r="AJ323">
        <v>3</v>
      </c>
      <c r="AK323" t="str" cm="1">
        <f t="array" ref="AK323">_xlfn.IFS(AJ323&lt;=2,"Poor",AJ323&lt;=3,"Fair",AJ323&gt;3,"Good")</f>
        <v>Fair</v>
      </c>
      <c r="AL323">
        <v>7</v>
      </c>
      <c r="AM323">
        <v>7</v>
      </c>
      <c r="AN323">
        <v>1</v>
      </c>
      <c r="AO323">
        <v>7</v>
      </c>
    </row>
    <row r="324" spans="1:41" x14ac:dyDescent="0.2">
      <c r="A324">
        <v>1038656</v>
      </c>
      <c r="B324">
        <v>32</v>
      </c>
      <c r="C324" t="str" cm="1">
        <f t="array" ref="C324">_xlfn.IFS(B324&lt;=25,"15-25",B324&lt;=35,"26-35",B324&lt;=45,"36-45",B324&lt;=55,"46-55",B324&lt;=65,"56-65")</f>
        <v>26-35</v>
      </c>
      <c r="D324" t="s">
        <v>35</v>
      </c>
      <c r="E324" t="str">
        <f t="shared" si="10"/>
        <v>Current Employee</v>
      </c>
      <c r="F324" t="s">
        <v>36</v>
      </c>
      <c r="G324">
        <v>1018</v>
      </c>
      <c r="H324" t="s">
        <v>45</v>
      </c>
      <c r="I324">
        <v>2</v>
      </c>
      <c r="J324">
        <v>4</v>
      </c>
      <c r="K324" t="s">
        <v>49</v>
      </c>
      <c r="L324">
        <v>1</v>
      </c>
      <c r="M324">
        <v>1</v>
      </c>
      <c r="N324" t="s">
        <v>39</v>
      </c>
      <c r="O324">
        <v>74</v>
      </c>
      <c r="P324">
        <v>4</v>
      </c>
      <c r="Q324">
        <v>2</v>
      </c>
      <c r="R324" t="s">
        <v>47</v>
      </c>
      <c r="S324">
        <v>4</v>
      </c>
      <c r="T324" t="str" cm="1">
        <f t="array" ref="T324">_xlfn.IFS(S324&lt;=2,"Poor",S324&lt;=3,"Fair",S324&gt;=4,"Good")</f>
        <v>Good</v>
      </c>
      <c r="U324" t="s">
        <v>41</v>
      </c>
      <c r="V324" s="1">
        <v>5055</v>
      </c>
      <c r="W324" t="str" cm="1">
        <f t="array" ref="W324">_xlfn.IFS(V324&lt;=5000,"Low Salary",V324&lt;=12000,"Good Salary",V324&gt;12000,"High Salary")</f>
        <v>Good Salary</v>
      </c>
      <c r="X324">
        <v>10557</v>
      </c>
      <c r="Y324">
        <v>7</v>
      </c>
      <c r="Z324" t="s">
        <v>42</v>
      </c>
      <c r="AA324" t="s">
        <v>35</v>
      </c>
      <c r="AB324">
        <v>16</v>
      </c>
      <c r="AC324">
        <v>3</v>
      </c>
      <c r="AD324" t="str">
        <f t="shared" si="11"/>
        <v>Low Performance</v>
      </c>
      <c r="AE324">
        <v>3</v>
      </c>
      <c r="AF324">
        <v>80</v>
      </c>
      <c r="AG324">
        <v>0</v>
      </c>
      <c r="AH324">
        <v>10</v>
      </c>
      <c r="AI324">
        <v>0</v>
      </c>
      <c r="AJ324">
        <v>2</v>
      </c>
      <c r="AK324" t="str" cm="1">
        <f t="array" ref="AK324">_xlfn.IFS(AJ324&lt;=2,"Poor",AJ324&lt;=3,"Fair",AJ324&gt;3,"Good")</f>
        <v>Poor</v>
      </c>
      <c r="AL324">
        <v>7</v>
      </c>
      <c r="AM324">
        <v>7</v>
      </c>
      <c r="AN324">
        <v>0</v>
      </c>
      <c r="AO324">
        <v>7</v>
      </c>
    </row>
    <row r="325" spans="1:41" x14ac:dyDescent="0.2">
      <c r="A325">
        <v>1323864</v>
      </c>
      <c r="B325">
        <v>28</v>
      </c>
      <c r="C325" t="str" cm="1">
        <f t="array" ref="C325">_xlfn.IFS(B325&lt;=25,"15-25",B325&lt;=35,"26-35",B325&lt;=45,"36-45",B325&lt;=55,"46-55",B325&lt;=65,"56-65")</f>
        <v>26-35</v>
      </c>
      <c r="D325" t="s">
        <v>43</v>
      </c>
      <c r="E325" t="str">
        <f t="shared" si="10"/>
        <v>Former Employee</v>
      </c>
      <c r="F325" t="s">
        <v>36</v>
      </c>
      <c r="G325">
        <v>1157</v>
      </c>
      <c r="H325" t="s">
        <v>45</v>
      </c>
      <c r="I325">
        <v>2</v>
      </c>
      <c r="J325">
        <v>4</v>
      </c>
      <c r="K325" t="s">
        <v>49</v>
      </c>
      <c r="L325">
        <v>1</v>
      </c>
      <c r="M325">
        <v>1</v>
      </c>
      <c r="N325" t="s">
        <v>46</v>
      </c>
      <c r="O325">
        <v>84</v>
      </c>
      <c r="P325">
        <v>1</v>
      </c>
      <c r="Q325">
        <v>1</v>
      </c>
      <c r="R325" t="s">
        <v>47</v>
      </c>
      <c r="S325">
        <v>4</v>
      </c>
      <c r="T325" t="str" cm="1">
        <f t="array" ref="T325">_xlfn.IFS(S325&lt;=2,"Poor",S325&lt;=3,"Fair",S325&gt;=4,"Good")</f>
        <v>Good</v>
      </c>
      <c r="U325" t="s">
        <v>48</v>
      </c>
      <c r="V325" s="1">
        <v>3464</v>
      </c>
      <c r="W325" t="str" cm="1">
        <f t="array" ref="W325">_xlfn.IFS(V325&lt;=5000,"Low Salary",V325&lt;=12000,"Good Salary",V325&gt;12000,"High Salary")</f>
        <v>Low Salary</v>
      </c>
      <c r="X325">
        <v>24737</v>
      </c>
      <c r="Y325">
        <v>5</v>
      </c>
      <c r="Z325" t="s">
        <v>42</v>
      </c>
      <c r="AA325" t="s">
        <v>43</v>
      </c>
      <c r="AB325">
        <v>13</v>
      </c>
      <c r="AC325">
        <v>3</v>
      </c>
      <c r="AD325" t="str">
        <f t="shared" si="11"/>
        <v>Low Performance</v>
      </c>
      <c r="AE325">
        <v>4</v>
      </c>
      <c r="AF325">
        <v>80</v>
      </c>
      <c r="AG325">
        <v>0</v>
      </c>
      <c r="AH325">
        <v>5</v>
      </c>
      <c r="AI325">
        <v>4</v>
      </c>
      <c r="AJ325">
        <v>2</v>
      </c>
      <c r="AK325" t="str" cm="1">
        <f t="array" ref="AK325">_xlfn.IFS(AJ325&lt;=2,"Poor",AJ325&lt;=3,"Fair",AJ325&gt;3,"Good")</f>
        <v>Poor</v>
      </c>
      <c r="AL325">
        <v>3</v>
      </c>
      <c r="AM325">
        <v>2</v>
      </c>
      <c r="AN325">
        <v>2</v>
      </c>
      <c r="AO325">
        <v>2</v>
      </c>
    </row>
    <row r="326" spans="1:41" x14ac:dyDescent="0.2">
      <c r="A326">
        <v>1222187</v>
      </c>
      <c r="B326">
        <v>30</v>
      </c>
      <c r="C326" t="str" cm="1">
        <f t="array" ref="C326">_xlfn.IFS(B326&lt;=25,"15-25",B326&lt;=35,"26-35",B326&lt;=45,"36-45",B326&lt;=55,"46-55",B326&lt;=65,"56-65")</f>
        <v>26-35</v>
      </c>
      <c r="D326" t="s">
        <v>35</v>
      </c>
      <c r="E326" t="str">
        <f t="shared" si="10"/>
        <v>Current Employee</v>
      </c>
      <c r="F326" t="s">
        <v>36</v>
      </c>
      <c r="G326">
        <v>1275</v>
      </c>
      <c r="H326" t="s">
        <v>45</v>
      </c>
      <c r="I326">
        <v>28</v>
      </c>
      <c r="J326">
        <v>2</v>
      </c>
      <c r="K326" t="s">
        <v>49</v>
      </c>
      <c r="L326">
        <v>1</v>
      </c>
      <c r="M326">
        <v>4</v>
      </c>
      <c r="N326" t="s">
        <v>39</v>
      </c>
      <c r="O326">
        <v>64</v>
      </c>
      <c r="P326">
        <v>3</v>
      </c>
      <c r="Q326">
        <v>2</v>
      </c>
      <c r="R326" t="s">
        <v>47</v>
      </c>
      <c r="S326">
        <v>4</v>
      </c>
      <c r="T326" t="str" cm="1">
        <f t="array" ref="T326">_xlfn.IFS(S326&lt;=2,"Poor",S326&lt;=3,"Fair",S326&gt;=4,"Good")</f>
        <v>Good</v>
      </c>
      <c r="U326" t="s">
        <v>48</v>
      </c>
      <c r="V326" s="1">
        <v>5775</v>
      </c>
      <c r="W326" t="str" cm="1">
        <f t="array" ref="W326">_xlfn.IFS(V326&lt;=5000,"Low Salary",V326&lt;=12000,"Good Salary",V326&gt;12000,"High Salary")</f>
        <v>Good Salary</v>
      </c>
      <c r="X326">
        <v>11934</v>
      </c>
      <c r="Y326">
        <v>1</v>
      </c>
      <c r="Z326" t="s">
        <v>42</v>
      </c>
      <c r="AA326" t="s">
        <v>35</v>
      </c>
      <c r="AB326">
        <v>13</v>
      </c>
      <c r="AC326">
        <v>3</v>
      </c>
      <c r="AD326" t="str">
        <f t="shared" si="11"/>
        <v>Low Performance</v>
      </c>
      <c r="AE326">
        <v>4</v>
      </c>
      <c r="AF326">
        <v>80</v>
      </c>
      <c r="AG326">
        <v>2</v>
      </c>
      <c r="AH326">
        <v>11</v>
      </c>
      <c r="AI326">
        <v>2</v>
      </c>
      <c r="AJ326">
        <v>3</v>
      </c>
      <c r="AK326" t="str" cm="1">
        <f t="array" ref="AK326">_xlfn.IFS(AJ326&lt;=2,"Poor",AJ326&lt;=3,"Fair",AJ326&gt;3,"Good")</f>
        <v>Fair</v>
      </c>
      <c r="AL326">
        <v>10</v>
      </c>
      <c r="AM326">
        <v>8</v>
      </c>
      <c r="AN326">
        <v>1</v>
      </c>
      <c r="AO326">
        <v>9</v>
      </c>
    </row>
    <row r="327" spans="1:41" x14ac:dyDescent="0.2">
      <c r="A327">
        <v>1452875</v>
      </c>
      <c r="B327">
        <v>31</v>
      </c>
      <c r="C327" t="str" cm="1">
        <f t="array" ref="C327">_xlfn.IFS(B327&lt;=25,"15-25",B327&lt;=35,"26-35",B327&lt;=45,"36-45",B327&lt;=55,"46-55",B327&lt;=65,"56-65")</f>
        <v>26-35</v>
      </c>
      <c r="D327" t="s">
        <v>35</v>
      </c>
      <c r="E327" t="str">
        <f t="shared" si="10"/>
        <v>Current Employee</v>
      </c>
      <c r="F327" t="s">
        <v>44</v>
      </c>
      <c r="G327">
        <v>798</v>
      </c>
      <c r="H327" t="s">
        <v>54</v>
      </c>
      <c r="I327">
        <v>7</v>
      </c>
      <c r="J327">
        <v>2</v>
      </c>
      <c r="K327" t="s">
        <v>38</v>
      </c>
      <c r="L327">
        <v>1</v>
      </c>
      <c r="M327">
        <v>3</v>
      </c>
      <c r="N327" t="s">
        <v>39</v>
      </c>
      <c r="O327">
        <v>48</v>
      </c>
      <c r="P327">
        <v>2</v>
      </c>
      <c r="Q327">
        <v>3</v>
      </c>
      <c r="R327" t="s">
        <v>51</v>
      </c>
      <c r="S327">
        <v>3</v>
      </c>
      <c r="T327" t="str" cm="1">
        <f t="array" ref="T327">_xlfn.IFS(S327&lt;=2,"Poor",S327&lt;=3,"Fair",S327&gt;=4,"Good")</f>
        <v>Fair</v>
      </c>
      <c r="U327" t="s">
        <v>48</v>
      </c>
      <c r="V327" s="1">
        <v>8943</v>
      </c>
      <c r="W327" t="str" cm="1">
        <f t="array" ref="W327">_xlfn.IFS(V327&lt;=5000,"Low Salary",V327&lt;=12000,"Good Salary",V327&gt;12000,"High Salary")</f>
        <v>Good Salary</v>
      </c>
      <c r="X327">
        <v>14034</v>
      </c>
      <c r="Y327">
        <v>1</v>
      </c>
      <c r="Z327" t="s">
        <v>42</v>
      </c>
      <c r="AA327" t="s">
        <v>35</v>
      </c>
      <c r="AB327">
        <v>24</v>
      </c>
      <c r="AC327">
        <v>4</v>
      </c>
      <c r="AD327" t="str">
        <f t="shared" si="11"/>
        <v>High Performance</v>
      </c>
      <c r="AE327">
        <v>1</v>
      </c>
      <c r="AF327">
        <v>80</v>
      </c>
      <c r="AG327">
        <v>1</v>
      </c>
      <c r="AH327">
        <v>10</v>
      </c>
      <c r="AI327">
        <v>2</v>
      </c>
      <c r="AJ327">
        <v>3</v>
      </c>
      <c r="AK327" t="str" cm="1">
        <f t="array" ref="AK327">_xlfn.IFS(AJ327&lt;=2,"Poor",AJ327&lt;=3,"Fair",AJ327&gt;3,"Good")</f>
        <v>Fair</v>
      </c>
      <c r="AL327">
        <v>10</v>
      </c>
      <c r="AM327">
        <v>9</v>
      </c>
      <c r="AN327">
        <v>8</v>
      </c>
      <c r="AO327">
        <v>9</v>
      </c>
    </row>
    <row r="328" spans="1:41" x14ac:dyDescent="0.2">
      <c r="A328">
        <v>1375684</v>
      </c>
      <c r="B328">
        <v>39</v>
      </c>
      <c r="C328" t="str" cm="1">
        <f t="array" ref="C328">_xlfn.IFS(B328&lt;=25,"15-25",B328&lt;=35,"26-35",B328&lt;=45,"36-45",B328&lt;=55,"46-55",B328&lt;=65,"56-65")</f>
        <v>36-45</v>
      </c>
      <c r="D328" t="s">
        <v>35</v>
      </c>
      <c r="E328" t="str">
        <f t="shared" si="10"/>
        <v>Current Employee</v>
      </c>
      <c r="F328" t="s">
        <v>44</v>
      </c>
      <c r="G328">
        <v>672</v>
      </c>
      <c r="H328" t="s">
        <v>54</v>
      </c>
      <c r="I328">
        <v>7</v>
      </c>
      <c r="J328">
        <v>2</v>
      </c>
      <c r="K328" t="s">
        <v>49</v>
      </c>
      <c r="L328">
        <v>1</v>
      </c>
      <c r="M328">
        <v>3</v>
      </c>
      <c r="N328" t="s">
        <v>46</v>
      </c>
      <c r="O328">
        <v>54</v>
      </c>
      <c r="P328">
        <v>2</v>
      </c>
      <c r="Q328">
        <v>5</v>
      </c>
      <c r="R328" t="s">
        <v>47</v>
      </c>
      <c r="S328">
        <v>4</v>
      </c>
      <c r="T328" t="str" cm="1">
        <f t="array" ref="T328">_xlfn.IFS(S328&lt;=2,"Poor",S328&lt;=3,"Fair",S328&gt;=4,"Good")</f>
        <v>Good</v>
      </c>
      <c r="U328" t="s">
        <v>48</v>
      </c>
      <c r="V328" s="1">
        <v>19272</v>
      </c>
      <c r="W328" t="str" cm="1">
        <f t="array" ref="W328">_xlfn.IFS(V328&lt;=5000,"Low Salary",V328&lt;=12000,"Good Salary",V328&gt;12000,"High Salary")</f>
        <v>High Salary</v>
      </c>
      <c r="X328">
        <v>21141</v>
      </c>
      <c r="Y328">
        <v>1</v>
      </c>
      <c r="Z328" t="s">
        <v>42</v>
      </c>
      <c r="AA328" t="s">
        <v>35</v>
      </c>
      <c r="AB328">
        <v>15</v>
      </c>
      <c r="AC328">
        <v>3</v>
      </c>
      <c r="AD328" t="str">
        <f t="shared" si="11"/>
        <v>Low Performance</v>
      </c>
      <c r="AE328">
        <v>1</v>
      </c>
      <c r="AF328">
        <v>80</v>
      </c>
      <c r="AG328">
        <v>1</v>
      </c>
      <c r="AH328">
        <v>21</v>
      </c>
      <c r="AI328">
        <v>2</v>
      </c>
      <c r="AJ328">
        <v>3</v>
      </c>
      <c r="AK328" t="str" cm="1">
        <f t="array" ref="AK328">_xlfn.IFS(AJ328&lt;=2,"Poor",AJ328&lt;=3,"Fair",AJ328&gt;3,"Good")</f>
        <v>Fair</v>
      </c>
      <c r="AL328">
        <v>21</v>
      </c>
      <c r="AM328">
        <v>9</v>
      </c>
      <c r="AN328">
        <v>13</v>
      </c>
      <c r="AO328">
        <v>3</v>
      </c>
    </row>
    <row r="329" spans="1:41" x14ac:dyDescent="0.2">
      <c r="A329">
        <v>1864653</v>
      </c>
      <c r="B329">
        <v>39</v>
      </c>
      <c r="C329" t="str" cm="1">
        <f t="array" ref="C329">_xlfn.IFS(B329&lt;=25,"15-25",B329&lt;=35,"26-35",B329&lt;=45,"36-45",B329&lt;=55,"46-55",B329&lt;=65,"56-65")</f>
        <v>36-45</v>
      </c>
      <c r="D329" t="s">
        <v>43</v>
      </c>
      <c r="E329" t="str">
        <f t="shared" si="10"/>
        <v>Former Employee</v>
      </c>
      <c r="F329" t="s">
        <v>36</v>
      </c>
      <c r="G329">
        <v>1162</v>
      </c>
      <c r="H329" t="s">
        <v>37</v>
      </c>
      <c r="I329">
        <v>3</v>
      </c>
      <c r="J329">
        <v>2</v>
      </c>
      <c r="K329" t="s">
        <v>49</v>
      </c>
      <c r="L329">
        <v>1</v>
      </c>
      <c r="M329">
        <v>4</v>
      </c>
      <c r="N329" t="s">
        <v>39</v>
      </c>
      <c r="O329">
        <v>41</v>
      </c>
      <c r="P329">
        <v>3</v>
      </c>
      <c r="Q329">
        <v>2</v>
      </c>
      <c r="R329" t="s">
        <v>40</v>
      </c>
      <c r="S329">
        <v>3</v>
      </c>
      <c r="T329" t="str" cm="1">
        <f t="array" ref="T329">_xlfn.IFS(S329&lt;=2,"Poor",S329&lt;=3,"Fair",S329&gt;=4,"Good")</f>
        <v>Fair</v>
      </c>
      <c r="U329" t="s">
        <v>48</v>
      </c>
      <c r="V329" s="1">
        <v>5238</v>
      </c>
      <c r="W329" t="str" cm="1">
        <f t="array" ref="W329">_xlfn.IFS(V329&lt;=5000,"Low Salary",V329&lt;=12000,"Good Salary",V329&gt;12000,"High Salary")</f>
        <v>Good Salary</v>
      </c>
      <c r="X329">
        <v>17778</v>
      </c>
      <c r="Y329">
        <v>4</v>
      </c>
      <c r="Z329" t="s">
        <v>42</v>
      </c>
      <c r="AA329" t="s">
        <v>43</v>
      </c>
      <c r="AB329">
        <v>18</v>
      </c>
      <c r="AC329">
        <v>3</v>
      </c>
      <c r="AD329" t="str">
        <f t="shared" si="11"/>
        <v>Low Performance</v>
      </c>
      <c r="AE329">
        <v>1</v>
      </c>
      <c r="AF329">
        <v>80</v>
      </c>
      <c r="AG329">
        <v>0</v>
      </c>
      <c r="AH329">
        <v>12</v>
      </c>
      <c r="AI329">
        <v>3</v>
      </c>
      <c r="AJ329">
        <v>2</v>
      </c>
      <c r="AK329" t="str" cm="1">
        <f t="array" ref="AK329">_xlfn.IFS(AJ329&lt;=2,"Poor",AJ329&lt;=3,"Fair",AJ329&gt;3,"Good")</f>
        <v>Poor</v>
      </c>
      <c r="AL329">
        <v>1</v>
      </c>
      <c r="AM329">
        <v>0</v>
      </c>
      <c r="AN329">
        <v>0</v>
      </c>
      <c r="AO329">
        <v>0</v>
      </c>
    </row>
    <row r="330" spans="1:41" x14ac:dyDescent="0.2">
      <c r="A330">
        <v>1810061</v>
      </c>
      <c r="B330">
        <v>33</v>
      </c>
      <c r="C330" t="str" cm="1">
        <f t="array" ref="C330">_xlfn.IFS(B330&lt;=25,"15-25",B330&lt;=35,"26-35",B330&lt;=45,"36-45",B330&lt;=55,"46-55",B330&lt;=65,"56-65")</f>
        <v>26-35</v>
      </c>
      <c r="D330" t="s">
        <v>35</v>
      </c>
      <c r="E330" t="str">
        <f t="shared" si="10"/>
        <v>Current Employee</v>
      </c>
      <c r="F330" t="s">
        <v>44</v>
      </c>
      <c r="G330">
        <v>508</v>
      </c>
      <c r="H330" t="s">
        <v>37</v>
      </c>
      <c r="I330">
        <v>10</v>
      </c>
      <c r="J330">
        <v>3</v>
      </c>
      <c r="K330" t="s">
        <v>55</v>
      </c>
      <c r="L330">
        <v>1</v>
      </c>
      <c r="M330">
        <v>2</v>
      </c>
      <c r="N330" t="s">
        <v>46</v>
      </c>
      <c r="O330">
        <v>46</v>
      </c>
      <c r="P330">
        <v>2</v>
      </c>
      <c r="Q330">
        <v>2</v>
      </c>
      <c r="R330" t="s">
        <v>40</v>
      </c>
      <c r="S330">
        <v>4</v>
      </c>
      <c r="T330" t="str" cm="1">
        <f t="array" ref="T330">_xlfn.IFS(S330&lt;=2,"Poor",S330&lt;=3,"Fair",S330&gt;=4,"Good")</f>
        <v>Good</v>
      </c>
      <c r="U330" t="s">
        <v>41</v>
      </c>
      <c r="V330" s="1">
        <v>4682</v>
      </c>
      <c r="W330" t="str" cm="1">
        <f t="array" ref="W330">_xlfn.IFS(V330&lt;=5000,"Low Salary",V330&lt;=12000,"Good Salary",V330&gt;12000,"High Salary")</f>
        <v>Low Salary</v>
      </c>
      <c r="X330">
        <v>4317</v>
      </c>
      <c r="Y330">
        <v>3</v>
      </c>
      <c r="Z330" t="s">
        <v>42</v>
      </c>
      <c r="AA330" t="s">
        <v>35</v>
      </c>
      <c r="AB330">
        <v>14</v>
      </c>
      <c r="AC330">
        <v>3</v>
      </c>
      <c r="AD330" t="str">
        <f t="shared" si="11"/>
        <v>Low Performance</v>
      </c>
      <c r="AE330">
        <v>3</v>
      </c>
      <c r="AF330">
        <v>80</v>
      </c>
      <c r="AG330">
        <v>0</v>
      </c>
      <c r="AH330">
        <v>9</v>
      </c>
      <c r="AI330">
        <v>6</v>
      </c>
      <c r="AJ330">
        <v>2</v>
      </c>
      <c r="AK330" t="str" cm="1">
        <f t="array" ref="AK330">_xlfn.IFS(AJ330&lt;=2,"Poor",AJ330&lt;=3,"Fair",AJ330&gt;3,"Good")</f>
        <v>Poor</v>
      </c>
      <c r="AL330">
        <v>7</v>
      </c>
      <c r="AM330">
        <v>7</v>
      </c>
      <c r="AN330">
        <v>0</v>
      </c>
      <c r="AO330">
        <v>1</v>
      </c>
    </row>
    <row r="331" spans="1:41" x14ac:dyDescent="0.2">
      <c r="A331">
        <v>1857574</v>
      </c>
      <c r="B331">
        <v>47</v>
      </c>
      <c r="C331" t="str" cm="1">
        <f t="array" ref="C331">_xlfn.IFS(B331&lt;=25,"15-25",B331&lt;=35,"26-35",B331&lt;=45,"36-45",B331&lt;=55,"46-55",B331&lt;=65,"56-65")</f>
        <v>46-55</v>
      </c>
      <c r="D331" t="s">
        <v>35</v>
      </c>
      <c r="E331" t="str">
        <f t="shared" si="10"/>
        <v>Current Employee</v>
      </c>
      <c r="F331" t="s">
        <v>36</v>
      </c>
      <c r="G331">
        <v>1482</v>
      </c>
      <c r="H331" t="s">
        <v>45</v>
      </c>
      <c r="I331">
        <v>5</v>
      </c>
      <c r="J331">
        <v>5</v>
      </c>
      <c r="K331" t="s">
        <v>38</v>
      </c>
      <c r="L331">
        <v>1</v>
      </c>
      <c r="M331">
        <v>4</v>
      </c>
      <c r="N331" t="s">
        <v>46</v>
      </c>
      <c r="O331">
        <v>42</v>
      </c>
      <c r="P331">
        <v>3</v>
      </c>
      <c r="Q331">
        <v>5</v>
      </c>
      <c r="R331" t="s">
        <v>53</v>
      </c>
      <c r="S331">
        <v>3</v>
      </c>
      <c r="T331" t="str" cm="1">
        <f t="array" ref="T331">_xlfn.IFS(S331&lt;=2,"Poor",S331&lt;=3,"Fair",S331&gt;=4,"Good")</f>
        <v>Fair</v>
      </c>
      <c r="U331" t="s">
        <v>48</v>
      </c>
      <c r="V331" s="1">
        <v>18300</v>
      </c>
      <c r="W331" t="str" cm="1">
        <f t="array" ref="W331">_xlfn.IFS(V331&lt;=5000,"Low Salary",V331&lt;=12000,"Good Salary",V331&gt;12000,"High Salary")</f>
        <v>High Salary</v>
      </c>
      <c r="X331">
        <v>16375</v>
      </c>
      <c r="Y331">
        <v>4</v>
      </c>
      <c r="Z331" t="s">
        <v>42</v>
      </c>
      <c r="AA331" t="s">
        <v>35</v>
      </c>
      <c r="AB331">
        <v>11</v>
      </c>
      <c r="AC331">
        <v>3</v>
      </c>
      <c r="AD331" t="str">
        <f t="shared" si="11"/>
        <v>Low Performance</v>
      </c>
      <c r="AE331">
        <v>2</v>
      </c>
      <c r="AF331">
        <v>80</v>
      </c>
      <c r="AG331">
        <v>1</v>
      </c>
      <c r="AH331">
        <v>21</v>
      </c>
      <c r="AI331">
        <v>2</v>
      </c>
      <c r="AJ331">
        <v>3</v>
      </c>
      <c r="AK331" t="str" cm="1">
        <f t="array" ref="AK331">_xlfn.IFS(AJ331&lt;=2,"Poor",AJ331&lt;=3,"Fair",AJ331&gt;3,"Good")</f>
        <v>Fair</v>
      </c>
      <c r="AL331">
        <v>3</v>
      </c>
      <c r="AM331">
        <v>2</v>
      </c>
      <c r="AN331">
        <v>1</v>
      </c>
      <c r="AO331">
        <v>1</v>
      </c>
    </row>
    <row r="332" spans="1:41" x14ac:dyDescent="0.2">
      <c r="A332">
        <v>1342581</v>
      </c>
      <c r="B332">
        <v>43</v>
      </c>
      <c r="C332" t="str" cm="1">
        <f t="array" ref="C332">_xlfn.IFS(B332&lt;=25,"15-25",B332&lt;=35,"26-35",B332&lt;=45,"36-45",B332&lt;=55,"46-55",B332&lt;=65,"56-65")</f>
        <v>36-45</v>
      </c>
      <c r="D332" t="s">
        <v>35</v>
      </c>
      <c r="E332" t="str">
        <f t="shared" si="10"/>
        <v>Current Employee</v>
      </c>
      <c r="F332" t="s">
        <v>44</v>
      </c>
      <c r="G332">
        <v>559</v>
      </c>
      <c r="H332" t="s">
        <v>45</v>
      </c>
      <c r="I332">
        <v>10</v>
      </c>
      <c r="J332">
        <v>4</v>
      </c>
      <c r="K332" t="s">
        <v>38</v>
      </c>
      <c r="L332">
        <v>1</v>
      </c>
      <c r="M332">
        <v>3</v>
      </c>
      <c r="N332" t="s">
        <v>39</v>
      </c>
      <c r="O332">
        <v>82</v>
      </c>
      <c r="P332">
        <v>2</v>
      </c>
      <c r="Q332">
        <v>2</v>
      </c>
      <c r="R332" t="s">
        <v>40</v>
      </c>
      <c r="S332">
        <v>3</v>
      </c>
      <c r="T332" t="str" cm="1">
        <f t="array" ref="T332">_xlfn.IFS(S332&lt;=2,"Poor",S332&lt;=3,"Fair",S332&gt;=4,"Good")</f>
        <v>Fair</v>
      </c>
      <c r="U332" t="s">
        <v>50</v>
      </c>
      <c r="V332" s="1">
        <v>5257</v>
      </c>
      <c r="W332" t="str" cm="1">
        <f t="array" ref="W332">_xlfn.IFS(V332&lt;=5000,"Low Salary",V332&lt;=12000,"Good Salary",V332&gt;12000,"High Salary")</f>
        <v>Good Salary</v>
      </c>
      <c r="X332">
        <v>6227</v>
      </c>
      <c r="Y332">
        <v>1</v>
      </c>
      <c r="Z332" t="s">
        <v>42</v>
      </c>
      <c r="AA332" t="s">
        <v>35</v>
      </c>
      <c r="AB332">
        <v>11</v>
      </c>
      <c r="AC332">
        <v>3</v>
      </c>
      <c r="AD332" t="str">
        <f t="shared" si="11"/>
        <v>Low Performance</v>
      </c>
      <c r="AE332">
        <v>2</v>
      </c>
      <c r="AF332">
        <v>80</v>
      </c>
      <c r="AG332">
        <v>1</v>
      </c>
      <c r="AH332">
        <v>9</v>
      </c>
      <c r="AI332">
        <v>3</v>
      </c>
      <c r="AJ332">
        <v>4</v>
      </c>
      <c r="AK332" t="str" cm="1">
        <f t="array" ref="AK332">_xlfn.IFS(AJ332&lt;=2,"Poor",AJ332&lt;=3,"Fair",AJ332&gt;3,"Good")</f>
        <v>Good</v>
      </c>
      <c r="AL332">
        <v>9</v>
      </c>
      <c r="AM332">
        <v>7</v>
      </c>
      <c r="AN332">
        <v>0</v>
      </c>
      <c r="AO332">
        <v>0</v>
      </c>
    </row>
    <row r="333" spans="1:41" x14ac:dyDescent="0.2">
      <c r="A333">
        <v>1863408</v>
      </c>
      <c r="B333">
        <v>27</v>
      </c>
      <c r="C333" t="str" cm="1">
        <f t="array" ref="C333">_xlfn.IFS(B333&lt;=25,"15-25",B333&lt;=35,"26-35",B333&lt;=45,"36-45",B333&lt;=55,"46-55",B333&lt;=65,"56-65")</f>
        <v>26-35</v>
      </c>
      <c r="D333" t="s">
        <v>35</v>
      </c>
      <c r="E333" t="str">
        <f t="shared" si="10"/>
        <v>Current Employee</v>
      </c>
      <c r="F333" t="s">
        <v>52</v>
      </c>
      <c r="G333">
        <v>210</v>
      </c>
      <c r="H333" t="s">
        <v>37</v>
      </c>
      <c r="I333">
        <v>1</v>
      </c>
      <c r="J333">
        <v>1</v>
      </c>
      <c r="K333" t="s">
        <v>55</v>
      </c>
      <c r="L333">
        <v>1</v>
      </c>
      <c r="M333">
        <v>3</v>
      </c>
      <c r="N333" t="s">
        <v>46</v>
      </c>
      <c r="O333">
        <v>73</v>
      </c>
      <c r="P333">
        <v>3</v>
      </c>
      <c r="Q333">
        <v>2</v>
      </c>
      <c r="R333" t="s">
        <v>40</v>
      </c>
      <c r="S333">
        <v>2</v>
      </c>
      <c r="T333" t="str" cm="1">
        <f t="array" ref="T333">_xlfn.IFS(S333&lt;=2,"Poor",S333&lt;=3,"Fair",S333&gt;=4,"Good")</f>
        <v>Poor</v>
      </c>
      <c r="U333" t="s">
        <v>48</v>
      </c>
      <c r="V333" s="1">
        <v>6349</v>
      </c>
      <c r="W333" t="str" cm="1">
        <f t="array" ref="W333">_xlfn.IFS(V333&lt;=5000,"Low Salary",V333&lt;=12000,"Good Salary",V333&gt;12000,"High Salary")</f>
        <v>Good Salary</v>
      </c>
      <c r="X333">
        <v>22107</v>
      </c>
      <c r="Y333">
        <v>0</v>
      </c>
      <c r="Z333" t="s">
        <v>42</v>
      </c>
      <c r="AA333" t="s">
        <v>43</v>
      </c>
      <c r="AB333">
        <v>13</v>
      </c>
      <c r="AC333">
        <v>3</v>
      </c>
      <c r="AD333" t="str">
        <f t="shared" si="11"/>
        <v>Low Performance</v>
      </c>
      <c r="AE333">
        <v>4</v>
      </c>
      <c r="AF333">
        <v>80</v>
      </c>
      <c r="AG333">
        <v>1</v>
      </c>
      <c r="AH333">
        <v>6</v>
      </c>
      <c r="AI333">
        <v>0</v>
      </c>
      <c r="AJ333">
        <v>3</v>
      </c>
      <c r="AK333" t="str" cm="1">
        <f t="array" ref="AK333">_xlfn.IFS(AJ333&lt;=2,"Poor",AJ333&lt;=3,"Fair",AJ333&gt;3,"Good")</f>
        <v>Fair</v>
      </c>
      <c r="AL333">
        <v>5</v>
      </c>
      <c r="AM333">
        <v>4</v>
      </c>
      <c r="AN333">
        <v>1</v>
      </c>
      <c r="AO333">
        <v>4</v>
      </c>
    </row>
    <row r="334" spans="1:41" x14ac:dyDescent="0.2">
      <c r="A334">
        <v>1028630</v>
      </c>
      <c r="B334">
        <v>54</v>
      </c>
      <c r="C334" t="str" cm="1">
        <f t="array" ref="C334">_xlfn.IFS(B334&lt;=25,"15-25",B334&lt;=35,"26-35",B334&lt;=45,"36-45",B334&lt;=55,"46-55",B334&lt;=65,"56-65")</f>
        <v>46-55</v>
      </c>
      <c r="D334" t="s">
        <v>35</v>
      </c>
      <c r="E334" t="str">
        <f t="shared" si="10"/>
        <v>Current Employee</v>
      </c>
      <c r="F334" t="s">
        <v>44</v>
      </c>
      <c r="G334">
        <v>928</v>
      </c>
      <c r="H334" t="s">
        <v>45</v>
      </c>
      <c r="I334">
        <v>20</v>
      </c>
      <c r="J334">
        <v>4</v>
      </c>
      <c r="K334" t="s">
        <v>38</v>
      </c>
      <c r="L334">
        <v>1</v>
      </c>
      <c r="M334">
        <v>4</v>
      </c>
      <c r="N334" t="s">
        <v>39</v>
      </c>
      <c r="O334">
        <v>31</v>
      </c>
      <c r="P334">
        <v>3</v>
      </c>
      <c r="Q334">
        <v>2</v>
      </c>
      <c r="R334" t="s">
        <v>47</v>
      </c>
      <c r="S334">
        <v>3</v>
      </c>
      <c r="T334" t="str" cm="1">
        <f t="array" ref="T334">_xlfn.IFS(S334&lt;=2,"Poor",S334&lt;=3,"Fair",S334&gt;=4,"Good")</f>
        <v>Fair</v>
      </c>
      <c r="U334" t="s">
        <v>41</v>
      </c>
      <c r="V334" s="1">
        <v>4869</v>
      </c>
      <c r="W334" t="str" cm="1">
        <f t="array" ref="W334">_xlfn.IFS(V334&lt;=5000,"Low Salary",V334&lt;=12000,"Good Salary",V334&gt;12000,"High Salary")</f>
        <v>Low Salary</v>
      </c>
      <c r="X334">
        <v>16885</v>
      </c>
      <c r="Y334">
        <v>3</v>
      </c>
      <c r="Z334" t="s">
        <v>42</v>
      </c>
      <c r="AA334" t="s">
        <v>35</v>
      </c>
      <c r="AB334">
        <v>12</v>
      </c>
      <c r="AC334">
        <v>3</v>
      </c>
      <c r="AD334" t="str">
        <f t="shared" si="11"/>
        <v>Low Performance</v>
      </c>
      <c r="AE334">
        <v>4</v>
      </c>
      <c r="AF334">
        <v>80</v>
      </c>
      <c r="AG334">
        <v>0</v>
      </c>
      <c r="AH334">
        <v>20</v>
      </c>
      <c r="AI334">
        <v>4</v>
      </c>
      <c r="AJ334">
        <v>2</v>
      </c>
      <c r="AK334" t="str" cm="1">
        <f t="array" ref="AK334">_xlfn.IFS(AJ334&lt;=2,"Poor",AJ334&lt;=3,"Fair",AJ334&gt;3,"Good")</f>
        <v>Poor</v>
      </c>
      <c r="AL334">
        <v>4</v>
      </c>
      <c r="AM334">
        <v>3</v>
      </c>
      <c r="AN334">
        <v>0</v>
      </c>
      <c r="AO334">
        <v>3</v>
      </c>
    </row>
    <row r="335" spans="1:41" x14ac:dyDescent="0.2">
      <c r="A335">
        <v>1416430</v>
      </c>
      <c r="B335">
        <v>43</v>
      </c>
      <c r="C335" t="str" cm="1">
        <f t="array" ref="C335">_xlfn.IFS(B335&lt;=25,"15-25",B335&lt;=35,"26-35",B335&lt;=45,"36-45",B335&lt;=55,"46-55",B335&lt;=65,"56-65")</f>
        <v>36-45</v>
      </c>
      <c r="D335" t="s">
        <v>35</v>
      </c>
      <c r="E335" t="str">
        <f t="shared" si="10"/>
        <v>Current Employee</v>
      </c>
      <c r="F335" t="s">
        <v>36</v>
      </c>
      <c r="G335">
        <v>1001</v>
      </c>
      <c r="H335" t="s">
        <v>45</v>
      </c>
      <c r="I335">
        <v>7</v>
      </c>
      <c r="J335">
        <v>3</v>
      </c>
      <c r="K335" t="s">
        <v>38</v>
      </c>
      <c r="L335">
        <v>1</v>
      </c>
      <c r="M335">
        <v>3</v>
      </c>
      <c r="N335" t="s">
        <v>39</v>
      </c>
      <c r="O335">
        <v>43</v>
      </c>
      <c r="P335">
        <v>3</v>
      </c>
      <c r="Q335">
        <v>3</v>
      </c>
      <c r="R335" t="s">
        <v>40</v>
      </c>
      <c r="S335">
        <v>1</v>
      </c>
      <c r="T335" t="str" cm="1">
        <f t="array" ref="T335">_xlfn.IFS(S335&lt;=2,"Poor",S335&lt;=3,"Fair",S335&gt;=4,"Good")</f>
        <v>Poor</v>
      </c>
      <c r="U335" t="s">
        <v>48</v>
      </c>
      <c r="V335" s="1">
        <v>9985</v>
      </c>
      <c r="W335" t="str" cm="1">
        <f t="array" ref="W335">_xlfn.IFS(V335&lt;=5000,"Low Salary",V335&lt;=12000,"Good Salary",V335&gt;12000,"High Salary")</f>
        <v>Good Salary</v>
      </c>
      <c r="X335">
        <v>9262</v>
      </c>
      <c r="Y335">
        <v>8</v>
      </c>
      <c r="Z335" t="s">
        <v>42</v>
      </c>
      <c r="AA335" t="s">
        <v>35</v>
      </c>
      <c r="AB335">
        <v>16</v>
      </c>
      <c r="AC335">
        <v>3</v>
      </c>
      <c r="AD335" t="str">
        <f t="shared" si="11"/>
        <v>Low Performance</v>
      </c>
      <c r="AE335">
        <v>1</v>
      </c>
      <c r="AF335">
        <v>80</v>
      </c>
      <c r="AG335">
        <v>1</v>
      </c>
      <c r="AH335">
        <v>10</v>
      </c>
      <c r="AI335">
        <v>1</v>
      </c>
      <c r="AJ335">
        <v>2</v>
      </c>
      <c r="AK335" t="str" cm="1">
        <f t="array" ref="AK335">_xlfn.IFS(AJ335&lt;=2,"Poor",AJ335&lt;=3,"Fair",AJ335&gt;3,"Good")</f>
        <v>Poor</v>
      </c>
      <c r="AL335">
        <v>1</v>
      </c>
      <c r="AM335">
        <v>0</v>
      </c>
      <c r="AN335">
        <v>0</v>
      </c>
      <c r="AO335">
        <v>0</v>
      </c>
    </row>
    <row r="336" spans="1:41" x14ac:dyDescent="0.2">
      <c r="A336">
        <v>1139398</v>
      </c>
      <c r="B336">
        <v>45</v>
      </c>
      <c r="C336" t="str" cm="1">
        <f t="array" ref="C336">_xlfn.IFS(B336&lt;=25,"15-25",B336&lt;=35,"26-35",B336&lt;=45,"36-45",B336&lt;=55,"46-55",B336&lt;=65,"56-65")</f>
        <v>36-45</v>
      </c>
      <c r="D336" t="s">
        <v>35</v>
      </c>
      <c r="E336" t="str">
        <f t="shared" si="10"/>
        <v>Current Employee</v>
      </c>
      <c r="F336" t="s">
        <v>36</v>
      </c>
      <c r="G336">
        <v>549</v>
      </c>
      <c r="H336" t="s">
        <v>45</v>
      </c>
      <c r="I336">
        <v>8</v>
      </c>
      <c r="J336">
        <v>4</v>
      </c>
      <c r="K336" t="s">
        <v>47</v>
      </c>
      <c r="L336">
        <v>1</v>
      </c>
      <c r="M336">
        <v>4</v>
      </c>
      <c r="N336" t="s">
        <v>46</v>
      </c>
      <c r="O336">
        <v>75</v>
      </c>
      <c r="P336">
        <v>3</v>
      </c>
      <c r="Q336">
        <v>2</v>
      </c>
      <c r="R336" t="s">
        <v>47</v>
      </c>
      <c r="S336">
        <v>4</v>
      </c>
      <c r="T336" t="str" cm="1">
        <f t="array" ref="T336">_xlfn.IFS(S336&lt;=2,"Poor",S336&lt;=3,"Fair",S336&gt;=4,"Good")</f>
        <v>Good</v>
      </c>
      <c r="U336" t="s">
        <v>48</v>
      </c>
      <c r="V336" s="1">
        <v>3697</v>
      </c>
      <c r="W336" t="str" cm="1">
        <f t="array" ref="W336">_xlfn.IFS(V336&lt;=5000,"Low Salary",V336&lt;=12000,"Good Salary",V336&gt;12000,"High Salary")</f>
        <v>Low Salary</v>
      </c>
      <c r="X336">
        <v>9278</v>
      </c>
      <c r="Y336">
        <v>9</v>
      </c>
      <c r="Z336" t="s">
        <v>42</v>
      </c>
      <c r="AA336" t="s">
        <v>35</v>
      </c>
      <c r="AB336">
        <v>14</v>
      </c>
      <c r="AC336">
        <v>3</v>
      </c>
      <c r="AD336" t="str">
        <f t="shared" si="11"/>
        <v>Low Performance</v>
      </c>
      <c r="AE336">
        <v>1</v>
      </c>
      <c r="AF336">
        <v>80</v>
      </c>
      <c r="AG336">
        <v>2</v>
      </c>
      <c r="AH336">
        <v>12</v>
      </c>
      <c r="AI336">
        <v>3</v>
      </c>
      <c r="AJ336">
        <v>3</v>
      </c>
      <c r="AK336" t="str" cm="1">
        <f t="array" ref="AK336">_xlfn.IFS(AJ336&lt;=2,"Poor",AJ336&lt;=3,"Fair",AJ336&gt;3,"Good")</f>
        <v>Fair</v>
      </c>
      <c r="AL336">
        <v>10</v>
      </c>
      <c r="AM336">
        <v>9</v>
      </c>
      <c r="AN336">
        <v>9</v>
      </c>
      <c r="AO336">
        <v>8</v>
      </c>
    </row>
    <row r="337" spans="1:41" x14ac:dyDescent="0.2">
      <c r="A337">
        <v>1267133</v>
      </c>
      <c r="B337">
        <v>40</v>
      </c>
      <c r="C337" t="str" cm="1">
        <f t="array" ref="C337">_xlfn.IFS(B337&lt;=25,"15-25",B337&lt;=35,"26-35",B337&lt;=45,"36-45",B337&lt;=55,"46-55",B337&lt;=65,"56-65")</f>
        <v>36-45</v>
      </c>
      <c r="D337" t="s">
        <v>35</v>
      </c>
      <c r="E337" t="str">
        <f t="shared" si="10"/>
        <v>Current Employee</v>
      </c>
      <c r="F337" t="s">
        <v>36</v>
      </c>
      <c r="G337">
        <v>1124</v>
      </c>
      <c r="H337" t="s">
        <v>37</v>
      </c>
      <c r="I337">
        <v>1</v>
      </c>
      <c r="J337">
        <v>2</v>
      </c>
      <c r="K337" t="s">
        <v>49</v>
      </c>
      <c r="L337">
        <v>1</v>
      </c>
      <c r="M337">
        <v>2</v>
      </c>
      <c r="N337" t="s">
        <v>46</v>
      </c>
      <c r="O337">
        <v>57</v>
      </c>
      <c r="P337">
        <v>1</v>
      </c>
      <c r="Q337">
        <v>2</v>
      </c>
      <c r="R337" t="s">
        <v>40</v>
      </c>
      <c r="S337">
        <v>4</v>
      </c>
      <c r="T337" t="str" cm="1">
        <f t="array" ref="T337">_xlfn.IFS(S337&lt;=2,"Poor",S337&lt;=3,"Fair",S337&gt;=4,"Good")</f>
        <v>Good</v>
      </c>
      <c r="U337" t="s">
        <v>48</v>
      </c>
      <c r="V337" s="1">
        <v>7457</v>
      </c>
      <c r="W337" t="str" cm="1">
        <f t="array" ref="W337">_xlfn.IFS(V337&lt;=5000,"Low Salary",V337&lt;=12000,"Good Salary",V337&gt;12000,"High Salary")</f>
        <v>Good Salary</v>
      </c>
      <c r="X337">
        <v>13273</v>
      </c>
      <c r="Y337">
        <v>2</v>
      </c>
      <c r="Z337" t="s">
        <v>42</v>
      </c>
      <c r="AA337" t="s">
        <v>43</v>
      </c>
      <c r="AB337">
        <v>22</v>
      </c>
      <c r="AC337">
        <v>4</v>
      </c>
      <c r="AD337" t="str">
        <f t="shared" si="11"/>
        <v>High Performance</v>
      </c>
      <c r="AE337">
        <v>3</v>
      </c>
      <c r="AF337">
        <v>80</v>
      </c>
      <c r="AG337">
        <v>3</v>
      </c>
      <c r="AH337">
        <v>6</v>
      </c>
      <c r="AI337">
        <v>2</v>
      </c>
      <c r="AJ337">
        <v>2</v>
      </c>
      <c r="AK337" t="str" cm="1">
        <f t="array" ref="AK337">_xlfn.IFS(AJ337&lt;=2,"Poor",AJ337&lt;=3,"Fair",AJ337&gt;3,"Good")</f>
        <v>Poor</v>
      </c>
      <c r="AL337">
        <v>4</v>
      </c>
      <c r="AM337">
        <v>3</v>
      </c>
      <c r="AN337">
        <v>0</v>
      </c>
      <c r="AO337">
        <v>2</v>
      </c>
    </row>
    <row r="338" spans="1:41" x14ac:dyDescent="0.2">
      <c r="A338">
        <v>1701544</v>
      </c>
      <c r="B338">
        <v>29</v>
      </c>
      <c r="C338" t="str" cm="1">
        <f t="array" ref="C338">_xlfn.IFS(B338&lt;=25,"15-25",B338&lt;=35,"26-35",B338&lt;=45,"36-45",B338&lt;=55,"46-55",B338&lt;=65,"56-65")</f>
        <v>26-35</v>
      </c>
      <c r="D338" t="s">
        <v>43</v>
      </c>
      <c r="E338" t="str">
        <f t="shared" si="10"/>
        <v>Former Employee</v>
      </c>
      <c r="F338" t="s">
        <v>36</v>
      </c>
      <c r="G338">
        <v>318</v>
      </c>
      <c r="H338" t="s">
        <v>45</v>
      </c>
      <c r="I338">
        <v>8</v>
      </c>
      <c r="J338">
        <v>4</v>
      </c>
      <c r="K338" t="s">
        <v>47</v>
      </c>
      <c r="L338">
        <v>1</v>
      </c>
      <c r="M338">
        <v>2</v>
      </c>
      <c r="N338" t="s">
        <v>46</v>
      </c>
      <c r="O338">
        <v>77</v>
      </c>
      <c r="P338">
        <v>1</v>
      </c>
      <c r="Q338">
        <v>1</v>
      </c>
      <c r="R338" t="s">
        <v>40</v>
      </c>
      <c r="S338">
        <v>1</v>
      </c>
      <c r="T338" t="str" cm="1">
        <f t="array" ref="T338">_xlfn.IFS(S338&lt;=2,"Poor",S338&lt;=3,"Fair",S338&gt;=4,"Good")</f>
        <v>Poor</v>
      </c>
      <c r="U338" t="s">
        <v>48</v>
      </c>
      <c r="V338" s="1">
        <v>2119</v>
      </c>
      <c r="W338" t="str" cm="1">
        <f t="array" ref="W338">_xlfn.IFS(V338&lt;=5000,"Low Salary",V338&lt;=12000,"Good Salary",V338&gt;12000,"High Salary")</f>
        <v>Low Salary</v>
      </c>
      <c r="X338">
        <v>4759</v>
      </c>
      <c r="Y338">
        <v>1</v>
      </c>
      <c r="Z338" t="s">
        <v>42</v>
      </c>
      <c r="AA338" t="s">
        <v>43</v>
      </c>
      <c r="AB338">
        <v>11</v>
      </c>
      <c r="AC338">
        <v>3</v>
      </c>
      <c r="AD338" t="str">
        <f t="shared" si="11"/>
        <v>Low Performance</v>
      </c>
      <c r="AE338">
        <v>4</v>
      </c>
      <c r="AF338">
        <v>80</v>
      </c>
      <c r="AG338">
        <v>0</v>
      </c>
      <c r="AH338">
        <v>7</v>
      </c>
      <c r="AI338">
        <v>4</v>
      </c>
      <c r="AJ338">
        <v>2</v>
      </c>
      <c r="AK338" t="str" cm="1">
        <f t="array" ref="AK338">_xlfn.IFS(AJ338&lt;=2,"Poor",AJ338&lt;=3,"Fair",AJ338&gt;3,"Good")</f>
        <v>Poor</v>
      </c>
      <c r="AL338">
        <v>7</v>
      </c>
      <c r="AM338">
        <v>7</v>
      </c>
      <c r="AN338">
        <v>0</v>
      </c>
      <c r="AO338">
        <v>7</v>
      </c>
    </row>
    <row r="339" spans="1:41" x14ac:dyDescent="0.2">
      <c r="A339">
        <v>1574346</v>
      </c>
      <c r="B339">
        <v>29</v>
      </c>
      <c r="C339" t="str" cm="1">
        <f t="array" ref="C339">_xlfn.IFS(B339&lt;=25,"15-25",B339&lt;=35,"26-35",B339&lt;=45,"36-45",B339&lt;=55,"46-55",B339&lt;=65,"56-65")</f>
        <v>26-35</v>
      </c>
      <c r="D339" t="s">
        <v>35</v>
      </c>
      <c r="E339" t="str">
        <f t="shared" si="10"/>
        <v>Current Employee</v>
      </c>
      <c r="F339" t="s">
        <v>36</v>
      </c>
      <c r="G339">
        <v>738</v>
      </c>
      <c r="H339" t="s">
        <v>45</v>
      </c>
      <c r="I339">
        <v>9</v>
      </c>
      <c r="J339">
        <v>5</v>
      </c>
      <c r="K339" t="s">
        <v>47</v>
      </c>
      <c r="L339">
        <v>1</v>
      </c>
      <c r="M339">
        <v>2</v>
      </c>
      <c r="N339" t="s">
        <v>46</v>
      </c>
      <c r="O339">
        <v>30</v>
      </c>
      <c r="P339">
        <v>2</v>
      </c>
      <c r="Q339">
        <v>1</v>
      </c>
      <c r="R339" t="s">
        <v>40</v>
      </c>
      <c r="S339">
        <v>4</v>
      </c>
      <c r="T339" t="str" cm="1">
        <f t="array" ref="T339">_xlfn.IFS(S339&lt;=2,"Poor",S339&lt;=3,"Fair",S339&gt;=4,"Good")</f>
        <v>Good</v>
      </c>
      <c r="U339" t="s">
        <v>41</v>
      </c>
      <c r="V339" s="1">
        <v>3983</v>
      </c>
      <c r="W339" t="str" cm="1">
        <f t="array" ref="W339">_xlfn.IFS(V339&lt;=5000,"Low Salary",V339&lt;=12000,"Good Salary",V339&gt;12000,"High Salary")</f>
        <v>Low Salary</v>
      </c>
      <c r="X339">
        <v>7621</v>
      </c>
      <c r="Y339">
        <v>0</v>
      </c>
      <c r="Z339" t="s">
        <v>42</v>
      </c>
      <c r="AA339" t="s">
        <v>35</v>
      </c>
      <c r="AB339">
        <v>17</v>
      </c>
      <c r="AC339">
        <v>3</v>
      </c>
      <c r="AD339" t="str">
        <f t="shared" si="11"/>
        <v>Low Performance</v>
      </c>
      <c r="AE339">
        <v>3</v>
      </c>
      <c r="AF339">
        <v>80</v>
      </c>
      <c r="AG339">
        <v>0</v>
      </c>
      <c r="AH339">
        <v>4</v>
      </c>
      <c r="AI339">
        <v>2</v>
      </c>
      <c r="AJ339">
        <v>3</v>
      </c>
      <c r="AK339" t="str" cm="1">
        <f t="array" ref="AK339">_xlfn.IFS(AJ339&lt;=2,"Poor",AJ339&lt;=3,"Fair",AJ339&gt;3,"Good")</f>
        <v>Fair</v>
      </c>
      <c r="AL339">
        <v>3</v>
      </c>
      <c r="AM339">
        <v>2</v>
      </c>
      <c r="AN339">
        <v>2</v>
      </c>
      <c r="AO339">
        <v>2</v>
      </c>
    </row>
    <row r="340" spans="1:41" x14ac:dyDescent="0.2">
      <c r="A340">
        <v>1446564</v>
      </c>
      <c r="B340">
        <v>30</v>
      </c>
      <c r="C340" t="str" cm="1">
        <f t="array" ref="C340">_xlfn.IFS(B340&lt;=25,"15-25",B340&lt;=35,"26-35",B340&lt;=45,"36-45",B340&lt;=55,"46-55",B340&lt;=65,"56-65")</f>
        <v>26-35</v>
      </c>
      <c r="D340" t="s">
        <v>35</v>
      </c>
      <c r="E340" t="str">
        <f t="shared" si="10"/>
        <v>Current Employee</v>
      </c>
      <c r="F340" t="s">
        <v>36</v>
      </c>
      <c r="G340">
        <v>570</v>
      </c>
      <c r="H340" t="s">
        <v>37</v>
      </c>
      <c r="I340">
        <v>5</v>
      </c>
      <c r="J340">
        <v>3</v>
      </c>
      <c r="K340" t="s">
        <v>55</v>
      </c>
      <c r="L340">
        <v>1</v>
      </c>
      <c r="M340">
        <v>4</v>
      </c>
      <c r="N340" t="s">
        <v>39</v>
      </c>
      <c r="O340">
        <v>30</v>
      </c>
      <c r="P340">
        <v>2</v>
      </c>
      <c r="Q340">
        <v>2</v>
      </c>
      <c r="R340" t="s">
        <v>40</v>
      </c>
      <c r="S340">
        <v>3</v>
      </c>
      <c r="T340" t="str" cm="1">
        <f t="array" ref="T340">_xlfn.IFS(S340&lt;=2,"Poor",S340&lt;=3,"Fair",S340&gt;=4,"Good")</f>
        <v>Fair</v>
      </c>
      <c r="U340" t="s">
        <v>50</v>
      </c>
      <c r="V340" s="1">
        <v>6118</v>
      </c>
      <c r="W340" t="str" cm="1">
        <f t="array" ref="W340">_xlfn.IFS(V340&lt;=5000,"Low Salary",V340&lt;=12000,"Good Salary",V340&gt;12000,"High Salary")</f>
        <v>Good Salary</v>
      </c>
      <c r="X340">
        <v>5431</v>
      </c>
      <c r="Y340">
        <v>1</v>
      </c>
      <c r="Z340" t="s">
        <v>42</v>
      </c>
      <c r="AA340" t="s">
        <v>35</v>
      </c>
      <c r="AB340">
        <v>13</v>
      </c>
      <c r="AC340">
        <v>3</v>
      </c>
      <c r="AD340" t="str">
        <f t="shared" si="11"/>
        <v>Low Performance</v>
      </c>
      <c r="AE340">
        <v>3</v>
      </c>
      <c r="AF340">
        <v>80</v>
      </c>
      <c r="AG340">
        <v>3</v>
      </c>
      <c r="AH340">
        <v>10</v>
      </c>
      <c r="AI340">
        <v>2</v>
      </c>
      <c r="AJ340">
        <v>3</v>
      </c>
      <c r="AK340" t="str" cm="1">
        <f t="array" ref="AK340">_xlfn.IFS(AJ340&lt;=2,"Poor",AJ340&lt;=3,"Fair",AJ340&gt;3,"Good")</f>
        <v>Fair</v>
      </c>
      <c r="AL340">
        <v>10</v>
      </c>
      <c r="AM340">
        <v>9</v>
      </c>
      <c r="AN340">
        <v>1</v>
      </c>
      <c r="AO340">
        <v>2</v>
      </c>
    </row>
    <row r="341" spans="1:41" x14ac:dyDescent="0.2">
      <c r="A341">
        <v>1646930</v>
      </c>
      <c r="B341">
        <v>27</v>
      </c>
      <c r="C341" t="str" cm="1">
        <f t="array" ref="C341">_xlfn.IFS(B341&lt;=25,"15-25",B341&lt;=35,"26-35",B341&lt;=45,"36-45",B341&lt;=55,"46-55",B341&lt;=65,"56-65")</f>
        <v>26-35</v>
      </c>
      <c r="D341" t="s">
        <v>35</v>
      </c>
      <c r="E341" t="str">
        <f t="shared" si="10"/>
        <v>Current Employee</v>
      </c>
      <c r="F341" t="s">
        <v>36</v>
      </c>
      <c r="G341">
        <v>1130</v>
      </c>
      <c r="H341" t="s">
        <v>37</v>
      </c>
      <c r="I341">
        <v>8</v>
      </c>
      <c r="J341">
        <v>4</v>
      </c>
      <c r="K341" t="s">
        <v>55</v>
      </c>
      <c r="L341">
        <v>1</v>
      </c>
      <c r="M341">
        <v>2</v>
      </c>
      <c r="N341" t="s">
        <v>39</v>
      </c>
      <c r="O341">
        <v>56</v>
      </c>
      <c r="P341">
        <v>3</v>
      </c>
      <c r="Q341">
        <v>2</v>
      </c>
      <c r="R341" t="s">
        <v>40</v>
      </c>
      <c r="S341">
        <v>2</v>
      </c>
      <c r="T341" t="str" cm="1">
        <f t="array" ref="T341">_xlfn.IFS(S341&lt;=2,"Poor",S341&lt;=3,"Fair",S341&gt;=4,"Good")</f>
        <v>Poor</v>
      </c>
      <c r="U341" t="s">
        <v>48</v>
      </c>
      <c r="V341" s="1">
        <v>6214</v>
      </c>
      <c r="W341" t="str" cm="1">
        <f t="array" ref="W341">_xlfn.IFS(V341&lt;=5000,"Low Salary",V341&lt;=12000,"Good Salary",V341&gt;12000,"High Salary")</f>
        <v>Good Salary</v>
      </c>
      <c r="X341">
        <v>3415</v>
      </c>
      <c r="Y341">
        <v>1</v>
      </c>
      <c r="Z341" t="s">
        <v>42</v>
      </c>
      <c r="AA341" t="s">
        <v>35</v>
      </c>
      <c r="AB341">
        <v>18</v>
      </c>
      <c r="AC341">
        <v>3</v>
      </c>
      <c r="AD341" t="str">
        <f t="shared" si="11"/>
        <v>Low Performance</v>
      </c>
      <c r="AE341">
        <v>1</v>
      </c>
      <c r="AF341">
        <v>80</v>
      </c>
      <c r="AG341">
        <v>1</v>
      </c>
      <c r="AH341">
        <v>8</v>
      </c>
      <c r="AI341">
        <v>3</v>
      </c>
      <c r="AJ341">
        <v>3</v>
      </c>
      <c r="AK341" t="str" cm="1">
        <f t="array" ref="AK341">_xlfn.IFS(AJ341&lt;=2,"Poor",AJ341&lt;=3,"Fair",AJ341&gt;3,"Good")</f>
        <v>Fair</v>
      </c>
      <c r="AL341">
        <v>8</v>
      </c>
      <c r="AM341">
        <v>7</v>
      </c>
      <c r="AN341">
        <v>0</v>
      </c>
      <c r="AO341">
        <v>7</v>
      </c>
    </row>
    <row r="342" spans="1:41" x14ac:dyDescent="0.2">
      <c r="A342">
        <v>1514947</v>
      </c>
      <c r="B342">
        <v>37</v>
      </c>
      <c r="C342" t="str" cm="1">
        <f t="array" ref="C342">_xlfn.IFS(B342&lt;=25,"15-25",B342&lt;=35,"26-35",B342&lt;=45,"36-45",B342&lt;=55,"46-55",B342&lt;=65,"56-65")</f>
        <v>36-45</v>
      </c>
      <c r="D342" t="s">
        <v>35</v>
      </c>
      <c r="E342" t="str">
        <f t="shared" si="10"/>
        <v>Current Employee</v>
      </c>
      <c r="F342" t="s">
        <v>36</v>
      </c>
      <c r="G342">
        <v>1192</v>
      </c>
      <c r="H342" t="s">
        <v>54</v>
      </c>
      <c r="I342">
        <v>5</v>
      </c>
      <c r="J342">
        <v>2</v>
      </c>
      <c r="K342" t="s">
        <v>49</v>
      </c>
      <c r="L342">
        <v>1</v>
      </c>
      <c r="M342">
        <v>4</v>
      </c>
      <c r="N342" t="s">
        <v>46</v>
      </c>
      <c r="O342">
        <v>61</v>
      </c>
      <c r="P342">
        <v>3</v>
      </c>
      <c r="Q342">
        <v>2</v>
      </c>
      <c r="R342" t="s">
        <v>51</v>
      </c>
      <c r="S342">
        <v>4</v>
      </c>
      <c r="T342" t="str" cm="1">
        <f t="array" ref="T342">_xlfn.IFS(S342&lt;=2,"Poor",S342&lt;=3,"Fair",S342&gt;=4,"Good")</f>
        <v>Good</v>
      </c>
      <c r="U342" t="s">
        <v>50</v>
      </c>
      <c r="V342" s="1">
        <v>6347</v>
      </c>
      <c r="W342" t="str" cm="1">
        <f t="array" ref="W342">_xlfn.IFS(V342&lt;=5000,"Low Salary",V342&lt;=12000,"Good Salary",V342&gt;12000,"High Salary")</f>
        <v>Good Salary</v>
      </c>
      <c r="X342">
        <v>23177</v>
      </c>
      <c r="Y342">
        <v>7</v>
      </c>
      <c r="Z342" t="s">
        <v>42</v>
      </c>
      <c r="AA342" t="s">
        <v>35</v>
      </c>
      <c r="AB342">
        <v>16</v>
      </c>
      <c r="AC342">
        <v>3</v>
      </c>
      <c r="AD342" t="str">
        <f t="shared" si="11"/>
        <v>Low Performance</v>
      </c>
      <c r="AE342">
        <v>3</v>
      </c>
      <c r="AF342">
        <v>80</v>
      </c>
      <c r="AG342">
        <v>2</v>
      </c>
      <c r="AH342">
        <v>8</v>
      </c>
      <c r="AI342">
        <v>2</v>
      </c>
      <c r="AJ342">
        <v>2</v>
      </c>
      <c r="AK342" t="str" cm="1">
        <f t="array" ref="AK342">_xlfn.IFS(AJ342&lt;=2,"Poor",AJ342&lt;=3,"Fair",AJ342&gt;3,"Good")</f>
        <v>Poor</v>
      </c>
      <c r="AL342">
        <v>6</v>
      </c>
      <c r="AM342">
        <v>2</v>
      </c>
      <c r="AN342">
        <v>0</v>
      </c>
      <c r="AO342">
        <v>4</v>
      </c>
    </row>
    <row r="343" spans="1:41" x14ac:dyDescent="0.2">
      <c r="A343">
        <v>1650545</v>
      </c>
      <c r="B343">
        <v>38</v>
      </c>
      <c r="C343" t="str" cm="1">
        <f t="array" ref="C343">_xlfn.IFS(B343&lt;=25,"15-25",B343&lt;=35,"26-35",B343&lt;=45,"36-45",B343&lt;=55,"46-55",B343&lt;=65,"56-65")</f>
        <v>36-45</v>
      </c>
      <c r="D343" t="s">
        <v>35</v>
      </c>
      <c r="E343" t="str">
        <f t="shared" si="10"/>
        <v>Current Employee</v>
      </c>
      <c r="F343" t="s">
        <v>36</v>
      </c>
      <c r="G343">
        <v>343</v>
      </c>
      <c r="H343" t="s">
        <v>45</v>
      </c>
      <c r="I343">
        <v>15</v>
      </c>
      <c r="J343">
        <v>2</v>
      </c>
      <c r="K343" t="s">
        <v>38</v>
      </c>
      <c r="L343">
        <v>1</v>
      </c>
      <c r="M343">
        <v>3</v>
      </c>
      <c r="N343" t="s">
        <v>46</v>
      </c>
      <c r="O343">
        <v>92</v>
      </c>
      <c r="P343">
        <v>2</v>
      </c>
      <c r="Q343">
        <v>3</v>
      </c>
      <c r="R343" t="s">
        <v>53</v>
      </c>
      <c r="S343">
        <v>4</v>
      </c>
      <c r="T343" t="str" cm="1">
        <f t="array" ref="T343">_xlfn.IFS(S343&lt;=2,"Poor",S343&lt;=3,"Fair",S343&gt;=4,"Good")</f>
        <v>Good</v>
      </c>
      <c r="U343" t="s">
        <v>50</v>
      </c>
      <c r="V343" s="1">
        <v>11510</v>
      </c>
      <c r="W343" t="str" cm="1">
        <f t="array" ref="W343">_xlfn.IFS(V343&lt;=5000,"Low Salary",V343&lt;=12000,"Good Salary",V343&gt;12000,"High Salary")</f>
        <v>Good Salary</v>
      </c>
      <c r="X343">
        <v>15682</v>
      </c>
      <c r="Y343">
        <v>0</v>
      </c>
      <c r="Z343" t="s">
        <v>42</v>
      </c>
      <c r="AA343" t="s">
        <v>43</v>
      </c>
      <c r="AB343">
        <v>14</v>
      </c>
      <c r="AC343">
        <v>3</v>
      </c>
      <c r="AD343" t="str">
        <f t="shared" si="11"/>
        <v>Low Performance</v>
      </c>
      <c r="AE343">
        <v>2</v>
      </c>
      <c r="AF343">
        <v>80</v>
      </c>
      <c r="AG343">
        <v>1</v>
      </c>
      <c r="AH343">
        <v>12</v>
      </c>
      <c r="AI343">
        <v>3</v>
      </c>
      <c r="AJ343">
        <v>3</v>
      </c>
      <c r="AK343" t="str" cm="1">
        <f t="array" ref="AK343">_xlfn.IFS(AJ343&lt;=2,"Poor",AJ343&lt;=3,"Fair",AJ343&gt;3,"Good")</f>
        <v>Fair</v>
      </c>
      <c r="AL343">
        <v>11</v>
      </c>
      <c r="AM343">
        <v>10</v>
      </c>
      <c r="AN343">
        <v>2</v>
      </c>
      <c r="AO343">
        <v>9</v>
      </c>
    </row>
    <row r="344" spans="1:41" x14ac:dyDescent="0.2">
      <c r="A344">
        <v>1549614</v>
      </c>
      <c r="B344">
        <v>31</v>
      </c>
      <c r="C344" t="str" cm="1">
        <f t="array" ref="C344">_xlfn.IFS(B344&lt;=25,"15-25",B344&lt;=35,"26-35",B344&lt;=45,"36-45",B344&lt;=55,"46-55",B344&lt;=65,"56-65")</f>
        <v>26-35</v>
      </c>
      <c r="D344" t="s">
        <v>35</v>
      </c>
      <c r="E344" t="str">
        <f t="shared" si="10"/>
        <v>Current Employee</v>
      </c>
      <c r="F344" t="s">
        <v>36</v>
      </c>
      <c r="G344">
        <v>1232</v>
      </c>
      <c r="H344" t="s">
        <v>54</v>
      </c>
      <c r="I344">
        <v>7</v>
      </c>
      <c r="J344">
        <v>4</v>
      </c>
      <c r="K344" t="s">
        <v>49</v>
      </c>
      <c r="L344">
        <v>1</v>
      </c>
      <c r="M344">
        <v>3</v>
      </c>
      <c r="N344" t="s">
        <v>39</v>
      </c>
      <c r="O344">
        <v>39</v>
      </c>
      <c r="P344">
        <v>3</v>
      </c>
      <c r="Q344">
        <v>3</v>
      </c>
      <c r="R344" t="s">
        <v>51</v>
      </c>
      <c r="S344">
        <v>4</v>
      </c>
      <c r="T344" t="str" cm="1">
        <f t="array" ref="T344">_xlfn.IFS(S344&lt;=2,"Poor",S344&lt;=3,"Fair",S344&gt;=4,"Good")</f>
        <v>Good</v>
      </c>
      <c r="U344" t="s">
        <v>41</v>
      </c>
      <c r="V344" s="1">
        <v>7143</v>
      </c>
      <c r="W344" t="str" cm="1">
        <f t="array" ref="W344">_xlfn.IFS(V344&lt;=5000,"Low Salary",V344&lt;=12000,"Good Salary",V344&gt;12000,"High Salary")</f>
        <v>Good Salary</v>
      </c>
      <c r="X344">
        <v>25713</v>
      </c>
      <c r="Y344">
        <v>1</v>
      </c>
      <c r="Z344" t="s">
        <v>42</v>
      </c>
      <c r="AA344" t="s">
        <v>43</v>
      </c>
      <c r="AB344">
        <v>14</v>
      </c>
      <c r="AC344">
        <v>3</v>
      </c>
      <c r="AD344" t="str">
        <f t="shared" si="11"/>
        <v>Low Performance</v>
      </c>
      <c r="AE344">
        <v>3</v>
      </c>
      <c r="AF344">
        <v>80</v>
      </c>
      <c r="AG344">
        <v>0</v>
      </c>
      <c r="AH344">
        <v>11</v>
      </c>
      <c r="AI344">
        <v>2</v>
      </c>
      <c r="AJ344">
        <v>2</v>
      </c>
      <c r="AK344" t="str" cm="1">
        <f t="array" ref="AK344">_xlfn.IFS(AJ344&lt;=2,"Poor",AJ344&lt;=3,"Fair",AJ344&gt;3,"Good")</f>
        <v>Poor</v>
      </c>
      <c r="AL344">
        <v>11</v>
      </c>
      <c r="AM344">
        <v>9</v>
      </c>
      <c r="AN344">
        <v>4</v>
      </c>
      <c r="AO344">
        <v>10</v>
      </c>
    </row>
    <row r="345" spans="1:41" x14ac:dyDescent="0.2">
      <c r="A345">
        <v>1259109</v>
      </c>
      <c r="B345">
        <v>29</v>
      </c>
      <c r="C345" t="str" cm="1">
        <f t="array" ref="C345">_xlfn.IFS(B345&lt;=25,"15-25",B345&lt;=35,"26-35",B345&lt;=45,"36-45",B345&lt;=55,"46-55",B345&lt;=65,"56-65")</f>
        <v>26-35</v>
      </c>
      <c r="D345" t="s">
        <v>35</v>
      </c>
      <c r="E345" t="str">
        <f t="shared" si="10"/>
        <v>Current Employee</v>
      </c>
      <c r="F345" t="s">
        <v>36</v>
      </c>
      <c r="G345">
        <v>144</v>
      </c>
      <c r="H345" t="s">
        <v>37</v>
      </c>
      <c r="I345">
        <v>10</v>
      </c>
      <c r="J345">
        <v>1</v>
      </c>
      <c r="K345" t="s">
        <v>55</v>
      </c>
      <c r="L345">
        <v>1</v>
      </c>
      <c r="M345">
        <v>4</v>
      </c>
      <c r="N345" t="s">
        <v>39</v>
      </c>
      <c r="O345">
        <v>39</v>
      </c>
      <c r="P345">
        <v>2</v>
      </c>
      <c r="Q345">
        <v>2</v>
      </c>
      <c r="R345" t="s">
        <v>40</v>
      </c>
      <c r="S345">
        <v>2</v>
      </c>
      <c r="T345" t="str" cm="1">
        <f t="array" ref="T345">_xlfn.IFS(S345&lt;=2,"Poor",S345&lt;=3,"Fair",S345&gt;=4,"Good")</f>
        <v>Poor</v>
      </c>
      <c r="U345" t="s">
        <v>50</v>
      </c>
      <c r="V345" s="1">
        <v>8268</v>
      </c>
      <c r="W345" t="str" cm="1">
        <f t="array" ref="W345">_xlfn.IFS(V345&lt;=5000,"Low Salary",V345&lt;=12000,"Good Salary",V345&gt;12000,"High Salary")</f>
        <v>Good Salary</v>
      </c>
      <c r="X345">
        <v>11866</v>
      </c>
      <c r="Y345">
        <v>1</v>
      </c>
      <c r="Z345" t="s">
        <v>42</v>
      </c>
      <c r="AA345" t="s">
        <v>43</v>
      </c>
      <c r="AB345">
        <v>14</v>
      </c>
      <c r="AC345">
        <v>3</v>
      </c>
      <c r="AD345" t="str">
        <f t="shared" si="11"/>
        <v>Low Performance</v>
      </c>
      <c r="AE345">
        <v>1</v>
      </c>
      <c r="AF345">
        <v>80</v>
      </c>
      <c r="AG345">
        <v>2</v>
      </c>
      <c r="AH345">
        <v>7</v>
      </c>
      <c r="AI345">
        <v>2</v>
      </c>
      <c r="AJ345">
        <v>3</v>
      </c>
      <c r="AK345" t="str" cm="1">
        <f t="array" ref="AK345">_xlfn.IFS(AJ345&lt;=2,"Poor",AJ345&lt;=3,"Fair",AJ345&gt;3,"Good")</f>
        <v>Fair</v>
      </c>
      <c r="AL345">
        <v>7</v>
      </c>
      <c r="AM345">
        <v>7</v>
      </c>
      <c r="AN345">
        <v>1</v>
      </c>
      <c r="AO345">
        <v>7</v>
      </c>
    </row>
    <row r="346" spans="1:41" x14ac:dyDescent="0.2">
      <c r="A346">
        <v>1138615</v>
      </c>
      <c r="B346">
        <v>35</v>
      </c>
      <c r="C346" t="str" cm="1">
        <f t="array" ref="C346">_xlfn.IFS(B346&lt;=25,"15-25",B346&lt;=35,"26-35",B346&lt;=45,"36-45",B346&lt;=55,"46-55",B346&lt;=65,"56-65")</f>
        <v>26-35</v>
      </c>
      <c r="D346" t="s">
        <v>35</v>
      </c>
      <c r="E346" t="str">
        <f t="shared" si="10"/>
        <v>Current Employee</v>
      </c>
      <c r="F346" t="s">
        <v>36</v>
      </c>
      <c r="G346">
        <v>1296</v>
      </c>
      <c r="H346" t="s">
        <v>54</v>
      </c>
      <c r="I346">
        <v>5</v>
      </c>
      <c r="J346">
        <v>4</v>
      </c>
      <c r="K346" t="s">
        <v>56</v>
      </c>
      <c r="L346">
        <v>1</v>
      </c>
      <c r="M346">
        <v>3</v>
      </c>
      <c r="N346" t="s">
        <v>46</v>
      </c>
      <c r="O346">
        <v>62</v>
      </c>
      <c r="P346">
        <v>3</v>
      </c>
      <c r="Q346">
        <v>3</v>
      </c>
      <c r="R346" t="s">
        <v>51</v>
      </c>
      <c r="S346">
        <v>2</v>
      </c>
      <c r="T346" t="str" cm="1">
        <f t="array" ref="T346">_xlfn.IFS(S346&lt;=2,"Poor",S346&lt;=3,"Fair",S346&gt;=4,"Good")</f>
        <v>Poor</v>
      </c>
      <c r="U346" t="s">
        <v>41</v>
      </c>
      <c r="V346" s="1">
        <v>8095</v>
      </c>
      <c r="W346" t="str" cm="1">
        <f t="array" ref="W346">_xlfn.IFS(V346&lt;=5000,"Low Salary",V346&lt;=12000,"Good Salary",V346&gt;12000,"High Salary")</f>
        <v>Good Salary</v>
      </c>
      <c r="X346">
        <v>18264</v>
      </c>
      <c r="Y346">
        <v>0</v>
      </c>
      <c r="Z346" t="s">
        <v>42</v>
      </c>
      <c r="AA346" t="s">
        <v>35</v>
      </c>
      <c r="AB346">
        <v>13</v>
      </c>
      <c r="AC346">
        <v>3</v>
      </c>
      <c r="AD346" t="str">
        <f t="shared" si="11"/>
        <v>Low Performance</v>
      </c>
      <c r="AE346">
        <v>4</v>
      </c>
      <c r="AF346">
        <v>80</v>
      </c>
      <c r="AG346">
        <v>0</v>
      </c>
      <c r="AH346">
        <v>17</v>
      </c>
      <c r="AI346">
        <v>5</v>
      </c>
      <c r="AJ346">
        <v>3</v>
      </c>
      <c r="AK346" t="str" cm="1">
        <f t="array" ref="AK346">_xlfn.IFS(AJ346&lt;=2,"Poor",AJ346&lt;=3,"Fair",AJ346&gt;3,"Good")</f>
        <v>Fair</v>
      </c>
      <c r="AL346">
        <v>16</v>
      </c>
      <c r="AM346">
        <v>6</v>
      </c>
      <c r="AN346">
        <v>0</v>
      </c>
      <c r="AO346">
        <v>13</v>
      </c>
    </row>
    <row r="347" spans="1:41" x14ac:dyDescent="0.2">
      <c r="A347">
        <v>1366078</v>
      </c>
      <c r="B347">
        <v>23</v>
      </c>
      <c r="C347" t="str" cm="1">
        <f t="array" ref="C347">_xlfn.IFS(B347&lt;=25,"15-25",B347&lt;=35,"26-35",B347&lt;=45,"36-45",B347&lt;=55,"46-55",B347&lt;=65,"56-65")</f>
        <v>15-25</v>
      </c>
      <c r="D347" t="s">
        <v>35</v>
      </c>
      <c r="E347" t="str">
        <f t="shared" si="10"/>
        <v>Current Employee</v>
      </c>
      <c r="F347" t="s">
        <v>36</v>
      </c>
      <c r="G347">
        <v>1309</v>
      </c>
      <c r="H347" t="s">
        <v>45</v>
      </c>
      <c r="I347">
        <v>26</v>
      </c>
      <c r="J347">
        <v>1</v>
      </c>
      <c r="K347" t="s">
        <v>38</v>
      </c>
      <c r="L347">
        <v>1</v>
      </c>
      <c r="M347">
        <v>3</v>
      </c>
      <c r="N347" t="s">
        <v>46</v>
      </c>
      <c r="O347">
        <v>83</v>
      </c>
      <c r="P347">
        <v>3</v>
      </c>
      <c r="Q347">
        <v>1</v>
      </c>
      <c r="R347" t="s">
        <v>47</v>
      </c>
      <c r="S347">
        <v>4</v>
      </c>
      <c r="T347" t="str" cm="1">
        <f t="array" ref="T347">_xlfn.IFS(S347&lt;=2,"Poor",S347&lt;=3,"Fair",S347&gt;=4,"Good")</f>
        <v>Good</v>
      </c>
      <c r="U347" t="s">
        <v>50</v>
      </c>
      <c r="V347" s="1">
        <v>2904</v>
      </c>
      <c r="W347" t="str" cm="1">
        <f t="array" ref="W347">_xlfn.IFS(V347&lt;=5000,"Low Salary",V347&lt;=12000,"Good Salary",V347&gt;12000,"High Salary")</f>
        <v>Low Salary</v>
      </c>
      <c r="X347">
        <v>16092</v>
      </c>
      <c r="Y347">
        <v>1</v>
      </c>
      <c r="Z347" t="s">
        <v>42</v>
      </c>
      <c r="AA347" t="s">
        <v>35</v>
      </c>
      <c r="AB347">
        <v>12</v>
      </c>
      <c r="AC347">
        <v>3</v>
      </c>
      <c r="AD347" t="str">
        <f t="shared" si="11"/>
        <v>Low Performance</v>
      </c>
      <c r="AE347">
        <v>3</v>
      </c>
      <c r="AF347">
        <v>80</v>
      </c>
      <c r="AG347">
        <v>2</v>
      </c>
      <c r="AH347">
        <v>4</v>
      </c>
      <c r="AI347">
        <v>2</v>
      </c>
      <c r="AJ347">
        <v>2</v>
      </c>
      <c r="AK347" t="str" cm="1">
        <f t="array" ref="AK347">_xlfn.IFS(AJ347&lt;=2,"Poor",AJ347&lt;=3,"Fair",AJ347&gt;3,"Good")</f>
        <v>Poor</v>
      </c>
      <c r="AL347">
        <v>4</v>
      </c>
      <c r="AM347">
        <v>2</v>
      </c>
      <c r="AN347">
        <v>0</v>
      </c>
      <c r="AO347">
        <v>2</v>
      </c>
    </row>
    <row r="348" spans="1:41" x14ac:dyDescent="0.2">
      <c r="A348">
        <v>1477474</v>
      </c>
      <c r="B348">
        <v>41</v>
      </c>
      <c r="C348" t="str" cm="1">
        <f t="array" ref="C348">_xlfn.IFS(B348&lt;=25,"15-25",B348&lt;=35,"26-35",B348&lt;=45,"36-45",B348&lt;=55,"46-55",B348&lt;=65,"56-65")</f>
        <v>36-45</v>
      </c>
      <c r="D348" t="s">
        <v>35</v>
      </c>
      <c r="E348" t="str">
        <f t="shared" si="10"/>
        <v>Current Employee</v>
      </c>
      <c r="F348" t="s">
        <v>36</v>
      </c>
      <c r="G348">
        <v>483</v>
      </c>
      <c r="H348" t="s">
        <v>54</v>
      </c>
      <c r="I348">
        <v>6</v>
      </c>
      <c r="J348">
        <v>3</v>
      </c>
      <c r="K348" t="s">
        <v>49</v>
      </c>
      <c r="L348">
        <v>1</v>
      </c>
      <c r="M348">
        <v>4</v>
      </c>
      <c r="N348" t="s">
        <v>46</v>
      </c>
      <c r="O348">
        <v>95</v>
      </c>
      <c r="P348">
        <v>2</v>
      </c>
      <c r="Q348">
        <v>2</v>
      </c>
      <c r="R348" t="s">
        <v>51</v>
      </c>
      <c r="S348">
        <v>2</v>
      </c>
      <c r="T348" t="str" cm="1">
        <f t="array" ref="T348">_xlfn.IFS(S348&lt;=2,"Poor",S348&lt;=3,"Fair",S348&gt;=4,"Good")</f>
        <v>Poor</v>
      </c>
      <c r="U348" t="s">
        <v>41</v>
      </c>
      <c r="V348" s="1">
        <v>6032</v>
      </c>
      <c r="W348" t="str" cm="1">
        <f t="array" ref="W348">_xlfn.IFS(V348&lt;=5000,"Low Salary",V348&lt;=12000,"Good Salary",V348&gt;12000,"High Salary")</f>
        <v>Good Salary</v>
      </c>
      <c r="X348">
        <v>10110</v>
      </c>
      <c r="Y348">
        <v>6</v>
      </c>
      <c r="Z348" t="s">
        <v>42</v>
      </c>
      <c r="AA348" t="s">
        <v>43</v>
      </c>
      <c r="AB348">
        <v>15</v>
      </c>
      <c r="AC348">
        <v>3</v>
      </c>
      <c r="AD348" t="str">
        <f t="shared" si="11"/>
        <v>Low Performance</v>
      </c>
      <c r="AE348">
        <v>4</v>
      </c>
      <c r="AF348">
        <v>80</v>
      </c>
      <c r="AG348">
        <v>0</v>
      </c>
      <c r="AH348">
        <v>8</v>
      </c>
      <c r="AI348">
        <v>3</v>
      </c>
      <c r="AJ348">
        <v>3</v>
      </c>
      <c r="AK348" t="str" cm="1">
        <f t="array" ref="AK348">_xlfn.IFS(AJ348&lt;=2,"Poor",AJ348&lt;=3,"Fair",AJ348&gt;3,"Good")</f>
        <v>Fair</v>
      </c>
      <c r="AL348">
        <v>5</v>
      </c>
      <c r="AM348">
        <v>4</v>
      </c>
      <c r="AN348">
        <v>1</v>
      </c>
      <c r="AO348">
        <v>2</v>
      </c>
    </row>
    <row r="349" spans="1:41" x14ac:dyDescent="0.2">
      <c r="A349">
        <v>1406287</v>
      </c>
      <c r="B349">
        <v>47</v>
      </c>
      <c r="C349" t="str" cm="1">
        <f t="array" ref="C349">_xlfn.IFS(B349&lt;=25,"15-25",B349&lt;=35,"26-35",B349&lt;=45,"36-45",B349&lt;=55,"46-55",B349&lt;=65,"56-65")</f>
        <v>46-55</v>
      </c>
      <c r="D349" t="s">
        <v>35</v>
      </c>
      <c r="E349" t="str">
        <f t="shared" si="10"/>
        <v>Current Employee</v>
      </c>
      <c r="F349" t="s">
        <v>44</v>
      </c>
      <c r="G349">
        <v>1309</v>
      </c>
      <c r="H349" t="s">
        <v>37</v>
      </c>
      <c r="I349">
        <v>4</v>
      </c>
      <c r="J349">
        <v>1</v>
      </c>
      <c r="K349" t="s">
        <v>49</v>
      </c>
      <c r="L349">
        <v>1</v>
      </c>
      <c r="M349">
        <v>2</v>
      </c>
      <c r="N349" t="s">
        <v>46</v>
      </c>
      <c r="O349">
        <v>99</v>
      </c>
      <c r="P349">
        <v>3</v>
      </c>
      <c r="Q349">
        <v>2</v>
      </c>
      <c r="R349" t="s">
        <v>47</v>
      </c>
      <c r="S349">
        <v>3</v>
      </c>
      <c r="T349" t="str" cm="1">
        <f t="array" ref="T349">_xlfn.IFS(S349&lt;=2,"Poor",S349&lt;=3,"Fair",S349&gt;=4,"Good")</f>
        <v>Fair</v>
      </c>
      <c r="U349" t="s">
        <v>41</v>
      </c>
      <c r="V349" s="1">
        <v>2976</v>
      </c>
      <c r="W349" t="str" cm="1">
        <f t="array" ref="W349">_xlfn.IFS(V349&lt;=5000,"Low Salary",V349&lt;=12000,"Good Salary",V349&gt;12000,"High Salary")</f>
        <v>Low Salary</v>
      </c>
      <c r="X349">
        <v>25751</v>
      </c>
      <c r="Y349">
        <v>3</v>
      </c>
      <c r="Z349" t="s">
        <v>42</v>
      </c>
      <c r="AA349" t="s">
        <v>35</v>
      </c>
      <c r="AB349">
        <v>19</v>
      </c>
      <c r="AC349">
        <v>3</v>
      </c>
      <c r="AD349" t="str">
        <f t="shared" si="11"/>
        <v>Low Performance</v>
      </c>
      <c r="AE349">
        <v>1</v>
      </c>
      <c r="AF349">
        <v>80</v>
      </c>
      <c r="AG349">
        <v>0</v>
      </c>
      <c r="AH349">
        <v>5</v>
      </c>
      <c r="AI349">
        <v>3</v>
      </c>
      <c r="AJ349">
        <v>3</v>
      </c>
      <c r="AK349" t="str" cm="1">
        <f t="array" ref="AK349">_xlfn.IFS(AJ349&lt;=2,"Poor",AJ349&lt;=3,"Fair",AJ349&gt;3,"Good")</f>
        <v>Fair</v>
      </c>
      <c r="AL349">
        <v>0</v>
      </c>
      <c r="AM349">
        <v>0</v>
      </c>
      <c r="AN349">
        <v>0</v>
      </c>
      <c r="AO349">
        <v>0</v>
      </c>
    </row>
    <row r="350" spans="1:41" x14ac:dyDescent="0.2">
      <c r="A350">
        <v>1544429</v>
      </c>
      <c r="B350">
        <v>42</v>
      </c>
      <c r="C350" t="str" cm="1">
        <f t="array" ref="C350">_xlfn.IFS(B350&lt;=25,"15-25",B350&lt;=35,"26-35",B350&lt;=45,"36-45",B350&lt;=55,"46-55",B350&lt;=65,"56-65")</f>
        <v>36-45</v>
      </c>
      <c r="D350" t="s">
        <v>35</v>
      </c>
      <c r="E350" t="str">
        <f t="shared" si="10"/>
        <v>Current Employee</v>
      </c>
      <c r="F350" t="s">
        <v>36</v>
      </c>
      <c r="G350">
        <v>810</v>
      </c>
      <c r="H350" t="s">
        <v>45</v>
      </c>
      <c r="I350">
        <v>23</v>
      </c>
      <c r="J350">
        <v>5</v>
      </c>
      <c r="K350" t="s">
        <v>38</v>
      </c>
      <c r="L350">
        <v>1</v>
      </c>
      <c r="M350">
        <v>1</v>
      </c>
      <c r="N350" t="s">
        <v>39</v>
      </c>
      <c r="O350">
        <v>44</v>
      </c>
      <c r="P350">
        <v>3</v>
      </c>
      <c r="Q350">
        <v>4</v>
      </c>
      <c r="R350" t="s">
        <v>53</v>
      </c>
      <c r="S350">
        <v>4</v>
      </c>
      <c r="T350" t="str" cm="1">
        <f t="array" ref="T350">_xlfn.IFS(S350&lt;=2,"Poor",S350&lt;=3,"Fair",S350&gt;=4,"Good")</f>
        <v>Good</v>
      </c>
      <c r="U350" t="s">
        <v>41</v>
      </c>
      <c r="V350" s="1">
        <v>15992</v>
      </c>
      <c r="W350" t="str" cm="1">
        <f t="array" ref="W350">_xlfn.IFS(V350&lt;=5000,"Low Salary",V350&lt;=12000,"Good Salary",V350&gt;12000,"High Salary")</f>
        <v>High Salary</v>
      </c>
      <c r="X350">
        <v>15901</v>
      </c>
      <c r="Y350">
        <v>2</v>
      </c>
      <c r="Z350" t="s">
        <v>42</v>
      </c>
      <c r="AA350" t="s">
        <v>35</v>
      </c>
      <c r="AB350">
        <v>14</v>
      </c>
      <c r="AC350">
        <v>3</v>
      </c>
      <c r="AD350" t="str">
        <f t="shared" si="11"/>
        <v>Low Performance</v>
      </c>
      <c r="AE350">
        <v>2</v>
      </c>
      <c r="AF350">
        <v>80</v>
      </c>
      <c r="AG350">
        <v>0</v>
      </c>
      <c r="AH350">
        <v>16</v>
      </c>
      <c r="AI350">
        <v>2</v>
      </c>
      <c r="AJ350">
        <v>3</v>
      </c>
      <c r="AK350" t="str" cm="1">
        <f t="array" ref="AK350">_xlfn.IFS(AJ350&lt;=2,"Poor",AJ350&lt;=3,"Fair",AJ350&gt;3,"Good")</f>
        <v>Fair</v>
      </c>
      <c r="AL350">
        <v>1</v>
      </c>
      <c r="AM350">
        <v>0</v>
      </c>
      <c r="AN350">
        <v>0</v>
      </c>
      <c r="AO350">
        <v>0</v>
      </c>
    </row>
    <row r="351" spans="1:41" x14ac:dyDescent="0.2">
      <c r="A351">
        <v>1171206</v>
      </c>
      <c r="B351">
        <v>29</v>
      </c>
      <c r="C351" t="str" cm="1">
        <f t="array" ref="C351">_xlfn.IFS(B351&lt;=25,"15-25",B351&lt;=35,"26-35",B351&lt;=45,"36-45",B351&lt;=55,"46-55",B351&lt;=65,"56-65")</f>
        <v>26-35</v>
      </c>
      <c r="D351" t="s">
        <v>35</v>
      </c>
      <c r="E351" t="str">
        <f t="shared" si="10"/>
        <v>Current Employee</v>
      </c>
      <c r="F351" t="s">
        <v>52</v>
      </c>
      <c r="G351">
        <v>746</v>
      </c>
      <c r="H351" t="s">
        <v>37</v>
      </c>
      <c r="I351">
        <v>2</v>
      </c>
      <c r="J351">
        <v>3</v>
      </c>
      <c r="K351" t="s">
        <v>38</v>
      </c>
      <c r="L351">
        <v>1</v>
      </c>
      <c r="M351">
        <v>4</v>
      </c>
      <c r="N351" t="s">
        <v>46</v>
      </c>
      <c r="O351">
        <v>61</v>
      </c>
      <c r="P351">
        <v>3</v>
      </c>
      <c r="Q351">
        <v>2</v>
      </c>
      <c r="R351" t="s">
        <v>40</v>
      </c>
      <c r="S351">
        <v>3</v>
      </c>
      <c r="T351" t="str" cm="1">
        <f t="array" ref="T351">_xlfn.IFS(S351&lt;=2,"Poor",S351&lt;=3,"Fair",S351&gt;=4,"Good")</f>
        <v>Fair</v>
      </c>
      <c r="U351" t="s">
        <v>48</v>
      </c>
      <c r="V351" s="1">
        <v>4649</v>
      </c>
      <c r="W351" t="str" cm="1">
        <f t="array" ref="W351">_xlfn.IFS(V351&lt;=5000,"Low Salary",V351&lt;=12000,"Good Salary",V351&gt;12000,"High Salary")</f>
        <v>Low Salary</v>
      </c>
      <c r="X351">
        <v>16928</v>
      </c>
      <c r="Y351">
        <v>1</v>
      </c>
      <c r="Z351" t="s">
        <v>42</v>
      </c>
      <c r="AA351" t="s">
        <v>35</v>
      </c>
      <c r="AB351">
        <v>14</v>
      </c>
      <c r="AC351">
        <v>3</v>
      </c>
      <c r="AD351" t="str">
        <f t="shared" si="11"/>
        <v>Low Performance</v>
      </c>
      <c r="AE351">
        <v>1</v>
      </c>
      <c r="AF351">
        <v>80</v>
      </c>
      <c r="AG351">
        <v>1</v>
      </c>
      <c r="AH351">
        <v>4</v>
      </c>
      <c r="AI351">
        <v>3</v>
      </c>
      <c r="AJ351">
        <v>2</v>
      </c>
      <c r="AK351" t="str" cm="1">
        <f t="array" ref="AK351">_xlfn.IFS(AJ351&lt;=2,"Poor",AJ351&lt;=3,"Fair",AJ351&gt;3,"Good")</f>
        <v>Poor</v>
      </c>
      <c r="AL351">
        <v>4</v>
      </c>
      <c r="AM351">
        <v>3</v>
      </c>
      <c r="AN351">
        <v>0</v>
      </c>
      <c r="AO351">
        <v>2</v>
      </c>
    </row>
    <row r="352" spans="1:41" x14ac:dyDescent="0.2">
      <c r="A352">
        <v>1634652</v>
      </c>
      <c r="B352">
        <v>42</v>
      </c>
      <c r="C352" t="str" cm="1">
        <f t="array" ref="C352">_xlfn.IFS(B352&lt;=25,"15-25",B352&lt;=35,"26-35",B352&lt;=45,"36-45",B352&lt;=55,"46-55",B352&lt;=65,"56-65")</f>
        <v>36-45</v>
      </c>
      <c r="D352" t="s">
        <v>35</v>
      </c>
      <c r="E352" t="str">
        <f t="shared" si="10"/>
        <v>Current Employee</v>
      </c>
      <c r="F352" t="s">
        <v>36</v>
      </c>
      <c r="G352">
        <v>544</v>
      </c>
      <c r="H352" t="s">
        <v>54</v>
      </c>
      <c r="I352">
        <v>2</v>
      </c>
      <c r="J352">
        <v>1</v>
      </c>
      <c r="K352" t="s">
        <v>56</v>
      </c>
      <c r="L352">
        <v>1</v>
      </c>
      <c r="M352">
        <v>3</v>
      </c>
      <c r="N352" t="s">
        <v>46</v>
      </c>
      <c r="O352">
        <v>52</v>
      </c>
      <c r="P352">
        <v>3</v>
      </c>
      <c r="Q352">
        <v>1</v>
      </c>
      <c r="R352" t="s">
        <v>47</v>
      </c>
      <c r="S352">
        <v>3</v>
      </c>
      <c r="T352" t="str" cm="1">
        <f t="array" ref="T352">_xlfn.IFS(S352&lt;=2,"Poor",S352&lt;=3,"Fair",S352&gt;=4,"Good")</f>
        <v>Fair</v>
      </c>
      <c r="U352" t="s">
        <v>50</v>
      </c>
      <c r="V352" s="1">
        <v>2696</v>
      </c>
      <c r="W352" t="str" cm="1">
        <f t="array" ref="W352">_xlfn.IFS(V352&lt;=5000,"Low Salary",V352&lt;=12000,"Good Salary",V352&gt;12000,"High Salary")</f>
        <v>Low Salary</v>
      </c>
      <c r="X352">
        <v>24017</v>
      </c>
      <c r="Y352">
        <v>0</v>
      </c>
      <c r="Z352" t="s">
        <v>42</v>
      </c>
      <c r="AA352" t="s">
        <v>43</v>
      </c>
      <c r="AB352">
        <v>11</v>
      </c>
      <c r="AC352">
        <v>3</v>
      </c>
      <c r="AD352" t="str">
        <f t="shared" si="11"/>
        <v>Low Performance</v>
      </c>
      <c r="AE352">
        <v>3</v>
      </c>
      <c r="AF352">
        <v>80</v>
      </c>
      <c r="AG352">
        <v>1</v>
      </c>
      <c r="AH352">
        <v>4</v>
      </c>
      <c r="AI352">
        <v>5</v>
      </c>
      <c r="AJ352">
        <v>3</v>
      </c>
      <c r="AK352" t="str" cm="1">
        <f t="array" ref="AK352">_xlfn.IFS(AJ352&lt;=2,"Poor",AJ352&lt;=3,"Fair",AJ352&gt;3,"Good")</f>
        <v>Fair</v>
      </c>
      <c r="AL352">
        <v>3</v>
      </c>
      <c r="AM352">
        <v>2</v>
      </c>
      <c r="AN352">
        <v>1</v>
      </c>
      <c r="AO352">
        <v>0</v>
      </c>
    </row>
    <row r="353" spans="1:41" x14ac:dyDescent="0.2">
      <c r="A353">
        <v>1280175</v>
      </c>
      <c r="B353">
        <v>32</v>
      </c>
      <c r="C353" t="str" cm="1">
        <f t="array" ref="C353">_xlfn.IFS(B353&lt;=25,"15-25",B353&lt;=35,"26-35",B353&lt;=45,"36-45",B353&lt;=55,"46-55",B353&lt;=65,"56-65")</f>
        <v>26-35</v>
      </c>
      <c r="D353" t="s">
        <v>35</v>
      </c>
      <c r="E353" t="str">
        <f t="shared" si="10"/>
        <v>Current Employee</v>
      </c>
      <c r="F353" t="s">
        <v>36</v>
      </c>
      <c r="G353">
        <v>1062</v>
      </c>
      <c r="H353" t="s">
        <v>45</v>
      </c>
      <c r="I353">
        <v>2</v>
      </c>
      <c r="J353">
        <v>3</v>
      </c>
      <c r="K353" t="s">
        <v>49</v>
      </c>
      <c r="L353">
        <v>1</v>
      </c>
      <c r="M353">
        <v>3</v>
      </c>
      <c r="N353" t="s">
        <v>39</v>
      </c>
      <c r="O353">
        <v>75</v>
      </c>
      <c r="P353">
        <v>3</v>
      </c>
      <c r="Q353">
        <v>1</v>
      </c>
      <c r="R353" t="s">
        <v>40</v>
      </c>
      <c r="S353">
        <v>2</v>
      </c>
      <c r="T353" t="str" cm="1">
        <f t="array" ref="T353">_xlfn.IFS(S353&lt;=2,"Poor",S353&lt;=3,"Fair",S353&gt;=4,"Good")</f>
        <v>Poor</v>
      </c>
      <c r="U353" t="s">
        <v>48</v>
      </c>
      <c r="V353" s="1">
        <v>2370</v>
      </c>
      <c r="W353" t="str" cm="1">
        <f t="array" ref="W353">_xlfn.IFS(V353&lt;=5000,"Low Salary",V353&lt;=12000,"Good Salary",V353&gt;12000,"High Salary")</f>
        <v>Low Salary</v>
      </c>
      <c r="X353">
        <v>3956</v>
      </c>
      <c r="Y353">
        <v>1</v>
      </c>
      <c r="Z353" t="s">
        <v>42</v>
      </c>
      <c r="AA353" t="s">
        <v>35</v>
      </c>
      <c r="AB353">
        <v>13</v>
      </c>
      <c r="AC353">
        <v>3</v>
      </c>
      <c r="AD353" t="str">
        <f t="shared" si="11"/>
        <v>Low Performance</v>
      </c>
      <c r="AE353">
        <v>3</v>
      </c>
      <c r="AF353">
        <v>80</v>
      </c>
      <c r="AG353">
        <v>1</v>
      </c>
      <c r="AH353">
        <v>8</v>
      </c>
      <c r="AI353">
        <v>4</v>
      </c>
      <c r="AJ353">
        <v>3</v>
      </c>
      <c r="AK353" t="str" cm="1">
        <f t="array" ref="AK353">_xlfn.IFS(AJ353&lt;=2,"Poor",AJ353&lt;=3,"Fair",AJ353&gt;3,"Good")</f>
        <v>Fair</v>
      </c>
      <c r="AL353">
        <v>8</v>
      </c>
      <c r="AM353">
        <v>0</v>
      </c>
      <c r="AN353">
        <v>0</v>
      </c>
      <c r="AO353">
        <v>7</v>
      </c>
    </row>
    <row r="354" spans="1:41" x14ac:dyDescent="0.2">
      <c r="A354">
        <v>1464473</v>
      </c>
      <c r="B354">
        <v>48</v>
      </c>
      <c r="C354" t="str" cm="1">
        <f t="array" ref="C354">_xlfn.IFS(B354&lt;=25,"15-25",B354&lt;=35,"26-35",B354&lt;=45,"36-45",B354&lt;=55,"46-55",B354&lt;=65,"56-65")</f>
        <v>46-55</v>
      </c>
      <c r="D354" t="s">
        <v>35</v>
      </c>
      <c r="E354" t="str">
        <f t="shared" si="10"/>
        <v>Current Employee</v>
      </c>
      <c r="F354" t="s">
        <v>36</v>
      </c>
      <c r="G354">
        <v>530</v>
      </c>
      <c r="H354" t="s">
        <v>37</v>
      </c>
      <c r="I354">
        <v>29</v>
      </c>
      <c r="J354">
        <v>1</v>
      </c>
      <c r="K354" t="s">
        <v>49</v>
      </c>
      <c r="L354">
        <v>1</v>
      </c>
      <c r="M354">
        <v>1</v>
      </c>
      <c r="N354" t="s">
        <v>39</v>
      </c>
      <c r="O354">
        <v>91</v>
      </c>
      <c r="P354">
        <v>3</v>
      </c>
      <c r="Q354">
        <v>3</v>
      </c>
      <c r="R354" t="s">
        <v>53</v>
      </c>
      <c r="S354">
        <v>3</v>
      </c>
      <c r="T354" t="str" cm="1">
        <f t="array" ref="T354">_xlfn.IFS(S354&lt;=2,"Poor",S354&lt;=3,"Fair",S354&gt;=4,"Good")</f>
        <v>Fair</v>
      </c>
      <c r="U354" t="s">
        <v>48</v>
      </c>
      <c r="V354" s="1">
        <v>12504</v>
      </c>
      <c r="W354" t="str" cm="1">
        <f t="array" ref="W354">_xlfn.IFS(V354&lt;=5000,"Low Salary",V354&lt;=12000,"Good Salary",V354&gt;12000,"High Salary")</f>
        <v>High Salary</v>
      </c>
      <c r="X354">
        <v>23978</v>
      </c>
      <c r="Y354">
        <v>3</v>
      </c>
      <c r="Z354" t="s">
        <v>42</v>
      </c>
      <c r="AA354" t="s">
        <v>35</v>
      </c>
      <c r="AB354">
        <v>21</v>
      </c>
      <c r="AC354">
        <v>4</v>
      </c>
      <c r="AD354" t="str">
        <f t="shared" si="11"/>
        <v>High Performance</v>
      </c>
      <c r="AE354">
        <v>2</v>
      </c>
      <c r="AF354">
        <v>80</v>
      </c>
      <c r="AG354">
        <v>1</v>
      </c>
      <c r="AH354">
        <v>15</v>
      </c>
      <c r="AI354">
        <v>3</v>
      </c>
      <c r="AJ354">
        <v>1</v>
      </c>
      <c r="AK354" t="str" cm="1">
        <f t="array" ref="AK354">_xlfn.IFS(AJ354&lt;=2,"Poor",AJ354&lt;=3,"Fair",AJ354&gt;3,"Good")</f>
        <v>Poor</v>
      </c>
      <c r="AL354">
        <v>0</v>
      </c>
      <c r="AM354">
        <v>0</v>
      </c>
      <c r="AN354">
        <v>0</v>
      </c>
      <c r="AO354">
        <v>0</v>
      </c>
    </row>
    <row r="355" spans="1:41" x14ac:dyDescent="0.2">
      <c r="A355">
        <v>1400436</v>
      </c>
      <c r="B355">
        <v>37</v>
      </c>
      <c r="C355" t="str" cm="1">
        <f t="array" ref="C355">_xlfn.IFS(B355&lt;=25,"15-25",B355&lt;=35,"26-35",B355&lt;=45,"36-45",B355&lt;=55,"46-55",B355&lt;=65,"56-65")</f>
        <v>36-45</v>
      </c>
      <c r="D355" t="s">
        <v>35</v>
      </c>
      <c r="E355" t="str">
        <f t="shared" si="10"/>
        <v>Current Employee</v>
      </c>
      <c r="F355" t="s">
        <v>36</v>
      </c>
      <c r="G355">
        <v>1319</v>
      </c>
      <c r="H355" t="s">
        <v>45</v>
      </c>
      <c r="I355">
        <v>6</v>
      </c>
      <c r="J355">
        <v>3</v>
      </c>
      <c r="K355" t="s">
        <v>49</v>
      </c>
      <c r="L355">
        <v>1</v>
      </c>
      <c r="M355">
        <v>3</v>
      </c>
      <c r="N355" t="s">
        <v>46</v>
      </c>
      <c r="O355">
        <v>51</v>
      </c>
      <c r="P355">
        <v>4</v>
      </c>
      <c r="Q355">
        <v>2</v>
      </c>
      <c r="R355" t="s">
        <v>47</v>
      </c>
      <c r="S355">
        <v>1</v>
      </c>
      <c r="T355" t="str" cm="1">
        <f t="array" ref="T355">_xlfn.IFS(S355&lt;=2,"Poor",S355&lt;=3,"Fair",S355&gt;=4,"Good")</f>
        <v>Poor</v>
      </c>
      <c r="U355" t="s">
        <v>50</v>
      </c>
      <c r="V355" s="1">
        <v>5974</v>
      </c>
      <c r="W355" t="str" cm="1">
        <f t="array" ref="W355">_xlfn.IFS(V355&lt;=5000,"Low Salary",V355&lt;=12000,"Good Salary",V355&gt;12000,"High Salary")</f>
        <v>Good Salary</v>
      </c>
      <c r="X355">
        <v>17001</v>
      </c>
      <c r="Y355">
        <v>4</v>
      </c>
      <c r="Z355" t="s">
        <v>42</v>
      </c>
      <c r="AA355" t="s">
        <v>43</v>
      </c>
      <c r="AB355">
        <v>13</v>
      </c>
      <c r="AC355">
        <v>3</v>
      </c>
      <c r="AD355" t="str">
        <f t="shared" si="11"/>
        <v>Low Performance</v>
      </c>
      <c r="AE355">
        <v>1</v>
      </c>
      <c r="AF355">
        <v>80</v>
      </c>
      <c r="AG355">
        <v>2</v>
      </c>
      <c r="AH355">
        <v>13</v>
      </c>
      <c r="AI355">
        <v>2</v>
      </c>
      <c r="AJ355">
        <v>3</v>
      </c>
      <c r="AK355" t="str" cm="1">
        <f t="array" ref="AK355">_xlfn.IFS(AJ355&lt;=2,"Poor",AJ355&lt;=3,"Fair",AJ355&gt;3,"Good")</f>
        <v>Fair</v>
      </c>
      <c r="AL355">
        <v>7</v>
      </c>
      <c r="AM355">
        <v>7</v>
      </c>
      <c r="AN355">
        <v>6</v>
      </c>
      <c r="AO355">
        <v>7</v>
      </c>
    </row>
    <row r="356" spans="1:41" x14ac:dyDescent="0.2">
      <c r="A356">
        <v>1465814</v>
      </c>
      <c r="B356">
        <v>30</v>
      </c>
      <c r="C356" t="str" cm="1">
        <f t="array" ref="C356">_xlfn.IFS(B356&lt;=25,"15-25",B356&lt;=35,"26-35",B356&lt;=45,"36-45",B356&lt;=55,"46-55",B356&lt;=65,"56-65")</f>
        <v>26-35</v>
      </c>
      <c r="D356" t="s">
        <v>43</v>
      </c>
      <c r="E356" t="str">
        <f t="shared" si="10"/>
        <v>Former Employee</v>
      </c>
      <c r="F356" t="s">
        <v>52</v>
      </c>
      <c r="G356">
        <v>641</v>
      </c>
      <c r="H356" t="s">
        <v>37</v>
      </c>
      <c r="I356">
        <v>25</v>
      </c>
      <c r="J356">
        <v>2</v>
      </c>
      <c r="K356" t="s">
        <v>56</v>
      </c>
      <c r="L356">
        <v>1</v>
      </c>
      <c r="M356">
        <v>4</v>
      </c>
      <c r="N356" t="s">
        <v>39</v>
      </c>
      <c r="O356">
        <v>85</v>
      </c>
      <c r="P356">
        <v>3</v>
      </c>
      <c r="Q356">
        <v>2</v>
      </c>
      <c r="R356" t="s">
        <v>40</v>
      </c>
      <c r="S356">
        <v>3</v>
      </c>
      <c r="T356" t="str" cm="1">
        <f t="array" ref="T356">_xlfn.IFS(S356&lt;=2,"Poor",S356&lt;=3,"Fair",S356&gt;=4,"Good")</f>
        <v>Fair</v>
      </c>
      <c r="U356" t="s">
        <v>48</v>
      </c>
      <c r="V356" s="1">
        <v>4736</v>
      </c>
      <c r="W356" t="str" cm="1">
        <f t="array" ref="W356">_xlfn.IFS(V356&lt;=5000,"Low Salary",V356&lt;=12000,"Good Salary",V356&gt;12000,"High Salary")</f>
        <v>Low Salary</v>
      </c>
      <c r="X356">
        <v>6069</v>
      </c>
      <c r="Y356">
        <v>7</v>
      </c>
      <c r="Z356" t="s">
        <v>42</v>
      </c>
      <c r="AA356" t="s">
        <v>43</v>
      </c>
      <c r="AB356">
        <v>12</v>
      </c>
      <c r="AC356">
        <v>3</v>
      </c>
      <c r="AD356" t="str">
        <f t="shared" si="11"/>
        <v>Low Performance</v>
      </c>
      <c r="AE356">
        <v>2</v>
      </c>
      <c r="AF356">
        <v>80</v>
      </c>
      <c r="AG356">
        <v>1</v>
      </c>
      <c r="AH356">
        <v>4</v>
      </c>
      <c r="AI356">
        <v>2</v>
      </c>
      <c r="AJ356">
        <v>4</v>
      </c>
      <c r="AK356" t="str" cm="1">
        <f t="array" ref="AK356">_xlfn.IFS(AJ356&lt;=2,"Poor",AJ356&lt;=3,"Fair",AJ356&gt;3,"Good")</f>
        <v>Good</v>
      </c>
      <c r="AL356">
        <v>2</v>
      </c>
      <c r="AM356">
        <v>2</v>
      </c>
      <c r="AN356">
        <v>2</v>
      </c>
      <c r="AO356">
        <v>2</v>
      </c>
    </row>
    <row r="357" spans="1:41" x14ac:dyDescent="0.2">
      <c r="A357">
        <v>1622008</v>
      </c>
      <c r="B357">
        <v>26</v>
      </c>
      <c r="C357" t="str" cm="1">
        <f t="array" ref="C357">_xlfn.IFS(B357&lt;=25,"15-25",B357&lt;=35,"26-35",B357&lt;=45,"36-45",B357&lt;=55,"46-55",B357&lt;=65,"56-65")</f>
        <v>26-35</v>
      </c>
      <c r="D357" t="s">
        <v>35</v>
      </c>
      <c r="E357" t="str">
        <f t="shared" si="10"/>
        <v>Current Employee</v>
      </c>
      <c r="F357" t="s">
        <v>36</v>
      </c>
      <c r="G357">
        <v>933</v>
      </c>
      <c r="H357" t="s">
        <v>37</v>
      </c>
      <c r="I357">
        <v>1</v>
      </c>
      <c r="J357">
        <v>3</v>
      </c>
      <c r="K357" t="s">
        <v>38</v>
      </c>
      <c r="L357">
        <v>1</v>
      </c>
      <c r="M357">
        <v>3</v>
      </c>
      <c r="N357" t="s">
        <v>46</v>
      </c>
      <c r="O357">
        <v>57</v>
      </c>
      <c r="P357">
        <v>3</v>
      </c>
      <c r="Q357">
        <v>2</v>
      </c>
      <c r="R357" t="s">
        <v>40</v>
      </c>
      <c r="S357">
        <v>3</v>
      </c>
      <c r="T357" t="str" cm="1">
        <f t="array" ref="T357">_xlfn.IFS(S357&lt;=2,"Poor",S357&lt;=3,"Fair",S357&gt;=4,"Good")</f>
        <v>Fair</v>
      </c>
      <c r="U357" t="s">
        <v>48</v>
      </c>
      <c r="V357" s="1">
        <v>5296</v>
      </c>
      <c r="W357" t="str" cm="1">
        <f t="array" ref="W357">_xlfn.IFS(V357&lt;=5000,"Low Salary",V357&lt;=12000,"Good Salary",V357&gt;12000,"High Salary")</f>
        <v>Good Salary</v>
      </c>
      <c r="X357">
        <v>20156</v>
      </c>
      <c r="Y357">
        <v>1</v>
      </c>
      <c r="Z357" t="s">
        <v>42</v>
      </c>
      <c r="AA357" t="s">
        <v>35</v>
      </c>
      <c r="AB357">
        <v>17</v>
      </c>
      <c r="AC357">
        <v>3</v>
      </c>
      <c r="AD357" t="str">
        <f t="shared" si="11"/>
        <v>Low Performance</v>
      </c>
      <c r="AE357">
        <v>2</v>
      </c>
      <c r="AF357">
        <v>80</v>
      </c>
      <c r="AG357">
        <v>1</v>
      </c>
      <c r="AH357">
        <v>8</v>
      </c>
      <c r="AI357">
        <v>3</v>
      </c>
      <c r="AJ357">
        <v>3</v>
      </c>
      <c r="AK357" t="str" cm="1">
        <f t="array" ref="AK357">_xlfn.IFS(AJ357&lt;=2,"Poor",AJ357&lt;=3,"Fair",AJ357&gt;3,"Good")</f>
        <v>Fair</v>
      </c>
      <c r="AL357">
        <v>8</v>
      </c>
      <c r="AM357">
        <v>7</v>
      </c>
      <c r="AN357">
        <v>7</v>
      </c>
      <c r="AO357">
        <v>7</v>
      </c>
    </row>
    <row r="358" spans="1:41" x14ac:dyDescent="0.2">
      <c r="A358">
        <v>1679401</v>
      </c>
      <c r="B358">
        <v>42</v>
      </c>
      <c r="C358" t="str" cm="1">
        <f t="array" ref="C358">_xlfn.IFS(B358&lt;=25,"15-25",B358&lt;=35,"26-35",B358&lt;=45,"36-45",B358&lt;=55,"46-55",B358&lt;=65,"56-65")</f>
        <v>36-45</v>
      </c>
      <c r="D358" t="s">
        <v>35</v>
      </c>
      <c r="E358" t="str">
        <f t="shared" si="10"/>
        <v>Current Employee</v>
      </c>
      <c r="F358" t="s">
        <v>36</v>
      </c>
      <c r="G358">
        <v>1332</v>
      </c>
      <c r="H358" t="s">
        <v>45</v>
      </c>
      <c r="I358">
        <v>2</v>
      </c>
      <c r="J358">
        <v>4</v>
      </c>
      <c r="K358" t="s">
        <v>47</v>
      </c>
      <c r="L358">
        <v>1</v>
      </c>
      <c r="M358">
        <v>1</v>
      </c>
      <c r="N358" t="s">
        <v>46</v>
      </c>
      <c r="O358">
        <v>98</v>
      </c>
      <c r="P358">
        <v>2</v>
      </c>
      <c r="Q358">
        <v>2</v>
      </c>
      <c r="R358" t="s">
        <v>40</v>
      </c>
      <c r="S358">
        <v>4</v>
      </c>
      <c r="T358" t="str" cm="1">
        <f t="array" ref="T358">_xlfn.IFS(S358&lt;=2,"Poor",S358&lt;=3,"Fair",S358&gt;=4,"Good")</f>
        <v>Good</v>
      </c>
      <c r="U358" t="s">
        <v>41</v>
      </c>
      <c r="V358" s="1">
        <v>6781</v>
      </c>
      <c r="W358" t="str" cm="1">
        <f t="array" ref="W358">_xlfn.IFS(V358&lt;=5000,"Low Salary",V358&lt;=12000,"Good Salary",V358&gt;12000,"High Salary")</f>
        <v>Good Salary</v>
      </c>
      <c r="X358">
        <v>17078</v>
      </c>
      <c r="Y358">
        <v>3</v>
      </c>
      <c r="Z358" t="s">
        <v>42</v>
      </c>
      <c r="AA358" t="s">
        <v>35</v>
      </c>
      <c r="AB358">
        <v>23</v>
      </c>
      <c r="AC358">
        <v>4</v>
      </c>
      <c r="AD358" t="str">
        <f t="shared" si="11"/>
        <v>High Performance</v>
      </c>
      <c r="AE358">
        <v>2</v>
      </c>
      <c r="AF358">
        <v>80</v>
      </c>
      <c r="AG358">
        <v>0</v>
      </c>
      <c r="AH358">
        <v>14</v>
      </c>
      <c r="AI358">
        <v>6</v>
      </c>
      <c r="AJ358">
        <v>3</v>
      </c>
      <c r="AK358" t="str" cm="1">
        <f t="array" ref="AK358">_xlfn.IFS(AJ358&lt;=2,"Poor",AJ358&lt;=3,"Fair",AJ358&gt;3,"Good")</f>
        <v>Fair</v>
      </c>
      <c r="AL358">
        <v>1</v>
      </c>
      <c r="AM358">
        <v>0</v>
      </c>
      <c r="AN358">
        <v>0</v>
      </c>
      <c r="AO358">
        <v>0</v>
      </c>
    </row>
    <row r="359" spans="1:41" x14ac:dyDescent="0.2">
      <c r="A359">
        <v>1612768</v>
      </c>
      <c r="B359">
        <v>21</v>
      </c>
      <c r="C359" t="str" cm="1">
        <f t="array" ref="C359">_xlfn.IFS(B359&lt;=25,"15-25",B359&lt;=35,"26-35",B359&lt;=45,"36-45",B359&lt;=55,"46-55",B359&lt;=65,"56-65")</f>
        <v>15-25</v>
      </c>
      <c r="D359" t="s">
        <v>43</v>
      </c>
      <c r="E359" t="str">
        <f t="shared" si="10"/>
        <v>Former Employee</v>
      </c>
      <c r="F359" t="s">
        <v>44</v>
      </c>
      <c r="G359">
        <v>756</v>
      </c>
      <c r="H359" t="s">
        <v>37</v>
      </c>
      <c r="I359">
        <v>1</v>
      </c>
      <c r="J359">
        <v>1</v>
      </c>
      <c r="K359" t="s">
        <v>56</v>
      </c>
      <c r="L359">
        <v>1</v>
      </c>
      <c r="M359">
        <v>1</v>
      </c>
      <c r="N359" t="s">
        <v>39</v>
      </c>
      <c r="O359">
        <v>99</v>
      </c>
      <c r="P359">
        <v>2</v>
      </c>
      <c r="Q359">
        <v>1</v>
      </c>
      <c r="R359" t="s">
        <v>47</v>
      </c>
      <c r="S359">
        <v>2</v>
      </c>
      <c r="T359" t="str" cm="1">
        <f t="array" ref="T359">_xlfn.IFS(S359&lt;=2,"Poor",S359&lt;=3,"Fair",S359&gt;=4,"Good")</f>
        <v>Poor</v>
      </c>
      <c r="U359" t="s">
        <v>41</v>
      </c>
      <c r="V359" s="1">
        <v>2174</v>
      </c>
      <c r="W359" t="str" cm="1">
        <f t="array" ref="W359">_xlfn.IFS(V359&lt;=5000,"Low Salary",V359&lt;=12000,"Good Salary",V359&gt;12000,"High Salary")</f>
        <v>Low Salary</v>
      </c>
      <c r="X359">
        <v>9150</v>
      </c>
      <c r="Y359">
        <v>1</v>
      </c>
      <c r="Z359" t="s">
        <v>42</v>
      </c>
      <c r="AA359" t="s">
        <v>43</v>
      </c>
      <c r="AB359">
        <v>11</v>
      </c>
      <c r="AC359">
        <v>3</v>
      </c>
      <c r="AD359" t="str">
        <f t="shared" si="11"/>
        <v>Low Performance</v>
      </c>
      <c r="AE359">
        <v>3</v>
      </c>
      <c r="AF359">
        <v>80</v>
      </c>
      <c r="AG359">
        <v>0</v>
      </c>
      <c r="AH359">
        <v>3</v>
      </c>
      <c r="AI359">
        <v>3</v>
      </c>
      <c r="AJ359">
        <v>3</v>
      </c>
      <c r="AK359" t="str" cm="1">
        <f t="array" ref="AK359">_xlfn.IFS(AJ359&lt;=2,"Poor",AJ359&lt;=3,"Fair",AJ359&gt;3,"Good")</f>
        <v>Fair</v>
      </c>
      <c r="AL359">
        <v>3</v>
      </c>
      <c r="AM359">
        <v>2</v>
      </c>
      <c r="AN359">
        <v>1</v>
      </c>
      <c r="AO359">
        <v>2</v>
      </c>
    </row>
    <row r="360" spans="1:41" x14ac:dyDescent="0.2">
      <c r="A360">
        <v>1680323</v>
      </c>
      <c r="B360">
        <v>36</v>
      </c>
      <c r="C360" t="str" cm="1">
        <f t="array" ref="C360">_xlfn.IFS(B360&lt;=25,"15-25",B360&lt;=35,"26-35",B360&lt;=45,"36-45",B360&lt;=55,"46-55",B360&lt;=65,"56-65")</f>
        <v>36-45</v>
      </c>
      <c r="D360" t="s">
        <v>35</v>
      </c>
      <c r="E360" t="str">
        <f t="shared" si="10"/>
        <v>Current Employee</v>
      </c>
      <c r="F360" t="s">
        <v>52</v>
      </c>
      <c r="G360">
        <v>845</v>
      </c>
      <c r="H360" t="s">
        <v>37</v>
      </c>
      <c r="I360">
        <v>1</v>
      </c>
      <c r="J360">
        <v>5</v>
      </c>
      <c r="K360" t="s">
        <v>49</v>
      </c>
      <c r="L360">
        <v>1</v>
      </c>
      <c r="M360">
        <v>4</v>
      </c>
      <c r="N360" t="s">
        <v>39</v>
      </c>
      <c r="O360">
        <v>45</v>
      </c>
      <c r="P360">
        <v>3</v>
      </c>
      <c r="Q360">
        <v>2</v>
      </c>
      <c r="R360" t="s">
        <v>40</v>
      </c>
      <c r="S360">
        <v>4</v>
      </c>
      <c r="T360" t="str" cm="1">
        <f t="array" ref="T360">_xlfn.IFS(S360&lt;=2,"Poor",S360&lt;=3,"Fair",S360&gt;=4,"Good")</f>
        <v>Good</v>
      </c>
      <c r="U360" t="s">
        <v>41</v>
      </c>
      <c r="V360" s="1">
        <v>6653</v>
      </c>
      <c r="W360" t="str" cm="1">
        <f t="array" ref="W360">_xlfn.IFS(V360&lt;=5000,"Low Salary",V360&lt;=12000,"Good Salary",V360&gt;12000,"High Salary")</f>
        <v>Good Salary</v>
      </c>
      <c r="X360">
        <v>15276</v>
      </c>
      <c r="Y360">
        <v>4</v>
      </c>
      <c r="Z360" t="s">
        <v>42</v>
      </c>
      <c r="AA360" t="s">
        <v>35</v>
      </c>
      <c r="AB360">
        <v>15</v>
      </c>
      <c r="AC360">
        <v>3</v>
      </c>
      <c r="AD360" t="str">
        <f t="shared" si="11"/>
        <v>Low Performance</v>
      </c>
      <c r="AE360">
        <v>2</v>
      </c>
      <c r="AF360">
        <v>80</v>
      </c>
      <c r="AG360">
        <v>0</v>
      </c>
      <c r="AH360">
        <v>7</v>
      </c>
      <c r="AI360">
        <v>6</v>
      </c>
      <c r="AJ360">
        <v>3</v>
      </c>
      <c r="AK360" t="str" cm="1">
        <f t="array" ref="AK360">_xlfn.IFS(AJ360&lt;=2,"Poor",AJ360&lt;=3,"Fair",AJ360&gt;3,"Good")</f>
        <v>Fair</v>
      </c>
      <c r="AL360">
        <v>1</v>
      </c>
      <c r="AM360">
        <v>0</v>
      </c>
      <c r="AN360">
        <v>0</v>
      </c>
      <c r="AO360">
        <v>0</v>
      </c>
    </row>
    <row r="361" spans="1:41" x14ac:dyDescent="0.2">
      <c r="A361">
        <v>1340908</v>
      </c>
      <c r="B361">
        <v>36</v>
      </c>
      <c r="C361" t="str" cm="1">
        <f t="array" ref="C361">_xlfn.IFS(B361&lt;=25,"15-25",B361&lt;=35,"26-35",B361&lt;=45,"36-45",B361&lt;=55,"46-55",B361&lt;=65,"56-65")</f>
        <v>36-45</v>
      </c>
      <c r="D361" t="s">
        <v>35</v>
      </c>
      <c r="E361" t="str">
        <f t="shared" si="10"/>
        <v>Current Employee</v>
      </c>
      <c r="F361" t="s">
        <v>44</v>
      </c>
      <c r="G361">
        <v>541</v>
      </c>
      <c r="H361" t="s">
        <v>37</v>
      </c>
      <c r="I361">
        <v>3</v>
      </c>
      <c r="J361">
        <v>4</v>
      </c>
      <c r="K361" t="s">
        <v>49</v>
      </c>
      <c r="L361">
        <v>1</v>
      </c>
      <c r="M361">
        <v>1</v>
      </c>
      <c r="N361" t="s">
        <v>46</v>
      </c>
      <c r="O361">
        <v>48</v>
      </c>
      <c r="P361">
        <v>2</v>
      </c>
      <c r="Q361">
        <v>3</v>
      </c>
      <c r="R361" t="s">
        <v>40</v>
      </c>
      <c r="S361">
        <v>4</v>
      </c>
      <c r="T361" t="str" cm="1">
        <f t="array" ref="T361">_xlfn.IFS(S361&lt;=2,"Poor",S361&lt;=3,"Fair",S361&gt;=4,"Good")</f>
        <v>Good</v>
      </c>
      <c r="U361" t="s">
        <v>48</v>
      </c>
      <c r="V361" s="1">
        <v>9699</v>
      </c>
      <c r="W361" t="str" cm="1">
        <f t="array" ref="W361">_xlfn.IFS(V361&lt;=5000,"Low Salary",V361&lt;=12000,"Good Salary",V361&gt;12000,"High Salary")</f>
        <v>Good Salary</v>
      </c>
      <c r="X361">
        <v>7246</v>
      </c>
      <c r="Y361">
        <v>4</v>
      </c>
      <c r="Z361" t="s">
        <v>42</v>
      </c>
      <c r="AA361" t="s">
        <v>35</v>
      </c>
      <c r="AB361">
        <v>11</v>
      </c>
      <c r="AC361">
        <v>3</v>
      </c>
      <c r="AD361" t="str">
        <f t="shared" si="11"/>
        <v>Low Performance</v>
      </c>
      <c r="AE361">
        <v>1</v>
      </c>
      <c r="AF361">
        <v>80</v>
      </c>
      <c r="AG361">
        <v>1</v>
      </c>
      <c r="AH361">
        <v>16</v>
      </c>
      <c r="AI361">
        <v>2</v>
      </c>
      <c r="AJ361">
        <v>3</v>
      </c>
      <c r="AK361" t="str" cm="1">
        <f t="array" ref="AK361">_xlfn.IFS(AJ361&lt;=2,"Poor",AJ361&lt;=3,"Fair",AJ361&gt;3,"Good")</f>
        <v>Fair</v>
      </c>
      <c r="AL361">
        <v>13</v>
      </c>
      <c r="AM361">
        <v>9</v>
      </c>
      <c r="AN361">
        <v>1</v>
      </c>
      <c r="AO361">
        <v>12</v>
      </c>
    </row>
    <row r="362" spans="1:41" x14ac:dyDescent="0.2">
      <c r="A362">
        <v>1407209</v>
      </c>
      <c r="B362">
        <v>57</v>
      </c>
      <c r="C362" t="str" cm="1">
        <f t="array" ref="C362">_xlfn.IFS(B362&lt;=25,"15-25",B362&lt;=35,"26-35",B362&lt;=45,"36-45",B362&lt;=55,"46-55",B362&lt;=65,"56-65")</f>
        <v>56-65</v>
      </c>
      <c r="D362" t="s">
        <v>35</v>
      </c>
      <c r="E362" t="str">
        <f t="shared" si="10"/>
        <v>Current Employee</v>
      </c>
      <c r="F362" t="s">
        <v>36</v>
      </c>
      <c r="G362">
        <v>593</v>
      </c>
      <c r="H362" t="s">
        <v>45</v>
      </c>
      <c r="I362">
        <v>1</v>
      </c>
      <c r="J362">
        <v>4</v>
      </c>
      <c r="K362" t="s">
        <v>49</v>
      </c>
      <c r="L362">
        <v>1</v>
      </c>
      <c r="M362">
        <v>4</v>
      </c>
      <c r="N362" t="s">
        <v>46</v>
      </c>
      <c r="O362">
        <v>88</v>
      </c>
      <c r="P362">
        <v>3</v>
      </c>
      <c r="Q362">
        <v>2</v>
      </c>
      <c r="R362" t="s">
        <v>40</v>
      </c>
      <c r="S362">
        <v>3</v>
      </c>
      <c r="T362" t="str" cm="1">
        <f t="array" ref="T362">_xlfn.IFS(S362&lt;=2,"Poor",S362&lt;=3,"Fair",S362&gt;=4,"Good")</f>
        <v>Fair</v>
      </c>
      <c r="U362" t="s">
        <v>48</v>
      </c>
      <c r="V362" s="1">
        <v>6755</v>
      </c>
      <c r="W362" t="str" cm="1">
        <f t="array" ref="W362">_xlfn.IFS(V362&lt;=5000,"Low Salary",V362&lt;=12000,"Good Salary",V362&gt;12000,"High Salary")</f>
        <v>Good Salary</v>
      </c>
      <c r="X362">
        <v>2967</v>
      </c>
      <c r="Y362">
        <v>2</v>
      </c>
      <c r="Z362" t="s">
        <v>42</v>
      </c>
      <c r="AA362" t="s">
        <v>35</v>
      </c>
      <c r="AB362">
        <v>11</v>
      </c>
      <c r="AC362">
        <v>3</v>
      </c>
      <c r="AD362" t="str">
        <f t="shared" si="11"/>
        <v>Low Performance</v>
      </c>
      <c r="AE362">
        <v>3</v>
      </c>
      <c r="AF362">
        <v>80</v>
      </c>
      <c r="AG362">
        <v>0</v>
      </c>
      <c r="AH362">
        <v>15</v>
      </c>
      <c r="AI362">
        <v>2</v>
      </c>
      <c r="AJ362">
        <v>3</v>
      </c>
      <c r="AK362" t="str" cm="1">
        <f t="array" ref="AK362">_xlfn.IFS(AJ362&lt;=2,"Poor",AJ362&lt;=3,"Fair",AJ362&gt;3,"Good")</f>
        <v>Fair</v>
      </c>
      <c r="AL362">
        <v>3</v>
      </c>
      <c r="AM362">
        <v>2</v>
      </c>
      <c r="AN362">
        <v>1</v>
      </c>
      <c r="AO362">
        <v>2</v>
      </c>
    </row>
    <row r="363" spans="1:41" x14ac:dyDescent="0.2">
      <c r="A363">
        <v>1196631</v>
      </c>
      <c r="B363">
        <v>40</v>
      </c>
      <c r="C363" t="str" cm="1">
        <f t="array" ref="C363">_xlfn.IFS(B363&lt;=25,"15-25",B363&lt;=35,"26-35",B363&lt;=45,"36-45",B363&lt;=55,"46-55",B363&lt;=65,"56-65")</f>
        <v>36-45</v>
      </c>
      <c r="D363" t="s">
        <v>35</v>
      </c>
      <c r="E363" t="str">
        <f t="shared" si="10"/>
        <v>Current Employee</v>
      </c>
      <c r="F363" t="s">
        <v>36</v>
      </c>
      <c r="G363">
        <v>1171</v>
      </c>
      <c r="H363" t="s">
        <v>45</v>
      </c>
      <c r="I363">
        <v>10</v>
      </c>
      <c r="J363">
        <v>4</v>
      </c>
      <c r="K363" t="s">
        <v>38</v>
      </c>
      <c r="L363">
        <v>1</v>
      </c>
      <c r="M363">
        <v>4</v>
      </c>
      <c r="N363" t="s">
        <v>39</v>
      </c>
      <c r="O363">
        <v>46</v>
      </c>
      <c r="P363">
        <v>4</v>
      </c>
      <c r="Q363">
        <v>1</v>
      </c>
      <c r="R363" t="s">
        <v>40</v>
      </c>
      <c r="S363">
        <v>3</v>
      </c>
      <c r="T363" t="str" cm="1">
        <f t="array" ref="T363">_xlfn.IFS(S363&lt;=2,"Poor",S363&lt;=3,"Fair",S363&gt;=4,"Good")</f>
        <v>Fair</v>
      </c>
      <c r="U363" t="s">
        <v>48</v>
      </c>
      <c r="V363" s="1">
        <v>2213</v>
      </c>
      <c r="W363" t="str" cm="1">
        <f t="array" ref="W363">_xlfn.IFS(V363&lt;=5000,"Low Salary",V363&lt;=12000,"Good Salary",V363&gt;12000,"High Salary")</f>
        <v>Low Salary</v>
      </c>
      <c r="X363">
        <v>22495</v>
      </c>
      <c r="Y363">
        <v>3</v>
      </c>
      <c r="Z363" t="s">
        <v>42</v>
      </c>
      <c r="AA363" t="s">
        <v>43</v>
      </c>
      <c r="AB363">
        <v>13</v>
      </c>
      <c r="AC363">
        <v>3</v>
      </c>
      <c r="AD363" t="str">
        <f t="shared" si="11"/>
        <v>Low Performance</v>
      </c>
      <c r="AE363">
        <v>3</v>
      </c>
      <c r="AF363">
        <v>80</v>
      </c>
      <c r="AG363">
        <v>1</v>
      </c>
      <c r="AH363">
        <v>10</v>
      </c>
      <c r="AI363">
        <v>3</v>
      </c>
      <c r="AJ363">
        <v>3</v>
      </c>
      <c r="AK363" t="str" cm="1">
        <f t="array" ref="AK363">_xlfn.IFS(AJ363&lt;=2,"Poor",AJ363&lt;=3,"Fair",AJ363&gt;3,"Good")</f>
        <v>Fair</v>
      </c>
      <c r="AL363">
        <v>7</v>
      </c>
      <c r="AM363">
        <v>7</v>
      </c>
      <c r="AN363">
        <v>1</v>
      </c>
      <c r="AO363">
        <v>7</v>
      </c>
    </row>
    <row r="364" spans="1:41" x14ac:dyDescent="0.2">
      <c r="A364">
        <v>1558158</v>
      </c>
      <c r="B364">
        <v>21</v>
      </c>
      <c r="C364" t="str" cm="1">
        <f t="array" ref="C364">_xlfn.IFS(B364&lt;=25,"15-25",B364&lt;=35,"26-35",B364&lt;=45,"36-45",B364&lt;=55,"46-55",B364&lt;=65,"56-65")</f>
        <v>15-25</v>
      </c>
      <c r="D364" t="s">
        <v>35</v>
      </c>
      <c r="E364" t="str">
        <f t="shared" si="10"/>
        <v>Current Employee</v>
      </c>
      <c r="F364" t="s">
        <v>52</v>
      </c>
      <c r="G364">
        <v>895</v>
      </c>
      <c r="H364" t="s">
        <v>37</v>
      </c>
      <c r="I364">
        <v>9</v>
      </c>
      <c r="J364">
        <v>2</v>
      </c>
      <c r="K364" t="s">
        <v>49</v>
      </c>
      <c r="L364">
        <v>1</v>
      </c>
      <c r="M364">
        <v>1</v>
      </c>
      <c r="N364" t="s">
        <v>46</v>
      </c>
      <c r="O364">
        <v>39</v>
      </c>
      <c r="P364">
        <v>3</v>
      </c>
      <c r="Q364">
        <v>1</v>
      </c>
      <c r="R364" t="s">
        <v>47</v>
      </c>
      <c r="S364">
        <v>4</v>
      </c>
      <c r="T364" t="str" cm="1">
        <f t="array" ref="T364">_xlfn.IFS(S364&lt;=2,"Poor",S364&lt;=3,"Fair",S364&gt;=4,"Good")</f>
        <v>Good</v>
      </c>
      <c r="U364" t="s">
        <v>41</v>
      </c>
      <c r="V364" s="1">
        <v>2610</v>
      </c>
      <c r="W364" t="str" cm="1">
        <f t="array" ref="W364">_xlfn.IFS(V364&lt;=5000,"Low Salary",V364&lt;=12000,"Good Salary",V364&gt;12000,"High Salary")</f>
        <v>Low Salary</v>
      </c>
      <c r="X364">
        <v>2851</v>
      </c>
      <c r="Y364">
        <v>1</v>
      </c>
      <c r="Z364" t="s">
        <v>42</v>
      </c>
      <c r="AA364" t="s">
        <v>35</v>
      </c>
      <c r="AB364">
        <v>24</v>
      </c>
      <c r="AC364">
        <v>4</v>
      </c>
      <c r="AD364" t="str">
        <f t="shared" si="11"/>
        <v>High Performance</v>
      </c>
      <c r="AE364">
        <v>3</v>
      </c>
      <c r="AF364">
        <v>80</v>
      </c>
      <c r="AG364">
        <v>0</v>
      </c>
      <c r="AH364">
        <v>3</v>
      </c>
      <c r="AI364">
        <v>3</v>
      </c>
      <c r="AJ364">
        <v>2</v>
      </c>
      <c r="AK364" t="str" cm="1">
        <f t="array" ref="AK364">_xlfn.IFS(AJ364&lt;=2,"Poor",AJ364&lt;=3,"Fair",AJ364&gt;3,"Good")</f>
        <v>Poor</v>
      </c>
      <c r="AL364">
        <v>3</v>
      </c>
      <c r="AM364">
        <v>2</v>
      </c>
      <c r="AN364">
        <v>2</v>
      </c>
      <c r="AO364">
        <v>2</v>
      </c>
    </row>
    <row r="365" spans="1:41" x14ac:dyDescent="0.2">
      <c r="A365">
        <v>1542984</v>
      </c>
      <c r="B365">
        <v>33</v>
      </c>
      <c r="C365" t="str" cm="1">
        <f t="array" ref="C365">_xlfn.IFS(B365&lt;=25,"15-25",B365&lt;=35,"26-35",B365&lt;=45,"36-45",B365&lt;=55,"46-55",B365&lt;=65,"56-65")</f>
        <v>26-35</v>
      </c>
      <c r="D365" t="s">
        <v>43</v>
      </c>
      <c r="E365" t="str">
        <f t="shared" si="10"/>
        <v>Former Employee</v>
      </c>
      <c r="F365" t="s">
        <v>36</v>
      </c>
      <c r="G365">
        <v>350</v>
      </c>
      <c r="H365" t="s">
        <v>37</v>
      </c>
      <c r="I365">
        <v>5</v>
      </c>
      <c r="J365">
        <v>3</v>
      </c>
      <c r="K365" t="s">
        <v>55</v>
      </c>
      <c r="L365">
        <v>1</v>
      </c>
      <c r="M365">
        <v>4</v>
      </c>
      <c r="N365" t="s">
        <v>39</v>
      </c>
      <c r="O365">
        <v>34</v>
      </c>
      <c r="P365">
        <v>3</v>
      </c>
      <c r="Q365">
        <v>1</v>
      </c>
      <c r="R365" t="s">
        <v>47</v>
      </c>
      <c r="S365">
        <v>3</v>
      </c>
      <c r="T365" t="str" cm="1">
        <f t="array" ref="T365">_xlfn.IFS(S365&lt;=2,"Poor",S365&lt;=3,"Fair",S365&gt;=4,"Good")</f>
        <v>Fair</v>
      </c>
      <c r="U365" t="s">
        <v>41</v>
      </c>
      <c r="V365" s="1">
        <v>2851</v>
      </c>
      <c r="W365" t="str" cm="1">
        <f t="array" ref="W365">_xlfn.IFS(V365&lt;=5000,"Low Salary",V365&lt;=12000,"Good Salary",V365&gt;12000,"High Salary")</f>
        <v>Low Salary</v>
      </c>
      <c r="X365">
        <v>9150</v>
      </c>
      <c r="Y365">
        <v>1</v>
      </c>
      <c r="Z365" t="s">
        <v>42</v>
      </c>
      <c r="AA365" t="s">
        <v>43</v>
      </c>
      <c r="AB365">
        <v>13</v>
      </c>
      <c r="AC365">
        <v>3</v>
      </c>
      <c r="AD365" t="str">
        <f t="shared" si="11"/>
        <v>Low Performance</v>
      </c>
      <c r="AE365">
        <v>2</v>
      </c>
      <c r="AF365">
        <v>80</v>
      </c>
      <c r="AG365">
        <v>0</v>
      </c>
      <c r="AH365">
        <v>1</v>
      </c>
      <c r="AI365">
        <v>2</v>
      </c>
      <c r="AJ365">
        <v>3</v>
      </c>
      <c r="AK365" t="str" cm="1">
        <f t="array" ref="AK365">_xlfn.IFS(AJ365&lt;=2,"Poor",AJ365&lt;=3,"Fair",AJ365&gt;3,"Good")</f>
        <v>Fair</v>
      </c>
      <c r="AL365">
        <v>1</v>
      </c>
      <c r="AM365">
        <v>0</v>
      </c>
      <c r="AN365">
        <v>0</v>
      </c>
      <c r="AO365">
        <v>0</v>
      </c>
    </row>
    <row r="366" spans="1:41" x14ac:dyDescent="0.2">
      <c r="A366">
        <v>1665531</v>
      </c>
      <c r="B366">
        <v>37</v>
      </c>
      <c r="C366" t="str" cm="1">
        <f t="array" ref="C366">_xlfn.IFS(B366&lt;=25,"15-25",B366&lt;=35,"26-35",B366&lt;=45,"36-45",B366&lt;=55,"46-55",B366&lt;=65,"56-65")</f>
        <v>36-45</v>
      </c>
      <c r="D366" t="s">
        <v>35</v>
      </c>
      <c r="E366" t="str">
        <f t="shared" si="10"/>
        <v>Current Employee</v>
      </c>
      <c r="F366" t="s">
        <v>36</v>
      </c>
      <c r="G366">
        <v>921</v>
      </c>
      <c r="H366" t="s">
        <v>45</v>
      </c>
      <c r="I366">
        <v>10</v>
      </c>
      <c r="J366">
        <v>3</v>
      </c>
      <c r="K366" t="s">
        <v>49</v>
      </c>
      <c r="L366">
        <v>1</v>
      </c>
      <c r="M366">
        <v>3</v>
      </c>
      <c r="N366" t="s">
        <v>39</v>
      </c>
      <c r="O366">
        <v>98</v>
      </c>
      <c r="P366">
        <v>3</v>
      </c>
      <c r="Q366">
        <v>1</v>
      </c>
      <c r="R366" t="s">
        <v>40</v>
      </c>
      <c r="S366">
        <v>1</v>
      </c>
      <c r="T366" t="str" cm="1">
        <f t="array" ref="T366">_xlfn.IFS(S366&lt;=2,"Poor",S366&lt;=3,"Fair",S366&gt;=4,"Good")</f>
        <v>Poor</v>
      </c>
      <c r="U366" t="s">
        <v>48</v>
      </c>
      <c r="V366" s="1">
        <v>3452</v>
      </c>
      <c r="W366" t="str" cm="1">
        <f t="array" ref="W366">_xlfn.IFS(V366&lt;=5000,"Low Salary",V366&lt;=12000,"Good Salary",V366&gt;12000,"High Salary")</f>
        <v>Low Salary</v>
      </c>
      <c r="X366">
        <v>17663</v>
      </c>
      <c r="Y366">
        <v>6</v>
      </c>
      <c r="Z366" t="s">
        <v>42</v>
      </c>
      <c r="AA366" t="s">
        <v>35</v>
      </c>
      <c r="AB366">
        <v>20</v>
      </c>
      <c r="AC366">
        <v>4</v>
      </c>
      <c r="AD366" t="str">
        <f t="shared" si="11"/>
        <v>High Performance</v>
      </c>
      <c r="AE366">
        <v>2</v>
      </c>
      <c r="AF366">
        <v>80</v>
      </c>
      <c r="AG366">
        <v>1</v>
      </c>
      <c r="AH366">
        <v>17</v>
      </c>
      <c r="AI366">
        <v>3</v>
      </c>
      <c r="AJ366">
        <v>3</v>
      </c>
      <c r="AK366" t="str" cm="1">
        <f t="array" ref="AK366">_xlfn.IFS(AJ366&lt;=2,"Poor",AJ366&lt;=3,"Fair",AJ366&gt;3,"Good")</f>
        <v>Fair</v>
      </c>
      <c r="AL366">
        <v>5</v>
      </c>
      <c r="AM366">
        <v>4</v>
      </c>
      <c r="AN366">
        <v>0</v>
      </c>
      <c r="AO366">
        <v>3</v>
      </c>
    </row>
    <row r="367" spans="1:41" x14ac:dyDescent="0.2">
      <c r="A367">
        <v>1815564</v>
      </c>
      <c r="B367">
        <v>46</v>
      </c>
      <c r="C367" t="str" cm="1">
        <f t="array" ref="C367">_xlfn.IFS(B367&lt;=25,"15-25",B367&lt;=35,"26-35",B367&lt;=45,"36-45",B367&lt;=55,"46-55",B367&lt;=65,"56-65")</f>
        <v>46-55</v>
      </c>
      <c r="D367" t="s">
        <v>35</v>
      </c>
      <c r="E367" t="str">
        <f t="shared" si="10"/>
        <v>Current Employee</v>
      </c>
      <c r="F367" t="s">
        <v>52</v>
      </c>
      <c r="G367">
        <v>1144</v>
      </c>
      <c r="H367" t="s">
        <v>54</v>
      </c>
      <c r="I367">
        <v>7</v>
      </c>
      <c r="J367">
        <v>4</v>
      </c>
      <c r="K367" t="s">
        <v>49</v>
      </c>
      <c r="L367">
        <v>1</v>
      </c>
      <c r="M367">
        <v>3</v>
      </c>
      <c r="N367" t="s">
        <v>39</v>
      </c>
      <c r="O367">
        <v>30</v>
      </c>
      <c r="P367">
        <v>3</v>
      </c>
      <c r="Q367">
        <v>2</v>
      </c>
      <c r="R367" t="s">
        <v>51</v>
      </c>
      <c r="S367">
        <v>3</v>
      </c>
      <c r="T367" t="str" cm="1">
        <f t="array" ref="T367">_xlfn.IFS(S367&lt;=2,"Poor",S367&lt;=3,"Fair",S367&gt;=4,"Good")</f>
        <v>Fair</v>
      </c>
      <c r="U367" t="s">
        <v>48</v>
      </c>
      <c r="V367" s="1">
        <v>5258</v>
      </c>
      <c r="W367" t="str" cm="1">
        <f t="array" ref="W367">_xlfn.IFS(V367&lt;=5000,"Low Salary",V367&lt;=12000,"Good Salary",V367&gt;12000,"High Salary")</f>
        <v>Good Salary</v>
      </c>
      <c r="X367">
        <v>16044</v>
      </c>
      <c r="Y367">
        <v>2</v>
      </c>
      <c r="Z367" t="s">
        <v>42</v>
      </c>
      <c r="AA367" t="s">
        <v>35</v>
      </c>
      <c r="AB367">
        <v>14</v>
      </c>
      <c r="AC367">
        <v>3</v>
      </c>
      <c r="AD367" t="str">
        <f t="shared" si="11"/>
        <v>Low Performance</v>
      </c>
      <c r="AE367">
        <v>3</v>
      </c>
      <c r="AF367">
        <v>80</v>
      </c>
      <c r="AG367">
        <v>0</v>
      </c>
      <c r="AH367">
        <v>7</v>
      </c>
      <c r="AI367">
        <v>2</v>
      </c>
      <c r="AJ367">
        <v>4</v>
      </c>
      <c r="AK367" t="str" cm="1">
        <f t="array" ref="AK367">_xlfn.IFS(AJ367&lt;=2,"Poor",AJ367&lt;=3,"Fair",AJ367&gt;3,"Good")</f>
        <v>Good</v>
      </c>
      <c r="AL367">
        <v>1</v>
      </c>
      <c r="AM367">
        <v>0</v>
      </c>
      <c r="AN367">
        <v>0</v>
      </c>
      <c r="AO367">
        <v>0</v>
      </c>
    </row>
    <row r="368" spans="1:41" x14ac:dyDescent="0.2">
      <c r="A368">
        <v>1866571</v>
      </c>
      <c r="B368">
        <v>41</v>
      </c>
      <c r="C368" t="str" cm="1">
        <f t="array" ref="C368">_xlfn.IFS(B368&lt;=25,"15-25",B368&lt;=35,"26-35",B368&lt;=45,"36-45",B368&lt;=55,"46-55",B368&lt;=65,"56-65")</f>
        <v>36-45</v>
      </c>
      <c r="D368" t="s">
        <v>35</v>
      </c>
      <c r="E368" t="str">
        <f t="shared" si="10"/>
        <v>Current Employee</v>
      </c>
      <c r="F368" t="s">
        <v>44</v>
      </c>
      <c r="G368">
        <v>143</v>
      </c>
      <c r="H368" t="s">
        <v>37</v>
      </c>
      <c r="I368">
        <v>4</v>
      </c>
      <c r="J368">
        <v>3</v>
      </c>
      <c r="K368" t="s">
        <v>55</v>
      </c>
      <c r="L368">
        <v>1</v>
      </c>
      <c r="M368">
        <v>1</v>
      </c>
      <c r="N368" t="s">
        <v>46</v>
      </c>
      <c r="O368">
        <v>56</v>
      </c>
      <c r="P368">
        <v>3</v>
      </c>
      <c r="Q368">
        <v>2</v>
      </c>
      <c r="R368" t="s">
        <v>40</v>
      </c>
      <c r="S368">
        <v>2</v>
      </c>
      <c r="T368" t="str" cm="1">
        <f t="array" ref="T368">_xlfn.IFS(S368&lt;=2,"Poor",S368&lt;=3,"Fair",S368&gt;=4,"Good")</f>
        <v>Poor</v>
      </c>
      <c r="U368" t="s">
        <v>41</v>
      </c>
      <c r="V368" s="1">
        <v>9355</v>
      </c>
      <c r="W368" t="str" cm="1">
        <f t="array" ref="W368">_xlfn.IFS(V368&lt;=5000,"Low Salary",V368&lt;=12000,"Good Salary",V368&gt;12000,"High Salary")</f>
        <v>Good Salary</v>
      </c>
      <c r="X368">
        <v>9558</v>
      </c>
      <c r="Y368">
        <v>1</v>
      </c>
      <c r="Z368" t="s">
        <v>42</v>
      </c>
      <c r="AA368" t="s">
        <v>35</v>
      </c>
      <c r="AB368">
        <v>18</v>
      </c>
      <c r="AC368">
        <v>3</v>
      </c>
      <c r="AD368" t="str">
        <f t="shared" si="11"/>
        <v>Low Performance</v>
      </c>
      <c r="AE368">
        <v>3</v>
      </c>
      <c r="AF368">
        <v>80</v>
      </c>
      <c r="AG368">
        <v>0</v>
      </c>
      <c r="AH368">
        <v>8</v>
      </c>
      <c r="AI368">
        <v>5</v>
      </c>
      <c r="AJ368">
        <v>3</v>
      </c>
      <c r="AK368" t="str" cm="1">
        <f t="array" ref="AK368">_xlfn.IFS(AJ368&lt;=2,"Poor",AJ368&lt;=3,"Fair",AJ368&gt;3,"Good")</f>
        <v>Fair</v>
      </c>
      <c r="AL368">
        <v>8</v>
      </c>
      <c r="AM368">
        <v>7</v>
      </c>
      <c r="AN368">
        <v>7</v>
      </c>
      <c r="AO368">
        <v>7</v>
      </c>
    </row>
    <row r="369" spans="1:41" x14ac:dyDescent="0.2">
      <c r="A369">
        <v>1589819</v>
      </c>
      <c r="B369">
        <v>50</v>
      </c>
      <c r="C369" t="str" cm="1">
        <f t="array" ref="C369">_xlfn.IFS(B369&lt;=25,"15-25",B369&lt;=35,"26-35",B369&lt;=45,"36-45",B369&lt;=55,"46-55",B369&lt;=65,"56-65")</f>
        <v>46-55</v>
      </c>
      <c r="D369" t="s">
        <v>35</v>
      </c>
      <c r="E369" t="str">
        <f t="shared" si="10"/>
        <v>Current Employee</v>
      </c>
      <c r="F369" t="s">
        <v>36</v>
      </c>
      <c r="G369">
        <v>1046</v>
      </c>
      <c r="H369" t="s">
        <v>45</v>
      </c>
      <c r="I369">
        <v>10</v>
      </c>
      <c r="J369">
        <v>3</v>
      </c>
      <c r="K369" t="s">
        <v>56</v>
      </c>
      <c r="L369">
        <v>1</v>
      </c>
      <c r="M369">
        <v>4</v>
      </c>
      <c r="N369" t="s">
        <v>46</v>
      </c>
      <c r="O369">
        <v>100</v>
      </c>
      <c r="P369">
        <v>2</v>
      </c>
      <c r="Q369">
        <v>3</v>
      </c>
      <c r="R369" t="s">
        <v>40</v>
      </c>
      <c r="S369">
        <v>4</v>
      </c>
      <c r="T369" t="str" cm="1">
        <f t="array" ref="T369">_xlfn.IFS(S369&lt;=2,"Poor",S369&lt;=3,"Fair",S369&gt;=4,"Good")</f>
        <v>Good</v>
      </c>
      <c r="U369" t="s">
        <v>41</v>
      </c>
      <c r="V369" s="1">
        <v>10496</v>
      </c>
      <c r="W369" t="str" cm="1">
        <f t="array" ref="W369">_xlfn.IFS(V369&lt;=5000,"Low Salary",V369&lt;=12000,"Good Salary",V369&gt;12000,"High Salary")</f>
        <v>Good Salary</v>
      </c>
      <c r="X369">
        <v>2755</v>
      </c>
      <c r="Y369">
        <v>6</v>
      </c>
      <c r="Z369" t="s">
        <v>42</v>
      </c>
      <c r="AA369" t="s">
        <v>35</v>
      </c>
      <c r="AB369">
        <v>15</v>
      </c>
      <c r="AC369">
        <v>3</v>
      </c>
      <c r="AD369" t="str">
        <f t="shared" si="11"/>
        <v>Low Performance</v>
      </c>
      <c r="AE369">
        <v>4</v>
      </c>
      <c r="AF369">
        <v>80</v>
      </c>
      <c r="AG369">
        <v>0</v>
      </c>
      <c r="AH369">
        <v>20</v>
      </c>
      <c r="AI369">
        <v>2</v>
      </c>
      <c r="AJ369">
        <v>3</v>
      </c>
      <c r="AK369" t="str" cm="1">
        <f t="array" ref="AK369">_xlfn.IFS(AJ369&lt;=2,"Poor",AJ369&lt;=3,"Fair",AJ369&gt;3,"Good")</f>
        <v>Fair</v>
      </c>
      <c r="AL369">
        <v>4</v>
      </c>
      <c r="AM369">
        <v>3</v>
      </c>
      <c r="AN369">
        <v>1</v>
      </c>
      <c r="AO369">
        <v>3</v>
      </c>
    </row>
    <row r="370" spans="1:41" x14ac:dyDescent="0.2">
      <c r="A370">
        <v>1645744</v>
      </c>
      <c r="B370">
        <v>40</v>
      </c>
      <c r="C370" t="str" cm="1">
        <f t="array" ref="C370">_xlfn.IFS(B370&lt;=25,"15-25",B370&lt;=35,"26-35",B370&lt;=45,"36-45",B370&lt;=55,"46-55",B370&lt;=65,"56-65")</f>
        <v>36-45</v>
      </c>
      <c r="D370" t="s">
        <v>35</v>
      </c>
      <c r="E370" t="str">
        <f t="shared" si="10"/>
        <v>Current Employee</v>
      </c>
      <c r="F370" t="s">
        <v>36</v>
      </c>
      <c r="G370">
        <v>575</v>
      </c>
      <c r="H370" t="s">
        <v>37</v>
      </c>
      <c r="I370">
        <v>22</v>
      </c>
      <c r="J370">
        <v>2</v>
      </c>
      <c r="K370" t="s">
        <v>55</v>
      </c>
      <c r="L370">
        <v>1</v>
      </c>
      <c r="M370">
        <v>3</v>
      </c>
      <c r="N370" t="s">
        <v>46</v>
      </c>
      <c r="O370">
        <v>68</v>
      </c>
      <c r="P370">
        <v>2</v>
      </c>
      <c r="Q370">
        <v>2</v>
      </c>
      <c r="R370" t="s">
        <v>40</v>
      </c>
      <c r="S370">
        <v>3</v>
      </c>
      <c r="T370" t="str" cm="1">
        <f t="array" ref="T370">_xlfn.IFS(S370&lt;=2,"Poor",S370&lt;=3,"Fair",S370&gt;=4,"Good")</f>
        <v>Fair</v>
      </c>
      <c r="U370" t="s">
        <v>48</v>
      </c>
      <c r="V370" s="1">
        <v>6380</v>
      </c>
      <c r="W370" t="str" cm="1">
        <f t="array" ref="W370">_xlfn.IFS(V370&lt;=5000,"Low Salary",V370&lt;=12000,"Good Salary",V370&gt;12000,"High Salary")</f>
        <v>Good Salary</v>
      </c>
      <c r="X370">
        <v>6110</v>
      </c>
      <c r="Y370">
        <v>2</v>
      </c>
      <c r="Z370" t="s">
        <v>42</v>
      </c>
      <c r="AA370" t="s">
        <v>43</v>
      </c>
      <c r="AB370">
        <v>12</v>
      </c>
      <c r="AC370">
        <v>3</v>
      </c>
      <c r="AD370" t="str">
        <f t="shared" si="11"/>
        <v>Low Performance</v>
      </c>
      <c r="AE370">
        <v>1</v>
      </c>
      <c r="AF370">
        <v>80</v>
      </c>
      <c r="AG370">
        <v>2</v>
      </c>
      <c r="AH370">
        <v>8</v>
      </c>
      <c r="AI370">
        <v>6</v>
      </c>
      <c r="AJ370">
        <v>3</v>
      </c>
      <c r="AK370" t="str" cm="1">
        <f t="array" ref="AK370">_xlfn.IFS(AJ370&lt;=2,"Poor",AJ370&lt;=3,"Fair",AJ370&gt;3,"Good")</f>
        <v>Fair</v>
      </c>
      <c r="AL370">
        <v>6</v>
      </c>
      <c r="AM370">
        <v>4</v>
      </c>
      <c r="AN370">
        <v>1</v>
      </c>
      <c r="AO370">
        <v>0</v>
      </c>
    </row>
    <row r="371" spans="1:41" x14ac:dyDescent="0.2">
      <c r="A371">
        <v>1235953</v>
      </c>
      <c r="B371">
        <v>31</v>
      </c>
      <c r="C371" t="str" cm="1">
        <f t="array" ref="C371">_xlfn.IFS(B371&lt;=25,"15-25",B371&lt;=35,"26-35",B371&lt;=45,"36-45",B371&lt;=55,"46-55",B371&lt;=65,"56-65")</f>
        <v>26-35</v>
      </c>
      <c r="D371" t="s">
        <v>43</v>
      </c>
      <c r="E371" t="str">
        <f t="shared" si="10"/>
        <v>Former Employee</v>
      </c>
      <c r="F371" t="s">
        <v>36</v>
      </c>
      <c r="G371">
        <v>408</v>
      </c>
      <c r="H371" t="s">
        <v>45</v>
      </c>
      <c r="I371">
        <v>9</v>
      </c>
      <c r="J371">
        <v>4</v>
      </c>
      <c r="K371" t="s">
        <v>38</v>
      </c>
      <c r="L371">
        <v>1</v>
      </c>
      <c r="M371">
        <v>3</v>
      </c>
      <c r="N371" t="s">
        <v>46</v>
      </c>
      <c r="O371">
        <v>42</v>
      </c>
      <c r="P371">
        <v>2</v>
      </c>
      <c r="Q371">
        <v>1</v>
      </c>
      <c r="R371" t="s">
        <v>47</v>
      </c>
      <c r="S371">
        <v>2</v>
      </c>
      <c r="T371" t="str" cm="1">
        <f t="array" ref="T371">_xlfn.IFS(S371&lt;=2,"Poor",S371&lt;=3,"Fair",S371&gt;=4,"Good")</f>
        <v>Poor</v>
      </c>
      <c r="U371" t="s">
        <v>41</v>
      </c>
      <c r="V371" s="1">
        <v>2657</v>
      </c>
      <c r="W371" t="str" cm="1">
        <f t="array" ref="W371">_xlfn.IFS(V371&lt;=5000,"Low Salary",V371&lt;=12000,"Good Salary",V371&gt;12000,"High Salary")</f>
        <v>Low Salary</v>
      </c>
      <c r="X371">
        <v>7551</v>
      </c>
      <c r="Y371">
        <v>0</v>
      </c>
      <c r="Z371" t="s">
        <v>42</v>
      </c>
      <c r="AA371" t="s">
        <v>43</v>
      </c>
      <c r="AB371">
        <v>16</v>
      </c>
      <c r="AC371">
        <v>3</v>
      </c>
      <c r="AD371" t="str">
        <f t="shared" si="11"/>
        <v>Low Performance</v>
      </c>
      <c r="AE371">
        <v>4</v>
      </c>
      <c r="AF371">
        <v>80</v>
      </c>
      <c r="AG371">
        <v>0</v>
      </c>
      <c r="AH371">
        <v>3</v>
      </c>
      <c r="AI371">
        <v>5</v>
      </c>
      <c r="AJ371">
        <v>3</v>
      </c>
      <c r="AK371" t="str" cm="1">
        <f t="array" ref="AK371">_xlfn.IFS(AJ371&lt;=2,"Poor",AJ371&lt;=3,"Fair",AJ371&gt;3,"Good")</f>
        <v>Fair</v>
      </c>
      <c r="AL371">
        <v>2</v>
      </c>
      <c r="AM371">
        <v>2</v>
      </c>
      <c r="AN371">
        <v>2</v>
      </c>
      <c r="AO371">
        <v>2</v>
      </c>
    </row>
    <row r="372" spans="1:41" x14ac:dyDescent="0.2">
      <c r="A372">
        <v>1034442</v>
      </c>
      <c r="B372">
        <v>21</v>
      </c>
      <c r="C372" t="str" cm="1">
        <f t="array" ref="C372">_xlfn.IFS(B372&lt;=25,"15-25",B372&lt;=35,"26-35",B372&lt;=45,"36-45",B372&lt;=55,"46-55",B372&lt;=65,"56-65")</f>
        <v>15-25</v>
      </c>
      <c r="D372" t="s">
        <v>43</v>
      </c>
      <c r="E372" t="str">
        <f t="shared" si="10"/>
        <v>Former Employee</v>
      </c>
      <c r="F372" t="s">
        <v>36</v>
      </c>
      <c r="G372">
        <v>156</v>
      </c>
      <c r="H372" t="s">
        <v>37</v>
      </c>
      <c r="I372">
        <v>12</v>
      </c>
      <c r="J372">
        <v>3</v>
      </c>
      <c r="K372" t="s">
        <v>38</v>
      </c>
      <c r="L372">
        <v>1</v>
      </c>
      <c r="M372">
        <v>3</v>
      </c>
      <c r="N372" t="s">
        <v>39</v>
      </c>
      <c r="O372">
        <v>90</v>
      </c>
      <c r="P372">
        <v>4</v>
      </c>
      <c r="Q372">
        <v>1</v>
      </c>
      <c r="R372" t="s">
        <v>47</v>
      </c>
      <c r="S372">
        <v>2</v>
      </c>
      <c r="T372" t="str" cm="1">
        <f t="array" ref="T372">_xlfn.IFS(S372&lt;=2,"Poor",S372&lt;=3,"Fair",S372&gt;=4,"Good")</f>
        <v>Poor</v>
      </c>
      <c r="U372" t="s">
        <v>41</v>
      </c>
      <c r="V372" s="1">
        <v>2716</v>
      </c>
      <c r="W372" t="str" cm="1">
        <f t="array" ref="W372">_xlfn.IFS(V372&lt;=5000,"Low Salary",V372&lt;=12000,"Good Salary",V372&gt;12000,"High Salary")</f>
        <v>Low Salary</v>
      </c>
      <c r="X372">
        <v>25422</v>
      </c>
      <c r="Y372">
        <v>1</v>
      </c>
      <c r="Z372" t="s">
        <v>42</v>
      </c>
      <c r="AA372" t="s">
        <v>35</v>
      </c>
      <c r="AB372">
        <v>15</v>
      </c>
      <c r="AC372">
        <v>3</v>
      </c>
      <c r="AD372" t="str">
        <f t="shared" si="11"/>
        <v>Low Performance</v>
      </c>
      <c r="AE372">
        <v>4</v>
      </c>
      <c r="AF372">
        <v>80</v>
      </c>
      <c r="AG372">
        <v>0</v>
      </c>
      <c r="AH372">
        <v>1</v>
      </c>
      <c r="AI372">
        <v>0</v>
      </c>
      <c r="AJ372">
        <v>3</v>
      </c>
      <c r="AK372" t="str" cm="1">
        <f t="array" ref="AK372">_xlfn.IFS(AJ372&lt;=2,"Poor",AJ372&lt;=3,"Fair",AJ372&gt;3,"Good")</f>
        <v>Fair</v>
      </c>
      <c r="AL372">
        <v>1</v>
      </c>
      <c r="AM372">
        <v>0</v>
      </c>
      <c r="AN372">
        <v>0</v>
      </c>
      <c r="AO372">
        <v>0</v>
      </c>
    </row>
    <row r="373" spans="1:41" x14ac:dyDescent="0.2">
      <c r="A373">
        <v>1616596</v>
      </c>
      <c r="B373">
        <v>29</v>
      </c>
      <c r="C373" t="str" cm="1">
        <f t="array" ref="C373">_xlfn.IFS(B373&lt;=25,"15-25",B373&lt;=35,"26-35",B373&lt;=45,"36-45",B373&lt;=55,"46-55",B373&lt;=65,"56-65")</f>
        <v>26-35</v>
      </c>
      <c r="D373" t="s">
        <v>35</v>
      </c>
      <c r="E373" t="str">
        <f t="shared" si="10"/>
        <v>Current Employee</v>
      </c>
      <c r="F373" t="s">
        <v>36</v>
      </c>
      <c r="G373">
        <v>1283</v>
      </c>
      <c r="H373" t="s">
        <v>45</v>
      </c>
      <c r="I373">
        <v>23</v>
      </c>
      <c r="J373">
        <v>3</v>
      </c>
      <c r="K373" t="s">
        <v>38</v>
      </c>
      <c r="L373">
        <v>1</v>
      </c>
      <c r="M373">
        <v>4</v>
      </c>
      <c r="N373" t="s">
        <v>46</v>
      </c>
      <c r="O373">
        <v>54</v>
      </c>
      <c r="P373">
        <v>3</v>
      </c>
      <c r="Q373">
        <v>1</v>
      </c>
      <c r="R373" t="s">
        <v>47</v>
      </c>
      <c r="S373">
        <v>4</v>
      </c>
      <c r="T373" t="str" cm="1">
        <f t="array" ref="T373">_xlfn.IFS(S373&lt;=2,"Poor",S373&lt;=3,"Fair",S373&gt;=4,"Good")</f>
        <v>Good</v>
      </c>
      <c r="U373" t="s">
        <v>41</v>
      </c>
      <c r="V373" s="1">
        <v>2201</v>
      </c>
      <c r="W373" t="str" cm="1">
        <f t="array" ref="W373">_xlfn.IFS(V373&lt;=5000,"Low Salary",V373&lt;=12000,"Good Salary",V373&gt;12000,"High Salary")</f>
        <v>Low Salary</v>
      </c>
      <c r="X373">
        <v>18168</v>
      </c>
      <c r="Y373">
        <v>9</v>
      </c>
      <c r="Z373" t="s">
        <v>42</v>
      </c>
      <c r="AA373" t="s">
        <v>35</v>
      </c>
      <c r="AB373">
        <v>16</v>
      </c>
      <c r="AC373">
        <v>3</v>
      </c>
      <c r="AD373" t="str">
        <f t="shared" si="11"/>
        <v>Low Performance</v>
      </c>
      <c r="AE373">
        <v>4</v>
      </c>
      <c r="AF373">
        <v>80</v>
      </c>
      <c r="AG373">
        <v>0</v>
      </c>
      <c r="AH373">
        <v>6</v>
      </c>
      <c r="AI373">
        <v>4</v>
      </c>
      <c r="AJ373">
        <v>3</v>
      </c>
      <c r="AK373" t="str" cm="1">
        <f t="array" ref="AK373">_xlfn.IFS(AJ373&lt;=2,"Poor",AJ373&lt;=3,"Fair",AJ373&gt;3,"Good")</f>
        <v>Fair</v>
      </c>
      <c r="AL373">
        <v>3</v>
      </c>
      <c r="AM373">
        <v>2</v>
      </c>
      <c r="AN373">
        <v>1</v>
      </c>
      <c r="AO373">
        <v>2</v>
      </c>
    </row>
    <row r="374" spans="1:41" x14ac:dyDescent="0.2">
      <c r="A374">
        <v>1078791</v>
      </c>
      <c r="B374">
        <v>35</v>
      </c>
      <c r="C374" t="str" cm="1">
        <f t="array" ref="C374">_xlfn.IFS(B374&lt;=25,"15-25",B374&lt;=35,"26-35",B374&lt;=45,"36-45",B374&lt;=55,"46-55",B374&lt;=65,"56-65")</f>
        <v>26-35</v>
      </c>
      <c r="D374" t="s">
        <v>35</v>
      </c>
      <c r="E374" t="str">
        <f t="shared" si="10"/>
        <v>Current Employee</v>
      </c>
      <c r="F374" t="s">
        <v>36</v>
      </c>
      <c r="G374">
        <v>755</v>
      </c>
      <c r="H374" t="s">
        <v>45</v>
      </c>
      <c r="I374">
        <v>9</v>
      </c>
      <c r="J374">
        <v>4</v>
      </c>
      <c r="K374" t="s">
        <v>38</v>
      </c>
      <c r="L374">
        <v>1</v>
      </c>
      <c r="M374">
        <v>3</v>
      </c>
      <c r="N374" t="s">
        <v>46</v>
      </c>
      <c r="O374">
        <v>97</v>
      </c>
      <c r="P374">
        <v>2</v>
      </c>
      <c r="Q374">
        <v>2</v>
      </c>
      <c r="R374" t="s">
        <v>40</v>
      </c>
      <c r="S374">
        <v>2</v>
      </c>
      <c r="T374" t="str" cm="1">
        <f t="array" ref="T374">_xlfn.IFS(S374&lt;=2,"Poor",S374&lt;=3,"Fair",S374&gt;=4,"Good")</f>
        <v>Poor</v>
      </c>
      <c r="U374" t="s">
        <v>41</v>
      </c>
      <c r="V374" s="1">
        <v>6540</v>
      </c>
      <c r="W374" t="str" cm="1">
        <f t="array" ref="W374">_xlfn.IFS(V374&lt;=5000,"Low Salary",V374&lt;=12000,"Good Salary",V374&gt;12000,"High Salary")</f>
        <v>Good Salary</v>
      </c>
      <c r="X374">
        <v>19394</v>
      </c>
      <c r="Y374">
        <v>9</v>
      </c>
      <c r="Z374" t="s">
        <v>42</v>
      </c>
      <c r="AA374" t="s">
        <v>35</v>
      </c>
      <c r="AB374">
        <v>19</v>
      </c>
      <c r="AC374">
        <v>3</v>
      </c>
      <c r="AD374" t="str">
        <f t="shared" si="11"/>
        <v>Low Performance</v>
      </c>
      <c r="AE374">
        <v>3</v>
      </c>
      <c r="AF374">
        <v>80</v>
      </c>
      <c r="AG374">
        <v>0</v>
      </c>
      <c r="AH374">
        <v>10</v>
      </c>
      <c r="AI374">
        <v>5</v>
      </c>
      <c r="AJ374">
        <v>3</v>
      </c>
      <c r="AK374" t="str" cm="1">
        <f t="array" ref="AK374">_xlfn.IFS(AJ374&lt;=2,"Poor",AJ374&lt;=3,"Fair",AJ374&gt;3,"Good")</f>
        <v>Fair</v>
      </c>
      <c r="AL374">
        <v>1</v>
      </c>
      <c r="AM374">
        <v>1</v>
      </c>
      <c r="AN374">
        <v>0</v>
      </c>
      <c r="AO374">
        <v>0</v>
      </c>
    </row>
    <row r="375" spans="1:41" x14ac:dyDescent="0.2">
      <c r="A375">
        <v>1513965</v>
      </c>
      <c r="B375">
        <v>27</v>
      </c>
      <c r="C375" t="str" cm="1">
        <f t="array" ref="C375">_xlfn.IFS(B375&lt;=25,"15-25",B375&lt;=35,"26-35",B375&lt;=45,"36-45",B375&lt;=55,"46-55",B375&lt;=65,"56-65")</f>
        <v>26-35</v>
      </c>
      <c r="D375" t="s">
        <v>35</v>
      </c>
      <c r="E375" t="str">
        <f t="shared" si="10"/>
        <v>Current Employee</v>
      </c>
      <c r="F375" t="s">
        <v>36</v>
      </c>
      <c r="G375">
        <v>1469</v>
      </c>
      <c r="H375" t="s">
        <v>45</v>
      </c>
      <c r="I375">
        <v>1</v>
      </c>
      <c r="J375">
        <v>2</v>
      </c>
      <c r="K375" t="s">
        <v>49</v>
      </c>
      <c r="L375">
        <v>1</v>
      </c>
      <c r="M375">
        <v>4</v>
      </c>
      <c r="N375" t="s">
        <v>46</v>
      </c>
      <c r="O375">
        <v>82</v>
      </c>
      <c r="P375">
        <v>3</v>
      </c>
      <c r="Q375">
        <v>1</v>
      </c>
      <c r="R375" t="s">
        <v>40</v>
      </c>
      <c r="S375">
        <v>2</v>
      </c>
      <c r="T375" t="str" cm="1">
        <f t="array" ref="T375">_xlfn.IFS(S375&lt;=2,"Poor",S375&lt;=3,"Fair",S375&gt;=4,"Good")</f>
        <v>Poor</v>
      </c>
      <c r="U375" t="s">
        <v>50</v>
      </c>
      <c r="V375" s="1">
        <v>3816</v>
      </c>
      <c r="W375" t="str" cm="1">
        <f t="array" ref="W375">_xlfn.IFS(V375&lt;=5000,"Low Salary",V375&lt;=12000,"Good Salary",V375&gt;12000,"High Salary")</f>
        <v>Low Salary</v>
      </c>
      <c r="X375">
        <v>17881</v>
      </c>
      <c r="Y375">
        <v>1</v>
      </c>
      <c r="Z375" t="s">
        <v>42</v>
      </c>
      <c r="AA375" t="s">
        <v>35</v>
      </c>
      <c r="AB375">
        <v>11</v>
      </c>
      <c r="AC375">
        <v>3</v>
      </c>
      <c r="AD375" t="str">
        <f t="shared" si="11"/>
        <v>Low Performance</v>
      </c>
      <c r="AE375">
        <v>2</v>
      </c>
      <c r="AF375">
        <v>80</v>
      </c>
      <c r="AG375">
        <v>1</v>
      </c>
      <c r="AH375">
        <v>5</v>
      </c>
      <c r="AI375">
        <v>2</v>
      </c>
      <c r="AJ375">
        <v>3</v>
      </c>
      <c r="AK375" t="str" cm="1">
        <f t="array" ref="AK375">_xlfn.IFS(AJ375&lt;=2,"Poor",AJ375&lt;=3,"Fair",AJ375&gt;3,"Good")</f>
        <v>Fair</v>
      </c>
      <c r="AL375">
        <v>5</v>
      </c>
      <c r="AM375">
        <v>2</v>
      </c>
      <c r="AN375">
        <v>0</v>
      </c>
      <c r="AO375">
        <v>4</v>
      </c>
    </row>
    <row r="376" spans="1:41" x14ac:dyDescent="0.2">
      <c r="A376">
        <v>1786169</v>
      </c>
      <c r="B376">
        <v>28</v>
      </c>
      <c r="C376" t="str" cm="1">
        <f t="array" ref="C376">_xlfn.IFS(B376&lt;=25,"15-25",B376&lt;=35,"26-35",B376&lt;=45,"36-45",B376&lt;=55,"46-55",B376&lt;=65,"56-65")</f>
        <v>26-35</v>
      </c>
      <c r="D376" t="s">
        <v>35</v>
      </c>
      <c r="E376" t="str">
        <f t="shared" si="10"/>
        <v>Current Employee</v>
      </c>
      <c r="F376" t="s">
        <v>36</v>
      </c>
      <c r="G376">
        <v>304</v>
      </c>
      <c r="H376" t="s">
        <v>37</v>
      </c>
      <c r="I376">
        <v>9</v>
      </c>
      <c r="J376">
        <v>4</v>
      </c>
      <c r="K376" t="s">
        <v>38</v>
      </c>
      <c r="L376">
        <v>1</v>
      </c>
      <c r="M376">
        <v>2</v>
      </c>
      <c r="N376" t="s">
        <v>46</v>
      </c>
      <c r="O376">
        <v>92</v>
      </c>
      <c r="P376">
        <v>3</v>
      </c>
      <c r="Q376">
        <v>2</v>
      </c>
      <c r="R376" t="s">
        <v>40</v>
      </c>
      <c r="S376">
        <v>4</v>
      </c>
      <c r="T376" t="str" cm="1">
        <f t="array" ref="T376">_xlfn.IFS(S376&lt;=2,"Poor",S376&lt;=3,"Fair",S376&gt;=4,"Good")</f>
        <v>Good</v>
      </c>
      <c r="U376" t="s">
        <v>41</v>
      </c>
      <c r="V376" s="1">
        <v>5253</v>
      </c>
      <c r="W376" t="str" cm="1">
        <f t="array" ref="W376">_xlfn.IFS(V376&lt;=5000,"Low Salary",V376&lt;=12000,"Good Salary",V376&gt;12000,"High Salary")</f>
        <v>Good Salary</v>
      </c>
      <c r="X376">
        <v>20750</v>
      </c>
      <c r="Y376">
        <v>1</v>
      </c>
      <c r="Z376" t="s">
        <v>42</v>
      </c>
      <c r="AA376" t="s">
        <v>35</v>
      </c>
      <c r="AB376">
        <v>16</v>
      </c>
      <c r="AC376">
        <v>3</v>
      </c>
      <c r="AD376" t="str">
        <f t="shared" si="11"/>
        <v>Low Performance</v>
      </c>
      <c r="AE376">
        <v>4</v>
      </c>
      <c r="AF376">
        <v>80</v>
      </c>
      <c r="AG376">
        <v>0</v>
      </c>
      <c r="AH376">
        <v>7</v>
      </c>
      <c r="AI376">
        <v>1</v>
      </c>
      <c r="AJ376">
        <v>3</v>
      </c>
      <c r="AK376" t="str" cm="1">
        <f t="array" ref="AK376">_xlfn.IFS(AJ376&lt;=2,"Poor",AJ376&lt;=3,"Fair",AJ376&gt;3,"Good")</f>
        <v>Fair</v>
      </c>
      <c r="AL376">
        <v>7</v>
      </c>
      <c r="AM376">
        <v>5</v>
      </c>
      <c r="AN376">
        <v>0</v>
      </c>
      <c r="AO376">
        <v>7</v>
      </c>
    </row>
    <row r="377" spans="1:41" x14ac:dyDescent="0.2">
      <c r="A377">
        <v>1377506</v>
      </c>
      <c r="B377">
        <v>49</v>
      </c>
      <c r="C377" t="str" cm="1">
        <f t="array" ref="C377">_xlfn.IFS(B377&lt;=25,"15-25",B377&lt;=35,"26-35",B377&lt;=45,"36-45",B377&lt;=55,"46-55",B377&lt;=65,"56-65")</f>
        <v>46-55</v>
      </c>
      <c r="D377" t="s">
        <v>35</v>
      </c>
      <c r="E377" t="str">
        <f t="shared" si="10"/>
        <v>Current Employee</v>
      </c>
      <c r="F377" t="s">
        <v>36</v>
      </c>
      <c r="G377">
        <v>1261</v>
      </c>
      <c r="H377" t="s">
        <v>45</v>
      </c>
      <c r="I377">
        <v>7</v>
      </c>
      <c r="J377">
        <v>3</v>
      </c>
      <c r="K377" t="s">
        <v>47</v>
      </c>
      <c r="L377">
        <v>1</v>
      </c>
      <c r="M377">
        <v>2</v>
      </c>
      <c r="N377" t="s">
        <v>46</v>
      </c>
      <c r="O377">
        <v>31</v>
      </c>
      <c r="P377">
        <v>2</v>
      </c>
      <c r="Q377">
        <v>3</v>
      </c>
      <c r="R377" t="s">
        <v>40</v>
      </c>
      <c r="S377">
        <v>3</v>
      </c>
      <c r="T377" t="str" cm="1">
        <f t="array" ref="T377">_xlfn.IFS(S377&lt;=2,"Poor",S377&lt;=3,"Fair",S377&gt;=4,"Good")</f>
        <v>Fair</v>
      </c>
      <c r="U377" t="s">
        <v>41</v>
      </c>
      <c r="V377" s="1">
        <v>10965</v>
      </c>
      <c r="W377" t="str" cm="1">
        <f t="array" ref="W377">_xlfn.IFS(V377&lt;=5000,"Low Salary",V377&lt;=12000,"Good Salary",V377&gt;12000,"High Salary")</f>
        <v>Good Salary</v>
      </c>
      <c r="X377">
        <v>12066</v>
      </c>
      <c r="Y377">
        <v>8</v>
      </c>
      <c r="Z377" t="s">
        <v>42</v>
      </c>
      <c r="AA377" t="s">
        <v>35</v>
      </c>
      <c r="AB377">
        <v>24</v>
      </c>
      <c r="AC377">
        <v>4</v>
      </c>
      <c r="AD377" t="str">
        <f t="shared" si="11"/>
        <v>High Performance</v>
      </c>
      <c r="AE377">
        <v>3</v>
      </c>
      <c r="AF377">
        <v>80</v>
      </c>
      <c r="AG377">
        <v>0</v>
      </c>
      <c r="AH377">
        <v>26</v>
      </c>
      <c r="AI377">
        <v>2</v>
      </c>
      <c r="AJ377">
        <v>3</v>
      </c>
      <c r="AK377" t="str" cm="1">
        <f t="array" ref="AK377">_xlfn.IFS(AJ377&lt;=2,"Poor",AJ377&lt;=3,"Fair",AJ377&gt;3,"Good")</f>
        <v>Fair</v>
      </c>
      <c r="AL377">
        <v>5</v>
      </c>
      <c r="AM377">
        <v>2</v>
      </c>
      <c r="AN377">
        <v>0</v>
      </c>
      <c r="AO377">
        <v>0</v>
      </c>
    </row>
    <row r="378" spans="1:41" x14ac:dyDescent="0.2">
      <c r="A378">
        <v>1653415</v>
      </c>
      <c r="B378">
        <v>51</v>
      </c>
      <c r="C378" t="str" cm="1">
        <f t="array" ref="C378">_xlfn.IFS(B378&lt;=25,"15-25",B378&lt;=35,"26-35",B378&lt;=45,"36-45",B378&lt;=55,"46-55",B378&lt;=65,"56-65")</f>
        <v>46-55</v>
      </c>
      <c r="D378" t="s">
        <v>35</v>
      </c>
      <c r="E378" t="str">
        <f t="shared" si="10"/>
        <v>Current Employee</v>
      </c>
      <c r="F378" t="s">
        <v>36</v>
      </c>
      <c r="G378">
        <v>1178</v>
      </c>
      <c r="H378" t="s">
        <v>37</v>
      </c>
      <c r="I378">
        <v>14</v>
      </c>
      <c r="J378">
        <v>2</v>
      </c>
      <c r="K378" t="s">
        <v>38</v>
      </c>
      <c r="L378">
        <v>1</v>
      </c>
      <c r="M378">
        <v>3</v>
      </c>
      <c r="N378" t="s">
        <v>39</v>
      </c>
      <c r="O378">
        <v>87</v>
      </c>
      <c r="P378">
        <v>3</v>
      </c>
      <c r="Q378">
        <v>2</v>
      </c>
      <c r="R378" t="s">
        <v>40</v>
      </c>
      <c r="S378">
        <v>4</v>
      </c>
      <c r="T378" t="str" cm="1">
        <f t="array" ref="T378">_xlfn.IFS(S378&lt;=2,"Poor",S378&lt;=3,"Fair",S378&gt;=4,"Good")</f>
        <v>Good</v>
      </c>
      <c r="U378" t="s">
        <v>48</v>
      </c>
      <c r="V378" s="1">
        <v>4936</v>
      </c>
      <c r="W378" t="str" cm="1">
        <f t="array" ref="W378">_xlfn.IFS(V378&lt;=5000,"Low Salary",V378&lt;=12000,"Good Salary",V378&gt;12000,"High Salary")</f>
        <v>Low Salary</v>
      </c>
      <c r="X378">
        <v>14862</v>
      </c>
      <c r="Y378">
        <v>4</v>
      </c>
      <c r="Z378" t="s">
        <v>42</v>
      </c>
      <c r="AA378" t="s">
        <v>35</v>
      </c>
      <c r="AB378">
        <v>11</v>
      </c>
      <c r="AC378">
        <v>3</v>
      </c>
      <c r="AD378" t="str">
        <f t="shared" si="11"/>
        <v>Low Performance</v>
      </c>
      <c r="AE378">
        <v>3</v>
      </c>
      <c r="AF378">
        <v>80</v>
      </c>
      <c r="AG378">
        <v>1</v>
      </c>
      <c r="AH378">
        <v>18</v>
      </c>
      <c r="AI378">
        <v>2</v>
      </c>
      <c r="AJ378">
        <v>2</v>
      </c>
      <c r="AK378" t="str" cm="1">
        <f t="array" ref="AK378">_xlfn.IFS(AJ378&lt;=2,"Poor",AJ378&lt;=3,"Fair",AJ378&gt;3,"Good")</f>
        <v>Poor</v>
      </c>
      <c r="AL378">
        <v>7</v>
      </c>
      <c r="AM378">
        <v>7</v>
      </c>
      <c r="AN378">
        <v>0</v>
      </c>
      <c r="AO378">
        <v>7</v>
      </c>
    </row>
    <row r="379" spans="1:41" x14ac:dyDescent="0.2">
      <c r="A379">
        <v>1125672</v>
      </c>
      <c r="B379">
        <v>36</v>
      </c>
      <c r="C379" t="str" cm="1">
        <f t="array" ref="C379">_xlfn.IFS(B379&lt;=25,"15-25",B379&lt;=35,"26-35",B379&lt;=45,"36-45",B379&lt;=55,"46-55",B379&lt;=65,"56-65")</f>
        <v>36-45</v>
      </c>
      <c r="D379" t="s">
        <v>35</v>
      </c>
      <c r="E379" t="str">
        <f t="shared" si="10"/>
        <v>Current Employee</v>
      </c>
      <c r="F379" t="s">
        <v>36</v>
      </c>
      <c r="G379">
        <v>329</v>
      </c>
      <c r="H379" t="s">
        <v>45</v>
      </c>
      <c r="I379">
        <v>2</v>
      </c>
      <c r="J379">
        <v>3</v>
      </c>
      <c r="K379" t="s">
        <v>38</v>
      </c>
      <c r="L379">
        <v>1</v>
      </c>
      <c r="M379">
        <v>4</v>
      </c>
      <c r="N379" t="s">
        <v>39</v>
      </c>
      <c r="O379">
        <v>96</v>
      </c>
      <c r="P379">
        <v>3</v>
      </c>
      <c r="Q379">
        <v>1</v>
      </c>
      <c r="R379" t="s">
        <v>47</v>
      </c>
      <c r="S379">
        <v>3</v>
      </c>
      <c r="T379" t="str" cm="1">
        <f t="array" ref="T379">_xlfn.IFS(S379&lt;=2,"Poor",S379&lt;=3,"Fair",S379&gt;=4,"Good")</f>
        <v>Fair</v>
      </c>
      <c r="U379" t="s">
        <v>48</v>
      </c>
      <c r="V379" s="1">
        <v>2543</v>
      </c>
      <c r="W379" t="str" cm="1">
        <f t="array" ref="W379">_xlfn.IFS(V379&lt;=5000,"Low Salary",V379&lt;=12000,"Good Salary",V379&gt;12000,"High Salary")</f>
        <v>Low Salary</v>
      </c>
      <c r="X379">
        <v>11868</v>
      </c>
      <c r="Y379">
        <v>4</v>
      </c>
      <c r="Z379" t="s">
        <v>42</v>
      </c>
      <c r="AA379" t="s">
        <v>35</v>
      </c>
      <c r="AB379">
        <v>13</v>
      </c>
      <c r="AC379">
        <v>3</v>
      </c>
      <c r="AD379" t="str">
        <f t="shared" si="11"/>
        <v>Low Performance</v>
      </c>
      <c r="AE379">
        <v>2</v>
      </c>
      <c r="AF379">
        <v>80</v>
      </c>
      <c r="AG379">
        <v>1</v>
      </c>
      <c r="AH379">
        <v>6</v>
      </c>
      <c r="AI379">
        <v>3</v>
      </c>
      <c r="AJ379">
        <v>3</v>
      </c>
      <c r="AK379" t="str" cm="1">
        <f t="array" ref="AK379">_xlfn.IFS(AJ379&lt;=2,"Poor",AJ379&lt;=3,"Fair",AJ379&gt;3,"Good")</f>
        <v>Fair</v>
      </c>
      <c r="AL379">
        <v>2</v>
      </c>
      <c r="AM379">
        <v>2</v>
      </c>
      <c r="AN379">
        <v>2</v>
      </c>
      <c r="AO379">
        <v>2</v>
      </c>
    </row>
    <row r="380" spans="1:41" x14ac:dyDescent="0.2">
      <c r="A380">
        <v>1629676</v>
      </c>
      <c r="B380">
        <v>34</v>
      </c>
      <c r="C380" t="str" cm="1">
        <f t="array" ref="C380">_xlfn.IFS(B380&lt;=25,"15-25",B380&lt;=35,"26-35",B380&lt;=45,"36-45",B380&lt;=55,"46-55",B380&lt;=65,"56-65")</f>
        <v>26-35</v>
      </c>
      <c r="D380" t="s">
        <v>43</v>
      </c>
      <c r="E380" t="str">
        <f t="shared" si="10"/>
        <v>Former Employee</v>
      </c>
      <c r="F380" t="s">
        <v>52</v>
      </c>
      <c r="G380">
        <v>1362</v>
      </c>
      <c r="H380" t="s">
        <v>37</v>
      </c>
      <c r="I380">
        <v>19</v>
      </c>
      <c r="J380">
        <v>3</v>
      </c>
      <c r="K380" t="s">
        <v>55</v>
      </c>
      <c r="L380">
        <v>1</v>
      </c>
      <c r="M380">
        <v>1</v>
      </c>
      <c r="N380" t="s">
        <v>46</v>
      </c>
      <c r="O380">
        <v>67</v>
      </c>
      <c r="P380">
        <v>4</v>
      </c>
      <c r="Q380">
        <v>2</v>
      </c>
      <c r="R380" t="s">
        <v>40</v>
      </c>
      <c r="S380">
        <v>4</v>
      </c>
      <c r="T380" t="str" cm="1">
        <f t="array" ref="T380">_xlfn.IFS(S380&lt;=2,"Poor",S380&lt;=3,"Fair",S380&gt;=4,"Good")</f>
        <v>Good</v>
      </c>
      <c r="U380" t="s">
        <v>41</v>
      </c>
      <c r="V380" s="1">
        <v>5304</v>
      </c>
      <c r="W380" t="str" cm="1">
        <f t="array" ref="W380">_xlfn.IFS(V380&lt;=5000,"Low Salary",V380&lt;=12000,"Good Salary",V380&gt;12000,"High Salary")</f>
        <v>Good Salary</v>
      </c>
      <c r="X380">
        <v>4652</v>
      </c>
      <c r="Y380">
        <v>8</v>
      </c>
      <c r="Z380" t="s">
        <v>42</v>
      </c>
      <c r="AA380" t="s">
        <v>43</v>
      </c>
      <c r="AB380">
        <v>13</v>
      </c>
      <c r="AC380">
        <v>3</v>
      </c>
      <c r="AD380" t="str">
        <f t="shared" si="11"/>
        <v>Low Performance</v>
      </c>
      <c r="AE380">
        <v>2</v>
      </c>
      <c r="AF380">
        <v>80</v>
      </c>
      <c r="AG380">
        <v>0</v>
      </c>
      <c r="AH380">
        <v>9</v>
      </c>
      <c r="AI380">
        <v>3</v>
      </c>
      <c r="AJ380">
        <v>2</v>
      </c>
      <c r="AK380" t="str" cm="1">
        <f t="array" ref="AK380">_xlfn.IFS(AJ380&lt;=2,"Poor",AJ380&lt;=3,"Fair",AJ380&gt;3,"Good")</f>
        <v>Poor</v>
      </c>
      <c r="AL380">
        <v>5</v>
      </c>
      <c r="AM380">
        <v>2</v>
      </c>
      <c r="AN380">
        <v>0</v>
      </c>
      <c r="AO380">
        <v>4</v>
      </c>
    </row>
    <row r="381" spans="1:41" x14ac:dyDescent="0.2">
      <c r="A381">
        <v>1121223</v>
      </c>
      <c r="B381">
        <v>55</v>
      </c>
      <c r="C381" t="str" cm="1">
        <f t="array" ref="C381">_xlfn.IFS(B381&lt;=25,"15-25",B381&lt;=35,"26-35",B381&lt;=45,"36-45",B381&lt;=55,"46-55",B381&lt;=65,"56-65")</f>
        <v>46-55</v>
      </c>
      <c r="D381" t="s">
        <v>35</v>
      </c>
      <c r="E381" t="str">
        <f t="shared" si="10"/>
        <v>Current Employee</v>
      </c>
      <c r="F381" t="s">
        <v>36</v>
      </c>
      <c r="G381">
        <v>1311</v>
      </c>
      <c r="H381" t="s">
        <v>54</v>
      </c>
      <c r="I381">
        <v>2</v>
      </c>
      <c r="J381">
        <v>3</v>
      </c>
      <c r="K381" t="s">
        <v>38</v>
      </c>
      <c r="L381">
        <v>1</v>
      </c>
      <c r="M381">
        <v>3</v>
      </c>
      <c r="N381" t="s">
        <v>39</v>
      </c>
      <c r="O381">
        <v>97</v>
      </c>
      <c r="P381">
        <v>3</v>
      </c>
      <c r="Q381">
        <v>4</v>
      </c>
      <c r="R381" t="s">
        <v>47</v>
      </c>
      <c r="S381">
        <v>4</v>
      </c>
      <c r="T381" t="str" cm="1">
        <f t="array" ref="T381">_xlfn.IFS(S381&lt;=2,"Poor",S381&lt;=3,"Fair",S381&gt;=4,"Good")</f>
        <v>Good</v>
      </c>
      <c r="U381" t="s">
        <v>41</v>
      </c>
      <c r="V381" s="1">
        <v>16659</v>
      </c>
      <c r="W381" t="str" cm="1">
        <f t="array" ref="W381">_xlfn.IFS(V381&lt;=5000,"Low Salary",V381&lt;=12000,"Good Salary",V381&gt;12000,"High Salary")</f>
        <v>High Salary</v>
      </c>
      <c r="X381">
        <v>23258</v>
      </c>
      <c r="Y381">
        <v>2</v>
      </c>
      <c r="Z381" t="s">
        <v>42</v>
      </c>
      <c r="AA381" t="s">
        <v>43</v>
      </c>
      <c r="AB381">
        <v>13</v>
      </c>
      <c r="AC381">
        <v>3</v>
      </c>
      <c r="AD381" t="str">
        <f t="shared" si="11"/>
        <v>Low Performance</v>
      </c>
      <c r="AE381">
        <v>3</v>
      </c>
      <c r="AF381">
        <v>80</v>
      </c>
      <c r="AG381">
        <v>0</v>
      </c>
      <c r="AH381">
        <v>30</v>
      </c>
      <c r="AI381">
        <v>2</v>
      </c>
      <c r="AJ381">
        <v>3</v>
      </c>
      <c r="AK381" t="str" cm="1">
        <f t="array" ref="AK381">_xlfn.IFS(AJ381&lt;=2,"Poor",AJ381&lt;=3,"Fair",AJ381&gt;3,"Good")</f>
        <v>Fair</v>
      </c>
      <c r="AL381">
        <v>5</v>
      </c>
      <c r="AM381">
        <v>4</v>
      </c>
      <c r="AN381">
        <v>1</v>
      </c>
      <c r="AO381">
        <v>2</v>
      </c>
    </row>
    <row r="382" spans="1:41" x14ac:dyDescent="0.2">
      <c r="A382">
        <v>1339400</v>
      </c>
      <c r="B382">
        <v>24</v>
      </c>
      <c r="C382" t="str" cm="1">
        <f t="array" ref="C382">_xlfn.IFS(B382&lt;=25,"15-25",B382&lt;=35,"26-35",B382&lt;=45,"36-45",B382&lt;=55,"46-55",B382&lt;=65,"56-65")</f>
        <v>15-25</v>
      </c>
      <c r="D382" t="s">
        <v>35</v>
      </c>
      <c r="E382" t="str">
        <f t="shared" si="10"/>
        <v>Current Employee</v>
      </c>
      <c r="F382" t="s">
        <v>36</v>
      </c>
      <c r="G382">
        <v>1371</v>
      </c>
      <c r="H382" t="s">
        <v>37</v>
      </c>
      <c r="I382">
        <v>10</v>
      </c>
      <c r="J382">
        <v>4</v>
      </c>
      <c r="K382" t="s">
        <v>55</v>
      </c>
      <c r="L382">
        <v>1</v>
      </c>
      <c r="M382">
        <v>4</v>
      </c>
      <c r="N382" t="s">
        <v>39</v>
      </c>
      <c r="O382">
        <v>77</v>
      </c>
      <c r="P382">
        <v>3</v>
      </c>
      <c r="Q382">
        <v>2</v>
      </c>
      <c r="R382" t="s">
        <v>40</v>
      </c>
      <c r="S382">
        <v>3</v>
      </c>
      <c r="T382" t="str" cm="1">
        <f t="array" ref="T382">_xlfn.IFS(S382&lt;=2,"Poor",S382&lt;=3,"Fair",S382&gt;=4,"Good")</f>
        <v>Fair</v>
      </c>
      <c r="U382" t="s">
        <v>50</v>
      </c>
      <c r="V382" s="1">
        <v>4260</v>
      </c>
      <c r="W382" t="str" cm="1">
        <f t="array" ref="W382">_xlfn.IFS(V382&lt;=5000,"Low Salary",V382&lt;=12000,"Good Salary",V382&gt;12000,"High Salary")</f>
        <v>Low Salary</v>
      </c>
      <c r="X382">
        <v>5915</v>
      </c>
      <c r="Y382">
        <v>1</v>
      </c>
      <c r="Z382" t="s">
        <v>42</v>
      </c>
      <c r="AA382" t="s">
        <v>43</v>
      </c>
      <c r="AB382">
        <v>12</v>
      </c>
      <c r="AC382">
        <v>3</v>
      </c>
      <c r="AD382" t="str">
        <f t="shared" si="11"/>
        <v>Low Performance</v>
      </c>
      <c r="AE382">
        <v>4</v>
      </c>
      <c r="AF382">
        <v>80</v>
      </c>
      <c r="AG382">
        <v>1</v>
      </c>
      <c r="AH382">
        <v>5</v>
      </c>
      <c r="AI382">
        <v>2</v>
      </c>
      <c r="AJ382">
        <v>4</v>
      </c>
      <c r="AK382" t="str" cm="1">
        <f t="array" ref="AK382">_xlfn.IFS(AJ382&lt;=2,"Poor",AJ382&lt;=3,"Fair",AJ382&gt;3,"Good")</f>
        <v>Good</v>
      </c>
      <c r="AL382">
        <v>5</v>
      </c>
      <c r="AM382">
        <v>2</v>
      </c>
      <c r="AN382">
        <v>0</v>
      </c>
      <c r="AO382">
        <v>3</v>
      </c>
    </row>
    <row r="383" spans="1:41" x14ac:dyDescent="0.2">
      <c r="A383">
        <v>1382648</v>
      </c>
      <c r="B383">
        <v>30</v>
      </c>
      <c r="C383" t="str" cm="1">
        <f t="array" ref="C383">_xlfn.IFS(B383&lt;=25,"15-25",B383&lt;=35,"26-35",B383&lt;=45,"36-45",B383&lt;=55,"46-55",B383&lt;=65,"56-65")</f>
        <v>26-35</v>
      </c>
      <c r="D383" t="s">
        <v>35</v>
      </c>
      <c r="E383" t="str">
        <f t="shared" si="10"/>
        <v>Current Employee</v>
      </c>
      <c r="F383" t="s">
        <v>36</v>
      </c>
      <c r="G383">
        <v>202</v>
      </c>
      <c r="H383" t="s">
        <v>37</v>
      </c>
      <c r="I383">
        <v>2</v>
      </c>
      <c r="J383">
        <v>1</v>
      </c>
      <c r="K383" t="s">
        <v>56</v>
      </c>
      <c r="L383">
        <v>1</v>
      </c>
      <c r="M383">
        <v>3</v>
      </c>
      <c r="N383" t="s">
        <v>46</v>
      </c>
      <c r="O383">
        <v>72</v>
      </c>
      <c r="P383">
        <v>3</v>
      </c>
      <c r="Q383">
        <v>1</v>
      </c>
      <c r="R383" t="s">
        <v>47</v>
      </c>
      <c r="S383">
        <v>2</v>
      </c>
      <c r="T383" t="str" cm="1">
        <f t="array" ref="T383">_xlfn.IFS(S383&lt;=2,"Poor",S383&lt;=3,"Fair",S383&gt;=4,"Good")</f>
        <v>Poor</v>
      </c>
      <c r="U383" t="s">
        <v>48</v>
      </c>
      <c r="V383" s="1">
        <v>2476</v>
      </c>
      <c r="W383" t="str" cm="1">
        <f t="array" ref="W383">_xlfn.IFS(V383&lt;=5000,"Low Salary",V383&lt;=12000,"Good Salary",V383&gt;12000,"High Salary")</f>
        <v>Low Salary</v>
      </c>
      <c r="X383">
        <v>17434</v>
      </c>
      <c r="Y383">
        <v>1</v>
      </c>
      <c r="Z383" t="s">
        <v>42</v>
      </c>
      <c r="AA383" t="s">
        <v>35</v>
      </c>
      <c r="AB383">
        <v>18</v>
      </c>
      <c r="AC383">
        <v>3</v>
      </c>
      <c r="AD383" t="str">
        <f t="shared" si="11"/>
        <v>Low Performance</v>
      </c>
      <c r="AE383">
        <v>1</v>
      </c>
      <c r="AF383">
        <v>80</v>
      </c>
      <c r="AG383">
        <v>1</v>
      </c>
      <c r="AH383">
        <v>1</v>
      </c>
      <c r="AI383">
        <v>3</v>
      </c>
      <c r="AJ383">
        <v>3</v>
      </c>
      <c r="AK383" t="str" cm="1">
        <f t="array" ref="AK383">_xlfn.IFS(AJ383&lt;=2,"Poor",AJ383&lt;=3,"Fair",AJ383&gt;3,"Good")</f>
        <v>Fair</v>
      </c>
      <c r="AL383">
        <v>1</v>
      </c>
      <c r="AM383">
        <v>0</v>
      </c>
      <c r="AN383">
        <v>0</v>
      </c>
      <c r="AO383">
        <v>0</v>
      </c>
    </row>
    <row r="384" spans="1:41" x14ac:dyDescent="0.2">
      <c r="A384">
        <v>1685681</v>
      </c>
      <c r="B384">
        <v>26</v>
      </c>
      <c r="C384" t="str" cm="1">
        <f t="array" ref="C384">_xlfn.IFS(B384&lt;=25,"15-25",B384&lt;=35,"26-35",B384&lt;=45,"36-45",B384&lt;=55,"46-55",B384&lt;=65,"56-65")</f>
        <v>26-35</v>
      </c>
      <c r="D384" t="s">
        <v>35</v>
      </c>
      <c r="E384" t="str">
        <f t="shared" si="10"/>
        <v>Current Employee</v>
      </c>
      <c r="F384" t="s">
        <v>44</v>
      </c>
      <c r="G384">
        <v>575</v>
      </c>
      <c r="H384" t="s">
        <v>45</v>
      </c>
      <c r="I384">
        <v>3</v>
      </c>
      <c r="J384">
        <v>1</v>
      </c>
      <c r="K384" t="s">
        <v>56</v>
      </c>
      <c r="L384">
        <v>1</v>
      </c>
      <c r="M384">
        <v>3</v>
      </c>
      <c r="N384" t="s">
        <v>46</v>
      </c>
      <c r="O384">
        <v>73</v>
      </c>
      <c r="P384">
        <v>3</v>
      </c>
      <c r="Q384">
        <v>1</v>
      </c>
      <c r="R384" t="s">
        <v>47</v>
      </c>
      <c r="S384">
        <v>1</v>
      </c>
      <c r="T384" t="str" cm="1">
        <f t="array" ref="T384">_xlfn.IFS(S384&lt;=2,"Poor",S384&lt;=3,"Fair",S384&gt;=4,"Good")</f>
        <v>Poor</v>
      </c>
      <c r="U384" t="s">
        <v>41</v>
      </c>
      <c r="V384" s="1">
        <v>3102</v>
      </c>
      <c r="W384" t="str" cm="1">
        <f t="array" ref="W384">_xlfn.IFS(V384&lt;=5000,"Low Salary",V384&lt;=12000,"Good Salary",V384&gt;12000,"High Salary")</f>
        <v>Low Salary</v>
      </c>
      <c r="X384">
        <v>6582</v>
      </c>
      <c r="Y384">
        <v>0</v>
      </c>
      <c r="Z384" t="s">
        <v>42</v>
      </c>
      <c r="AA384" t="s">
        <v>35</v>
      </c>
      <c r="AB384">
        <v>22</v>
      </c>
      <c r="AC384">
        <v>4</v>
      </c>
      <c r="AD384" t="str">
        <f t="shared" si="11"/>
        <v>High Performance</v>
      </c>
      <c r="AE384">
        <v>3</v>
      </c>
      <c r="AF384">
        <v>80</v>
      </c>
      <c r="AG384">
        <v>0</v>
      </c>
      <c r="AH384">
        <v>7</v>
      </c>
      <c r="AI384">
        <v>2</v>
      </c>
      <c r="AJ384">
        <v>3</v>
      </c>
      <c r="AK384" t="str" cm="1">
        <f t="array" ref="AK384">_xlfn.IFS(AJ384&lt;=2,"Poor",AJ384&lt;=3,"Fair",AJ384&gt;3,"Good")</f>
        <v>Fair</v>
      </c>
      <c r="AL384">
        <v>6</v>
      </c>
      <c r="AM384">
        <v>4</v>
      </c>
      <c r="AN384">
        <v>0</v>
      </c>
      <c r="AO384">
        <v>4</v>
      </c>
    </row>
    <row r="385" spans="1:41" x14ac:dyDescent="0.2">
      <c r="A385">
        <v>1700683</v>
      </c>
      <c r="B385">
        <v>22</v>
      </c>
      <c r="C385" t="str" cm="1">
        <f t="array" ref="C385">_xlfn.IFS(B385&lt;=25,"15-25",B385&lt;=35,"26-35",B385&lt;=45,"36-45",B385&lt;=55,"46-55",B385&lt;=65,"56-65")</f>
        <v>15-25</v>
      </c>
      <c r="D385" t="s">
        <v>35</v>
      </c>
      <c r="E385" t="str">
        <f t="shared" si="10"/>
        <v>Current Employee</v>
      </c>
      <c r="F385" t="s">
        <v>36</v>
      </c>
      <c r="G385">
        <v>253</v>
      </c>
      <c r="H385" t="s">
        <v>45</v>
      </c>
      <c r="I385">
        <v>11</v>
      </c>
      <c r="J385">
        <v>3</v>
      </c>
      <c r="K385" t="s">
        <v>49</v>
      </c>
      <c r="L385">
        <v>1</v>
      </c>
      <c r="M385">
        <v>1</v>
      </c>
      <c r="N385" t="s">
        <v>39</v>
      </c>
      <c r="O385">
        <v>43</v>
      </c>
      <c r="P385">
        <v>3</v>
      </c>
      <c r="Q385">
        <v>1</v>
      </c>
      <c r="R385" t="s">
        <v>47</v>
      </c>
      <c r="S385">
        <v>2</v>
      </c>
      <c r="T385" t="str" cm="1">
        <f t="array" ref="T385">_xlfn.IFS(S385&lt;=2,"Poor",S385&lt;=3,"Fair",S385&gt;=4,"Good")</f>
        <v>Poor</v>
      </c>
      <c r="U385" t="s">
        <v>48</v>
      </c>
      <c r="V385" s="1">
        <v>2244</v>
      </c>
      <c r="W385" t="str" cm="1">
        <f t="array" ref="W385">_xlfn.IFS(V385&lt;=5000,"Low Salary",V385&lt;=12000,"Good Salary",V385&gt;12000,"High Salary")</f>
        <v>Low Salary</v>
      </c>
      <c r="X385">
        <v>24440</v>
      </c>
      <c r="Y385">
        <v>1</v>
      </c>
      <c r="Z385" t="s">
        <v>42</v>
      </c>
      <c r="AA385" t="s">
        <v>35</v>
      </c>
      <c r="AB385">
        <v>13</v>
      </c>
      <c r="AC385">
        <v>3</v>
      </c>
      <c r="AD385" t="str">
        <f t="shared" si="11"/>
        <v>Low Performance</v>
      </c>
      <c r="AE385">
        <v>4</v>
      </c>
      <c r="AF385">
        <v>80</v>
      </c>
      <c r="AG385">
        <v>1</v>
      </c>
      <c r="AH385">
        <v>2</v>
      </c>
      <c r="AI385">
        <v>1</v>
      </c>
      <c r="AJ385">
        <v>3</v>
      </c>
      <c r="AK385" t="str" cm="1">
        <f t="array" ref="AK385">_xlfn.IFS(AJ385&lt;=2,"Poor",AJ385&lt;=3,"Fair",AJ385&gt;3,"Good")</f>
        <v>Fair</v>
      </c>
      <c r="AL385">
        <v>2</v>
      </c>
      <c r="AM385">
        <v>1</v>
      </c>
      <c r="AN385">
        <v>1</v>
      </c>
      <c r="AO385">
        <v>2</v>
      </c>
    </row>
    <row r="386" spans="1:41" x14ac:dyDescent="0.2">
      <c r="A386">
        <v>1634874</v>
      </c>
      <c r="B386">
        <v>36</v>
      </c>
      <c r="C386" t="str" cm="1">
        <f t="array" ref="C386">_xlfn.IFS(B386&lt;=25,"15-25",B386&lt;=35,"26-35",B386&lt;=45,"36-45",B386&lt;=55,"46-55",B386&lt;=65,"56-65")</f>
        <v>36-45</v>
      </c>
      <c r="D386" t="s">
        <v>35</v>
      </c>
      <c r="E386" t="str">
        <f t="shared" si="10"/>
        <v>Current Employee</v>
      </c>
      <c r="F386" t="s">
        <v>36</v>
      </c>
      <c r="G386">
        <v>164</v>
      </c>
      <c r="H386" t="s">
        <v>37</v>
      </c>
      <c r="I386">
        <v>2</v>
      </c>
      <c r="J386">
        <v>2</v>
      </c>
      <c r="K386" t="s">
        <v>49</v>
      </c>
      <c r="L386">
        <v>1</v>
      </c>
      <c r="M386">
        <v>2</v>
      </c>
      <c r="N386" t="s">
        <v>46</v>
      </c>
      <c r="O386">
        <v>61</v>
      </c>
      <c r="P386">
        <v>2</v>
      </c>
      <c r="Q386">
        <v>3</v>
      </c>
      <c r="R386" t="s">
        <v>40</v>
      </c>
      <c r="S386">
        <v>3</v>
      </c>
      <c r="T386" t="str" cm="1">
        <f t="array" ref="T386">_xlfn.IFS(S386&lt;=2,"Poor",S386&lt;=3,"Fair",S386&gt;=4,"Good")</f>
        <v>Fair</v>
      </c>
      <c r="U386" t="s">
        <v>48</v>
      </c>
      <c r="V386" s="1">
        <v>7596</v>
      </c>
      <c r="W386" t="str" cm="1">
        <f t="array" ref="W386">_xlfn.IFS(V386&lt;=5000,"Low Salary",V386&lt;=12000,"Good Salary",V386&gt;12000,"High Salary")</f>
        <v>Good Salary</v>
      </c>
      <c r="X386">
        <v>3809</v>
      </c>
      <c r="Y386">
        <v>1</v>
      </c>
      <c r="Z386" t="s">
        <v>42</v>
      </c>
      <c r="AA386" t="s">
        <v>35</v>
      </c>
      <c r="AB386">
        <v>13</v>
      </c>
      <c r="AC386">
        <v>3</v>
      </c>
      <c r="AD386" t="str">
        <f t="shared" si="11"/>
        <v>Low Performance</v>
      </c>
      <c r="AE386">
        <v>2</v>
      </c>
      <c r="AF386">
        <v>80</v>
      </c>
      <c r="AG386">
        <v>2</v>
      </c>
      <c r="AH386">
        <v>10</v>
      </c>
      <c r="AI386">
        <v>2</v>
      </c>
      <c r="AJ386">
        <v>3</v>
      </c>
      <c r="AK386" t="str" cm="1">
        <f t="array" ref="AK386">_xlfn.IFS(AJ386&lt;=2,"Poor",AJ386&lt;=3,"Fair",AJ386&gt;3,"Good")</f>
        <v>Fair</v>
      </c>
      <c r="AL386">
        <v>10</v>
      </c>
      <c r="AM386">
        <v>9</v>
      </c>
      <c r="AN386">
        <v>9</v>
      </c>
      <c r="AO386">
        <v>0</v>
      </c>
    </row>
    <row r="387" spans="1:41" x14ac:dyDescent="0.2">
      <c r="A387">
        <v>1362644</v>
      </c>
      <c r="B387">
        <v>30</v>
      </c>
      <c r="C387" t="str" cm="1">
        <f t="array" ref="C387">_xlfn.IFS(B387&lt;=25,"15-25",B387&lt;=35,"26-35",B387&lt;=45,"36-45",B387&lt;=55,"46-55",B387&lt;=65,"56-65")</f>
        <v>26-35</v>
      </c>
      <c r="D387" t="s">
        <v>43</v>
      </c>
      <c r="E387" t="str">
        <f t="shared" ref="E387:E450" si="12">IF(D387="No","Current Employee","Former Employee")</f>
        <v>Former Employee</v>
      </c>
      <c r="F387" t="s">
        <v>44</v>
      </c>
      <c r="G387">
        <v>464</v>
      </c>
      <c r="H387" t="s">
        <v>45</v>
      </c>
      <c r="I387">
        <v>4</v>
      </c>
      <c r="J387">
        <v>3</v>
      </c>
      <c r="K387" t="s">
        <v>56</v>
      </c>
      <c r="L387">
        <v>1</v>
      </c>
      <c r="M387">
        <v>3</v>
      </c>
      <c r="N387" t="s">
        <v>46</v>
      </c>
      <c r="O387">
        <v>40</v>
      </c>
      <c r="P387">
        <v>3</v>
      </c>
      <c r="Q387">
        <v>1</v>
      </c>
      <c r="R387" t="s">
        <v>47</v>
      </c>
      <c r="S387">
        <v>4</v>
      </c>
      <c r="T387" t="str" cm="1">
        <f t="array" ref="T387">_xlfn.IFS(S387&lt;=2,"Poor",S387&lt;=3,"Fair",S387&gt;=4,"Good")</f>
        <v>Good</v>
      </c>
      <c r="U387" t="s">
        <v>41</v>
      </c>
      <c r="V387" s="1">
        <v>2285</v>
      </c>
      <c r="W387" t="str" cm="1">
        <f t="array" ref="W387">_xlfn.IFS(V387&lt;=5000,"Low Salary",V387&lt;=12000,"Good Salary",V387&gt;12000,"High Salary")</f>
        <v>Low Salary</v>
      </c>
      <c r="X387">
        <v>3427</v>
      </c>
      <c r="Y387">
        <v>9</v>
      </c>
      <c r="Z387" t="s">
        <v>42</v>
      </c>
      <c r="AA387" t="s">
        <v>43</v>
      </c>
      <c r="AB387">
        <v>23</v>
      </c>
      <c r="AC387">
        <v>4</v>
      </c>
      <c r="AD387" t="str">
        <f t="shared" ref="AD387:AD450" si="13">IF(AC387&lt;=3,"Low Performance","High Performance")</f>
        <v>High Performance</v>
      </c>
      <c r="AE387">
        <v>3</v>
      </c>
      <c r="AF387">
        <v>80</v>
      </c>
      <c r="AG387">
        <v>0</v>
      </c>
      <c r="AH387">
        <v>3</v>
      </c>
      <c r="AI387">
        <v>4</v>
      </c>
      <c r="AJ387">
        <v>3</v>
      </c>
      <c r="AK387" t="str" cm="1">
        <f t="array" ref="AK387">_xlfn.IFS(AJ387&lt;=2,"Poor",AJ387&lt;=3,"Fair",AJ387&gt;3,"Good")</f>
        <v>Fair</v>
      </c>
      <c r="AL387">
        <v>1</v>
      </c>
      <c r="AM387">
        <v>0</v>
      </c>
      <c r="AN387">
        <v>0</v>
      </c>
      <c r="AO387">
        <v>0</v>
      </c>
    </row>
    <row r="388" spans="1:41" x14ac:dyDescent="0.2">
      <c r="A388">
        <v>1286933</v>
      </c>
      <c r="B388">
        <v>37</v>
      </c>
      <c r="C388" t="str" cm="1">
        <f t="array" ref="C388">_xlfn.IFS(B388&lt;=25,"15-25",B388&lt;=35,"26-35",B388&lt;=45,"36-45",B388&lt;=55,"46-55",B388&lt;=65,"56-65")</f>
        <v>36-45</v>
      </c>
      <c r="D388" t="s">
        <v>35</v>
      </c>
      <c r="E388" t="str">
        <f t="shared" si="12"/>
        <v>Current Employee</v>
      </c>
      <c r="F388" t="s">
        <v>36</v>
      </c>
      <c r="G388">
        <v>1107</v>
      </c>
      <c r="H388" t="s">
        <v>45</v>
      </c>
      <c r="I388">
        <v>14</v>
      </c>
      <c r="J388">
        <v>3</v>
      </c>
      <c r="K388" t="s">
        <v>38</v>
      </c>
      <c r="L388">
        <v>1</v>
      </c>
      <c r="M388">
        <v>4</v>
      </c>
      <c r="N388" t="s">
        <v>39</v>
      </c>
      <c r="O388">
        <v>95</v>
      </c>
      <c r="P388">
        <v>3</v>
      </c>
      <c r="Q388">
        <v>1</v>
      </c>
      <c r="R388" t="s">
        <v>40</v>
      </c>
      <c r="S388">
        <v>1</v>
      </c>
      <c r="T388" t="str" cm="1">
        <f t="array" ref="T388">_xlfn.IFS(S388&lt;=2,"Poor",S388&lt;=3,"Fair",S388&gt;=4,"Good")</f>
        <v>Poor</v>
      </c>
      <c r="U388" t="s">
        <v>50</v>
      </c>
      <c r="V388" s="1">
        <v>3034</v>
      </c>
      <c r="W388" t="str" cm="1">
        <f t="array" ref="W388">_xlfn.IFS(V388&lt;=5000,"Low Salary",V388&lt;=12000,"Good Salary",V388&gt;12000,"High Salary")</f>
        <v>Low Salary</v>
      </c>
      <c r="X388">
        <v>26914</v>
      </c>
      <c r="Y388">
        <v>1</v>
      </c>
      <c r="Z388" t="s">
        <v>42</v>
      </c>
      <c r="AA388" t="s">
        <v>35</v>
      </c>
      <c r="AB388">
        <v>12</v>
      </c>
      <c r="AC388">
        <v>3</v>
      </c>
      <c r="AD388" t="str">
        <f t="shared" si="13"/>
        <v>Low Performance</v>
      </c>
      <c r="AE388">
        <v>3</v>
      </c>
      <c r="AF388">
        <v>80</v>
      </c>
      <c r="AG388">
        <v>1</v>
      </c>
      <c r="AH388">
        <v>18</v>
      </c>
      <c r="AI388">
        <v>2</v>
      </c>
      <c r="AJ388">
        <v>2</v>
      </c>
      <c r="AK388" t="str" cm="1">
        <f t="array" ref="AK388">_xlfn.IFS(AJ388&lt;=2,"Poor",AJ388&lt;=3,"Fair",AJ388&gt;3,"Good")</f>
        <v>Poor</v>
      </c>
      <c r="AL388">
        <v>18</v>
      </c>
      <c r="AM388">
        <v>7</v>
      </c>
      <c r="AN388">
        <v>12</v>
      </c>
      <c r="AO388">
        <v>17</v>
      </c>
    </row>
    <row r="389" spans="1:41" x14ac:dyDescent="0.2">
      <c r="A389">
        <v>1848633</v>
      </c>
      <c r="B389">
        <v>40</v>
      </c>
      <c r="C389" t="str" cm="1">
        <f t="array" ref="C389">_xlfn.IFS(B389&lt;=25,"15-25",B389&lt;=35,"26-35",B389&lt;=45,"36-45",B389&lt;=55,"46-55",B389&lt;=65,"56-65")</f>
        <v>36-45</v>
      </c>
      <c r="D389" t="s">
        <v>35</v>
      </c>
      <c r="E389" t="str">
        <f t="shared" si="12"/>
        <v>Current Employee</v>
      </c>
      <c r="F389" t="s">
        <v>36</v>
      </c>
      <c r="G389">
        <v>759</v>
      </c>
      <c r="H389" t="s">
        <v>37</v>
      </c>
      <c r="I389">
        <v>2</v>
      </c>
      <c r="J389">
        <v>2</v>
      </c>
      <c r="K389" t="s">
        <v>55</v>
      </c>
      <c r="L389">
        <v>1</v>
      </c>
      <c r="M389">
        <v>4</v>
      </c>
      <c r="N389" t="s">
        <v>39</v>
      </c>
      <c r="O389">
        <v>46</v>
      </c>
      <c r="P389">
        <v>3</v>
      </c>
      <c r="Q389">
        <v>2</v>
      </c>
      <c r="R389" t="s">
        <v>40</v>
      </c>
      <c r="S389">
        <v>2</v>
      </c>
      <c r="T389" t="str" cm="1">
        <f t="array" ref="T389">_xlfn.IFS(S389&lt;=2,"Poor",S389&lt;=3,"Fair",S389&gt;=4,"Good")</f>
        <v>Poor</v>
      </c>
      <c r="U389" t="s">
        <v>50</v>
      </c>
      <c r="V389" s="1">
        <v>5715</v>
      </c>
      <c r="W389" t="str" cm="1">
        <f t="array" ref="W389">_xlfn.IFS(V389&lt;=5000,"Low Salary",V389&lt;=12000,"Good Salary",V389&gt;12000,"High Salary")</f>
        <v>Good Salary</v>
      </c>
      <c r="X389">
        <v>22553</v>
      </c>
      <c r="Y389">
        <v>7</v>
      </c>
      <c r="Z389" t="s">
        <v>42</v>
      </c>
      <c r="AA389" t="s">
        <v>35</v>
      </c>
      <c r="AB389">
        <v>12</v>
      </c>
      <c r="AC389">
        <v>3</v>
      </c>
      <c r="AD389" t="str">
        <f t="shared" si="13"/>
        <v>Low Performance</v>
      </c>
      <c r="AE389">
        <v>3</v>
      </c>
      <c r="AF389">
        <v>80</v>
      </c>
      <c r="AG389">
        <v>2</v>
      </c>
      <c r="AH389">
        <v>8</v>
      </c>
      <c r="AI389">
        <v>5</v>
      </c>
      <c r="AJ389">
        <v>3</v>
      </c>
      <c r="AK389" t="str" cm="1">
        <f t="array" ref="AK389">_xlfn.IFS(AJ389&lt;=2,"Poor",AJ389&lt;=3,"Fair",AJ389&gt;3,"Good")</f>
        <v>Fair</v>
      </c>
      <c r="AL389">
        <v>5</v>
      </c>
      <c r="AM389">
        <v>4</v>
      </c>
      <c r="AN389">
        <v>1</v>
      </c>
      <c r="AO389">
        <v>3</v>
      </c>
    </row>
    <row r="390" spans="1:41" x14ac:dyDescent="0.2">
      <c r="A390">
        <v>1065198</v>
      </c>
      <c r="B390">
        <v>42</v>
      </c>
      <c r="C390" t="str" cm="1">
        <f t="array" ref="C390">_xlfn.IFS(B390&lt;=25,"15-25",B390&lt;=35,"26-35",B390&lt;=45,"36-45",B390&lt;=55,"46-55",B390&lt;=65,"56-65")</f>
        <v>36-45</v>
      </c>
      <c r="D390" t="s">
        <v>35</v>
      </c>
      <c r="E390" t="str">
        <f t="shared" si="12"/>
        <v>Current Employee</v>
      </c>
      <c r="F390" t="s">
        <v>36</v>
      </c>
      <c r="G390">
        <v>201</v>
      </c>
      <c r="H390" t="s">
        <v>45</v>
      </c>
      <c r="I390">
        <v>1</v>
      </c>
      <c r="J390">
        <v>4</v>
      </c>
      <c r="K390" t="s">
        <v>38</v>
      </c>
      <c r="L390">
        <v>1</v>
      </c>
      <c r="M390">
        <v>2</v>
      </c>
      <c r="N390" t="s">
        <v>39</v>
      </c>
      <c r="O390">
        <v>95</v>
      </c>
      <c r="P390">
        <v>3</v>
      </c>
      <c r="Q390">
        <v>1</v>
      </c>
      <c r="R390" t="s">
        <v>40</v>
      </c>
      <c r="S390">
        <v>1</v>
      </c>
      <c r="T390" t="str" cm="1">
        <f t="array" ref="T390">_xlfn.IFS(S390&lt;=2,"Poor",S390&lt;=3,"Fair",S390&gt;=4,"Good")</f>
        <v>Poor</v>
      </c>
      <c r="U390" t="s">
        <v>50</v>
      </c>
      <c r="V390" s="1">
        <v>2576</v>
      </c>
      <c r="W390" t="str" cm="1">
        <f t="array" ref="W390">_xlfn.IFS(V390&lt;=5000,"Low Salary",V390&lt;=12000,"Good Salary",V390&gt;12000,"High Salary")</f>
        <v>Low Salary</v>
      </c>
      <c r="X390">
        <v>20490</v>
      </c>
      <c r="Y390">
        <v>3</v>
      </c>
      <c r="Z390" t="s">
        <v>42</v>
      </c>
      <c r="AA390" t="s">
        <v>35</v>
      </c>
      <c r="AB390">
        <v>16</v>
      </c>
      <c r="AC390">
        <v>3</v>
      </c>
      <c r="AD390" t="str">
        <f t="shared" si="13"/>
        <v>Low Performance</v>
      </c>
      <c r="AE390">
        <v>2</v>
      </c>
      <c r="AF390">
        <v>80</v>
      </c>
      <c r="AG390">
        <v>1</v>
      </c>
      <c r="AH390">
        <v>8</v>
      </c>
      <c r="AI390">
        <v>5</v>
      </c>
      <c r="AJ390">
        <v>3</v>
      </c>
      <c r="AK390" t="str" cm="1">
        <f t="array" ref="AK390">_xlfn.IFS(AJ390&lt;=2,"Poor",AJ390&lt;=3,"Fair",AJ390&gt;3,"Good")</f>
        <v>Fair</v>
      </c>
      <c r="AL390">
        <v>5</v>
      </c>
      <c r="AM390">
        <v>2</v>
      </c>
      <c r="AN390">
        <v>1</v>
      </c>
      <c r="AO390">
        <v>2</v>
      </c>
    </row>
    <row r="391" spans="1:41" x14ac:dyDescent="0.2">
      <c r="A391">
        <v>1703984</v>
      </c>
      <c r="B391">
        <v>37</v>
      </c>
      <c r="C391" t="str" cm="1">
        <f t="array" ref="C391">_xlfn.IFS(B391&lt;=25,"15-25",B391&lt;=35,"26-35",B391&lt;=45,"36-45",B391&lt;=55,"46-55",B391&lt;=65,"56-65")</f>
        <v>36-45</v>
      </c>
      <c r="D391" t="s">
        <v>35</v>
      </c>
      <c r="E391" t="str">
        <f t="shared" si="12"/>
        <v>Current Employee</v>
      </c>
      <c r="F391" t="s">
        <v>36</v>
      </c>
      <c r="G391">
        <v>1305</v>
      </c>
      <c r="H391" t="s">
        <v>45</v>
      </c>
      <c r="I391">
        <v>10</v>
      </c>
      <c r="J391">
        <v>4</v>
      </c>
      <c r="K391" t="s">
        <v>38</v>
      </c>
      <c r="L391">
        <v>1</v>
      </c>
      <c r="M391">
        <v>3</v>
      </c>
      <c r="N391" t="s">
        <v>46</v>
      </c>
      <c r="O391">
        <v>49</v>
      </c>
      <c r="P391">
        <v>3</v>
      </c>
      <c r="Q391">
        <v>2</v>
      </c>
      <c r="R391" t="s">
        <v>51</v>
      </c>
      <c r="S391">
        <v>2</v>
      </c>
      <c r="T391" t="str" cm="1">
        <f t="array" ref="T391">_xlfn.IFS(S391&lt;=2,"Poor",S391&lt;=3,"Fair",S391&gt;=4,"Good")</f>
        <v>Poor</v>
      </c>
      <c r="U391" t="s">
        <v>41</v>
      </c>
      <c r="V391" s="1">
        <v>4197</v>
      </c>
      <c r="W391" t="str" cm="1">
        <f t="array" ref="W391">_xlfn.IFS(V391&lt;=5000,"Low Salary",V391&lt;=12000,"Good Salary",V391&gt;12000,"High Salary")</f>
        <v>Low Salary</v>
      </c>
      <c r="X391">
        <v>21123</v>
      </c>
      <c r="Y391">
        <v>2</v>
      </c>
      <c r="Z391" t="s">
        <v>42</v>
      </c>
      <c r="AA391" t="s">
        <v>43</v>
      </c>
      <c r="AB391">
        <v>12</v>
      </c>
      <c r="AC391">
        <v>3</v>
      </c>
      <c r="AD391" t="str">
        <f t="shared" si="13"/>
        <v>Low Performance</v>
      </c>
      <c r="AE391">
        <v>4</v>
      </c>
      <c r="AF391">
        <v>80</v>
      </c>
      <c r="AG391">
        <v>0</v>
      </c>
      <c r="AH391">
        <v>18</v>
      </c>
      <c r="AI391">
        <v>2</v>
      </c>
      <c r="AJ391">
        <v>2</v>
      </c>
      <c r="AK391" t="str" cm="1">
        <f t="array" ref="AK391">_xlfn.IFS(AJ391&lt;=2,"Poor",AJ391&lt;=3,"Fair",AJ391&gt;3,"Good")</f>
        <v>Poor</v>
      </c>
      <c r="AL391">
        <v>1</v>
      </c>
      <c r="AM391">
        <v>0</v>
      </c>
      <c r="AN391">
        <v>0</v>
      </c>
      <c r="AO391">
        <v>1</v>
      </c>
    </row>
    <row r="392" spans="1:41" x14ac:dyDescent="0.2">
      <c r="A392">
        <v>1538992</v>
      </c>
      <c r="B392">
        <v>43</v>
      </c>
      <c r="C392" t="str" cm="1">
        <f t="array" ref="C392">_xlfn.IFS(B392&lt;=25,"15-25",B392&lt;=35,"26-35",B392&lt;=45,"36-45",B392&lt;=55,"46-55",B392&lt;=65,"56-65")</f>
        <v>36-45</v>
      </c>
      <c r="D392" t="s">
        <v>35</v>
      </c>
      <c r="E392" t="str">
        <f t="shared" si="12"/>
        <v>Current Employee</v>
      </c>
      <c r="F392" t="s">
        <v>36</v>
      </c>
      <c r="G392">
        <v>982</v>
      </c>
      <c r="H392" t="s">
        <v>45</v>
      </c>
      <c r="I392">
        <v>12</v>
      </c>
      <c r="J392">
        <v>3</v>
      </c>
      <c r="K392" t="s">
        <v>38</v>
      </c>
      <c r="L392">
        <v>1</v>
      </c>
      <c r="M392">
        <v>1</v>
      </c>
      <c r="N392" t="s">
        <v>46</v>
      </c>
      <c r="O392">
        <v>59</v>
      </c>
      <c r="P392">
        <v>2</v>
      </c>
      <c r="Q392">
        <v>4</v>
      </c>
      <c r="R392" t="s">
        <v>53</v>
      </c>
      <c r="S392">
        <v>2</v>
      </c>
      <c r="T392" t="str" cm="1">
        <f t="array" ref="T392">_xlfn.IFS(S392&lt;=2,"Poor",S392&lt;=3,"Fair",S392&gt;=4,"Good")</f>
        <v>Poor</v>
      </c>
      <c r="U392" t="s">
        <v>50</v>
      </c>
      <c r="V392" s="1">
        <v>14336</v>
      </c>
      <c r="W392" t="str" cm="1">
        <f t="array" ref="W392">_xlfn.IFS(V392&lt;=5000,"Low Salary",V392&lt;=12000,"Good Salary",V392&gt;12000,"High Salary")</f>
        <v>High Salary</v>
      </c>
      <c r="X392">
        <v>4345</v>
      </c>
      <c r="Y392">
        <v>1</v>
      </c>
      <c r="Z392" t="s">
        <v>42</v>
      </c>
      <c r="AA392" t="s">
        <v>35</v>
      </c>
      <c r="AB392">
        <v>11</v>
      </c>
      <c r="AC392">
        <v>3</v>
      </c>
      <c r="AD392" t="str">
        <f t="shared" si="13"/>
        <v>Low Performance</v>
      </c>
      <c r="AE392">
        <v>3</v>
      </c>
      <c r="AF392">
        <v>80</v>
      </c>
      <c r="AG392">
        <v>1</v>
      </c>
      <c r="AH392">
        <v>25</v>
      </c>
      <c r="AI392">
        <v>3</v>
      </c>
      <c r="AJ392">
        <v>3</v>
      </c>
      <c r="AK392" t="str" cm="1">
        <f t="array" ref="AK392">_xlfn.IFS(AJ392&lt;=2,"Poor",AJ392&lt;=3,"Fair",AJ392&gt;3,"Good")</f>
        <v>Fair</v>
      </c>
      <c r="AL392">
        <v>25</v>
      </c>
      <c r="AM392">
        <v>10</v>
      </c>
      <c r="AN392">
        <v>3</v>
      </c>
      <c r="AO392">
        <v>9</v>
      </c>
    </row>
    <row r="393" spans="1:41" x14ac:dyDescent="0.2">
      <c r="A393">
        <v>1488170</v>
      </c>
      <c r="B393">
        <v>40</v>
      </c>
      <c r="C393" t="str" cm="1">
        <f t="array" ref="C393">_xlfn.IFS(B393&lt;=25,"15-25",B393&lt;=35,"26-35",B393&lt;=45,"36-45",B393&lt;=55,"46-55",B393&lt;=65,"56-65")</f>
        <v>36-45</v>
      </c>
      <c r="D393" t="s">
        <v>35</v>
      </c>
      <c r="E393" t="str">
        <f t="shared" si="12"/>
        <v>Current Employee</v>
      </c>
      <c r="F393" t="s">
        <v>36</v>
      </c>
      <c r="G393">
        <v>555</v>
      </c>
      <c r="H393" t="s">
        <v>45</v>
      </c>
      <c r="I393">
        <v>2</v>
      </c>
      <c r="J393">
        <v>3</v>
      </c>
      <c r="K393" t="s">
        <v>49</v>
      </c>
      <c r="L393">
        <v>1</v>
      </c>
      <c r="M393">
        <v>2</v>
      </c>
      <c r="N393" t="s">
        <v>39</v>
      </c>
      <c r="O393">
        <v>78</v>
      </c>
      <c r="P393">
        <v>2</v>
      </c>
      <c r="Q393">
        <v>2</v>
      </c>
      <c r="R393" t="s">
        <v>40</v>
      </c>
      <c r="S393">
        <v>3</v>
      </c>
      <c r="T393" t="str" cm="1">
        <f t="array" ref="T393">_xlfn.IFS(S393&lt;=2,"Poor",S393&lt;=3,"Fair",S393&gt;=4,"Good")</f>
        <v>Fair</v>
      </c>
      <c r="U393" t="s">
        <v>48</v>
      </c>
      <c r="V393" s="1">
        <v>3448</v>
      </c>
      <c r="W393" t="str" cm="1">
        <f t="array" ref="W393">_xlfn.IFS(V393&lt;=5000,"Low Salary",V393&lt;=12000,"Good Salary",V393&gt;12000,"High Salary")</f>
        <v>Low Salary</v>
      </c>
      <c r="X393">
        <v>13436</v>
      </c>
      <c r="Y393">
        <v>6</v>
      </c>
      <c r="Z393" t="s">
        <v>42</v>
      </c>
      <c r="AA393" t="s">
        <v>35</v>
      </c>
      <c r="AB393">
        <v>22</v>
      </c>
      <c r="AC393">
        <v>4</v>
      </c>
      <c r="AD393" t="str">
        <f t="shared" si="13"/>
        <v>High Performance</v>
      </c>
      <c r="AE393">
        <v>2</v>
      </c>
      <c r="AF393">
        <v>80</v>
      </c>
      <c r="AG393">
        <v>1</v>
      </c>
      <c r="AH393">
        <v>20</v>
      </c>
      <c r="AI393">
        <v>3</v>
      </c>
      <c r="AJ393">
        <v>3</v>
      </c>
      <c r="AK393" t="str" cm="1">
        <f t="array" ref="AK393">_xlfn.IFS(AJ393&lt;=2,"Poor",AJ393&lt;=3,"Fair",AJ393&gt;3,"Good")</f>
        <v>Fair</v>
      </c>
      <c r="AL393">
        <v>1</v>
      </c>
      <c r="AM393">
        <v>0</v>
      </c>
      <c r="AN393">
        <v>0</v>
      </c>
      <c r="AO393">
        <v>0</v>
      </c>
    </row>
    <row r="394" spans="1:41" x14ac:dyDescent="0.2">
      <c r="A394">
        <v>1530826</v>
      </c>
      <c r="B394">
        <v>54</v>
      </c>
      <c r="C394" t="str" cm="1">
        <f t="array" ref="C394">_xlfn.IFS(B394&lt;=25,"15-25",B394&lt;=35,"26-35",B394&lt;=45,"36-45",B394&lt;=55,"46-55",B394&lt;=65,"56-65")</f>
        <v>46-55</v>
      </c>
      <c r="D394" t="s">
        <v>35</v>
      </c>
      <c r="E394" t="str">
        <f t="shared" si="12"/>
        <v>Current Employee</v>
      </c>
      <c r="F394" t="s">
        <v>36</v>
      </c>
      <c r="G394">
        <v>821</v>
      </c>
      <c r="H394" t="s">
        <v>45</v>
      </c>
      <c r="I394">
        <v>5</v>
      </c>
      <c r="J394">
        <v>2</v>
      </c>
      <c r="K394" t="s">
        <v>49</v>
      </c>
      <c r="L394">
        <v>1</v>
      </c>
      <c r="M394">
        <v>1</v>
      </c>
      <c r="N394" t="s">
        <v>46</v>
      </c>
      <c r="O394">
        <v>86</v>
      </c>
      <c r="P394">
        <v>3</v>
      </c>
      <c r="Q394">
        <v>5</v>
      </c>
      <c r="R394" t="s">
        <v>53</v>
      </c>
      <c r="S394">
        <v>1</v>
      </c>
      <c r="T394" t="str" cm="1">
        <f t="array" ref="T394">_xlfn.IFS(S394&lt;=2,"Poor",S394&lt;=3,"Fair",S394&gt;=4,"Good")</f>
        <v>Poor</v>
      </c>
      <c r="U394" t="s">
        <v>48</v>
      </c>
      <c r="V394" s="1">
        <v>19406</v>
      </c>
      <c r="W394" t="str" cm="1">
        <f t="array" ref="W394">_xlfn.IFS(V394&lt;=5000,"Low Salary",V394&lt;=12000,"Good Salary",V394&gt;12000,"High Salary")</f>
        <v>High Salary</v>
      </c>
      <c r="X394">
        <v>8509</v>
      </c>
      <c r="Y394">
        <v>4</v>
      </c>
      <c r="Z394" t="s">
        <v>42</v>
      </c>
      <c r="AA394" t="s">
        <v>35</v>
      </c>
      <c r="AB394">
        <v>11</v>
      </c>
      <c r="AC394">
        <v>3</v>
      </c>
      <c r="AD394" t="str">
        <f t="shared" si="13"/>
        <v>Low Performance</v>
      </c>
      <c r="AE394">
        <v>3</v>
      </c>
      <c r="AF394">
        <v>80</v>
      </c>
      <c r="AG394">
        <v>1</v>
      </c>
      <c r="AH394">
        <v>24</v>
      </c>
      <c r="AI394">
        <v>4</v>
      </c>
      <c r="AJ394">
        <v>2</v>
      </c>
      <c r="AK394" t="str" cm="1">
        <f t="array" ref="AK394">_xlfn.IFS(AJ394&lt;=2,"Poor",AJ394&lt;=3,"Fair",AJ394&gt;3,"Good")</f>
        <v>Poor</v>
      </c>
      <c r="AL394">
        <v>4</v>
      </c>
      <c r="AM394">
        <v>2</v>
      </c>
      <c r="AN394">
        <v>1</v>
      </c>
      <c r="AO394">
        <v>2</v>
      </c>
    </row>
    <row r="395" spans="1:41" x14ac:dyDescent="0.2">
      <c r="A395">
        <v>1550660</v>
      </c>
      <c r="B395">
        <v>34</v>
      </c>
      <c r="C395" t="str" cm="1">
        <f t="array" ref="C395">_xlfn.IFS(B395&lt;=25,"15-25",B395&lt;=35,"26-35",B395&lt;=45,"36-45",B395&lt;=55,"46-55",B395&lt;=65,"56-65")</f>
        <v>26-35</v>
      </c>
      <c r="D395" t="s">
        <v>35</v>
      </c>
      <c r="E395" t="str">
        <f t="shared" si="12"/>
        <v>Current Employee</v>
      </c>
      <c r="F395" t="s">
        <v>52</v>
      </c>
      <c r="G395">
        <v>1381</v>
      </c>
      <c r="H395" t="s">
        <v>37</v>
      </c>
      <c r="I395">
        <v>4</v>
      </c>
      <c r="J395">
        <v>4</v>
      </c>
      <c r="K395" t="s">
        <v>55</v>
      </c>
      <c r="L395">
        <v>1</v>
      </c>
      <c r="M395">
        <v>3</v>
      </c>
      <c r="N395" t="s">
        <v>39</v>
      </c>
      <c r="O395">
        <v>72</v>
      </c>
      <c r="P395">
        <v>3</v>
      </c>
      <c r="Q395">
        <v>2</v>
      </c>
      <c r="R395" t="s">
        <v>40</v>
      </c>
      <c r="S395">
        <v>3</v>
      </c>
      <c r="T395" t="str" cm="1">
        <f t="array" ref="T395">_xlfn.IFS(S395&lt;=2,"Poor",S395&lt;=3,"Fair",S395&gt;=4,"Good")</f>
        <v>Fair</v>
      </c>
      <c r="U395" t="s">
        <v>48</v>
      </c>
      <c r="V395" s="1">
        <v>6538</v>
      </c>
      <c r="W395" t="str" cm="1">
        <f t="array" ref="W395">_xlfn.IFS(V395&lt;=5000,"Low Salary",V395&lt;=12000,"Good Salary",V395&gt;12000,"High Salary")</f>
        <v>Good Salary</v>
      </c>
      <c r="X395">
        <v>12740</v>
      </c>
      <c r="Y395">
        <v>9</v>
      </c>
      <c r="Z395" t="s">
        <v>42</v>
      </c>
      <c r="AA395" t="s">
        <v>35</v>
      </c>
      <c r="AB395">
        <v>15</v>
      </c>
      <c r="AC395">
        <v>3</v>
      </c>
      <c r="AD395" t="str">
        <f t="shared" si="13"/>
        <v>Low Performance</v>
      </c>
      <c r="AE395">
        <v>1</v>
      </c>
      <c r="AF395">
        <v>80</v>
      </c>
      <c r="AG395">
        <v>1</v>
      </c>
      <c r="AH395">
        <v>6</v>
      </c>
      <c r="AI395">
        <v>3</v>
      </c>
      <c r="AJ395">
        <v>3</v>
      </c>
      <c r="AK395" t="str" cm="1">
        <f t="array" ref="AK395">_xlfn.IFS(AJ395&lt;=2,"Poor",AJ395&lt;=3,"Fair",AJ395&gt;3,"Good")</f>
        <v>Fair</v>
      </c>
      <c r="AL395">
        <v>3</v>
      </c>
      <c r="AM395">
        <v>2</v>
      </c>
      <c r="AN395">
        <v>1</v>
      </c>
      <c r="AO395">
        <v>2</v>
      </c>
    </row>
    <row r="396" spans="1:41" x14ac:dyDescent="0.2">
      <c r="A396">
        <v>1766543</v>
      </c>
      <c r="B396">
        <v>31</v>
      </c>
      <c r="C396" t="str" cm="1">
        <f t="array" ref="C396">_xlfn.IFS(B396&lt;=25,"15-25",B396&lt;=35,"26-35",B396&lt;=45,"36-45",B396&lt;=55,"46-55",B396&lt;=65,"56-65")</f>
        <v>26-35</v>
      </c>
      <c r="D396" t="s">
        <v>35</v>
      </c>
      <c r="E396" t="str">
        <f t="shared" si="12"/>
        <v>Current Employee</v>
      </c>
      <c r="F396" t="s">
        <v>36</v>
      </c>
      <c r="G396">
        <v>480</v>
      </c>
      <c r="H396" t="s">
        <v>54</v>
      </c>
      <c r="I396">
        <v>7</v>
      </c>
      <c r="J396">
        <v>2</v>
      </c>
      <c r="K396" t="s">
        <v>49</v>
      </c>
      <c r="L396">
        <v>1</v>
      </c>
      <c r="M396">
        <v>2</v>
      </c>
      <c r="N396" t="s">
        <v>39</v>
      </c>
      <c r="O396">
        <v>31</v>
      </c>
      <c r="P396">
        <v>3</v>
      </c>
      <c r="Q396">
        <v>2</v>
      </c>
      <c r="R396" t="s">
        <v>51</v>
      </c>
      <c r="S396">
        <v>1</v>
      </c>
      <c r="T396" t="str" cm="1">
        <f t="array" ref="T396">_xlfn.IFS(S396&lt;=2,"Poor",S396&lt;=3,"Fair",S396&gt;=4,"Good")</f>
        <v>Poor</v>
      </c>
      <c r="U396" t="s">
        <v>48</v>
      </c>
      <c r="V396" s="1">
        <v>4306</v>
      </c>
      <c r="W396" t="str" cm="1">
        <f t="array" ref="W396">_xlfn.IFS(V396&lt;=5000,"Low Salary",V396&lt;=12000,"Good Salary",V396&gt;12000,"High Salary")</f>
        <v>Low Salary</v>
      </c>
      <c r="X396">
        <v>4156</v>
      </c>
      <c r="Y396">
        <v>1</v>
      </c>
      <c r="Z396" t="s">
        <v>42</v>
      </c>
      <c r="AA396" t="s">
        <v>35</v>
      </c>
      <c r="AB396">
        <v>12</v>
      </c>
      <c r="AC396">
        <v>3</v>
      </c>
      <c r="AD396" t="str">
        <f t="shared" si="13"/>
        <v>Low Performance</v>
      </c>
      <c r="AE396">
        <v>2</v>
      </c>
      <c r="AF396">
        <v>80</v>
      </c>
      <c r="AG396">
        <v>1</v>
      </c>
      <c r="AH396">
        <v>13</v>
      </c>
      <c r="AI396">
        <v>5</v>
      </c>
      <c r="AJ396">
        <v>1</v>
      </c>
      <c r="AK396" t="str" cm="1">
        <f t="array" ref="AK396">_xlfn.IFS(AJ396&lt;=2,"Poor",AJ396&lt;=3,"Fair",AJ396&gt;3,"Good")</f>
        <v>Poor</v>
      </c>
      <c r="AL396">
        <v>13</v>
      </c>
      <c r="AM396">
        <v>10</v>
      </c>
      <c r="AN396">
        <v>3</v>
      </c>
      <c r="AO396">
        <v>12</v>
      </c>
    </row>
    <row r="397" spans="1:41" x14ac:dyDescent="0.2">
      <c r="A397">
        <v>1241240</v>
      </c>
      <c r="B397">
        <v>43</v>
      </c>
      <c r="C397" t="str" cm="1">
        <f t="array" ref="C397">_xlfn.IFS(B397&lt;=25,"15-25",B397&lt;=35,"26-35",B397&lt;=45,"36-45",B397&lt;=55,"46-55",B397&lt;=65,"56-65")</f>
        <v>36-45</v>
      </c>
      <c r="D397" t="s">
        <v>35</v>
      </c>
      <c r="E397" t="str">
        <f t="shared" si="12"/>
        <v>Current Employee</v>
      </c>
      <c r="F397" t="s">
        <v>44</v>
      </c>
      <c r="G397">
        <v>313</v>
      </c>
      <c r="H397" t="s">
        <v>45</v>
      </c>
      <c r="I397">
        <v>21</v>
      </c>
      <c r="J397">
        <v>3</v>
      </c>
      <c r="K397" t="s">
        <v>49</v>
      </c>
      <c r="L397">
        <v>1</v>
      </c>
      <c r="M397">
        <v>4</v>
      </c>
      <c r="N397" t="s">
        <v>46</v>
      </c>
      <c r="O397">
        <v>61</v>
      </c>
      <c r="P397">
        <v>3</v>
      </c>
      <c r="Q397">
        <v>1</v>
      </c>
      <c r="R397" t="s">
        <v>40</v>
      </c>
      <c r="S397">
        <v>4</v>
      </c>
      <c r="T397" t="str" cm="1">
        <f t="array" ref="T397">_xlfn.IFS(S397&lt;=2,"Poor",S397&lt;=3,"Fair",S397&gt;=4,"Good")</f>
        <v>Good</v>
      </c>
      <c r="U397" t="s">
        <v>48</v>
      </c>
      <c r="V397" s="1">
        <v>2258</v>
      </c>
      <c r="W397" t="str" cm="1">
        <f t="array" ref="W397">_xlfn.IFS(V397&lt;=5000,"Low Salary",V397&lt;=12000,"Good Salary",V397&gt;12000,"High Salary")</f>
        <v>Low Salary</v>
      </c>
      <c r="X397">
        <v>15238</v>
      </c>
      <c r="Y397">
        <v>7</v>
      </c>
      <c r="Z397" t="s">
        <v>42</v>
      </c>
      <c r="AA397" t="s">
        <v>35</v>
      </c>
      <c r="AB397">
        <v>20</v>
      </c>
      <c r="AC397">
        <v>4</v>
      </c>
      <c r="AD397" t="str">
        <f t="shared" si="13"/>
        <v>High Performance</v>
      </c>
      <c r="AE397">
        <v>1</v>
      </c>
      <c r="AF397">
        <v>80</v>
      </c>
      <c r="AG397">
        <v>1</v>
      </c>
      <c r="AH397">
        <v>8</v>
      </c>
      <c r="AI397">
        <v>1</v>
      </c>
      <c r="AJ397">
        <v>3</v>
      </c>
      <c r="AK397" t="str" cm="1">
        <f t="array" ref="AK397">_xlfn.IFS(AJ397&lt;=2,"Poor",AJ397&lt;=3,"Fair",AJ397&gt;3,"Good")</f>
        <v>Fair</v>
      </c>
      <c r="AL397">
        <v>3</v>
      </c>
      <c r="AM397">
        <v>2</v>
      </c>
      <c r="AN397">
        <v>1</v>
      </c>
      <c r="AO397">
        <v>2</v>
      </c>
    </row>
    <row r="398" spans="1:41" x14ac:dyDescent="0.2">
      <c r="A398">
        <v>1616188</v>
      </c>
      <c r="B398">
        <v>43</v>
      </c>
      <c r="C398" t="str" cm="1">
        <f t="array" ref="C398">_xlfn.IFS(B398&lt;=25,"15-25",B398&lt;=35,"26-35",B398&lt;=45,"36-45",B398&lt;=55,"46-55",B398&lt;=65,"56-65")</f>
        <v>36-45</v>
      </c>
      <c r="D398" t="s">
        <v>35</v>
      </c>
      <c r="E398" t="str">
        <f t="shared" si="12"/>
        <v>Current Employee</v>
      </c>
      <c r="F398" t="s">
        <v>36</v>
      </c>
      <c r="G398">
        <v>1473</v>
      </c>
      <c r="H398" t="s">
        <v>45</v>
      </c>
      <c r="I398">
        <v>8</v>
      </c>
      <c r="J398">
        <v>4</v>
      </c>
      <c r="K398" t="s">
        <v>47</v>
      </c>
      <c r="L398">
        <v>1</v>
      </c>
      <c r="M398">
        <v>3</v>
      </c>
      <c r="N398" t="s">
        <v>39</v>
      </c>
      <c r="O398">
        <v>74</v>
      </c>
      <c r="P398">
        <v>3</v>
      </c>
      <c r="Q398">
        <v>2</v>
      </c>
      <c r="R398" t="s">
        <v>40</v>
      </c>
      <c r="S398">
        <v>3</v>
      </c>
      <c r="T398" t="str" cm="1">
        <f t="array" ref="T398">_xlfn.IFS(S398&lt;=2,"Poor",S398&lt;=3,"Fair",S398&gt;=4,"Good")</f>
        <v>Fair</v>
      </c>
      <c r="U398" t="s">
        <v>50</v>
      </c>
      <c r="V398" s="1">
        <v>4522</v>
      </c>
      <c r="W398" t="str" cm="1">
        <f t="array" ref="W398">_xlfn.IFS(V398&lt;=5000,"Low Salary",V398&lt;=12000,"Good Salary",V398&gt;12000,"High Salary")</f>
        <v>Low Salary</v>
      </c>
      <c r="X398">
        <v>2227</v>
      </c>
      <c r="Y398">
        <v>4</v>
      </c>
      <c r="Z398" t="s">
        <v>42</v>
      </c>
      <c r="AA398" t="s">
        <v>43</v>
      </c>
      <c r="AB398">
        <v>14</v>
      </c>
      <c r="AC398">
        <v>3</v>
      </c>
      <c r="AD398" t="str">
        <f t="shared" si="13"/>
        <v>Low Performance</v>
      </c>
      <c r="AE398">
        <v>4</v>
      </c>
      <c r="AF398">
        <v>80</v>
      </c>
      <c r="AG398">
        <v>0</v>
      </c>
      <c r="AH398">
        <v>8</v>
      </c>
      <c r="AI398">
        <v>3</v>
      </c>
      <c r="AJ398">
        <v>3</v>
      </c>
      <c r="AK398" t="str" cm="1">
        <f t="array" ref="AK398">_xlfn.IFS(AJ398&lt;=2,"Poor",AJ398&lt;=3,"Fair",AJ398&gt;3,"Good")</f>
        <v>Fair</v>
      </c>
      <c r="AL398">
        <v>5</v>
      </c>
      <c r="AM398">
        <v>2</v>
      </c>
      <c r="AN398">
        <v>0</v>
      </c>
      <c r="AO398">
        <v>2</v>
      </c>
    </row>
    <row r="399" spans="1:41" x14ac:dyDescent="0.2">
      <c r="A399">
        <v>1068776</v>
      </c>
      <c r="B399">
        <v>25</v>
      </c>
      <c r="C399" t="str" cm="1">
        <f t="array" ref="C399">_xlfn.IFS(B399&lt;=25,"15-25",B399&lt;=35,"26-35",B399&lt;=45,"36-45",B399&lt;=55,"46-55",B399&lt;=65,"56-65")</f>
        <v>15-25</v>
      </c>
      <c r="D399" t="s">
        <v>35</v>
      </c>
      <c r="E399" t="str">
        <f t="shared" si="12"/>
        <v>Current Employee</v>
      </c>
      <c r="F399" t="s">
        <v>36</v>
      </c>
      <c r="G399">
        <v>891</v>
      </c>
      <c r="H399" t="s">
        <v>37</v>
      </c>
      <c r="I399">
        <v>4</v>
      </c>
      <c r="J399">
        <v>2</v>
      </c>
      <c r="K399" t="s">
        <v>38</v>
      </c>
      <c r="L399">
        <v>1</v>
      </c>
      <c r="M399">
        <v>2</v>
      </c>
      <c r="N399" t="s">
        <v>39</v>
      </c>
      <c r="O399">
        <v>99</v>
      </c>
      <c r="P399">
        <v>2</v>
      </c>
      <c r="Q399">
        <v>2</v>
      </c>
      <c r="R399" t="s">
        <v>40</v>
      </c>
      <c r="S399">
        <v>4</v>
      </c>
      <c r="T399" t="str" cm="1">
        <f t="array" ref="T399">_xlfn.IFS(S399&lt;=2,"Poor",S399&lt;=3,"Fair",S399&gt;=4,"Good")</f>
        <v>Good</v>
      </c>
      <c r="U399" t="s">
        <v>41</v>
      </c>
      <c r="V399" s="1">
        <v>4487</v>
      </c>
      <c r="W399" t="str" cm="1">
        <f t="array" ref="W399">_xlfn.IFS(V399&lt;=5000,"Low Salary",V399&lt;=12000,"Good Salary",V399&gt;12000,"High Salary")</f>
        <v>Low Salary</v>
      </c>
      <c r="X399">
        <v>12090</v>
      </c>
      <c r="Y399">
        <v>1</v>
      </c>
      <c r="Z399" t="s">
        <v>42</v>
      </c>
      <c r="AA399" t="s">
        <v>43</v>
      </c>
      <c r="AB399">
        <v>11</v>
      </c>
      <c r="AC399">
        <v>3</v>
      </c>
      <c r="AD399" t="str">
        <f t="shared" si="13"/>
        <v>Low Performance</v>
      </c>
      <c r="AE399">
        <v>2</v>
      </c>
      <c r="AF399">
        <v>80</v>
      </c>
      <c r="AG399">
        <v>0</v>
      </c>
      <c r="AH399">
        <v>5</v>
      </c>
      <c r="AI399">
        <v>3</v>
      </c>
      <c r="AJ399">
        <v>3</v>
      </c>
      <c r="AK399" t="str" cm="1">
        <f t="array" ref="AK399">_xlfn.IFS(AJ399&lt;=2,"Poor",AJ399&lt;=3,"Fair",AJ399&gt;3,"Good")</f>
        <v>Fair</v>
      </c>
      <c r="AL399">
        <v>5</v>
      </c>
      <c r="AM399">
        <v>4</v>
      </c>
      <c r="AN399">
        <v>1</v>
      </c>
      <c r="AO399">
        <v>3</v>
      </c>
    </row>
    <row r="400" spans="1:41" x14ac:dyDescent="0.2">
      <c r="A400">
        <v>1514615</v>
      </c>
      <c r="B400">
        <v>37</v>
      </c>
      <c r="C400" t="str" cm="1">
        <f t="array" ref="C400">_xlfn.IFS(B400&lt;=25,"15-25",B400&lt;=35,"26-35",B400&lt;=45,"36-45",B400&lt;=55,"46-55",B400&lt;=65,"56-65")</f>
        <v>36-45</v>
      </c>
      <c r="D400" t="s">
        <v>35</v>
      </c>
      <c r="E400" t="str">
        <f t="shared" si="12"/>
        <v>Current Employee</v>
      </c>
      <c r="F400" t="s">
        <v>52</v>
      </c>
      <c r="G400">
        <v>1063</v>
      </c>
      <c r="H400" t="s">
        <v>45</v>
      </c>
      <c r="I400">
        <v>25</v>
      </c>
      <c r="J400">
        <v>5</v>
      </c>
      <c r="K400" t="s">
        <v>49</v>
      </c>
      <c r="L400">
        <v>1</v>
      </c>
      <c r="M400">
        <v>2</v>
      </c>
      <c r="N400" t="s">
        <v>39</v>
      </c>
      <c r="O400">
        <v>72</v>
      </c>
      <c r="P400">
        <v>3</v>
      </c>
      <c r="Q400">
        <v>2</v>
      </c>
      <c r="R400" t="s">
        <v>47</v>
      </c>
      <c r="S400">
        <v>3</v>
      </c>
      <c r="T400" t="str" cm="1">
        <f t="array" ref="T400">_xlfn.IFS(S400&lt;=2,"Poor",S400&lt;=3,"Fair",S400&gt;=4,"Good")</f>
        <v>Fair</v>
      </c>
      <c r="U400" t="s">
        <v>48</v>
      </c>
      <c r="V400" s="1">
        <v>4449</v>
      </c>
      <c r="W400" t="str" cm="1">
        <f t="array" ref="W400">_xlfn.IFS(V400&lt;=5000,"Low Salary",V400&lt;=12000,"Good Salary",V400&gt;12000,"High Salary")</f>
        <v>Low Salary</v>
      </c>
      <c r="X400">
        <v>23866</v>
      </c>
      <c r="Y400">
        <v>3</v>
      </c>
      <c r="Z400" t="s">
        <v>42</v>
      </c>
      <c r="AA400" t="s">
        <v>43</v>
      </c>
      <c r="AB400">
        <v>15</v>
      </c>
      <c r="AC400">
        <v>3</v>
      </c>
      <c r="AD400" t="str">
        <f t="shared" si="13"/>
        <v>Low Performance</v>
      </c>
      <c r="AE400">
        <v>1</v>
      </c>
      <c r="AF400">
        <v>80</v>
      </c>
      <c r="AG400">
        <v>2</v>
      </c>
      <c r="AH400">
        <v>15</v>
      </c>
      <c r="AI400">
        <v>2</v>
      </c>
      <c r="AJ400">
        <v>3</v>
      </c>
      <c r="AK400" t="str" cm="1">
        <f t="array" ref="AK400">_xlfn.IFS(AJ400&lt;=2,"Poor",AJ400&lt;=3,"Fair",AJ400&gt;3,"Good")</f>
        <v>Fair</v>
      </c>
      <c r="AL400">
        <v>13</v>
      </c>
      <c r="AM400">
        <v>11</v>
      </c>
      <c r="AN400">
        <v>10</v>
      </c>
      <c r="AO400">
        <v>7</v>
      </c>
    </row>
    <row r="401" spans="1:41" x14ac:dyDescent="0.2">
      <c r="A401">
        <v>1413436</v>
      </c>
      <c r="B401">
        <v>31</v>
      </c>
      <c r="C401" t="str" cm="1">
        <f t="array" ref="C401">_xlfn.IFS(B401&lt;=25,"15-25",B401&lt;=35,"26-35",B401&lt;=45,"36-45",B401&lt;=55,"46-55",B401&lt;=65,"56-65")</f>
        <v>26-35</v>
      </c>
      <c r="D401" t="s">
        <v>35</v>
      </c>
      <c r="E401" t="str">
        <f t="shared" si="12"/>
        <v>Current Employee</v>
      </c>
      <c r="F401" t="s">
        <v>36</v>
      </c>
      <c r="G401">
        <v>329</v>
      </c>
      <c r="H401" t="s">
        <v>45</v>
      </c>
      <c r="I401">
        <v>1</v>
      </c>
      <c r="J401">
        <v>2</v>
      </c>
      <c r="K401" t="s">
        <v>38</v>
      </c>
      <c r="L401">
        <v>1</v>
      </c>
      <c r="M401">
        <v>4</v>
      </c>
      <c r="N401" t="s">
        <v>46</v>
      </c>
      <c r="O401">
        <v>98</v>
      </c>
      <c r="P401">
        <v>2</v>
      </c>
      <c r="Q401">
        <v>1</v>
      </c>
      <c r="R401" t="s">
        <v>40</v>
      </c>
      <c r="S401">
        <v>1</v>
      </c>
      <c r="T401" t="str" cm="1">
        <f t="array" ref="T401">_xlfn.IFS(S401&lt;=2,"Poor",S401&lt;=3,"Fair",S401&gt;=4,"Good")</f>
        <v>Poor</v>
      </c>
      <c r="U401" t="s">
        <v>48</v>
      </c>
      <c r="V401" s="1">
        <v>2218</v>
      </c>
      <c r="W401" t="str" cm="1">
        <f t="array" ref="W401">_xlfn.IFS(V401&lt;=5000,"Low Salary",V401&lt;=12000,"Good Salary",V401&gt;12000,"High Salary")</f>
        <v>Low Salary</v>
      </c>
      <c r="X401">
        <v>16193</v>
      </c>
      <c r="Y401">
        <v>1</v>
      </c>
      <c r="Z401" t="s">
        <v>42</v>
      </c>
      <c r="AA401" t="s">
        <v>35</v>
      </c>
      <c r="AB401">
        <v>12</v>
      </c>
      <c r="AC401">
        <v>3</v>
      </c>
      <c r="AD401" t="str">
        <f t="shared" si="13"/>
        <v>Low Performance</v>
      </c>
      <c r="AE401">
        <v>3</v>
      </c>
      <c r="AF401">
        <v>80</v>
      </c>
      <c r="AG401">
        <v>1</v>
      </c>
      <c r="AH401">
        <v>4</v>
      </c>
      <c r="AI401">
        <v>3</v>
      </c>
      <c r="AJ401">
        <v>3</v>
      </c>
      <c r="AK401" t="str" cm="1">
        <f t="array" ref="AK401">_xlfn.IFS(AJ401&lt;=2,"Poor",AJ401&lt;=3,"Fair",AJ401&gt;3,"Good")</f>
        <v>Fair</v>
      </c>
      <c r="AL401">
        <v>4</v>
      </c>
      <c r="AM401">
        <v>2</v>
      </c>
      <c r="AN401">
        <v>3</v>
      </c>
      <c r="AO401">
        <v>2</v>
      </c>
    </row>
    <row r="402" spans="1:41" x14ac:dyDescent="0.2">
      <c r="A402">
        <v>1660433</v>
      </c>
      <c r="B402">
        <v>39</v>
      </c>
      <c r="C402" t="str" cm="1">
        <f t="array" ref="C402">_xlfn.IFS(B402&lt;=25,"15-25",B402&lt;=35,"26-35",B402&lt;=45,"36-45",B402&lt;=55,"46-55",B402&lt;=65,"56-65")</f>
        <v>36-45</v>
      </c>
      <c r="D402" t="s">
        <v>35</v>
      </c>
      <c r="E402" t="str">
        <f t="shared" si="12"/>
        <v>Current Employee</v>
      </c>
      <c r="F402" t="s">
        <v>44</v>
      </c>
      <c r="G402">
        <v>1218</v>
      </c>
      <c r="H402" t="s">
        <v>54</v>
      </c>
      <c r="I402">
        <v>1</v>
      </c>
      <c r="J402">
        <v>1</v>
      </c>
      <c r="K402" t="s">
        <v>38</v>
      </c>
      <c r="L402">
        <v>1</v>
      </c>
      <c r="M402">
        <v>2</v>
      </c>
      <c r="N402" t="s">
        <v>46</v>
      </c>
      <c r="O402">
        <v>52</v>
      </c>
      <c r="P402">
        <v>3</v>
      </c>
      <c r="Q402">
        <v>5</v>
      </c>
      <c r="R402" t="s">
        <v>47</v>
      </c>
      <c r="S402">
        <v>3</v>
      </c>
      <c r="T402" t="str" cm="1">
        <f t="array" ref="T402">_xlfn.IFS(S402&lt;=2,"Poor",S402&lt;=3,"Fair",S402&gt;=4,"Good")</f>
        <v>Fair</v>
      </c>
      <c r="U402" t="s">
        <v>50</v>
      </c>
      <c r="V402" s="1">
        <v>19197</v>
      </c>
      <c r="W402" t="str" cm="1">
        <f t="array" ref="W402">_xlfn.IFS(V402&lt;=5000,"Low Salary",V402&lt;=12000,"Good Salary",V402&gt;12000,"High Salary")</f>
        <v>High Salary</v>
      </c>
      <c r="X402">
        <v>8213</v>
      </c>
      <c r="Y402">
        <v>1</v>
      </c>
      <c r="Z402" t="s">
        <v>42</v>
      </c>
      <c r="AA402" t="s">
        <v>43</v>
      </c>
      <c r="AB402">
        <v>14</v>
      </c>
      <c r="AC402">
        <v>3</v>
      </c>
      <c r="AD402" t="str">
        <f t="shared" si="13"/>
        <v>Low Performance</v>
      </c>
      <c r="AE402">
        <v>3</v>
      </c>
      <c r="AF402">
        <v>80</v>
      </c>
      <c r="AG402">
        <v>1</v>
      </c>
      <c r="AH402">
        <v>21</v>
      </c>
      <c r="AI402">
        <v>3</v>
      </c>
      <c r="AJ402">
        <v>3</v>
      </c>
      <c r="AK402" t="str" cm="1">
        <f t="array" ref="AK402">_xlfn.IFS(AJ402&lt;=2,"Poor",AJ402&lt;=3,"Fair",AJ402&gt;3,"Good")</f>
        <v>Fair</v>
      </c>
      <c r="AL402">
        <v>21</v>
      </c>
      <c r="AM402">
        <v>8</v>
      </c>
      <c r="AN402">
        <v>1</v>
      </c>
      <c r="AO402">
        <v>6</v>
      </c>
    </row>
    <row r="403" spans="1:41" x14ac:dyDescent="0.2">
      <c r="A403">
        <v>1415736</v>
      </c>
      <c r="B403">
        <v>56</v>
      </c>
      <c r="C403" t="str" cm="1">
        <f t="array" ref="C403">_xlfn.IFS(B403&lt;=25,"15-25",B403&lt;=35,"26-35",B403&lt;=45,"36-45",B403&lt;=55,"46-55",B403&lt;=65,"56-65")</f>
        <v>56-65</v>
      </c>
      <c r="D403" t="s">
        <v>35</v>
      </c>
      <c r="E403" t="str">
        <f t="shared" si="12"/>
        <v>Current Employee</v>
      </c>
      <c r="F403" t="s">
        <v>44</v>
      </c>
      <c r="G403">
        <v>906</v>
      </c>
      <c r="H403" t="s">
        <v>37</v>
      </c>
      <c r="I403">
        <v>6</v>
      </c>
      <c r="J403">
        <v>3</v>
      </c>
      <c r="K403" t="s">
        <v>38</v>
      </c>
      <c r="L403">
        <v>1</v>
      </c>
      <c r="M403">
        <v>3</v>
      </c>
      <c r="N403" t="s">
        <v>39</v>
      </c>
      <c r="O403">
        <v>86</v>
      </c>
      <c r="P403">
        <v>4</v>
      </c>
      <c r="Q403">
        <v>4</v>
      </c>
      <c r="R403" t="s">
        <v>40</v>
      </c>
      <c r="S403">
        <v>1</v>
      </c>
      <c r="T403" t="str" cm="1">
        <f t="array" ref="T403">_xlfn.IFS(S403&lt;=2,"Poor",S403&lt;=3,"Fair",S403&gt;=4,"Good")</f>
        <v>Poor</v>
      </c>
      <c r="U403" t="s">
        <v>48</v>
      </c>
      <c r="V403" s="1">
        <v>13212</v>
      </c>
      <c r="W403" t="str" cm="1">
        <f t="array" ref="W403">_xlfn.IFS(V403&lt;=5000,"Low Salary",V403&lt;=12000,"Good Salary",V403&gt;12000,"High Salary")</f>
        <v>High Salary</v>
      </c>
      <c r="X403">
        <v>18256</v>
      </c>
      <c r="Y403">
        <v>9</v>
      </c>
      <c r="Z403" t="s">
        <v>42</v>
      </c>
      <c r="AA403" t="s">
        <v>35</v>
      </c>
      <c r="AB403">
        <v>11</v>
      </c>
      <c r="AC403">
        <v>3</v>
      </c>
      <c r="AD403" t="str">
        <f t="shared" si="13"/>
        <v>Low Performance</v>
      </c>
      <c r="AE403">
        <v>4</v>
      </c>
      <c r="AF403">
        <v>80</v>
      </c>
      <c r="AG403">
        <v>3</v>
      </c>
      <c r="AH403">
        <v>36</v>
      </c>
      <c r="AI403">
        <v>0</v>
      </c>
      <c r="AJ403">
        <v>2</v>
      </c>
      <c r="AK403" t="str" cm="1">
        <f t="array" ref="AK403">_xlfn.IFS(AJ403&lt;=2,"Poor",AJ403&lt;=3,"Fair",AJ403&gt;3,"Good")</f>
        <v>Poor</v>
      </c>
      <c r="AL403">
        <v>7</v>
      </c>
      <c r="AM403">
        <v>7</v>
      </c>
      <c r="AN403">
        <v>7</v>
      </c>
      <c r="AO403">
        <v>7</v>
      </c>
    </row>
    <row r="404" spans="1:41" x14ac:dyDescent="0.2">
      <c r="A404">
        <v>1356712</v>
      </c>
      <c r="B404">
        <v>30</v>
      </c>
      <c r="C404" t="str" cm="1">
        <f t="array" ref="C404">_xlfn.IFS(B404&lt;=25,"15-25",B404&lt;=35,"26-35",B404&lt;=45,"36-45",B404&lt;=55,"46-55",B404&lt;=65,"56-65")</f>
        <v>26-35</v>
      </c>
      <c r="D404" t="s">
        <v>35</v>
      </c>
      <c r="E404" t="str">
        <f t="shared" si="12"/>
        <v>Current Employee</v>
      </c>
      <c r="F404" t="s">
        <v>36</v>
      </c>
      <c r="G404">
        <v>1082</v>
      </c>
      <c r="H404" t="s">
        <v>37</v>
      </c>
      <c r="I404">
        <v>12</v>
      </c>
      <c r="J404">
        <v>3</v>
      </c>
      <c r="K404" t="s">
        <v>56</v>
      </c>
      <c r="L404">
        <v>1</v>
      </c>
      <c r="M404">
        <v>2</v>
      </c>
      <c r="N404" t="s">
        <v>39</v>
      </c>
      <c r="O404">
        <v>83</v>
      </c>
      <c r="P404">
        <v>3</v>
      </c>
      <c r="Q404">
        <v>2</v>
      </c>
      <c r="R404" t="s">
        <v>40</v>
      </c>
      <c r="S404">
        <v>3</v>
      </c>
      <c r="T404" t="str" cm="1">
        <f t="array" ref="T404">_xlfn.IFS(S404&lt;=2,"Poor",S404&lt;=3,"Fair",S404&gt;=4,"Good")</f>
        <v>Fair</v>
      </c>
      <c r="U404" t="s">
        <v>41</v>
      </c>
      <c r="V404" s="1">
        <v>6577</v>
      </c>
      <c r="W404" t="str" cm="1">
        <f t="array" ref="W404">_xlfn.IFS(V404&lt;=5000,"Low Salary",V404&lt;=12000,"Good Salary",V404&gt;12000,"High Salary")</f>
        <v>Good Salary</v>
      </c>
      <c r="X404">
        <v>19558</v>
      </c>
      <c r="Y404">
        <v>0</v>
      </c>
      <c r="Z404" t="s">
        <v>42</v>
      </c>
      <c r="AA404" t="s">
        <v>35</v>
      </c>
      <c r="AB404">
        <v>11</v>
      </c>
      <c r="AC404">
        <v>3</v>
      </c>
      <c r="AD404" t="str">
        <f t="shared" si="13"/>
        <v>Low Performance</v>
      </c>
      <c r="AE404">
        <v>2</v>
      </c>
      <c r="AF404">
        <v>80</v>
      </c>
      <c r="AG404">
        <v>0</v>
      </c>
      <c r="AH404">
        <v>6</v>
      </c>
      <c r="AI404">
        <v>6</v>
      </c>
      <c r="AJ404">
        <v>3</v>
      </c>
      <c r="AK404" t="str" cm="1">
        <f t="array" ref="AK404">_xlfn.IFS(AJ404&lt;=2,"Poor",AJ404&lt;=3,"Fair",AJ404&gt;3,"Good")</f>
        <v>Fair</v>
      </c>
      <c r="AL404">
        <v>5</v>
      </c>
      <c r="AM404">
        <v>4</v>
      </c>
      <c r="AN404">
        <v>4</v>
      </c>
      <c r="AO404">
        <v>4</v>
      </c>
    </row>
    <row r="405" spans="1:41" x14ac:dyDescent="0.2">
      <c r="A405">
        <v>1482423</v>
      </c>
      <c r="B405">
        <v>41</v>
      </c>
      <c r="C405" t="str" cm="1">
        <f t="array" ref="C405">_xlfn.IFS(B405&lt;=25,"15-25",B405&lt;=35,"26-35",B405&lt;=45,"36-45",B405&lt;=55,"46-55",B405&lt;=65,"56-65")</f>
        <v>36-45</v>
      </c>
      <c r="D405" t="s">
        <v>35</v>
      </c>
      <c r="E405" t="str">
        <f t="shared" si="12"/>
        <v>Current Employee</v>
      </c>
      <c r="F405" t="s">
        <v>36</v>
      </c>
      <c r="G405">
        <v>645</v>
      </c>
      <c r="H405" t="s">
        <v>37</v>
      </c>
      <c r="I405">
        <v>1</v>
      </c>
      <c r="J405">
        <v>3</v>
      </c>
      <c r="K405" t="s">
        <v>55</v>
      </c>
      <c r="L405">
        <v>1</v>
      </c>
      <c r="M405">
        <v>2</v>
      </c>
      <c r="N405" t="s">
        <v>46</v>
      </c>
      <c r="O405">
        <v>49</v>
      </c>
      <c r="P405">
        <v>4</v>
      </c>
      <c r="Q405">
        <v>3</v>
      </c>
      <c r="R405" t="s">
        <v>40</v>
      </c>
      <c r="S405">
        <v>1</v>
      </c>
      <c r="T405" t="str" cm="1">
        <f t="array" ref="T405">_xlfn.IFS(S405&lt;=2,"Poor",S405&lt;=3,"Fair",S405&gt;=4,"Good")</f>
        <v>Poor</v>
      </c>
      <c r="U405" t="s">
        <v>48</v>
      </c>
      <c r="V405" s="1">
        <v>8392</v>
      </c>
      <c r="W405" t="str" cm="1">
        <f t="array" ref="W405">_xlfn.IFS(V405&lt;=5000,"Low Salary",V405&lt;=12000,"Good Salary",V405&gt;12000,"High Salary")</f>
        <v>Good Salary</v>
      </c>
      <c r="X405">
        <v>19566</v>
      </c>
      <c r="Y405">
        <v>1</v>
      </c>
      <c r="Z405" t="s">
        <v>42</v>
      </c>
      <c r="AA405" t="s">
        <v>35</v>
      </c>
      <c r="AB405">
        <v>16</v>
      </c>
      <c r="AC405">
        <v>3</v>
      </c>
      <c r="AD405" t="str">
        <f t="shared" si="13"/>
        <v>Low Performance</v>
      </c>
      <c r="AE405">
        <v>3</v>
      </c>
      <c r="AF405">
        <v>80</v>
      </c>
      <c r="AG405">
        <v>1</v>
      </c>
      <c r="AH405">
        <v>10</v>
      </c>
      <c r="AI405">
        <v>2</v>
      </c>
      <c r="AJ405">
        <v>3</v>
      </c>
      <c r="AK405" t="str" cm="1">
        <f t="array" ref="AK405">_xlfn.IFS(AJ405&lt;=2,"Poor",AJ405&lt;=3,"Fair",AJ405&gt;3,"Good")</f>
        <v>Fair</v>
      </c>
      <c r="AL405">
        <v>10</v>
      </c>
      <c r="AM405">
        <v>7</v>
      </c>
      <c r="AN405">
        <v>0</v>
      </c>
      <c r="AO405">
        <v>7</v>
      </c>
    </row>
    <row r="406" spans="1:41" x14ac:dyDescent="0.2">
      <c r="A406">
        <v>1735186</v>
      </c>
      <c r="B406">
        <v>28</v>
      </c>
      <c r="C406" t="str" cm="1">
        <f t="array" ref="C406">_xlfn.IFS(B406&lt;=25,"15-25",B406&lt;=35,"26-35",B406&lt;=45,"36-45",B406&lt;=55,"46-55",B406&lt;=65,"56-65")</f>
        <v>26-35</v>
      </c>
      <c r="D406" t="s">
        <v>35</v>
      </c>
      <c r="E406" t="str">
        <f t="shared" si="12"/>
        <v>Current Employee</v>
      </c>
      <c r="F406" t="s">
        <v>36</v>
      </c>
      <c r="G406">
        <v>1300</v>
      </c>
      <c r="H406" t="s">
        <v>45</v>
      </c>
      <c r="I406">
        <v>17</v>
      </c>
      <c r="J406">
        <v>2</v>
      </c>
      <c r="K406" t="s">
        <v>49</v>
      </c>
      <c r="L406">
        <v>1</v>
      </c>
      <c r="M406">
        <v>3</v>
      </c>
      <c r="N406" t="s">
        <v>46</v>
      </c>
      <c r="O406">
        <v>79</v>
      </c>
      <c r="P406">
        <v>3</v>
      </c>
      <c r="Q406">
        <v>2</v>
      </c>
      <c r="R406" t="s">
        <v>40</v>
      </c>
      <c r="S406">
        <v>1</v>
      </c>
      <c r="T406" t="str" cm="1">
        <f t="array" ref="T406">_xlfn.IFS(S406&lt;=2,"Poor",S406&lt;=3,"Fair",S406&gt;=4,"Good")</f>
        <v>Poor</v>
      </c>
      <c r="U406" t="s">
        <v>50</v>
      </c>
      <c r="V406" s="1">
        <v>4558</v>
      </c>
      <c r="W406" t="str" cm="1">
        <f t="array" ref="W406">_xlfn.IFS(V406&lt;=5000,"Low Salary",V406&lt;=12000,"Good Salary",V406&gt;12000,"High Salary")</f>
        <v>Low Salary</v>
      </c>
      <c r="X406">
        <v>13535</v>
      </c>
      <c r="Y406">
        <v>1</v>
      </c>
      <c r="Z406" t="s">
        <v>42</v>
      </c>
      <c r="AA406" t="s">
        <v>35</v>
      </c>
      <c r="AB406">
        <v>12</v>
      </c>
      <c r="AC406">
        <v>3</v>
      </c>
      <c r="AD406" t="str">
        <f t="shared" si="13"/>
        <v>Low Performance</v>
      </c>
      <c r="AE406">
        <v>4</v>
      </c>
      <c r="AF406">
        <v>80</v>
      </c>
      <c r="AG406">
        <v>1</v>
      </c>
      <c r="AH406">
        <v>10</v>
      </c>
      <c r="AI406">
        <v>2</v>
      </c>
      <c r="AJ406">
        <v>3</v>
      </c>
      <c r="AK406" t="str" cm="1">
        <f t="array" ref="AK406">_xlfn.IFS(AJ406&lt;=2,"Poor",AJ406&lt;=3,"Fair",AJ406&gt;3,"Good")</f>
        <v>Fair</v>
      </c>
      <c r="AL406">
        <v>10</v>
      </c>
      <c r="AM406">
        <v>0</v>
      </c>
      <c r="AN406">
        <v>1</v>
      </c>
      <c r="AO406">
        <v>8</v>
      </c>
    </row>
    <row r="407" spans="1:41" x14ac:dyDescent="0.2">
      <c r="A407">
        <v>1303791</v>
      </c>
      <c r="B407">
        <v>25</v>
      </c>
      <c r="C407" t="str" cm="1">
        <f t="array" ref="C407">_xlfn.IFS(B407&lt;=25,"15-25",B407&lt;=35,"26-35",B407&lt;=45,"36-45",B407&lt;=55,"46-55",B407&lt;=65,"56-65")</f>
        <v>15-25</v>
      </c>
      <c r="D407" t="s">
        <v>43</v>
      </c>
      <c r="E407" t="str">
        <f t="shared" si="12"/>
        <v>Former Employee</v>
      </c>
      <c r="F407" t="s">
        <v>36</v>
      </c>
      <c r="G407">
        <v>688</v>
      </c>
      <c r="H407" t="s">
        <v>45</v>
      </c>
      <c r="I407">
        <v>3</v>
      </c>
      <c r="J407">
        <v>3</v>
      </c>
      <c r="K407" t="s">
        <v>49</v>
      </c>
      <c r="L407">
        <v>1</v>
      </c>
      <c r="M407">
        <v>1</v>
      </c>
      <c r="N407" t="s">
        <v>46</v>
      </c>
      <c r="O407">
        <v>91</v>
      </c>
      <c r="P407">
        <v>3</v>
      </c>
      <c r="Q407">
        <v>1</v>
      </c>
      <c r="R407" t="s">
        <v>40</v>
      </c>
      <c r="S407">
        <v>1</v>
      </c>
      <c r="T407" t="str" cm="1">
        <f t="array" ref="T407">_xlfn.IFS(S407&lt;=2,"Poor",S407&lt;=3,"Fair",S407&gt;=4,"Good")</f>
        <v>Poor</v>
      </c>
      <c r="U407" t="s">
        <v>48</v>
      </c>
      <c r="V407" s="1">
        <v>4031</v>
      </c>
      <c r="W407" t="str" cm="1">
        <f t="array" ref="W407">_xlfn.IFS(V407&lt;=5000,"Low Salary",V407&lt;=12000,"Good Salary",V407&gt;12000,"High Salary")</f>
        <v>Low Salary</v>
      </c>
      <c r="X407">
        <v>9396</v>
      </c>
      <c r="Y407">
        <v>5</v>
      </c>
      <c r="Z407" t="s">
        <v>42</v>
      </c>
      <c r="AA407" t="s">
        <v>35</v>
      </c>
      <c r="AB407">
        <v>13</v>
      </c>
      <c r="AC407">
        <v>3</v>
      </c>
      <c r="AD407" t="str">
        <f t="shared" si="13"/>
        <v>Low Performance</v>
      </c>
      <c r="AE407">
        <v>3</v>
      </c>
      <c r="AF407">
        <v>80</v>
      </c>
      <c r="AG407">
        <v>1</v>
      </c>
      <c r="AH407">
        <v>6</v>
      </c>
      <c r="AI407">
        <v>5</v>
      </c>
      <c r="AJ407">
        <v>3</v>
      </c>
      <c r="AK407" t="str" cm="1">
        <f t="array" ref="AK407">_xlfn.IFS(AJ407&lt;=2,"Poor",AJ407&lt;=3,"Fair",AJ407&gt;3,"Good")</f>
        <v>Fair</v>
      </c>
      <c r="AL407">
        <v>2</v>
      </c>
      <c r="AM407">
        <v>2</v>
      </c>
      <c r="AN407">
        <v>0</v>
      </c>
      <c r="AO407">
        <v>2</v>
      </c>
    </row>
    <row r="408" spans="1:41" x14ac:dyDescent="0.2">
      <c r="A408">
        <v>1595705</v>
      </c>
      <c r="B408">
        <v>52</v>
      </c>
      <c r="C408" t="str" cm="1">
        <f t="array" ref="C408">_xlfn.IFS(B408&lt;=25,"15-25",B408&lt;=35,"26-35",B408&lt;=45,"36-45",B408&lt;=55,"46-55",B408&lt;=65,"56-65")</f>
        <v>46-55</v>
      </c>
      <c r="D408" t="s">
        <v>35</v>
      </c>
      <c r="E408" t="str">
        <f t="shared" si="12"/>
        <v>Current Employee</v>
      </c>
      <c r="F408" t="s">
        <v>36</v>
      </c>
      <c r="G408">
        <v>319</v>
      </c>
      <c r="H408" t="s">
        <v>54</v>
      </c>
      <c r="I408">
        <v>3</v>
      </c>
      <c r="J408">
        <v>3</v>
      </c>
      <c r="K408" t="s">
        <v>49</v>
      </c>
      <c r="L408">
        <v>1</v>
      </c>
      <c r="M408">
        <v>4</v>
      </c>
      <c r="N408" t="s">
        <v>46</v>
      </c>
      <c r="O408">
        <v>39</v>
      </c>
      <c r="P408">
        <v>2</v>
      </c>
      <c r="Q408">
        <v>3</v>
      </c>
      <c r="R408" t="s">
        <v>51</v>
      </c>
      <c r="S408">
        <v>3</v>
      </c>
      <c r="T408" t="str" cm="1">
        <f t="array" ref="T408">_xlfn.IFS(S408&lt;=2,"Poor",S408&lt;=3,"Fair",S408&gt;=4,"Good")</f>
        <v>Fair</v>
      </c>
      <c r="U408" t="s">
        <v>48</v>
      </c>
      <c r="V408" s="1">
        <v>7969</v>
      </c>
      <c r="W408" t="str" cm="1">
        <f t="array" ref="W408">_xlfn.IFS(V408&lt;=5000,"Low Salary",V408&lt;=12000,"Good Salary",V408&gt;12000,"High Salary")</f>
        <v>Good Salary</v>
      </c>
      <c r="X408">
        <v>19609</v>
      </c>
      <c r="Y408">
        <v>2</v>
      </c>
      <c r="Z408" t="s">
        <v>42</v>
      </c>
      <c r="AA408" t="s">
        <v>43</v>
      </c>
      <c r="AB408">
        <v>14</v>
      </c>
      <c r="AC408">
        <v>3</v>
      </c>
      <c r="AD408" t="str">
        <f t="shared" si="13"/>
        <v>Low Performance</v>
      </c>
      <c r="AE408">
        <v>3</v>
      </c>
      <c r="AF408">
        <v>80</v>
      </c>
      <c r="AG408">
        <v>0</v>
      </c>
      <c r="AH408">
        <v>28</v>
      </c>
      <c r="AI408">
        <v>4</v>
      </c>
      <c r="AJ408">
        <v>3</v>
      </c>
      <c r="AK408" t="str" cm="1">
        <f t="array" ref="AK408">_xlfn.IFS(AJ408&lt;=2,"Poor",AJ408&lt;=3,"Fair",AJ408&gt;3,"Good")</f>
        <v>Fair</v>
      </c>
      <c r="AL408">
        <v>5</v>
      </c>
      <c r="AM408">
        <v>4</v>
      </c>
      <c r="AN408">
        <v>0</v>
      </c>
      <c r="AO408">
        <v>4</v>
      </c>
    </row>
    <row r="409" spans="1:41" x14ac:dyDescent="0.2">
      <c r="A409">
        <v>1314827</v>
      </c>
      <c r="B409">
        <v>45</v>
      </c>
      <c r="C409" t="str" cm="1">
        <f t="array" ref="C409">_xlfn.IFS(B409&lt;=25,"15-25",B409&lt;=35,"26-35",B409&lt;=45,"36-45",B409&lt;=55,"46-55",B409&lt;=65,"56-65")</f>
        <v>36-45</v>
      </c>
      <c r="D409" t="s">
        <v>35</v>
      </c>
      <c r="E409" t="str">
        <f t="shared" si="12"/>
        <v>Current Employee</v>
      </c>
      <c r="F409" t="s">
        <v>36</v>
      </c>
      <c r="G409">
        <v>192</v>
      </c>
      <c r="H409" t="s">
        <v>45</v>
      </c>
      <c r="I409">
        <v>10</v>
      </c>
      <c r="J409">
        <v>2</v>
      </c>
      <c r="K409" t="s">
        <v>38</v>
      </c>
      <c r="L409">
        <v>1</v>
      </c>
      <c r="M409">
        <v>1</v>
      </c>
      <c r="N409" t="s">
        <v>46</v>
      </c>
      <c r="O409">
        <v>69</v>
      </c>
      <c r="P409">
        <v>3</v>
      </c>
      <c r="Q409">
        <v>1</v>
      </c>
      <c r="R409" t="s">
        <v>47</v>
      </c>
      <c r="S409">
        <v>4</v>
      </c>
      <c r="T409" t="str" cm="1">
        <f t="array" ref="T409">_xlfn.IFS(S409&lt;=2,"Poor",S409&lt;=3,"Fair",S409&gt;=4,"Good")</f>
        <v>Good</v>
      </c>
      <c r="U409" t="s">
        <v>48</v>
      </c>
      <c r="V409" s="1">
        <v>2654</v>
      </c>
      <c r="W409" t="str" cm="1">
        <f t="array" ref="W409">_xlfn.IFS(V409&lt;=5000,"Low Salary",V409&lt;=12000,"Good Salary",V409&gt;12000,"High Salary")</f>
        <v>Low Salary</v>
      </c>
      <c r="X409">
        <v>9655</v>
      </c>
      <c r="Y409">
        <v>3</v>
      </c>
      <c r="Z409" t="s">
        <v>42</v>
      </c>
      <c r="AA409" t="s">
        <v>35</v>
      </c>
      <c r="AB409">
        <v>21</v>
      </c>
      <c r="AC409">
        <v>4</v>
      </c>
      <c r="AD409" t="str">
        <f t="shared" si="13"/>
        <v>High Performance</v>
      </c>
      <c r="AE409">
        <v>4</v>
      </c>
      <c r="AF409">
        <v>80</v>
      </c>
      <c r="AG409">
        <v>2</v>
      </c>
      <c r="AH409">
        <v>8</v>
      </c>
      <c r="AI409">
        <v>3</v>
      </c>
      <c r="AJ409">
        <v>2</v>
      </c>
      <c r="AK409" t="str" cm="1">
        <f t="array" ref="AK409">_xlfn.IFS(AJ409&lt;=2,"Poor",AJ409&lt;=3,"Fair",AJ409&gt;3,"Good")</f>
        <v>Poor</v>
      </c>
      <c r="AL409">
        <v>2</v>
      </c>
      <c r="AM409">
        <v>2</v>
      </c>
      <c r="AN409">
        <v>0</v>
      </c>
      <c r="AO409">
        <v>2</v>
      </c>
    </row>
    <row r="410" spans="1:41" x14ac:dyDescent="0.2">
      <c r="A410">
        <v>1499671</v>
      </c>
      <c r="B410">
        <v>52</v>
      </c>
      <c r="C410" t="str" cm="1">
        <f t="array" ref="C410">_xlfn.IFS(B410&lt;=25,"15-25",B410&lt;=35,"26-35",B410&lt;=45,"36-45",B410&lt;=55,"46-55",B410&lt;=65,"56-65")</f>
        <v>46-55</v>
      </c>
      <c r="D410" t="s">
        <v>35</v>
      </c>
      <c r="E410" t="str">
        <f t="shared" si="12"/>
        <v>Current Employee</v>
      </c>
      <c r="F410" t="s">
        <v>36</v>
      </c>
      <c r="G410">
        <v>1490</v>
      </c>
      <c r="H410" t="s">
        <v>54</v>
      </c>
      <c r="I410">
        <v>4</v>
      </c>
      <c r="J410">
        <v>2</v>
      </c>
      <c r="K410" t="s">
        <v>38</v>
      </c>
      <c r="L410">
        <v>1</v>
      </c>
      <c r="M410">
        <v>4</v>
      </c>
      <c r="N410" t="s">
        <v>39</v>
      </c>
      <c r="O410">
        <v>30</v>
      </c>
      <c r="P410">
        <v>3</v>
      </c>
      <c r="Q410">
        <v>4</v>
      </c>
      <c r="R410" t="s">
        <v>47</v>
      </c>
      <c r="S410">
        <v>4</v>
      </c>
      <c r="T410" t="str" cm="1">
        <f t="array" ref="T410">_xlfn.IFS(S410&lt;=2,"Poor",S410&lt;=3,"Fair",S410&gt;=4,"Good")</f>
        <v>Good</v>
      </c>
      <c r="U410" t="s">
        <v>48</v>
      </c>
      <c r="V410" s="1">
        <v>16555</v>
      </c>
      <c r="W410" t="str" cm="1">
        <f t="array" ref="W410">_xlfn.IFS(V410&lt;=5000,"Low Salary",V410&lt;=12000,"Good Salary",V410&gt;12000,"High Salary")</f>
        <v>High Salary</v>
      </c>
      <c r="X410">
        <v>10310</v>
      </c>
      <c r="Y410">
        <v>2</v>
      </c>
      <c r="Z410" t="s">
        <v>42</v>
      </c>
      <c r="AA410" t="s">
        <v>35</v>
      </c>
      <c r="AB410">
        <v>13</v>
      </c>
      <c r="AC410">
        <v>3</v>
      </c>
      <c r="AD410" t="str">
        <f t="shared" si="13"/>
        <v>Low Performance</v>
      </c>
      <c r="AE410">
        <v>4</v>
      </c>
      <c r="AF410">
        <v>80</v>
      </c>
      <c r="AG410">
        <v>0</v>
      </c>
      <c r="AH410">
        <v>31</v>
      </c>
      <c r="AI410">
        <v>2</v>
      </c>
      <c r="AJ410">
        <v>1</v>
      </c>
      <c r="AK410" t="str" cm="1">
        <f t="array" ref="AK410">_xlfn.IFS(AJ410&lt;=2,"Poor",AJ410&lt;=3,"Fair",AJ410&gt;3,"Good")</f>
        <v>Poor</v>
      </c>
      <c r="AL410">
        <v>5</v>
      </c>
      <c r="AM410">
        <v>2</v>
      </c>
      <c r="AN410">
        <v>1</v>
      </c>
      <c r="AO410">
        <v>4</v>
      </c>
    </row>
    <row r="411" spans="1:41" x14ac:dyDescent="0.2">
      <c r="A411">
        <v>1085614</v>
      </c>
      <c r="B411">
        <v>42</v>
      </c>
      <c r="C411" t="str" cm="1">
        <f t="array" ref="C411">_xlfn.IFS(B411&lt;=25,"15-25",B411&lt;=35,"26-35",B411&lt;=45,"36-45",B411&lt;=55,"46-55",B411&lt;=65,"56-65")</f>
        <v>36-45</v>
      </c>
      <c r="D411" t="s">
        <v>35</v>
      </c>
      <c r="E411" t="str">
        <f t="shared" si="12"/>
        <v>Current Employee</v>
      </c>
      <c r="F411" t="s">
        <v>44</v>
      </c>
      <c r="G411">
        <v>532</v>
      </c>
      <c r="H411" t="s">
        <v>45</v>
      </c>
      <c r="I411">
        <v>29</v>
      </c>
      <c r="J411">
        <v>2</v>
      </c>
      <c r="K411" t="s">
        <v>38</v>
      </c>
      <c r="L411">
        <v>1</v>
      </c>
      <c r="M411">
        <v>1</v>
      </c>
      <c r="N411" t="s">
        <v>39</v>
      </c>
      <c r="O411">
        <v>92</v>
      </c>
      <c r="P411">
        <v>3</v>
      </c>
      <c r="Q411">
        <v>2</v>
      </c>
      <c r="R411" t="s">
        <v>47</v>
      </c>
      <c r="S411">
        <v>3</v>
      </c>
      <c r="T411" t="str" cm="1">
        <f t="array" ref="T411">_xlfn.IFS(S411&lt;=2,"Poor",S411&lt;=3,"Fair",S411&gt;=4,"Good")</f>
        <v>Fair</v>
      </c>
      <c r="U411" t="s">
        <v>50</v>
      </c>
      <c r="V411" s="1">
        <v>4556</v>
      </c>
      <c r="W411" t="str" cm="1">
        <f t="array" ref="W411">_xlfn.IFS(V411&lt;=5000,"Low Salary",V411&lt;=12000,"Good Salary",V411&gt;12000,"High Salary")</f>
        <v>Low Salary</v>
      </c>
      <c r="X411">
        <v>12932</v>
      </c>
      <c r="Y411">
        <v>2</v>
      </c>
      <c r="Z411" t="s">
        <v>42</v>
      </c>
      <c r="AA411" t="s">
        <v>35</v>
      </c>
      <c r="AB411">
        <v>11</v>
      </c>
      <c r="AC411">
        <v>3</v>
      </c>
      <c r="AD411" t="str">
        <f t="shared" si="13"/>
        <v>Low Performance</v>
      </c>
      <c r="AE411">
        <v>2</v>
      </c>
      <c r="AF411">
        <v>80</v>
      </c>
      <c r="AG411">
        <v>1</v>
      </c>
      <c r="AH411">
        <v>19</v>
      </c>
      <c r="AI411">
        <v>3</v>
      </c>
      <c r="AJ411">
        <v>3</v>
      </c>
      <c r="AK411" t="str" cm="1">
        <f t="array" ref="AK411">_xlfn.IFS(AJ411&lt;=2,"Poor",AJ411&lt;=3,"Fair",AJ411&gt;3,"Good")</f>
        <v>Fair</v>
      </c>
      <c r="AL411">
        <v>5</v>
      </c>
      <c r="AM411">
        <v>4</v>
      </c>
      <c r="AN411">
        <v>0</v>
      </c>
      <c r="AO411">
        <v>2</v>
      </c>
    </row>
    <row r="412" spans="1:41" x14ac:dyDescent="0.2">
      <c r="A412">
        <v>1635763</v>
      </c>
      <c r="B412">
        <v>30</v>
      </c>
      <c r="C412" t="str" cm="1">
        <f t="array" ref="C412">_xlfn.IFS(B412&lt;=25,"15-25",B412&lt;=35,"26-35",B412&lt;=45,"36-45",B412&lt;=55,"46-55",B412&lt;=65,"56-65")</f>
        <v>26-35</v>
      </c>
      <c r="D412" t="s">
        <v>35</v>
      </c>
      <c r="E412" t="str">
        <f t="shared" si="12"/>
        <v>Current Employee</v>
      </c>
      <c r="F412" t="s">
        <v>36</v>
      </c>
      <c r="G412">
        <v>317</v>
      </c>
      <c r="H412" t="s">
        <v>54</v>
      </c>
      <c r="I412">
        <v>2</v>
      </c>
      <c r="J412">
        <v>3</v>
      </c>
      <c r="K412" t="s">
        <v>38</v>
      </c>
      <c r="L412">
        <v>1</v>
      </c>
      <c r="M412">
        <v>3</v>
      </c>
      <c r="N412" t="s">
        <v>39</v>
      </c>
      <c r="O412">
        <v>43</v>
      </c>
      <c r="P412">
        <v>1</v>
      </c>
      <c r="Q412">
        <v>2</v>
      </c>
      <c r="R412" t="s">
        <v>51</v>
      </c>
      <c r="S412">
        <v>4</v>
      </c>
      <c r="T412" t="str" cm="1">
        <f t="array" ref="T412">_xlfn.IFS(S412&lt;=2,"Poor",S412&lt;=3,"Fair",S412&gt;=4,"Good")</f>
        <v>Good</v>
      </c>
      <c r="U412" t="s">
        <v>41</v>
      </c>
      <c r="V412" s="1">
        <v>6091</v>
      </c>
      <c r="W412" t="str" cm="1">
        <f t="array" ref="W412">_xlfn.IFS(V412&lt;=5000,"Low Salary",V412&lt;=12000,"Good Salary",V412&gt;12000,"High Salary")</f>
        <v>Good Salary</v>
      </c>
      <c r="X412">
        <v>24793</v>
      </c>
      <c r="Y412">
        <v>2</v>
      </c>
      <c r="Z412" t="s">
        <v>42</v>
      </c>
      <c r="AA412" t="s">
        <v>35</v>
      </c>
      <c r="AB412">
        <v>20</v>
      </c>
      <c r="AC412">
        <v>4</v>
      </c>
      <c r="AD412" t="str">
        <f t="shared" si="13"/>
        <v>High Performance</v>
      </c>
      <c r="AE412">
        <v>3</v>
      </c>
      <c r="AF412">
        <v>80</v>
      </c>
      <c r="AG412">
        <v>0</v>
      </c>
      <c r="AH412">
        <v>11</v>
      </c>
      <c r="AI412">
        <v>2</v>
      </c>
      <c r="AJ412">
        <v>3</v>
      </c>
      <c r="AK412" t="str" cm="1">
        <f t="array" ref="AK412">_xlfn.IFS(AJ412&lt;=2,"Poor",AJ412&lt;=3,"Fair",AJ412&gt;3,"Good")</f>
        <v>Fair</v>
      </c>
      <c r="AL412">
        <v>5</v>
      </c>
      <c r="AM412">
        <v>4</v>
      </c>
      <c r="AN412">
        <v>0</v>
      </c>
      <c r="AO412">
        <v>2</v>
      </c>
    </row>
    <row r="413" spans="1:41" x14ac:dyDescent="0.2">
      <c r="A413">
        <v>1031735</v>
      </c>
      <c r="B413">
        <v>60</v>
      </c>
      <c r="C413" t="str" cm="1">
        <f t="array" ref="C413">_xlfn.IFS(B413&lt;=25,"15-25",B413&lt;=35,"26-35",B413&lt;=45,"36-45",B413&lt;=55,"46-55",B413&lt;=65,"56-65")</f>
        <v>56-65</v>
      </c>
      <c r="D413" t="s">
        <v>35</v>
      </c>
      <c r="E413" t="str">
        <f t="shared" si="12"/>
        <v>Current Employee</v>
      </c>
      <c r="F413" t="s">
        <v>36</v>
      </c>
      <c r="G413">
        <v>422</v>
      </c>
      <c r="H413" t="s">
        <v>54</v>
      </c>
      <c r="I413">
        <v>7</v>
      </c>
      <c r="J413">
        <v>3</v>
      </c>
      <c r="K413" t="s">
        <v>38</v>
      </c>
      <c r="L413">
        <v>1</v>
      </c>
      <c r="M413">
        <v>1</v>
      </c>
      <c r="N413" t="s">
        <v>39</v>
      </c>
      <c r="O413">
        <v>41</v>
      </c>
      <c r="P413">
        <v>3</v>
      </c>
      <c r="Q413">
        <v>5</v>
      </c>
      <c r="R413" t="s">
        <v>47</v>
      </c>
      <c r="S413">
        <v>1</v>
      </c>
      <c r="T413" t="str" cm="1">
        <f t="array" ref="T413">_xlfn.IFS(S413&lt;=2,"Poor",S413&lt;=3,"Fair",S413&gt;=4,"Good")</f>
        <v>Poor</v>
      </c>
      <c r="U413" t="s">
        <v>48</v>
      </c>
      <c r="V413" s="1">
        <v>19566</v>
      </c>
      <c r="W413" t="str" cm="1">
        <f t="array" ref="W413">_xlfn.IFS(V413&lt;=5000,"Low Salary",V413&lt;=12000,"Good Salary",V413&gt;12000,"High Salary")</f>
        <v>High Salary</v>
      </c>
      <c r="X413">
        <v>3854</v>
      </c>
      <c r="Y413">
        <v>5</v>
      </c>
      <c r="Z413" t="s">
        <v>42</v>
      </c>
      <c r="AA413" t="s">
        <v>35</v>
      </c>
      <c r="AB413">
        <v>11</v>
      </c>
      <c r="AC413">
        <v>3</v>
      </c>
      <c r="AD413" t="str">
        <f t="shared" si="13"/>
        <v>Low Performance</v>
      </c>
      <c r="AE413">
        <v>4</v>
      </c>
      <c r="AF413">
        <v>80</v>
      </c>
      <c r="AG413">
        <v>0</v>
      </c>
      <c r="AH413">
        <v>33</v>
      </c>
      <c r="AI413">
        <v>5</v>
      </c>
      <c r="AJ413">
        <v>1</v>
      </c>
      <c r="AK413" t="str" cm="1">
        <f t="array" ref="AK413">_xlfn.IFS(AJ413&lt;=2,"Poor",AJ413&lt;=3,"Fair",AJ413&gt;3,"Good")</f>
        <v>Poor</v>
      </c>
      <c r="AL413">
        <v>29</v>
      </c>
      <c r="AM413">
        <v>8</v>
      </c>
      <c r="AN413">
        <v>11</v>
      </c>
      <c r="AO413">
        <v>10</v>
      </c>
    </row>
    <row r="414" spans="1:41" x14ac:dyDescent="0.2">
      <c r="A414">
        <v>1787984</v>
      </c>
      <c r="B414">
        <v>46</v>
      </c>
      <c r="C414" t="str" cm="1">
        <f t="array" ref="C414">_xlfn.IFS(B414&lt;=25,"15-25",B414&lt;=35,"26-35",B414&lt;=45,"36-45",B414&lt;=55,"46-55",B414&lt;=65,"56-65")</f>
        <v>46-55</v>
      </c>
      <c r="D414" t="s">
        <v>35</v>
      </c>
      <c r="E414" t="str">
        <f t="shared" si="12"/>
        <v>Current Employee</v>
      </c>
      <c r="F414" t="s">
        <v>36</v>
      </c>
      <c r="G414">
        <v>1485</v>
      </c>
      <c r="H414" t="s">
        <v>45</v>
      </c>
      <c r="I414">
        <v>18</v>
      </c>
      <c r="J414">
        <v>3</v>
      </c>
      <c r="K414" t="s">
        <v>49</v>
      </c>
      <c r="L414">
        <v>1</v>
      </c>
      <c r="M414">
        <v>3</v>
      </c>
      <c r="N414" t="s">
        <v>39</v>
      </c>
      <c r="O414">
        <v>87</v>
      </c>
      <c r="P414">
        <v>3</v>
      </c>
      <c r="Q414">
        <v>2</v>
      </c>
      <c r="R414" t="s">
        <v>51</v>
      </c>
      <c r="S414">
        <v>3</v>
      </c>
      <c r="T414" t="str" cm="1">
        <f t="array" ref="T414">_xlfn.IFS(S414&lt;=2,"Poor",S414&lt;=3,"Fair",S414&gt;=4,"Good")</f>
        <v>Fair</v>
      </c>
      <c r="U414" t="s">
        <v>50</v>
      </c>
      <c r="V414" s="1">
        <v>4810</v>
      </c>
      <c r="W414" t="str" cm="1">
        <f t="array" ref="W414">_xlfn.IFS(V414&lt;=5000,"Low Salary",V414&lt;=12000,"Good Salary",V414&gt;12000,"High Salary")</f>
        <v>Low Salary</v>
      </c>
      <c r="X414">
        <v>26314</v>
      </c>
      <c r="Y414">
        <v>2</v>
      </c>
      <c r="Z414" t="s">
        <v>42</v>
      </c>
      <c r="AA414" t="s">
        <v>35</v>
      </c>
      <c r="AB414">
        <v>14</v>
      </c>
      <c r="AC414">
        <v>3</v>
      </c>
      <c r="AD414" t="str">
        <f t="shared" si="13"/>
        <v>Low Performance</v>
      </c>
      <c r="AE414">
        <v>3</v>
      </c>
      <c r="AF414">
        <v>80</v>
      </c>
      <c r="AG414">
        <v>1</v>
      </c>
      <c r="AH414">
        <v>19</v>
      </c>
      <c r="AI414">
        <v>5</v>
      </c>
      <c r="AJ414">
        <v>2</v>
      </c>
      <c r="AK414" t="str" cm="1">
        <f t="array" ref="AK414">_xlfn.IFS(AJ414&lt;=2,"Poor",AJ414&lt;=3,"Fair",AJ414&gt;3,"Good")</f>
        <v>Poor</v>
      </c>
      <c r="AL414">
        <v>10</v>
      </c>
      <c r="AM414">
        <v>7</v>
      </c>
      <c r="AN414">
        <v>0</v>
      </c>
      <c r="AO414">
        <v>8</v>
      </c>
    </row>
    <row r="415" spans="1:41" x14ac:dyDescent="0.2">
      <c r="A415">
        <v>1867121</v>
      </c>
      <c r="B415">
        <v>42</v>
      </c>
      <c r="C415" t="str" cm="1">
        <f t="array" ref="C415">_xlfn.IFS(B415&lt;=25,"15-25",B415&lt;=35,"26-35",B415&lt;=45,"36-45",B415&lt;=55,"46-55",B415&lt;=65,"56-65")</f>
        <v>36-45</v>
      </c>
      <c r="D415" t="s">
        <v>35</v>
      </c>
      <c r="E415" t="str">
        <f t="shared" si="12"/>
        <v>Current Employee</v>
      </c>
      <c r="F415" t="s">
        <v>44</v>
      </c>
      <c r="G415">
        <v>1368</v>
      </c>
      <c r="H415" t="s">
        <v>45</v>
      </c>
      <c r="I415">
        <v>28</v>
      </c>
      <c r="J415">
        <v>4</v>
      </c>
      <c r="K415" t="s">
        <v>56</v>
      </c>
      <c r="L415">
        <v>1</v>
      </c>
      <c r="M415">
        <v>4</v>
      </c>
      <c r="N415" t="s">
        <v>39</v>
      </c>
      <c r="O415">
        <v>88</v>
      </c>
      <c r="P415">
        <v>2</v>
      </c>
      <c r="Q415">
        <v>2</v>
      </c>
      <c r="R415" t="s">
        <v>40</v>
      </c>
      <c r="S415">
        <v>4</v>
      </c>
      <c r="T415" t="str" cm="1">
        <f t="array" ref="T415">_xlfn.IFS(S415&lt;=2,"Poor",S415&lt;=3,"Fair",S415&gt;=4,"Good")</f>
        <v>Good</v>
      </c>
      <c r="U415" t="s">
        <v>48</v>
      </c>
      <c r="V415" s="1">
        <v>4523</v>
      </c>
      <c r="W415" t="str" cm="1">
        <f t="array" ref="W415">_xlfn.IFS(V415&lt;=5000,"Low Salary",V415&lt;=12000,"Good Salary",V415&gt;12000,"High Salary")</f>
        <v>Low Salary</v>
      </c>
      <c r="X415">
        <v>4386</v>
      </c>
      <c r="Y415">
        <v>0</v>
      </c>
      <c r="Z415" t="s">
        <v>42</v>
      </c>
      <c r="AA415" t="s">
        <v>35</v>
      </c>
      <c r="AB415">
        <v>11</v>
      </c>
      <c r="AC415">
        <v>3</v>
      </c>
      <c r="AD415" t="str">
        <f t="shared" si="13"/>
        <v>Low Performance</v>
      </c>
      <c r="AE415">
        <v>4</v>
      </c>
      <c r="AF415">
        <v>80</v>
      </c>
      <c r="AG415">
        <v>3</v>
      </c>
      <c r="AH415">
        <v>7</v>
      </c>
      <c r="AI415">
        <v>4</v>
      </c>
      <c r="AJ415">
        <v>4</v>
      </c>
      <c r="AK415" t="str" cm="1">
        <f t="array" ref="AK415">_xlfn.IFS(AJ415&lt;=2,"Poor",AJ415&lt;=3,"Fair",AJ415&gt;3,"Good")</f>
        <v>Good</v>
      </c>
      <c r="AL415">
        <v>6</v>
      </c>
      <c r="AM415">
        <v>5</v>
      </c>
      <c r="AN415">
        <v>0</v>
      </c>
      <c r="AO415">
        <v>4</v>
      </c>
    </row>
    <row r="416" spans="1:41" x14ac:dyDescent="0.2">
      <c r="A416">
        <v>1377208</v>
      </c>
      <c r="B416">
        <v>24</v>
      </c>
      <c r="C416" t="str" cm="1">
        <f t="array" ref="C416">_xlfn.IFS(B416&lt;=25,"15-25",B416&lt;=35,"26-35",B416&lt;=45,"36-45",B416&lt;=55,"46-55",B416&lt;=65,"56-65")</f>
        <v>15-25</v>
      </c>
      <c r="D416" t="s">
        <v>43</v>
      </c>
      <c r="E416" t="str">
        <f t="shared" si="12"/>
        <v>Former Employee</v>
      </c>
      <c r="F416" t="s">
        <v>36</v>
      </c>
      <c r="G416">
        <v>1448</v>
      </c>
      <c r="H416" t="s">
        <v>37</v>
      </c>
      <c r="I416">
        <v>1</v>
      </c>
      <c r="J416">
        <v>1</v>
      </c>
      <c r="K416" t="s">
        <v>56</v>
      </c>
      <c r="L416">
        <v>1</v>
      </c>
      <c r="M416">
        <v>1</v>
      </c>
      <c r="N416" t="s">
        <v>39</v>
      </c>
      <c r="O416">
        <v>62</v>
      </c>
      <c r="P416">
        <v>3</v>
      </c>
      <c r="Q416">
        <v>1</v>
      </c>
      <c r="R416" t="s">
        <v>47</v>
      </c>
      <c r="S416">
        <v>2</v>
      </c>
      <c r="T416" t="str" cm="1">
        <f t="array" ref="T416">_xlfn.IFS(S416&lt;=2,"Poor",S416&lt;=3,"Fair",S416&gt;=4,"Good")</f>
        <v>Poor</v>
      </c>
      <c r="U416" t="s">
        <v>41</v>
      </c>
      <c r="V416" s="1">
        <v>3202</v>
      </c>
      <c r="W416" t="str" cm="1">
        <f t="array" ref="W416">_xlfn.IFS(V416&lt;=5000,"Low Salary",V416&lt;=12000,"Good Salary",V416&gt;12000,"High Salary")</f>
        <v>Low Salary</v>
      </c>
      <c r="X416">
        <v>21972</v>
      </c>
      <c r="Y416">
        <v>1</v>
      </c>
      <c r="Z416" t="s">
        <v>42</v>
      </c>
      <c r="AA416" t="s">
        <v>43</v>
      </c>
      <c r="AB416">
        <v>16</v>
      </c>
      <c r="AC416">
        <v>3</v>
      </c>
      <c r="AD416" t="str">
        <f t="shared" si="13"/>
        <v>Low Performance</v>
      </c>
      <c r="AE416">
        <v>2</v>
      </c>
      <c r="AF416">
        <v>80</v>
      </c>
      <c r="AG416">
        <v>0</v>
      </c>
      <c r="AH416">
        <v>6</v>
      </c>
      <c r="AI416">
        <v>4</v>
      </c>
      <c r="AJ416">
        <v>3</v>
      </c>
      <c r="AK416" t="str" cm="1">
        <f t="array" ref="AK416">_xlfn.IFS(AJ416&lt;=2,"Poor",AJ416&lt;=3,"Fair",AJ416&gt;3,"Good")</f>
        <v>Fair</v>
      </c>
      <c r="AL416">
        <v>5</v>
      </c>
      <c r="AM416">
        <v>3</v>
      </c>
      <c r="AN416">
        <v>1</v>
      </c>
      <c r="AO416">
        <v>4</v>
      </c>
    </row>
    <row r="417" spans="1:41" x14ac:dyDescent="0.2">
      <c r="A417">
        <v>1548908</v>
      </c>
      <c r="B417">
        <v>34</v>
      </c>
      <c r="C417" t="str" cm="1">
        <f t="array" ref="C417">_xlfn.IFS(B417&lt;=25,"15-25",B417&lt;=35,"26-35",B417&lt;=45,"36-45",B417&lt;=55,"46-55",B417&lt;=65,"56-65")</f>
        <v>26-35</v>
      </c>
      <c r="D417" t="s">
        <v>35</v>
      </c>
      <c r="E417" t="str">
        <f t="shared" si="12"/>
        <v>Current Employee</v>
      </c>
      <c r="F417" t="s">
        <v>44</v>
      </c>
      <c r="G417">
        <v>296</v>
      </c>
      <c r="H417" t="s">
        <v>37</v>
      </c>
      <c r="I417">
        <v>6</v>
      </c>
      <c r="J417">
        <v>2</v>
      </c>
      <c r="K417" t="s">
        <v>55</v>
      </c>
      <c r="L417">
        <v>1</v>
      </c>
      <c r="M417">
        <v>4</v>
      </c>
      <c r="N417" t="s">
        <v>39</v>
      </c>
      <c r="O417">
        <v>33</v>
      </c>
      <c r="P417">
        <v>1</v>
      </c>
      <c r="Q417">
        <v>1</v>
      </c>
      <c r="R417" t="s">
        <v>47</v>
      </c>
      <c r="S417">
        <v>3</v>
      </c>
      <c r="T417" t="str" cm="1">
        <f t="array" ref="T417">_xlfn.IFS(S417&lt;=2,"Poor",S417&lt;=3,"Fair",S417&gt;=4,"Good")</f>
        <v>Fair</v>
      </c>
      <c r="U417" t="s">
        <v>50</v>
      </c>
      <c r="V417" s="1">
        <v>2351</v>
      </c>
      <c r="W417" t="str" cm="1">
        <f t="array" ref="W417">_xlfn.IFS(V417&lt;=5000,"Low Salary",V417&lt;=12000,"Good Salary",V417&gt;12000,"High Salary")</f>
        <v>Low Salary</v>
      </c>
      <c r="X417">
        <v>12253</v>
      </c>
      <c r="Y417">
        <v>0</v>
      </c>
      <c r="Z417" t="s">
        <v>42</v>
      </c>
      <c r="AA417" t="s">
        <v>35</v>
      </c>
      <c r="AB417">
        <v>16</v>
      </c>
      <c r="AC417">
        <v>3</v>
      </c>
      <c r="AD417" t="str">
        <f t="shared" si="13"/>
        <v>Low Performance</v>
      </c>
      <c r="AE417">
        <v>4</v>
      </c>
      <c r="AF417">
        <v>80</v>
      </c>
      <c r="AG417">
        <v>1</v>
      </c>
      <c r="AH417">
        <v>3</v>
      </c>
      <c r="AI417">
        <v>3</v>
      </c>
      <c r="AJ417">
        <v>2</v>
      </c>
      <c r="AK417" t="str" cm="1">
        <f t="array" ref="AK417">_xlfn.IFS(AJ417&lt;=2,"Poor",AJ417&lt;=3,"Fair",AJ417&gt;3,"Good")</f>
        <v>Poor</v>
      </c>
      <c r="AL417">
        <v>2</v>
      </c>
      <c r="AM417">
        <v>2</v>
      </c>
      <c r="AN417">
        <v>1</v>
      </c>
      <c r="AO417">
        <v>0</v>
      </c>
    </row>
    <row r="418" spans="1:41" x14ac:dyDescent="0.2">
      <c r="A418">
        <v>1501749</v>
      </c>
      <c r="B418">
        <v>38</v>
      </c>
      <c r="C418" t="str" cm="1">
        <f t="array" ref="C418">_xlfn.IFS(B418&lt;=25,"15-25",B418&lt;=35,"26-35",B418&lt;=45,"36-45",B418&lt;=55,"46-55",B418&lt;=65,"56-65")</f>
        <v>36-45</v>
      </c>
      <c r="D418" t="s">
        <v>35</v>
      </c>
      <c r="E418" t="str">
        <f t="shared" si="12"/>
        <v>Current Employee</v>
      </c>
      <c r="F418" t="s">
        <v>44</v>
      </c>
      <c r="G418">
        <v>1490</v>
      </c>
      <c r="H418" t="s">
        <v>45</v>
      </c>
      <c r="I418">
        <v>2</v>
      </c>
      <c r="J418">
        <v>2</v>
      </c>
      <c r="K418" t="s">
        <v>38</v>
      </c>
      <c r="L418">
        <v>1</v>
      </c>
      <c r="M418">
        <v>4</v>
      </c>
      <c r="N418" t="s">
        <v>46</v>
      </c>
      <c r="O418">
        <v>42</v>
      </c>
      <c r="P418">
        <v>3</v>
      </c>
      <c r="Q418">
        <v>1</v>
      </c>
      <c r="R418" t="s">
        <v>40</v>
      </c>
      <c r="S418">
        <v>4</v>
      </c>
      <c r="T418" t="str" cm="1">
        <f t="array" ref="T418">_xlfn.IFS(S418&lt;=2,"Poor",S418&lt;=3,"Fair",S418&gt;=4,"Good")</f>
        <v>Good</v>
      </c>
      <c r="U418" t="s">
        <v>48</v>
      </c>
      <c r="V418" s="1">
        <v>1702</v>
      </c>
      <c r="W418" t="str" cm="1">
        <f t="array" ref="W418">_xlfn.IFS(V418&lt;=5000,"Low Salary",V418&lt;=12000,"Good Salary",V418&gt;12000,"High Salary")</f>
        <v>Low Salary</v>
      </c>
      <c r="X418">
        <v>12106</v>
      </c>
      <c r="Y418">
        <v>1</v>
      </c>
      <c r="Z418" t="s">
        <v>42</v>
      </c>
      <c r="AA418" t="s">
        <v>43</v>
      </c>
      <c r="AB418">
        <v>23</v>
      </c>
      <c r="AC418">
        <v>4</v>
      </c>
      <c r="AD418" t="str">
        <f t="shared" si="13"/>
        <v>High Performance</v>
      </c>
      <c r="AE418">
        <v>3</v>
      </c>
      <c r="AF418">
        <v>80</v>
      </c>
      <c r="AG418">
        <v>1</v>
      </c>
      <c r="AH418">
        <v>1</v>
      </c>
      <c r="AI418">
        <v>3</v>
      </c>
      <c r="AJ418">
        <v>3</v>
      </c>
      <c r="AK418" t="str" cm="1">
        <f t="array" ref="AK418">_xlfn.IFS(AJ418&lt;=2,"Poor",AJ418&lt;=3,"Fair",AJ418&gt;3,"Good")</f>
        <v>Fair</v>
      </c>
      <c r="AL418">
        <v>1</v>
      </c>
      <c r="AM418">
        <v>0</v>
      </c>
      <c r="AN418">
        <v>0</v>
      </c>
      <c r="AO418">
        <v>0</v>
      </c>
    </row>
    <row r="419" spans="1:41" x14ac:dyDescent="0.2">
      <c r="A419">
        <v>1317087</v>
      </c>
      <c r="B419">
        <v>40</v>
      </c>
      <c r="C419" t="str" cm="1">
        <f t="array" ref="C419">_xlfn.IFS(B419&lt;=25,"15-25",B419&lt;=35,"26-35",B419&lt;=45,"36-45",B419&lt;=55,"46-55",B419&lt;=65,"56-65")</f>
        <v>36-45</v>
      </c>
      <c r="D419" t="s">
        <v>35</v>
      </c>
      <c r="E419" t="str">
        <f t="shared" si="12"/>
        <v>Current Employee</v>
      </c>
      <c r="F419" t="s">
        <v>36</v>
      </c>
      <c r="G419">
        <v>1398</v>
      </c>
      <c r="H419" t="s">
        <v>37</v>
      </c>
      <c r="I419">
        <v>2</v>
      </c>
      <c r="J419">
        <v>4</v>
      </c>
      <c r="K419" t="s">
        <v>38</v>
      </c>
      <c r="L419">
        <v>1</v>
      </c>
      <c r="M419">
        <v>3</v>
      </c>
      <c r="N419" t="s">
        <v>39</v>
      </c>
      <c r="O419">
        <v>79</v>
      </c>
      <c r="P419">
        <v>3</v>
      </c>
      <c r="Q419">
        <v>5</v>
      </c>
      <c r="R419" t="s">
        <v>53</v>
      </c>
      <c r="S419">
        <v>3</v>
      </c>
      <c r="T419" t="str" cm="1">
        <f t="array" ref="T419">_xlfn.IFS(S419&lt;=2,"Poor",S419&lt;=3,"Fair",S419&gt;=4,"Good")</f>
        <v>Fair</v>
      </c>
      <c r="U419" t="s">
        <v>48</v>
      </c>
      <c r="V419" s="1">
        <v>18041</v>
      </c>
      <c r="W419" t="str" cm="1">
        <f t="array" ref="W419">_xlfn.IFS(V419&lt;=5000,"Low Salary",V419&lt;=12000,"Good Salary",V419&gt;12000,"High Salary")</f>
        <v>High Salary</v>
      </c>
      <c r="X419">
        <v>13022</v>
      </c>
      <c r="Y419">
        <v>0</v>
      </c>
      <c r="Z419" t="s">
        <v>42</v>
      </c>
      <c r="AA419" t="s">
        <v>35</v>
      </c>
      <c r="AB419">
        <v>14</v>
      </c>
      <c r="AC419">
        <v>3</v>
      </c>
      <c r="AD419" t="str">
        <f t="shared" si="13"/>
        <v>Low Performance</v>
      </c>
      <c r="AE419">
        <v>4</v>
      </c>
      <c r="AF419">
        <v>80</v>
      </c>
      <c r="AG419">
        <v>0</v>
      </c>
      <c r="AH419">
        <v>21</v>
      </c>
      <c r="AI419">
        <v>2</v>
      </c>
      <c r="AJ419">
        <v>3</v>
      </c>
      <c r="AK419" t="str" cm="1">
        <f t="array" ref="AK419">_xlfn.IFS(AJ419&lt;=2,"Poor",AJ419&lt;=3,"Fair",AJ419&gt;3,"Good")</f>
        <v>Fair</v>
      </c>
      <c r="AL419">
        <v>20</v>
      </c>
      <c r="AM419">
        <v>15</v>
      </c>
      <c r="AN419">
        <v>1</v>
      </c>
      <c r="AO419">
        <v>12</v>
      </c>
    </row>
    <row r="420" spans="1:41" x14ac:dyDescent="0.2">
      <c r="A420">
        <v>1865341</v>
      </c>
      <c r="B420">
        <v>26</v>
      </c>
      <c r="C420" t="str" cm="1">
        <f t="array" ref="C420">_xlfn.IFS(B420&lt;=25,"15-25",B420&lt;=35,"26-35",B420&lt;=45,"36-45",B420&lt;=55,"46-55",B420&lt;=65,"56-65")</f>
        <v>26-35</v>
      </c>
      <c r="D420" t="s">
        <v>35</v>
      </c>
      <c r="E420" t="str">
        <f t="shared" si="12"/>
        <v>Current Employee</v>
      </c>
      <c r="F420" t="s">
        <v>36</v>
      </c>
      <c r="G420">
        <v>1349</v>
      </c>
      <c r="H420" t="s">
        <v>45</v>
      </c>
      <c r="I420">
        <v>23</v>
      </c>
      <c r="J420">
        <v>3</v>
      </c>
      <c r="K420" t="s">
        <v>38</v>
      </c>
      <c r="L420">
        <v>1</v>
      </c>
      <c r="M420">
        <v>1</v>
      </c>
      <c r="N420" t="s">
        <v>39</v>
      </c>
      <c r="O420">
        <v>90</v>
      </c>
      <c r="P420">
        <v>3</v>
      </c>
      <c r="Q420">
        <v>1</v>
      </c>
      <c r="R420" t="s">
        <v>47</v>
      </c>
      <c r="S420">
        <v>4</v>
      </c>
      <c r="T420" t="str" cm="1">
        <f t="array" ref="T420">_xlfn.IFS(S420&lt;=2,"Poor",S420&lt;=3,"Fair",S420&gt;=4,"Good")</f>
        <v>Good</v>
      </c>
      <c r="U420" t="s">
        <v>50</v>
      </c>
      <c r="V420" s="1">
        <v>2886</v>
      </c>
      <c r="W420" t="str" cm="1">
        <f t="array" ref="W420">_xlfn.IFS(V420&lt;=5000,"Low Salary",V420&lt;=12000,"Good Salary",V420&gt;12000,"High Salary")</f>
        <v>Low Salary</v>
      </c>
      <c r="X420">
        <v>3032</v>
      </c>
      <c r="Y420">
        <v>1</v>
      </c>
      <c r="Z420" t="s">
        <v>42</v>
      </c>
      <c r="AA420" t="s">
        <v>35</v>
      </c>
      <c r="AB420">
        <v>22</v>
      </c>
      <c r="AC420">
        <v>4</v>
      </c>
      <c r="AD420" t="str">
        <f t="shared" si="13"/>
        <v>High Performance</v>
      </c>
      <c r="AE420">
        <v>2</v>
      </c>
      <c r="AF420">
        <v>80</v>
      </c>
      <c r="AG420">
        <v>2</v>
      </c>
      <c r="AH420">
        <v>3</v>
      </c>
      <c r="AI420">
        <v>3</v>
      </c>
      <c r="AJ420">
        <v>1</v>
      </c>
      <c r="AK420" t="str" cm="1">
        <f t="array" ref="AK420">_xlfn.IFS(AJ420&lt;=2,"Poor",AJ420&lt;=3,"Fair",AJ420&gt;3,"Good")</f>
        <v>Poor</v>
      </c>
      <c r="AL420">
        <v>3</v>
      </c>
      <c r="AM420">
        <v>2</v>
      </c>
      <c r="AN420">
        <v>0</v>
      </c>
      <c r="AO420">
        <v>2</v>
      </c>
    </row>
    <row r="421" spans="1:41" x14ac:dyDescent="0.2">
      <c r="A421">
        <v>1051420</v>
      </c>
      <c r="B421">
        <v>30</v>
      </c>
      <c r="C421" t="str" cm="1">
        <f t="array" ref="C421">_xlfn.IFS(B421&lt;=25,"15-25",B421&lt;=35,"26-35",B421&lt;=45,"36-45",B421&lt;=55,"46-55",B421&lt;=65,"56-65")</f>
        <v>26-35</v>
      </c>
      <c r="D421" t="s">
        <v>35</v>
      </c>
      <c r="E421" t="str">
        <f t="shared" si="12"/>
        <v>Current Employee</v>
      </c>
      <c r="F421" t="s">
        <v>52</v>
      </c>
      <c r="G421">
        <v>1400</v>
      </c>
      <c r="H421" t="s">
        <v>45</v>
      </c>
      <c r="I421">
        <v>3</v>
      </c>
      <c r="J421">
        <v>3</v>
      </c>
      <c r="K421" t="s">
        <v>38</v>
      </c>
      <c r="L421">
        <v>1</v>
      </c>
      <c r="M421">
        <v>3</v>
      </c>
      <c r="N421" t="s">
        <v>46</v>
      </c>
      <c r="O421">
        <v>53</v>
      </c>
      <c r="P421">
        <v>3</v>
      </c>
      <c r="Q421">
        <v>1</v>
      </c>
      <c r="R421" t="s">
        <v>40</v>
      </c>
      <c r="S421">
        <v>4</v>
      </c>
      <c r="T421" t="str" cm="1">
        <f t="array" ref="T421">_xlfn.IFS(S421&lt;=2,"Poor",S421&lt;=3,"Fair",S421&gt;=4,"Good")</f>
        <v>Good</v>
      </c>
      <c r="U421" t="s">
        <v>48</v>
      </c>
      <c r="V421" s="1">
        <v>2097</v>
      </c>
      <c r="W421" t="str" cm="1">
        <f t="array" ref="W421">_xlfn.IFS(V421&lt;=5000,"Low Salary",V421&lt;=12000,"Good Salary",V421&gt;12000,"High Salary")</f>
        <v>Low Salary</v>
      </c>
      <c r="X421">
        <v>16734</v>
      </c>
      <c r="Y421">
        <v>4</v>
      </c>
      <c r="Z421" t="s">
        <v>42</v>
      </c>
      <c r="AA421" t="s">
        <v>35</v>
      </c>
      <c r="AB421">
        <v>15</v>
      </c>
      <c r="AC421">
        <v>3</v>
      </c>
      <c r="AD421" t="str">
        <f t="shared" si="13"/>
        <v>Low Performance</v>
      </c>
      <c r="AE421">
        <v>3</v>
      </c>
      <c r="AF421">
        <v>80</v>
      </c>
      <c r="AG421">
        <v>1</v>
      </c>
      <c r="AH421">
        <v>9</v>
      </c>
      <c r="AI421">
        <v>3</v>
      </c>
      <c r="AJ421">
        <v>1</v>
      </c>
      <c r="AK421" t="str" cm="1">
        <f t="array" ref="AK421">_xlfn.IFS(AJ421&lt;=2,"Poor",AJ421&lt;=3,"Fair",AJ421&gt;3,"Good")</f>
        <v>Poor</v>
      </c>
      <c r="AL421">
        <v>5</v>
      </c>
      <c r="AM421">
        <v>3</v>
      </c>
      <c r="AN421">
        <v>1</v>
      </c>
      <c r="AO421">
        <v>4</v>
      </c>
    </row>
    <row r="422" spans="1:41" x14ac:dyDescent="0.2">
      <c r="A422">
        <v>1589813</v>
      </c>
      <c r="B422">
        <v>29</v>
      </c>
      <c r="C422" t="str" cm="1">
        <f t="array" ref="C422">_xlfn.IFS(B422&lt;=25,"15-25",B422&lt;=35,"26-35",B422&lt;=45,"36-45",B422&lt;=55,"46-55",B422&lt;=65,"56-65")</f>
        <v>26-35</v>
      </c>
      <c r="D422" t="s">
        <v>35</v>
      </c>
      <c r="E422" t="str">
        <f t="shared" si="12"/>
        <v>Current Employee</v>
      </c>
      <c r="F422" t="s">
        <v>36</v>
      </c>
      <c r="G422">
        <v>986</v>
      </c>
      <c r="H422" t="s">
        <v>45</v>
      </c>
      <c r="I422">
        <v>3</v>
      </c>
      <c r="J422">
        <v>4</v>
      </c>
      <c r="K422" t="s">
        <v>49</v>
      </c>
      <c r="L422">
        <v>1</v>
      </c>
      <c r="M422">
        <v>2</v>
      </c>
      <c r="N422" t="s">
        <v>46</v>
      </c>
      <c r="O422">
        <v>93</v>
      </c>
      <c r="P422">
        <v>2</v>
      </c>
      <c r="Q422">
        <v>3</v>
      </c>
      <c r="R422" t="s">
        <v>53</v>
      </c>
      <c r="S422">
        <v>3</v>
      </c>
      <c r="T422" t="str" cm="1">
        <f t="array" ref="T422">_xlfn.IFS(S422&lt;=2,"Poor",S422&lt;=3,"Fair",S422&gt;=4,"Good")</f>
        <v>Fair</v>
      </c>
      <c r="U422" t="s">
        <v>48</v>
      </c>
      <c r="V422" s="1">
        <v>11935</v>
      </c>
      <c r="W422" t="str" cm="1">
        <f t="array" ref="W422">_xlfn.IFS(V422&lt;=5000,"Low Salary",V422&lt;=12000,"Good Salary",V422&gt;12000,"High Salary")</f>
        <v>Good Salary</v>
      </c>
      <c r="X422">
        <v>21526</v>
      </c>
      <c r="Y422">
        <v>1</v>
      </c>
      <c r="Z422" t="s">
        <v>42</v>
      </c>
      <c r="AA422" t="s">
        <v>35</v>
      </c>
      <c r="AB422">
        <v>18</v>
      </c>
      <c r="AC422">
        <v>3</v>
      </c>
      <c r="AD422" t="str">
        <f t="shared" si="13"/>
        <v>Low Performance</v>
      </c>
      <c r="AE422">
        <v>3</v>
      </c>
      <c r="AF422">
        <v>80</v>
      </c>
      <c r="AG422">
        <v>0</v>
      </c>
      <c r="AH422">
        <v>10</v>
      </c>
      <c r="AI422">
        <v>2</v>
      </c>
      <c r="AJ422">
        <v>3</v>
      </c>
      <c r="AK422" t="str" cm="1">
        <f t="array" ref="AK422">_xlfn.IFS(AJ422&lt;=2,"Poor",AJ422&lt;=3,"Fair",AJ422&gt;3,"Good")</f>
        <v>Fair</v>
      </c>
      <c r="AL422">
        <v>10</v>
      </c>
      <c r="AM422">
        <v>2</v>
      </c>
      <c r="AN422">
        <v>0</v>
      </c>
      <c r="AO422">
        <v>7</v>
      </c>
    </row>
    <row r="423" spans="1:41" x14ac:dyDescent="0.2">
      <c r="A423">
        <v>1297138</v>
      </c>
      <c r="B423">
        <v>29</v>
      </c>
      <c r="C423" t="str" cm="1">
        <f t="array" ref="C423">_xlfn.IFS(B423&lt;=25,"15-25",B423&lt;=35,"26-35",B423&lt;=45,"36-45",B423&lt;=55,"46-55",B423&lt;=65,"56-65")</f>
        <v>26-35</v>
      </c>
      <c r="D423" t="s">
        <v>43</v>
      </c>
      <c r="E423" t="str">
        <f t="shared" si="12"/>
        <v>Former Employee</v>
      </c>
      <c r="F423" t="s">
        <v>36</v>
      </c>
      <c r="G423">
        <v>408</v>
      </c>
      <c r="H423" t="s">
        <v>45</v>
      </c>
      <c r="I423">
        <v>25</v>
      </c>
      <c r="J423">
        <v>5</v>
      </c>
      <c r="K423" t="s">
        <v>56</v>
      </c>
      <c r="L423">
        <v>1</v>
      </c>
      <c r="M423">
        <v>3</v>
      </c>
      <c r="N423" t="s">
        <v>39</v>
      </c>
      <c r="O423">
        <v>71</v>
      </c>
      <c r="P423">
        <v>2</v>
      </c>
      <c r="Q423">
        <v>1</v>
      </c>
      <c r="R423" t="s">
        <v>47</v>
      </c>
      <c r="S423">
        <v>2</v>
      </c>
      <c r="T423" t="str" cm="1">
        <f t="array" ref="T423">_xlfn.IFS(S423&lt;=2,"Poor",S423&lt;=3,"Fair",S423&gt;=4,"Good")</f>
        <v>Poor</v>
      </c>
      <c r="U423" t="s">
        <v>48</v>
      </c>
      <c r="V423" s="1">
        <v>2546</v>
      </c>
      <c r="W423" t="str" cm="1">
        <f t="array" ref="W423">_xlfn.IFS(V423&lt;=5000,"Low Salary",V423&lt;=12000,"Good Salary",V423&gt;12000,"High Salary")</f>
        <v>Low Salary</v>
      </c>
      <c r="X423">
        <v>18300</v>
      </c>
      <c r="Y423">
        <v>5</v>
      </c>
      <c r="Z423" t="s">
        <v>42</v>
      </c>
      <c r="AA423" t="s">
        <v>35</v>
      </c>
      <c r="AB423">
        <v>16</v>
      </c>
      <c r="AC423">
        <v>3</v>
      </c>
      <c r="AD423" t="str">
        <f t="shared" si="13"/>
        <v>Low Performance</v>
      </c>
      <c r="AE423">
        <v>2</v>
      </c>
      <c r="AF423">
        <v>80</v>
      </c>
      <c r="AG423">
        <v>0</v>
      </c>
      <c r="AH423">
        <v>6</v>
      </c>
      <c r="AI423">
        <v>2</v>
      </c>
      <c r="AJ423">
        <v>4</v>
      </c>
      <c r="AK423" t="str" cm="1">
        <f t="array" ref="AK423">_xlfn.IFS(AJ423&lt;=2,"Poor",AJ423&lt;=3,"Fair",AJ423&gt;3,"Good")</f>
        <v>Good</v>
      </c>
      <c r="AL423">
        <v>2</v>
      </c>
      <c r="AM423">
        <v>2</v>
      </c>
      <c r="AN423">
        <v>1</v>
      </c>
      <c r="AO423">
        <v>1</v>
      </c>
    </row>
    <row r="424" spans="1:41" x14ac:dyDescent="0.2">
      <c r="A424">
        <v>1191505</v>
      </c>
      <c r="B424">
        <v>19</v>
      </c>
      <c r="C424" t="str" cm="1">
        <f t="array" ref="C424">_xlfn.IFS(B424&lt;=25,"15-25",B424&lt;=35,"26-35",B424&lt;=45,"36-45",B424&lt;=55,"46-55",B424&lt;=65,"56-65")</f>
        <v>15-25</v>
      </c>
      <c r="D424" t="s">
        <v>43</v>
      </c>
      <c r="E424" t="str">
        <f t="shared" si="12"/>
        <v>Former Employee</v>
      </c>
      <c r="F424" t="s">
        <v>36</v>
      </c>
      <c r="G424">
        <v>489</v>
      </c>
      <c r="H424" t="s">
        <v>54</v>
      </c>
      <c r="I424">
        <v>2</v>
      </c>
      <c r="J424">
        <v>2</v>
      </c>
      <c r="K424" t="s">
        <v>56</v>
      </c>
      <c r="L424">
        <v>1</v>
      </c>
      <c r="M424">
        <v>1</v>
      </c>
      <c r="N424" t="s">
        <v>46</v>
      </c>
      <c r="O424">
        <v>52</v>
      </c>
      <c r="P424">
        <v>2</v>
      </c>
      <c r="Q424">
        <v>1</v>
      </c>
      <c r="R424" t="s">
        <v>47</v>
      </c>
      <c r="S424">
        <v>4</v>
      </c>
      <c r="T424" t="str" cm="1">
        <f t="array" ref="T424">_xlfn.IFS(S424&lt;=2,"Poor",S424&lt;=3,"Fair",S424&gt;=4,"Good")</f>
        <v>Good</v>
      </c>
      <c r="U424" t="s">
        <v>41</v>
      </c>
      <c r="V424" s="1">
        <v>2564</v>
      </c>
      <c r="W424" t="str" cm="1">
        <f t="array" ref="W424">_xlfn.IFS(V424&lt;=5000,"Low Salary",V424&lt;=12000,"Good Salary",V424&gt;12000,"High Salary")</f>
        <v>Low Salary</v>
      </c>
      <c r="X424">
        <v>18437</v>
      </c>
      <c r="Y424">
        <v>1</v>
      </c>
      <c r="Z424" t="s">
        <v>42</v>
      </c>
      <c r="AA424" t="s">
        <v>35</v>
      </c>
      <c r="AB424">
        <v>12</v>
      </c>
      <c r="AC424">
        <v>3</v>
      </c>
      <c r="AD424" t="str">
        <f t="shared" si="13"/>
        <v>Low Performance</v>
      </c>
      <c r="AE424">
        <v>3</v>
      </c>
      <c r="AF424">
        <v>80</v>
      </c>
      <c r="AG424">
        <v>0</v>
      </c>
      <c r="AH424">
        <v>1</v>
      </c>
      <c r="AI424">
        <v>3</v>
      </c>
      <c r="AJ424">
        <v>4</v>
      </c>
      <c r="AK424" t="str" cm="1">
        <f t="array" ref="AK424">_xlfn.IFS(AJ424&lt;=2,"Poor",AJ424&lt;=3,"Fair",AJ424&gt;3,"Good")</f>
        <v>Good</v>
      </c>
      <c r="AL424">
        <v>1</v>
      </c>
      <c r="AM424">
        <v>0</v>
      </c>
      <c r="AN424">
        <v>0</v>
      </c>
      <c r="AO424">
        <v>0</v>
      </c>
    </row>
    <row r="425" spans="1:41" x14ac:dyDescent="0.2">
      <c r="A425">
        <v>1708021</v>
      </c>
      <c r="B425">
        <v>30</v>
      </c>
      <c r="C425" t="str" cm="1">
        <f t="array" ref="C425">_xlfn.IFS(B425&lt;=25,"15-25",B425&lt;=35,"26-35",B425&lt;=45,"36-45",B425&lt;=55,"46-55",B425&lt;=65,"56-65")</f>
        <v>26-35</v>
      </c>
      <c r="D425" t="s">
        <v>35</v>
      </c>
      <c r="E425" t="str">
        <f t="shared" si="12"/>
        <v>Current Employee</v>
      </c>
      <c r="F425" t="s">
        <v>52</v>
      </c>
      <c r="G425">
        <v>1398</v>
      </c>
      <c r="H425" t="s">
        <v>37</v>
      </c>
      <c r="I425">
        <v>22</v>
      </c>
      <c r="J425">
        <v>4</v>
      </c>
      <c r="K425" t="s">
        <v>47</v>
      </c>
      <c r="L425">
        <v>1</v>
      </c>
      <c r="M425">
        <v>3</v>
      </c>
      <c r="N425" t="s">
        <v>39</v>
      </c>
      <c r="O425">
        <v>69</v>
      </c>
      <c r="P425">
        <v>3</v>
      </c>
      <c r="Q425">
        <v>3</v>
      </c>
      <c r="R425" t="s">
        <v>40</v>
      </c>
      <c r="S425">
        <v>1</v>
      </c>
      <c r="T425" t="str" cm="1">
        <f t="array" ref="T425">_xlfn.IFS(S425&lt;=2,"Poor",S425&lt;=3,"Fair",S425&gt;=4,"Good")</f>
        <v>Poor</v>
      </c>
      <c r="U425" t="s">
        <v>48</v>
      </c>
      <c r="V425" s="1">
        <v>8412</v>
      </c>
      <c r="W425" t="str" cm="1">
        <f t="array" ref="W425">_xlfn.IFS(V425&lt;=5000,"Low Salary",V425&lt;=12000,"Good Salary",V425&gt;12000,"High Salary")</f>
        <v>Good Salary</v>
      </c>
      <c r="X425">
        <v>2890</v>
      </c>
      <c r="Y425">
        <v>0</v>
      </c>
      <c r="Z425" t="s">
        <v>42</v>
      </c>
      <c r="AA425" t="s">
        <v>35</v>
      </c>
      <c r="AB425">
        <v>11</v>
      </c>
      <c r="AC425">
        <v>3</v>
      </c>
      <c r="AD425" t="str">
        <f t="shared" si="13"/>
        <v>Low Performance</v>
      </c>
      <c r="AE425">
        <v>3</v>
      </c>
      <c r="AF425">
        <v>80</v>
      </c>
      <c r="AG425">
        <v>0</v>
      </c>
      <c r="AH425">
        <v>10</v>
      </c>
      <c r="AI425">
        <v>3</v>
      </c>
      <c r="AJ425">
        <v>3</v>
      </c>
      <c r="AK425" t="str" cm="1">
        <f t="array" ref="AK425">_xlfn.IFS(AJ425&lt;=2,"Poor",AJ425&lt;=3,"Fair",AJ425&gt;3,"Good")</f>
        <v>Fair</v>
      </c>
      <c r="AL425">
        <v>9</v>
      </c>
      <c r="AM425">
        <v>8</v>
      </c>
      <c r="AN425">
        <v>7</v>
      </c>
      <c r="AO425">
        <v>8</v>
      </c>
    </row>
    <row r="426" spans="1:41" x14ac:dyDescent="0.2">
      <c r="A426">
        <v>1353649</v>
      </c>
      <c r="B426">
        <v>57</v>
      </c>
      <c r="C426" t="str" cm="1">
        <f t="array" ref="C426">_xlfn.IFS(B426&lt;=25,"15-25",B426&lt;=35,"26-35",B426&lt;=45,"36-45",B426&lt;=55,"46-55",B426&lt;=65,"56-65")</f>
        <v>56-65</v>
      </c>
      <c r="D426" t="s">
        <v>35</v>
      </c>
      <c r="E426" t="str">
        <f t="shared" si="12"/>
        <v>Current Employee</v>
      </c>
      <c r="F426" t="s">
        <v>36</v>
      </c>
      <c r="G426">
        <v>210</v>
      </c>
      <c r="H426" t="s">
        <v>37</v>
      </c>
      <c r="I426">
        <v>29</v>
      </c>
      <c r="J426">
        <v>3</v>
      </c>
      <c r="K426" t="s">
        <v>55</v>
      </c>
      <c r="L426">
        <v>1</v>
      </c>
      <c r="M426">
        <v>1</v>
      </c>
      <c r="N426" t="s">
        <v>46</v>
      </c>
      <c r="O426">
        <v>56</v>
      </c>
      <c r="P426">
        <v>2</v>
      </c>
      <c r="Q426">
        <v>4</v>
      </c>
      <c r="R426" t="s">
        <v>53</v>
      </c>
      <c r="S426">
        <v>4</v>
      </c>
      <c r="T426" t="str" cm="1">
        <f t="array" ref="T426">_xlfn.IFS(S426&lt;=2,"Poor",S426&lt;=3,"Fair",S426&gt;=4,"Good")</f>
        <v>Good</v>
      </c>
      <c r="U426" t="s">
        <v>50</v>
      </c>
      <c r="V426" s="1">
        <v>14118</v>
      </c>
      <c r="W426" t="str" cm="1">
        <f t="array" ref="W426">_xlfn.IFS(V426&lt;=5000,"Low Salary",V426&lt;=12000,"Good Salary",V426&gt;12000,"High Salary")</f>
        <v>High Salary</v>
      </c>
      <c r="X426">
        <v>22102</v>
      </c>
      <c r="Y426">
        <v>3</v>
      </c>
      <c r="Z426" t="s">
        <v>42</v>
      </c>
      <c r="AA426" t="s">
        <v>35</v>
      </c>
      <c r="AB426">
        <v>12</v>
      </c>
      <c r="AC426">
        <v>3</v>
      </c>
      <c r="AD426" t="str">
        <f t="shared" si="13"/>
        <v>Low Performance</v>
      </c>
      <c r="AE426">
        <v>3</v>
      </c>
      <c r="AF426">
        <v>80</v>
      </c>
      <c r="AG426">
        <v>1</v>
      </c>
      <c r="AH426">
        <v>32</v>
      </c>
      <c r="AI426">
        <v>3</v>
      </c>
      <c r="AJ426">
        <v>2</v>
      </c>
      <c r="AK426" t="str" cm="1">
        <f t="array" ref="AK426">_xlfn.IFS(AJ426&lt;=2,"Poor",AJ426&lt;=3,"Fair",AJ426&gt;3,"Good")</f>
        <v>Poor</v>
      </c>
      <c r="AL426">
        <v>1</v>
      </c>
      <c r="AM426">
        <v>0</v>
      </c>
      <c r="AN426">
        <v>0</v>
      </c>
      <c r="AO426">
        <v>0</v>
      </c>
    </row>
    <row r="427" spans="1:41" x14ac:dyDescent="0.2">
      <c r="A427">
        <v>1669573</v>
      </c>
      <c r="B427">
        <v>50</v>
      </c>
      <c r="C427" t="str" cm="1">
        <f t="array" ref="C427">_xlfn.IFS(B427&lt;=25,"15-25",B427&lt;=35,"26-35",B427&lt;=45,"36-45",B427&lt;=55,"46-55",B427&lt;=65,"56-65")</f>
        <v>46-55</v>
      </c>
      <c r="D427" t="s">
        <v>35</v>
      </c>
      <c r="E427" t="str">
        <f t="shared" si="12"/>
        <v>Current Employee</v>
      </c>
      <c r="F427" t="s">
        <v>36</v>
      </c>
      <c r="G427">
        <v>1099</v>
      </c>
      <c r="H427" t="s">
        <v>54</v>
      </c>
      <c r="I427">
        <v>29</v>
      </c>
      <c r="J427">
        <v>4</v>
      </c>
      <c r="K427" t="s">
        <v>38</v>
      </c>
      <c r="L427">
        <v>1</v>
      </c>
      <c r="M427">
        <v>2</v>
      </c>
      <c r="N427" t="s">
        <v>46</v>
      </c>
      <c r="O427">
        <v>88</v>
      </c>
      <c r="P427">
        <v>2</v>
      </c>
      <c r="Q427">
        <v>4</v>
      </c>
      <c r="R427" t="s">
        <v>47</v>
      </c>
      <c r="S427">
        <v>3</v>
      </c>
      <c r="T427" t="str" cm="1">
        <f t="array" ref="T427">_xlfn.IFS(S427&lt;=2,"Poor",S427&lt;=3,"Fair",S427&gt;=4,"Good")</f>
        <v>Fair</v>
      </c>
      <c r="U427" t="s">
        <v>48</v>
      </c>
      <c r="V427" s="1">
        <v>17046</v>
      </c>
      <c r="W427" t="str" cm="1">
        <f t="array" ref="W427">_xlfn.IFS(V427&lt;=5000,"Low Salary",V427&lt;=12000,"Good Salary",V427&gt;12000,"High Salary")</f>
        <v>High Salary</v>
      </c>
      <c r="X427">
        <v>9314</v>
      </c>
      <c r="Y427">
        <v>0</v>
      </c>
      <c r="Z427" t="s">
        <v>42</v>
      </c>
      <c r="AA427" t="s">
        <v>35</v>
      </c>
      <c r="AB427">
        <v>15</v>
      </c>
      <c r="AC427">
        <v>3</v>
      </c>
      <c r="AD427" t="str">
        <f t="shared" si="13"/>
        <v>Low Performance</v>
      </c>
      <c r="AE427">
        <v>2</v>
      </c>
      <c r="AF427">
        <v>80</v>
      </c>
      <c r="AG427">
        <v>1</v>
      </c>
      <c r="AH427">
        <v>28</v>
      </c>
      <c r="AI427">
        <v>2</v>
      </c>
      <c r="AJ427">
        <v>3</v>
      </c>
      <c r="AK427" t="str" cm="1">
        <f t="array" ref="AK427">_xlfn.IFS(AJ427&lt;=2,"Poor",AJ427&lt;=3,"Fair",AJ427&gt;3,"Good")</f>
        <v>Fair</v>
      </c>
      <c r="AL427">
        <v>27</v>
      </c>
      <c r="AM427">
        <v>10</v>
      </c>
      <c r="AN427">
        <v>15</v>
      </c>
      <c r="AO427">
        <v>7</v>
      </c>
    </row>
    <row r="428" spans="1:41" x14ac:dyDescent="0.2">
      <c r="A428">
        <v>1613984</v>
      </c>
      <c r="B428">
        <v>30</v>
      </c>
      <c r="C428" t="str" cm="1">
        <f t="array" ref="C428">_xlfn.IFS(B428&lt;=25,"15-25",B428&lt;=35,"26-35",B428&lt;=45,"36-45",B428&lt;=55,"46-55",B428&lt;=65,"56-65")</f>
        <v>26-35</v>
      </c>
      <c r="D428" t="s">
        <v>35</v>
      </c>
      <c r="E428" t="str">
        <f t="shared" si="12"/>
        <v>Current Employee</v>
      </c>
      <c r="F428" t="s">
        <v>52</v>
      </c>
      <c r="G428">
        <v>1116</v>
      </c>
      <c r="H428" t="s">
        <v>45</v>
      </c>
      <c r="I428">
        <v>2</v>
      </c>
      <c r="J428">
        <v>3</v>
      </c>
      <c r="K428" t="s">
        <v>49</v>
      </c>
      <c r="L428">
        <v>1</v>
      </c>
      <c r="M428">
        <v>3</v>
      </c>
      <c r="N428" t="s">
        <v>39</v>
      </c>
      <c r="O428">
        <v>49</v>
      </c>
      <c r="P428">
        <v>3</v>
      </c>
      <c r="Q428">
        <v>1</v>
      </c>
      <c r="R428" t="s">
        <v>40</v>
      </c>
      <c r="S428">
        <v>4</v>
      </c>
      <c r="T428" t="str" cm="1">
        <f t="array" ref="T428">_xlfn.IFS(S428&lt;=2,"Poor",S428&lt;=3,"Fair",S428&gt;=4,"Good")</f>
        <v>Good</v>
      </c>
      <c r="U428" t="s">
        <v>41</v>
      </c>
      <c r="V428" s="1">
        <v>2564</v>
      </c>
      <c r="W428" t="str" cm="1">
        <f t="array" ref="W428">_xlfn.IFS(V428&lt;=5000,"Low Salary",V428&lt;=12000,"Good Salary",V428&gt;12000,"High Salary")</f>
        <v>Low Salary</v>
      </c>
      <c r="X428">
        <v>7181</v>
      </c>
      <c r="Y428">
        <v>0</v>
      </c>
      <c r="Z428" t="s">
        <v>42</v>
      </c>
      <c r="AA428" t="s">
        <v>35</v>
      </c>
      <c r="AB428">
        <v>14</v>
      </c>
      <c r="AC428">
        <v>3</v>
      </c>
      <c r="AD428" t="str">
        <f t="shared" si="13"/>
        <v>Low Performance</v>
      </c>
      <c r="AE428">
        <v>3</v>
      </c>
      <c r="AF428">
        <v>80</v>
      </c>
      <c r="AG428">
        <v>0</v>
      </c>
      <c r="AH428">
        <v>12</v>
      </c>
      <c r="AI428">
        <v>2</v>
      </c>
      <c r="AJ428">
        <v>2</v>
      </c>
      <c r="AK428" t="str" cm="1">
        <f t="array" ref="AK428">_xlfn.IFS(AJ428&lt;=2,"Poor",AJ428&lt;=3,"Fair",AJ428&gt;3,"Good")</f>
        <v>Poor</v>
      </c>
      <c r="AL428">
        <v>11</v>
      </c>
      <c r="AM428">
        <v>7</v>
      </c>
      <c r="AN428">
        <v>6</v>
      </c>
      <c r="AO428">
        <v>7</v>
      </c>
    </row>
    <row r="429" spans="1:41" x14ac:dyDescent="0.2">
      <c r="A429">
        <v>1269877</v>
      </c>
      <c r="B429">
        <v>60</v>
      </c>
      <c r="C429" t="str" cm="1">
        <f t="array" ref="C429">_xlfn.IFS(B429&lt;=25,"15-25",B429&lt;=35,"26-35",B429&lt;=45,"36-45",B429&lt;=55,"46-55",B429&lt;=65,"56-65")</f>
        <v>56-65</v>
      </c>
      <c r="D429" t="s">
        <v>35</v>
      </c>
      <c r="E429" t="str">
        <f t="shared" si="12"/>
        <v>Current Employee</v>
      </c>
      <c r="F429" t="s">
        <v>44</v>
      </c>
      <c r="G429">
        <v>1499</v>
      </c>
      <c r="H429" t="s">
        <v>37</v>
      </c>
      <c r="I429">
        <v>28</v>
      </c>
      <c r="J429">
        <v>3</v>
      </c>
      <c r="K429" t="s">
        <v>55</v>
      </c>
      <c r="L429">
        <v>1</v>
      </c>
      <c r="M429">
        <v>3</v>
      </c>
      <c r="N429" t="s">
        <v>39</v>
      </c>
      <c r="O429">
        <v>80</v>
      </c>
      <c r="P429">
        <v>2</v>
      </c>
      <c r="Q429">
        <v>3</v>
      </c>
      <c r="R429" t="s">
        <v>40</v>
      </c>
      <c r="S429">
        <v>1</v>
      </c>
      <c r="T429" t="str" cm="1">
        <f t="array" ref="T429">_xlfn.IFS(S429&lt;=2,"Poor",S429&lt;=3,"Fair",S429&gt;=4,"Good")</f>
        <v>Poor</v>
      </c>
      <c r="U429" t="s">
        <v>48</v>
      </c>
      <c r="V429" s="1">
        <v>10266</v>
      </c>
      <c r="W429" t="str" cm="1">
        <f t="array" ref="W429">_xlfn.IFS(V429&lt;=5000,"Low Salary",V429&lt;=12000,"Good Salary",V429&gt;12000,"High Salary")</f>
        <v>Good Salary</v>
      </c>
      <c r="X429">
        <v>2845</v>
      </c>
      <c r="Y429">
        <v>4</v>
      </c>
      <c r="Z429" t="s">
        <v>42</v>
      </c>
      <c r="AA429" t="s">
        <v>35</v>
      </c>
      <c r="AB429">
        <v>19</v>
      </c>
      <c r="AC429">
        <v>3</v>
      </c>
      <c r="AD429" t="str">
        <f t="shared" si="13"/>
        <v>Low Performance</v>
      </c>
      <c r="AE429">
        <v>4</v>
      </c>
      <c r="AF429">
        <v>80</v>
      </c>
      <c r="AG429">
        <v>0</v>
      </c>
      <c r="AH429">
        <v>22</v>
      </c>
      <c r="AI429">
        <v>5</v>
      </c>
      <c r="AJ429">
        <v>4</v>
      </c>
      <c r="AK429" t="str" cm="1">
        <f t="array" ref="AK429">_xlfn.IFS(AJ429&lt;=2,"Poor",AJ429&lt;=3,"Fair",AJ429&gt;3,"Good")</f>
        <v>Good</v>
      </c>
      <c r="AL429">
        <v>18</v>
      </c>
      <c r="AM429">
        <v>13</v>
      </c>
      <c r="AN429">
        <v>13</v>
      </c>
      <c r="AO429">
        <v>11</v>
      </c>
    </row>
    <row r="430" spans="1:41" x14ac:dyDescent="0.2">
      <c r="A430">
        <v>1593662</v>
      </c>
      <c r="B430">
        <v>47</v>
      </c>
      <c r="C430" t="str" cm="1">
        <f t="array" ref="C430">_xlfn.IFS(B430&lt;=25,"15-25",B430&lt;=35,"26-35",B430&lt;=45,"36-45",B430&lt;=55,"46-55",B430&lt;=65,"56-65")</f>
        <v>46-55</v>
      </c>
      <c r="D430" t="s">
        <v>35</v>
      </c>
      <c r="E430" t="str">
        <f t="shared" si="12"/>
        <v>Current Employee</v>
      </c>
      <c r="F430" t="s">
        <v>36</v>
      </c>
      <c r="G430">
        <v>983</v>
      </c>
      <c r="H430" t="s">
        <v>54</v>
      </c>
      <c r="I430">
        <v>2</v>
      </c>
      <c r="J430">
        <v>2</v>
      </c>
      <c r="K430" t="s">
        <v>49</v>
      </c>
      <c r="L430">
        <v>1</v>
      </c>
      <c r="M430">
        <v>1</v>
      </c>
      <c r="N430" t="s">
        <v>39</v>
      </c>
      <c r="O430">
        <v>65</v>
      </c>
      <c r="P430">
        <v>3</v>
      </c>
      <c r="Q430">
        <v>2</v>
      </c>
      <c r="R430" t="s">
        <v>51</v>
      </c>
      <c r="S430">
        <v>4</v>
      </c>
      <c r="T430" t="str" cm="1">
        <f t="array" ref="T430">_xlfn.IFS(S430&lt;=2,"Poor",S430&lt;=3,"Fair",S430&gt;=4,"Good")</f>
        <v>Good</v>
      </c>
      <c r="U430" t="s">
        <v>50</v>
      </c>
      <c r="V430" s="1">
        <v>5070</v>
      </c>
      <c r="W430" t="str" cm="1">
        <f t="array" ref="W430">_xlfn.IFS(V430&lt;=5000,"Low Salary",V430&lt;=12000,"Good Salary",V430&gt;12000,"High Salary")</f>
        <v>Good Salary</v>
      </c>
      <c r="X430">
        <v>7389</v>
      </c>
      <c r="Y430">
        <v>5</v>
      </c>
      <c r="Z430" t="s">
        <v>42</v>
      </c>
      <c r="AA430" t="s">
        <v>35</v>
      </c>
      <c r="AB430">
        <v>13</v>
      </c>
      <c r="AC430">
        <v>3</v>
      </c>
      <c r="AD430" t="str">
        <f t="shared" si="13"/>
        <v>Low Performance</v>
      </c>
      <c r="AE430">
        <v>3</v>
      </c>
      <c r="AF430">
        <v>80</v>
      </c>
      <c r="AG430">
        <v>3</v>
      </c>
      <c r="AH430">
        <v>20</v>
      </c>
      <c r="AI430">
        <v>2</v>
      </c>
      <c r="AJ430">
        <v>3</v>
      </c>
      <c r="AK430" t="str" cm="1">
        <f t="array" ref="AK430">_xlfn.IFS(AJ430&lt;=2,"Poor",AJ430&lt;=3,"Fair",AJ430&gt;3,"Good")</f>
        <v>Fair</v>
      </c>
      <c r="AL430">
        <v>5</v>
      </c>
      <c r="AM430">
        <v>0</v>
      </c>
      <c r="AN430">
        <v>0</v>
      </c>
      <c r="AO430">
        <v>4</v>
      </c>
    </row>
    <row r="431" spans="1:41" x14ac:dyDescent="0.2">
      <c r="A431">
        <v>1580340</v>
      </c>
      <c r="B431">
        <v>46</v>
      </c>
      <c r="C431" t="str" cm="1">
        <f t="array" ref="C431">_xlfn.IFS(B431&lt;=25,"15-25",B431&lt;=35,"26-35",B431&lt;=45,"36-45",B431&lt;=55,"46-55",B431&lt;=65,"56-65")</f>
        <v>46-55</v>
      </c>
      <c r="D431" t="s">
        <v>35</v>
      </c>
      <c r="E431" t="str">
        <f t="shared" si="12"/>
        <v>Current Employee</v>
      </c>
      <c r="F431" t="s">
        <v>36</v>
      </c>
      <c r="G431">
        <v>1009</v>
      </c>
      <c r="H431" t="s">
        <v>45</v>
      </c>
      <c r="I431">
        <v>2</v>
      </c>
      <c r="J431">
        <v>3</v>
      </c>
      <c r="K431" t="s">
        <v>38</v>
      </c>
      <c r="L431">
        <v>1</v>
      </c>
      <c r="M431">
        <v>1</v>
      </c>
      <c r="N431" t="s">
        <v>46</v>
      </c>
      <c r="O431">
        <v>51</v>
      </c>
      <c r="P431">
        <v>3</v>
      </c>
      <c r="Q431">
        <v>4</v>
      </c>
      <c r="R431" t="s">
        <v>53</v>
      </c>
      <c r="S431">
        <v>3</v>
      </c>
      <c r="T431" t="str" cm="1">
        <f t="array" ref="T431">_xlfn.IFS(S431&lt;=2,"Poor",S431&lt;=3,"Fair",S431&gt;=4,"Good")</f>
        <v>Fair</v>
      </c>
      <c r="U431" t="s">
        <v>48</v>
      </c>
      <c r="V431" s="1">
        <v>17861</v>
      </c>
      <c r="W431" t="str" cm="1">
        <f t="array" ref="W431">_xlfn.IFS(V431&lt;=5000,"Low Salary",V431&lt;=12000,"Good Salary",V431&gt;12000,"High Salary")</f>
        <v>High Salary</v>
      </c>
      <c r="X431">
        <v>2288</v>
      </c>
      <c r="Y431">
        <v>6</v>
      </c>
      <c r="Z431" t="s">
        <v>42</v>
      </c>
      <c r="AA431" t="s">
        <v>35</v>
      </c>
      <c r="AB431">
        <v>13</v>
      </c>
      <c r="AC431">
        <v>3</v>
      </c>
      <c r="AD431" t="str">
        <f t="shared" si="13"/>
        <v>Low Performance</v>
      </c>
      <c r="AE431">
        <v>3</v>
      </c>
      <c r="AF431">
        <v>80</v>
      </c>
      <c r="AG431">
        <v>0</v>
      </c>
      <c r="AH431">
        <v>26</v>
      </c>
      <c r="AI431">
        <v>2</v>
      </c>
      <c r="AJ431">
        <v>1</v>
      </c>
      <c r="AK431" t="str" cm="1">
        <f t="array" ref="AK431">_xlfn.IFS(AJ431&lt;=2,"Poor",AJ431&lt;=3,"Fair",AJ431&gt;3,"Good")</f>
        <v>Poor</v>
      </c>
      <c r="AL431">
        <v>3</v>
      </c>
      <c r="AM431">
        <v>2</v>
      </c>
      <c r="AN431">
        <v>0</v>
      </c>
      <c r="AO431">
        <v>1</v>
      </c>
    </row>
    <row r="432" spans="1:41" x14ac:dyDescent="0.2">
      <c r="A432">
        <v>1354096</v>
      </c>
      <c r="B432">
        <v>35</v>
      </c>
      <c r="C432" t="str" cm="1">
        <f t="array" ref="C432">_xlfn.IFS(B432&lt;=25,"15-25",B432&lt;=35,"26-35",B432&lt;=45,"36-45",B432&lt;=55,"46-55",B432&lt;=65,"56-65")</f>
        <v>26-35</v>
      </c>
      <c r="D432" t="s">
        <v>35</v>
      </c>
      <c r="E432" t="str">
        <f t="shared" si="12"/>
        <v>Current Employee</v>
      </c>
      <c r="F432" t="s">
        <v>36</v>
      </c>
      <c r="G432">
        <v>144</v>
      </c>
      <c r="H432" t="s">
        <v>45</v>
      </c>
      <c r="I432">
        <v>22</v>
      </c>
      <c r="J432">
        <v>3</v>
      </c>
      <c r="K432" t="s">
        <v>38</v>
      </c>
      <c r="L432">
        <v>1</v>
      </c>
      <c r="M432">
        <v>4</v>
      </c>
      <c r="N432" t="s">
        <v>46</v>
      </c>
      <c r="O432">
        <v>46</v>
      </c>
      <c r="P432">
        <v>1</v>
      </c>
      <c r="Q432">
        <v>1</v>
      </c>
      <c r="R432" t="s">
        <v>40</v>
      </c>
      <c r="S432">
        <v>3</v>
      </c>
      <c r="T432" t="str" cm="1">
        <f t="array" ref="T432">_xlfn.IFS(S432&lt;=2,"Poor",S432&lt;=3,"Fair",S432&gt;=4,"Good")</f>
        <v>Fair</v>
      </c>
      <c r="U432" t="s">
        <v>41</v>
      </c>
      <c r="V432" s="1">
        <v>4230</v>
      </c>
      <c r="W432" t="str" cm="1">
        <f t="array" ref="W432">_xlfn.IFS(V432&lt;=5000,"Low Salary",V432&lt;=12000,"Good Salary",V432&gt;12000,"High Salary")</f>
        <v>Low Salary</v>
      </c>
      <c r="X432">
        <v>19225</v>
      </c>
      <c r="Y432">
        <v>0</v>
      </c>
      <c r="Z432" t="s">
        <v>42</v>
      </c>
      <c r="AA432" t="s">
        <v>35</v>
      </c>
      <c r="AB432">
        <v>15</v>
      </c>
      <c r="AC432">
        <v>3</v>
      </c>
      <c r="AD432" t="str">
        <f t="shared" si="13"/>
        <v>Low Performance</v>
      </c>
      <c r="AE432">
        <v>3</v>
      </c>
      <c r="AF432">
        <v>80</v>
      </c>
      <c r="AG432">
        <v>0</v>
      </c>
      <c r="AH432">
        <v>6</v>
      </c>
      <c r="AI432">
        <v>2</v>
      </c>
      <c r="AJ432">
        <v>3</v>
      </c>
      <c r="AK432" t="str" cm="1">
        <f t="array" ref="AK432">_xlfn.IFS(AJ432&lt;=2,"Poor",AJ432&lt;=3,"Fair",AJ432&gt;3,"Good")</f>
        <v>Fair</v>
      </c>
      <c r="AL432">
        <v>5</v>
      </c>
      <c r="AM432">
        <v>4</v>
      </c>
      <c r="AN432">
        <v>4</v>
      </c>
      <c r="AO432">
        <v>3</v>
      </c>
    </row>
    <row r="433" spans="1:41" x14ac:dyDescent="0.2">
      <c r="A433">
        <v>1667303</v>
      </c>
      <c r="B433">
        <v>54</v>
      </c>
      <c r="C433" t="str" cm="1">
        <f t="array" ref="C433">_xlfn.IFS(B433&lt;=25,"15-25",B433&lt;=35,"26-35",B433&lt;=45,"36-45",B433&lt;=55,"46-55",B433&lt;=65,"56-65")</f>
        <v>46-55</v>
      </c>
      <c r="D433" t="s">
        <v>35</v>
      </c>
      <c r="E433" t="str">
        <f t="shared" si="12"/>
        <v>Current Employee</v>
      </c>
      <c r="F433" t="s">
        <v>36</v>
      </c>
      <c r="G433">
        <v>548</v>
      </c>
      <c r="H433" t="s">
        <v>45</v>
      </c>
      <c r="I433">
        <v>8</v>
      </c>
      <c r="J433">
        <v>4</v>
      </c>
      <c r="K433" t="s">
        <v>38</v>
      </c>
      <c r="L433">
        <v>1</v>
      </c>
      <c r="M433">
        <v>3</v>
      </c>
      <c r="N433" t="s">
        <v>39</v>
      </c>
      <c r="O433">
        <v>42</v>
      </c>
      <c r="P433">
        <v>3</v>
      </c>
      <c r="Q433">
        <v>2</v>
      </c>
      <c r="R433" t="s">
        <v>40</v>
      </c>
      <c r="S433">
        <v>3</v>
      </c>
      <c r="T433" t="str" cm="1">
        <f t="array" ref="T433">_xlfn.IFS(S433&lt;=2,"Poor",S433&lt;=3,"Fair",S433&gt;=4,"Good")</f>
        <v>Fair</v>
      </c>
      <c r="U433" t="s">
        <v>41</v>
      </c>
      <c r="V433" s="1">
        <v>3780</v>
      </c>
      <c r="W433" t="str" cm="1">
        <f t="array" ref="W433">_xlfn.IFS(V433&lt;=5000,"Low Salary",V433&lt;=12000,"Good Salary",V433&gt;12000,"High Salary")</f>
        <v>Low Salary</v>
      </c>
      <c r="X433">
        <v>23428</v>
      </c>
      <c r="Y433">
        <v>7</v>
      </c>
      <c r="Z433" t="s">
        <v>42</v>
      </c>
      <c r="AA433" t="s">
        <v>35</v>
      </c>
      <c r="AB433">
        <v>11</v>
      </c>
      <c r="AC433">
        <v>3</v>
      </c>
      <c r="AD433" t="str">
        <f t="shared" si="13"/>
        <v>Low Performance</v>
      </c>
      <c r="AE433">
        <v>3</v>
      </c>
      <c r="AF433">
        <v>80</v>
      </c>
      <c r="AG433">
        <v>0</v>
      </c>
      <c r="AH433">
        <v>19</v>
      </c>
      <c r="AI433">
        <v>3</v>
      </c>
      <c r="AJ433">
        <v>3</v>
      </c>
      <c r="AK433" t="str" cm="1">
        <f t="array" ref="AK433">_xlfn.IFS(AJ433&lt;=2,"Poor",AJ433&lt;=3,"Fair",AJ433&gt;3,"Good")</f>
        <v>Fair</v>
      </c>
      <c r="AL433">
        <v>1</v>
      </c>
      <c r="AM433">
        <v>0</v>
      </c>
      <c r="AN433">
        <v>0</v>
      </c>
      <c r="AO433">
        <v>0</v>
      </c>
    </row>
    <row r="434" spans="1:41" x14ac:dyDescent="0.2">
      <c r="A434">
        <v>1095688</v>
      </c>
      <c r="B434">
        <v>34</v>
      </c>
      <c r="C434" t="str" cm="1">
        <f t="array" ref="C434">_xlfn.IFS(B434&lt;=25,"15-25",B434&lt;=35,"26-35",B434&lt;=45,"36-45",B434&lt;=55,"46-55",B434&lt;=65,"56-65")</f>
        <v>26-35</v>
      </c>
      <c r="D434" t="s">
        <v>35</v>
      </c>
      <c r="E434" t="str">
        <f t="shared" si="12"/>
        <v>Current Employee</v>
      </c>
      <c r="F434" t="s">
        <v>36</v>
      </c>
      <c r="G434">
        <v>1303</v>
      </c>
      <c r="H434" t="s">
        <v>45</v>
      </c>
      <c r="I434">
        <v>2</v>
      </c>
      <c r="J434">
        <v>4</v>
      </c>
      <c r="K434" t="s">
        <v>38</v>
      </c>
      <c r="L434">
        <v>1</v>
      </c>
      <c r="M434">
        <v>4</v>
      </c>
      <c r="N434" t="s">
        <v>46</v>
      </c>
      <c r="O434">
        <v>62</v>
      </c>
      <c r="P434">
        <v>2</v>
      </c>
      <c r="Q434">
        <v>1</v>
      </c>
      <c r="R434" t="s">
        <v>47</v>
      </c>
      <c r="S434">
        <v>3</v>
      </c>
      <c r="T434" t="str" cm="1">
        <f t="array" ref="T434">_xlfn.IFS(S434&lt;=2,"Poor",S434&lt;=3,"Fair",S434&gt;=4,"Good")</f>
        <v>Fair</v>
      </c>
      <c r="U434" t="s">
        <v>50</v>
      </c>
      <c r="V434" s="1">
        <v>2768</v>
      </c>
      <c r="W434" t="str" cm="1">
        <f t="array" ref="W434">_xlfn.IFS(V434&lt;=5000,"Low Salary",V434&lt;=12000,"Good Salary",V434&gt;12000,"High Salary")</f>
        <v>Low Salary</v>
      </c>
      <c r="X434">
        <v>8416</v>
      </c>
      <c r="Y434">
        <v>3</v>
      </c>
      <c r="Z434" t="s">
        <v>42</v>
      </c>
      <c r="AA434" t="s">
        <v>35</v>
      </c>
      <c r="AB434">
        <v>12</v>
      </c>
      <c r="AC434">
        <v>3</v>
      </c>
      <c r="AD434" t="str">
        <f t="shared" si="13"/>
        <v>Low Performance</v>
      </c>
      <c r="AE434">
        <v>3</v>
      </c>
      <c r="AF434">
        <v>80</v>
      </c>
      <c r="AG434">
        <v>1</v>
      </c>
      <c r="AH434">
        <v>14</v>
      </c>
      <c r="AI434">
        <v>3</v>
      </c>
      <c r="AJ434">
        <v>3</v>
      </c>
      <c r="AK434" t="str" cm="1">
        <f t="array" ref="AK434">_xlfn.IFS(AJ434&lt;=2,"Poor",AJ434&lt;=3,"Fair",AJ434&gt;3,"Good")</f>
        <v>Fair</v>
      </c>
      <c r="AL434">
        <v>7</v>
      </c>
      <c r="AM434">
        <v>3</v>
      </c>
      <c r="AN434">
        <v>5</v>
      </c>
      <c r="AO434">
        <v>7</v>
      </c>
    </row>
    <row r="435" spans="1:41" x14ac:dyDescent="0.2">
      <c r="A435">
        <v>1725110</v>
      </c>
      <c r="B435">
        <v>31</v>
      </c>
      <c r="C435" t="str" cm="1">
        <f t="array" ref="C435">_xlfn.IFS(B435&lt;=25,"15-25",B435&lt;=35,"26-35",B435&lt;=45,"36-45",B435&lt;=55,"46-55",B435&lt;=65,"56-65")</f>
        <v>26-35</v>
      </c>
      <c r="D435" t="s">
        <v>35</v>
      </c>
      <c r="E435" t="str">
        <f t="shared" si="12"/>
        <v>Current Employee</v>
      </c>
      <c r="F435" t="s">
        <v>36</v>
      </c>
      <c r="G435">
        <v>1274</v>
      </c>
      <c r="H435" t="s">
        <v>45</v>
      </c>
      <c r="I435">
        <v>9</v>
      </c>
      <c r="J435">
        <v>1</v>
      </c>
      <c r="K435" t="s">
        <v>38</v>
      </c>
      <c r="L435">
        <v>1</v>
      </c>
      <c r="M435">
        <v>3</v>
      </c>
      <c r="N435" t="s">
        <v>46</v>
      </c>
      <c r="O435">
        <v>33</v>
      </c>
      <c r="P435">
        <v>3</v>
      </c>
      <c r="Q435">
        <v>3</v>
      </c>
      <c r="R435" t="s">
        <v>51</v>
      </c>
      <c r="S435">
        <v>2</v>
      </c>
      <c r="T435" t="str" cm="1">
        <f t="array" ref="T435">_xlfn.IFS(S435&lt;=2,"Poor",S435&lt;=3,"Fair",S435&gt;=4,"Good")</f>
        <v>Poor</v>
      </c>
      <c r="U435" t="s">
        <v>50</v>
      </c>
      <c r="V435" s="1">
        <v>10648</v>
      </c>
      <c r="W435" t="str" cm="1">
        <f t="array" ref="W435">_xlfn.IFS(V435&lt;=5000,"Low Salary",V435&lt;=12000,"Good Salary",V435&gt;12000,"High Salary")</f>
        <v>Good Salary</v>
      </c>
      <c r="X435">
        <v>14394</v>
      </c>
      <c r="Y435">
        <v>1</v>
      </c>
      <c r="Z435" t="s">
        <v>42</v>
      </c>
      <c r="AA435" t="s">
        <v>35</v>
      </c>
      <c r="AB435">
        <v>25</v>
      </c>
      <c r="AC435">
        <v>4</v>
      </c>
      <c r="AD435" t="str">
        <f t="shared" si="13"/>
        <v>High Performance</v>
      </c>
      <c r="AE435">
        <v>4</v>
      </c>
      <c r="AF435">
        <v>80</v>
      </c>
      <c r="AG435">
        <v>1</v>
      </c>
      <c r="AH435">
        <v>13</v>
      </c>
      <c r="AI435">
        <v>6</v>
      </c>
      <c r="AJ435">
        <v>4</v>
      </c>
      <c r="AK435" t="str" cm="1">
        <f t="array" ref="AK435">_xlfn.IFS(AJ435&lt;=2,"Poor",AJ435&lt;=3,"Fair",AJ435&gt;3,"Good")</f>
        <v>Good</v>
      </c>
      <c r="AL435">
        <v>13</v>
      </c>
      <c r="AM435">
        <v>8</v>
      </c>
      <c r="AN435">
        <v>0</v>
      </c>
      <c r="AO435">
        <v>8</v>
      </c>
    </row>
    <row r="436" spans="1:41" x14ac:dyDescent="0.2">
      <c r="A436">
        <v>1563027</v>
      </c>
      <c r="B436">
        <v>33</v>
      </c>
      <c r="C436" t="str" cm="1">
        <f t="array" ref="C436">_xlfn.IFS(B436&lt;=25,"15-25",B436&lt;=35,"26-35",B436&lt;=45,"36-45",B436&lt;=55,"46-55",B436&lt;=65,"56-65")</f>
        <v>26-35</v>
      </c>
      <c r="D436" t="s">
        <v>43</v>
      </c>
      <c r="E436" t="str">
        <f t="shared" si="12"/>
        <v>Former Employee</v>
      </c>
      <c r="F436" t="s">
        <v>36</v>
      </c>
      <c r="G436">
        <v>1277</v>
      </c>
      <c r="H436" t="s">
        <v>54</v>
      </c>
      <c r="I436">
        <v>15</v>
      </c>
      <c r="J436">
        <v>1</v>
      </c>
      <c r="K436" t="s">
        <v>49</v>
      </c>
      <c r="L436">
        <v>1</v>
      </c>
      <c r="M436">
        <v>2</v>
      </c>
      <c r="N436" t="s">
        <v>46</v>
      </c>
      <c r="O436">
        <v>56</v>
      </c>
      <c r="P436">
        <v>3</v>
      </c>
      <c r="Q436">
        <v>3</v>
      </c>
      <c r="R436" t="s">
        <v>47</v>
      </c>
      <c r="S436">
        <v>3</v>
      </c>
      <c r="T436" t="str" cm="1">
        <f t="array" ref="T436">_xlfn.IFS(S436&lt;=2,"Poor",S436&lt;=3,"Fair",S436&gt;=4,"Good")</f>
        <v>Fair</v>
      </c>
      <c r="U436" t="s">
        <v>48</v>
      </c>
      <c r="V436" s="1">
        <v>13610</v>
      </c>
      <c r="W436" t="str" cm="1">
        <f t="array" ref="W436">_xlfn.IFS(V436&lt;=5000,"Low Salary",V436&lt;=12000,"Good Salary",V436&gt;12000,"High Salary")</f>
        <v>High Salary</v>
      </c>
      <c r="X436">
        <v>24619</v>
      </c>
      <c r="Y436">
        <v>7</v>
      </c>
      <c r="Z436" t="s">
        <v>42</v>
      </c>
      <c r="AA436" t="s">
        <v>43</v>
      </c>
      <c r="AB436">
        <v>12</v>
      </c>
      <c r="AC436">
        <v>3</v>
      </c>
      <c r="AD436" t="str">
        <f t="shared" si="13"/>
        <v>Low Performance</v>
      </c>
      <c r="AE436">
        <v>4</v>
      </c>
      <c r="AF436">
        <v>80</v>
      </c>
      <c r="AG436">
        <v>0</v>
      </c>
      <c r="AH436">
        <v>15</v>
      </c>
      <c r="AI436">
        <v>2</v>
      </c>
      <c r="AJ436">
        <v>4</v>
      </c>
      <c r="AK436" t="str" cm="1">
        <f t="array" ref="AK436">_xlfn.IFS(AJ436&lt;=2,"Poor",AJ436&lt;=3,"Fair",AJ436&gt;3,"Good")</f>
        <v>Good</v>
      </c>
      <c r="AL436">
        <v>7</v>
      </c>
      <c r="AM436">
        <v>6</v>
      </c>
      <c r="AN436">
        <v>7</v>
      </c>
      <c r="AO436">
        <v>7</v>
      </c>
    </row>
    <row r="437" spans="1:41" x14ac:dyDescent="0.2">
      <c r="A437">
        <v>1173414</v>
      </c>
      <c r="B437">
        <v>33</v>
      </c>
      <c r="C437" t="str" cm="1">
        <f t="array" ref="C437">_xlfn.IFS(B437&lt;=25,"15-25",B437&lt;=35,"26-35",B437&lt;=45,"36-45",B437&lt;=55,"46-55",B437&lt;=65,"56-65")</f>
        <v>26-35</v>
      </c>
      <c r="D437" t="s">
        <v>35</v>
      </c>
      <c r="E437" t="str">
        <f t="shared" si="12"/>
        <v>Current Employee</v>
      </c>
      <c r="F437" t="s">
        <v>36</v>
      </c>
      <c r="G437">
        <v>587</v>
      </c>
      <c r="H437" t="s">
        <v>45</v>
      </c>
      <c r="I437">
        <v>10</v>
      </c>
      <c r="J437">
        <v>1</v>
      </c>
      <c r="K437" t="s">
        <v>49</v>
      </c>
      <c r="L437">
        <v>1</v>
      </c>
      <c r="M437">
        <v>1</v>
      </c>
      <c r="N437" t="s">
        <v>46</v>
      </c>
      <c r="O437">
        <v>38</v>
      </c>
      <c r="P437">
        <v>1</v>
      </c>
      <c r="Q437">
        <v>1</v>
      </c>
      <c r="R437" t="s">
        <v>40</v>
      </c>
      <c r="S437">
        <v>4</v>
      </c>
      <c r="T437" t="str" cm="1">
        <f t="array" ref="T437">_xlfn.IFS(S437&lt;=2,"Poor",S437&lt;=3,"Fair",S437&gt;=4,"Good")</f>
        <v>Good</v>
      </c>
      <c r="U437" t="s">
        <v>50</v>
      </c>
      <c r="V437" s="1">
        <v>3408</v>
      </c>
      <c r="W437" t="str" cm="1">
        <f t="array" ref="W437">_xlfn.IFS(V437&lt;=5000,"Low Salary",V437&lt;=12000,"Good Salary",V437&gt;12000,"High Salary")</f>
        <v>Low Salary</v>
      </c>
      <c r="X437">
        <v>6705</v>
      </c>
      <c r="Y437">
        <v>7</v>
      </c>
      <c r="Z437" t="s">
        <v>42</v>
      </c>
      <c r="AA437" t="s">
        <v>35</v>
      </c>
      <c r="AB437">
        <v>13</v>
      </c>
      <c r="AC437">
        <v>3</v>
      </c>
      <c r="AD437" t="str">
        <f t="shared" si="13"/>
        <v>Low Performance</v>
      </c>
      <c r="AE437">
        <v>1</v>
      </c>
      <c r="AF437">
        <v>80</v>
      </c>
      <c r="AG437">
        <v>3</v>
      </c>
      <c r="AH437">
        <v>8</v>
      </c>
      <c r="AI437">
        <v>2</v>
      </c>
      <c r="AJ437">
        <v>3</v>
      </c>
      <c r="AK437" t="str" cm="1">
        <f t="array" ref="AK437">_xlfn.IFS(AJ437&lt;=2,"Poor",AJ437&lt;=3,"Fair",AJ437&gt;3,"Good")</f>
        <v>Fair</v>
      </c>
      <c r="AL437">
        <v>4</v>
      </c>
      <c r="AM437">
        <v>3</v>
      </c>
      <c r="AN437">
        <v>1</v>
      </c>
      <c r="AO437">
        <v>3</v>
      </c>
    </row>
    <row r="438" spans="1:41" x14ac:dyDescent="0.2">
      <c r="A438">
        <v>1188476</v>
      </c>
      <c r="B438">
        <v>30</v>
      </c>
      <c r="C438" t="str" cm="1">
        <f t="array" ref="C438">_xlfn.IFS(B438&lt;=25,"15-25",B438&lt;=35,"26-35",B438&lt;=45,"36-45",B438&lt;=55,"46-55",B438&lt;=65,"56-65")</f>
        <v>26-35</v>
      </c>
      <c r="D438" t="s">
        <v>35</v>
      </c>
      <c r="E438" t="str">
        <f t="shared" si="12"/>
        <v>Current Employee</v>
      </c>
      <c r="F438" t="s">
        <v>36</v>
      </c>
      <c r="G438">
        <v>413</v>
      </c>
      <c r="H438" t="s">
        <v>37</v>
      </c>
      <c r="I438">
        <v>7</v>
      </c>
      <c r="J438">
        <v>1</v>
      </c>
      <c r="K438" t="s">
        <v>55</v>
      </c>
      <c r="L438">
        <v>1</v>
      </c>
      <c r="M438">
        <v>4</v>
      </c>
      <c r="N438" t="s">
        <v>46</v>
      </c>
      <c r="O438">
        <v>57</v>
      </c>
      <c r="P438">
        <v>3</v>
      </c>
      <c r="Q438">
        <v>1</v>
      </c>
      <c r="R438" t="s">
        <v>47</v>
      </c>
      <c r="S438">
        <v>2</v>
      </c>
      <c r="T438" t="str" cm="1">
        <f t="array" ref="T438">_xlfn.IFS(S438&lt;=2,"Poor",S438&lt;=3,"Fair",S438&gt;=4,"Good")</f>
        <v>Poor</v>
      </c>
      <c r="U438" t="s">
        <v>41</v>
      </c>
      <c r="V438" s="1">
        <v>2983</v>
      </c>
      <c r="W438" t="str" cm="1">
        <f t="array" ref="W438">_xlfn.IFS(V438&lt;=5000,"Low Salary",V438&lt;=12000,"Good Salary",V438&gt;12000,"High Salary")</f>
        <v>Low Salary</v>
      </c>
      <c r="X438">
        <v>18398</v>
      </c>
      <c r="Y438">
        <v>0</v>
      </c>
      <c r="Z438" t="s">
        <v>42</v>
      </c>
      <c r="AA438" t="s">
        <v>35</v>
      </c>
      <c r="AB438">
        <v>14</v>
      </c>
      <c r="AC438">
        <v>3</v>
      </c>
      <c r="AD438" t="str">
        <f t="shared" si="13"/>
        <v>Low Performance</v>
      </c>
      <c r="AE438">
        <v>1</v>
      </c>
      <c r="AF438">
        <v>80</v>
      </c>
      <c r="AG438">
        <v>0</v>
      </c>
      <c r="AH438">
        <v>4</v>
      </c>
      <c r="AI438">
        <v>3</v>
      </c>
      <c r="AJ438">
        <v>3</v>
      </c>
      <c r="AK438" t="str" cm="1">
        <f t="array" ref="AK438">_xlfn.IFS(AJ438&lt;=2,"Poor",AJ438&lt;=3,"Fair",AJ438&gt;3,"Good")</f>
        <v>Fair</v>
      </c>
      <c r="AL438">
        <v>3</v>
      </c>
      <c r="AM438">
        <v>2</v>
      </c>
      <c r="AN438">
        <v>1</v>
      </c>
      <c r="AO438">
        <v>2</v>
      </c>
    </row>
    <row r="439" spans="1:41" x14ac:dyDescent="0.2">
      <c r="A439">
        <v>1204541</v>
      </c>
      <c r="B439">
        <v>35</v>
      </c>
      <c r="C439" t="str" cm="1">
        <f t="array" ref="C439">_xlfn.IFS(B439&lt;=25,"15-25",B439&lt;=35,"26-35",B439&lt;=45,"36-45",B439&lt;=55,"46-55",B439&lt;=65,"56-65")</f>
        <v>26-35</v>
      </c>
      <c r="D439" t="s">
        <v>35</v>
      </c>
      <c r="E439" t="str">
        <f t="shared" si="12"/>
        <v>Current Employee</v>
      </c>
      <c r="F439" t="s">
        <v>36</v>
      </c>
      <c r="G439">
        <v>1276</v>
      </c>
      <c r="H439" t="s">
        <v>45</v>
      </c>
      <c r="I439">
        <v>16</v>
      </c>
      <c r="J439">
        <v>3</v>
      </c>
      <c r="K439" t="s">
        <v>38</v>
      </c>
      <c r="L439">
        <v>1</v>
      </c>
      <c r="M439">
        <v>4</v>
      </c>
      <c r="N439" t="s">
        <v>46</v>
      </c>
      <c r="O439">
        <v>72</v>
      </c>
      <c r="P439">
        <v>3</v>
      </c>
      <c r="Q439">
        <v>3</v>
      </c>
      <c r="R439" t="s">
        <v>40</v>
      </c>
      <c r="S439">
        <v>3</v>
      </c>
      <c r="T439" t="str" cm="1">
        <f t="array" ref="T439">_xlfn.IFS(S439&lt;=2,"Poor",S439&lt;=3,"Fair",S439&gt;=4,"Good")</f>
        <v>Fair</v>
      </c>
      <c r="U439" t="s">
        <v>48</v>
      </c>
      <c r="V439" s="1">
        <v>7632</v>
      </c>
      <c r="W439" t="str" cm="1">
        <f t="array" ref="W439">_xlfn.IFS(V439&lt;=5000,"Low Salary",V439&lt;=12000,"Good Salary",V439&gt;12000,"High Salary")</f>
        <v>Good Salary</v>
      </c>
      <c r="X439">
        <v>14295</v>
      </c>
      <c r="Y439">
        <v>4</v>
      </c>
      <c r="Z439" t="s">
        <v>42</v>
      </c>
      <c r="AA439" t="s">
        <v>43</v>
      </c>
      <c r="AB439">
        <v>12</v>
      </c>
      <c r="AC439">
        <v>3</v>
      </c>
      <c r="AD439" t="str">
        <f t="shared" si="13"/>
        <v>Low Performance</v>
      </c>
      <c r="AE439">
        <v>3</v>
      </c>
      <c r="AF439">
        <v>80</v>
      </c>
      <c r="AG439">
        <v>0</v>
      </c>
      <c r="AH439">
        <v>10</v>
      </c>
      <c r="AI439">
        <v>2</v>
      </c>
      <c r="AJ439">
        <v>3</v>
      </c>
      <c r="AK439" t="str" cm="1">
        <f t="array" ref="AK439">_xlfn.IFS(AJ439&lt;=2,"Poor",AJ439&lt;=3,"Fair",AJ439&gt;3,"Good")</f>
        <v>Fair</v>
      </c>
      <c r="AL439">
        <v>8</v>
      </c>
      <c r="AM439">
        <v>7</v>
      </c>
      <c r="AN439">
        <v>0</v>
      </c>
      <c r="AO439">
        <v>0</v>
      </c>
    </row>
    <row r="440" spans="1:41" x14ac:dyDescent="0.2">
      <c r="A440">
        <v>1736866</v>
      </c>
      <c r="B440">
        <v>31</v>
      </c>
      <c r="C440" t="str" cm="1">
        <f t="array" ref="C440">_xlfn.IFS(B440&lt;=25,"15-25",B440&lt;=35,"26-35",B440&lt;=45,"36-45",B440&lt;=55,"46-55",B440&lt;=65,"56-65")</f>
        <v>26-35</v>
      </c>
      <c r="D440" t="s">
        <v>43</v>
      </c>
      <c r="E440" t="str">
        <f t="shared" si="12"/>
        <v>Former Employee</v>
      </c>
      <c r="F440" t="s">
        <v>44</v>
      </c>
      <c r="G440">
        <v>534</v>
      </c>
      <c r="H440" t="s">
        <v>45</v>
      </c>
      <c r="I440">
        <v>20</v>
      </c>
      <c r="J440">
        <v>3</v>
      </c>
      <c r="K440" t="s">
        <v>38</v>
      </c>
      <c r="L440">
        <v>1</v>
      </c>
      <c r="M440">
        <v>1</v>
      </c>
      <c r="N440" t="s">
        <v>46</v>
      </c>
      <c r="O440">
        <v>66</v>
      </c>
      <c r="P440">
        <v>3</v>
      </c>
      <c r="Q440">
        <v>3</v>
      </c>
      <c r="R440" t="s">
        <v>40</v>
      </c>
      <c r="S440">
        <v>3</v>
      </c>
      <c r="T440" t="str" cm="1">
        <f t="array" ref="T440">_xlfn.IFS(S440&lt;=2,"Poor",S440&lt;=3,"Fair",S440&gt;=4,"Good")</f>
        <v>Fair</v>
      </c>
      <c r="U440" t="s">
        <v>48</v>
      </c>
      <c r="V440" s="1">
        <v>9824</v>
      </c>
      <c r="W440" t="str" cm="1">
        <f t="array" ref="W440">_xlfn.IFS(V440&lt;=5000,"Low Salary",V440&lt;=12000,"Good Salary",V440&gt;12000,"High Salary")</f>
        <v>Good Salary</v>
      </c>
      <c r="X440">
        <v>22908</v>
      </c>
      <c r="Y440">
        <v>3</v>
      </c>
      <c r="Z440" t="s">
        <v>42</v>
      </c>
      <c r="AA440" t="s">
        <v>35</v>
      </c>
      <c r="AB440">
        <v>12</v>
      </c>
      <c r="AC440">
        <v>3</v>
      </c>
      <c r="AD440" t="str">
        <f t="shared" si="13"/>
        <v>Low Performance</v>
      </c>
      <c r="AE440">
        <v>1</v>
      </c>
      <c r="AF440">
        <v>80</v>
      </c>
      <c r="AG440">
        <v>0</v>
      </c>
      <c r="AH440">
        <v>12</v>
      </c>
      <c r="AI440">
        <v>2</v>
      </c>
      <c r="AJ440">
        <v>3</v>
      </c>
      <c r="AK440" t="str" cm="1">
        <f t="array" ref="AK440">_xlfn.IFS(AJ440&lt;=2,"Poor",AJ440&lt;=3,"Fair",AJ440&gt;3,"Good")</f>
        <v>Fair</v>
      </c>
      <c r="AL440">
        <v>1</v>
      </c>
      <c r="AM440">
        <v>0</v>
      </c>
      <c r="AN440">
        <v>0</v>
      </c>
      <c r="AO440">
        <v>0</v>
      </c>
    </row>
    <row r="441" spans="1:41" x14ac:dyDescent="0.2">
      <c r="A441">
        <v>1776529</v>
      </c>
      <c r="B441">
        <v>34</v>
      </c>
      <c r="C441" t="str" cm="1">
        <f t="array" ref="C441">_xlfn.IFS(B441&lt;=25,"15-25",B441&lt;=35,"26-35",B441&lt;=45,"36-45",B441&lt;=55,"46-55",B441&lt;=65,"56-65")</f>
        <v>26-35</v>
      </c>
      <c r="D441" t="s">
        <v>43</v>
      </c>
      <c r="E441" t="str">
        <f t="shared" si="12"/>
        <v>Former Employee</v>
      </c>
      <c r="F441" t="s">
        <v>44</v>
      </c>
      <c r="G441">
        <v>988</v>
      </c>
      <c r="H441" t="s">
        <v>54</v>
      </c>
      <c r="I441">
        <v>23</v>
      </c>
      <c r="J441">
        <v>3</v>
      </c>
      <c r="K441" t="s">
        <v>57</v>
      </c>
      <c r="L441">
        <v>1</v>
      </c>
      <c r="M441">
        <v>2</v>
      </c>
      <c r="N441" t="s">
        <v>39</v>
      </c>
      <c r="O441">
        <v>43</v>
      </c>
      <c r="P441">
        <v>3</v>
      </c>
      <c r="Q441">
        <v>3</v>
      </c>
      <c r="R441" t="s">
        <v>47</v>
      </c>
      <c r="S441">
        <v>1</v>
      </c>
      <c r="T441" t="str" cm="1">
        <f t="array" ref="T441">_xlfn.IFS(S441&lt;=2,"Poor",S441&lt;=3,"Fair",S441&gt;=4,"Good")</f>
        <v>Poor</v>
      </c>
      <c r="U441" t="s">
        <v>50</v>
      </c>
      <c r="V441" s="1">
        <v>9950</v>
      </c>
      <c r="W441" t="str" cm="1">
        <f t="array" ref="W441">_xlfn.IFS(V441&lt;=5000,"Low Salary",V441&lt;=12000,"Good Salary",V441&gt;12000,"High Salary")</f>
        <v>Good Salary</v>
      </c>
      <c r="X441">
        <v>11533</v>
      </c>
      <c r="Y441">
        <v>9</v>
      </c>
      <c r="Z441" t="s">
        <v>42</v>
      </c>
      <c r="AA441" t="s">
        <v>43</v>
      </c>
      <c r="AB441">
        <v>15</v>
      </c>
      <c r="AC441">
        <v>3</v>
      </c>
      <c r="AD441" t="str">
        <f t="shared" si="13"/>
        <v>Low Performance</v>
      </c>
      <c r="AE441">
        <v>3</v>
      </c>
      <c r="AF441">
        <v>80</v>
      </c>
      <c r="AG441">
        <v>3</v>
      </c>
      <c r="AH441">
        <v>11</v>
      </c>
      <c r="AI441">
        <v>2</v>
      </c>
      <c r="AJ441">
        <v>3</v>
      </c>
      <c r="AK441" t="str" cm="1">
        <f t="array" ref="AK441">_xlfn.IFS(AJ441&lt;=2,"Poor",AJ441&lt;=3,"Fair",AJ441&gt;3,"Good")</f>
        <v>Fair</v>
      </c>
      <c r="AL441">
        <v>3</v>
      </c>
      <c r="AM441">
        <v>2</v>
      </c>
      <c r="AN441">
        <v>0</v>
      </c>
      <c r="AO441">
        <v>2</v>
      </c>
    </row>
    <row r="442" spans="1:41" x14ac:dyDescent="0.2">
      <c r="A442">
        <v>1489398</v>
      </c>
      <c r="B442">
        <v>42</v>
      </c>
      <c r="C442" t="str" cm="1">
        <f t="array" ref="C442">_xlfn.IFS(B442&lt;=25,"15-25",B442&lt;=35,"26-35",B442&lt;=45,"36-45",B442&lt;=55,"46-55",B442&lt;=65,"56-65")</f>
        <v>36-45</v>
      </c>
      <c r="D442" t="s">
        <v>35</v>
      </c>
      <c r="E442" t="str">
        <f t="shared" si="12"/>
        <v>Current Employee</v>
      </c>
      <c r="F442" t="s">
        <v>44</v>
      </c>
      <c r="G442">
        <v>1474</v>
      </c>
      <c r="H442" t="s">
        <v>45</v>
      </c>
      <c r="I442">
        <v>5</v>
      </c>
      <c r="J442">
        <v>2</v>
      </c>
      <c r="K442" t="s">
        <v>47</v>
      </c>
      <c r="L442">
        <v>1</v>
      </c>
      <c r="M442">
        <v>2</v>
      </c>
      <c r="N442" t="s">
        <v>46</v>
      </c>
      <c r="O442">
        <v>97</v>
      </c>
      <c r="P442">
        <v>3</v>
      </c>
      <c r="Q442">
        <v>1</v>
      </c>
      <c r="R442" t="s">
        <v>40</v>
      </c>
      <c r="S442">
        <v>3</v>
      </c>
      <c r="T442" t="str" cm="1">
        <f t="array" ref="T442">_xlfn.IFS(S442&lt;=2,"Poor",S442&lt;=3,"Fair",S442&gt;=4,"Good")</f>
        <v>Fair</v>
      </c>
      <c r="U442" t="s">
        <v>48</v>
      </c>
      <c r="V442" s="1">
        <v>2093</v>
      </c>
      <c r="W442" t="str" cm="1">
        <f t="array" ref="W442">_xlfn.IFS(V442&lt;=5000,"Low Salary",V442&lt;=12000,"Good Salary",V442&gt;12000,"High Salary")</f>
        <v>Low Salary</v>
      </c>
      <c r="X442">
        <v>9260</v>
      </c>
      <c r="Y442">
        <v>4</v>
      </c>
      <c r="Z442" t="s">
        <v>42</v>
      </c>
      <c r="AA442" t="s">
        <v>35</v>
      </c>
      <c r="AB442">
        <v>17</v>
      </c>
      <c r="AC442">
        <v>3</v>
      </c>
      <c r="AD442" t="str">
        <f t="shared" si="13"/>
        <v>Low Performance</v>
      </c>
      <c r="AE442">
        <v>4</v>
      </c>
      <c r="AF442">
        <v>80</v>
      </c>
      <c r="AG442">
        <v>1</v>
      </c>
      <c r="AH442">
        <v>8</v>
      </c>
      <c r="AI442">
        <v>4</v>
      </c>
      <c r="AJ442">
        <v>3</v>
      </c>
      <c r="AK442" t="str" cm="1">
        <f t="array" ref="AK442">_xlfn.IFS(AJ442&lt;=2,"Poor",AJ442&lt;=3,"Fair",AJ442&gt;3,"Good")</f>
        <v>Fair</v>
      </c>
      <c r="AL442">
        <v>2</v>
      </c>
      <c r="AM442">
        <v>2</v>
      </c>
      <c r="AN442">
        <v>2</v>
      </c>
      <c r="AO442">
        <v>0</v>
      </c>
    </row>
    <row r="443" spans="1:41" x14ac:dyDescent="0.2">
      <c r="A443">
        <v>1673608</v>
      </c>
      <c r="B443">
        <v>36</v>
      </c>
      <c r="C443" t="str" cm="1">
        <f t="array" ref="C443">_xlfn.IFS(B443&lt;=25,"15-25",B443&lt;=35,"26-35",B443&lt;=45,"36-45",B443&lt;=55,"46-55",B443&lt;=65,"56-65")</f>
        <v>36-45</v>
      </c>
      <c r="D443" t="s">
        <v>35</v>
      </c>
      <c r="E443" t="str">
        <f t="shared" si="12"/>
        <v>Current Employee</v>
      </c>
      <c r="F443" t="s">
        <v>52</v>
      </c>
      <c r="G443">
        <v>635</v>
      </c>
      <c r="H443" t="s">
        <v>37</v>
      </c>
      <c r="I443">
        <v>10</v>
      </c>
      <c r="J443">
        <v>4</v>
      </c>
      <c r="K443" t="s">
        <v>49</v>
      </c>
      <c r="L443">
        <v>1</v>
      </c>
      <c r="M443">
        <v>2</v>
      </c>
      <c r="N443" t="s">
        <v>46</v>
      </c>
      <c r="O443">
        <v>32</v>
      </c>
      <c r="P443">
        <v>3</v>
      </c>
      <c r="Q443">
        <v>3</v>
      </c>
      <c r="R443" t="s">
        <v>40</v>
      </c>
      <c r="S443">
        <v>4</v>
      </c>
      <c r="T443" t="str" cm="1">
        <f t="array" ref="T443">_xlfn.IFS(S443&lt;=2,"Poor",S443&lt;=3,"Fair",S443&gt;=4,"Good")</f>
        <v>Good</v>
      </c>
      <c r="U443" t="s">
        <v>41</v>
      </c>
      <c r="V443" s="1">
        <v>9980</v>
      </c>
      <c r="W443" t="str" cm="1">
        <f t="array" ref="W443">_xlfn.IFS(V443&lt;=5000,"Low Salary",V443&lt;=12000,"Good Salary",V443&gt;12000,"High Salary")</f>
        <v>Good Salary</v>
      </c>
      <c r="X443">
        <v>15318</v>
      </c>
      <c r="Y443">
        <v>1</v>
      </c>
      <c r="Z443" t="s">
        <v>42</v>
      </c>
      <c r="AA443" t="s">
        <v>35</v>
      </c>
      <c r="AB443">
        <v>14</v>
      </c>
      <c r="AC443">
        <v>3</v>
      </c>
      <c r="AD443" t="str">
        <f t="shared" si="13"/>
        <v>Low Performance</v>
      </c>
      <c r="AE443">
        <v>4</v>
      </c>
      <c r="AF443">
        <v>80</v>
      </c>
      <c r="AG443">
        <v>0</v>
      </c>
      <c r="AH443">
        <v>10</v>
      </c>
      <c r="AI443">
        <v>3</v>
      </c>
      <c r="AJ443">
        <v>2</v>
      </c>
      <c r="AK443" t="str" cm="1">
        <f t="array" ref="AK443">_xlfn.IFS(AJ443&lt;=2,"Poor",AJ443&lt;=3,"Fair",AJ443&gt;3,"Good")</f>
        <v>Poor</v>
      </c>
      <c r="AL443">
        <v>10</v>
      </c>
      <c r="AM443">
        <v>3</v>
      </c>
      <c r="AN443">
        <v>9</v>
      </c>
      <c r="AO443">
        <v>7</v>
      </c>
    </row>
    <row r="444" spans="1:41" x14ac:dyDescent="0.2">
      <c r="A444">
        <v>1107497</v>
      </c>
      <c r="B444">
        <v>22</v>
      </c>
      <c r="C444" t="str" cm="1">
        <f t="array" ref="C444">_xlfn.IFS(B444&lt;=25,"15-25",B444&lt;=35,"26-35",B444&lt;=45,"36-45",B444&lt;=55,"46-55",B444&lt;=65,"56-65")</f>
        <v>15-25</v>
      </c>
      <c r="D444" t="s">
        <v>35</v>
      </c>
      <c r="E444" t="str">
        <f t="shared" si="12"/>
        <v>Current Employee</v>
      </c>
      <c r="F444" t="s">
        <v>44</v>
      </c>
      <c r="G444">
        <v>1368</v>
      </c>
      <c r="H444" t="s">
        <v>45</v>
      </c>
      <c r="I444">
        <v>4</v>
      </c>
      <c r="J444">
        <v>1</v>
      </c>
      <c r="K444" t="s">
        <v>56</v>
      </c>
      <c r="L444">
        <v>1</v>
      </c>
      <c r="M444">
        <v>3</v>
      </c>
      <c r="N444" t="s">
        <v>46</v>
      </c>
      <c r="O444">
        <v>99</v>
      </c>
      <c r="P444">
        <v>2</v>
      </c>
      <c r="Q444">
        <v>1</v>
      </c>
      <c r="R444" t="s">
        <v>40</v>
      </c>
      <c r="S444">
        <v>3</v>
      </c>
      <c r="T444" t="str" cm="1">
        <f t="array" ref="T444">_xlfn.IFS(S444&lt;=2,"Poor",S444&lt;=3,"Fair",S444&gt;=4,"Good")</f>
        <v>Fair</v>
      </c>
      <c r="U444" t="s">
        <v>41</v>
      </c>
      <c r="V444" s="1">
        <v>3894</v>
      </c>
      <c r="W444" t="str" cm="1">
        <f t="array" ref="W444">_xlfn.IFS(V444&lt;=5000,"Low Salary",V444&lt;=12000,"Good Salary",V444&gt;12000,"High Salary")</f>
        <v>Low Salary</v>
      </c>
      <c r="X444">
        <v>9129</v>
      </c>
      <c r="Y444">
        <v>5</v>
      </c>
      <c r="Z444" t="s">
        <v>42</v>
      </c>
      <c r="AA444" t="s">
        <v>35</v>
      </c>
      <c r="AB444">
        <v>16</v>
      </c>
      <c r="AC444">
        <v>3</v>
      </c>
      <c r="AD444" t="str">
        <f t="shared" si="13"/>
        <v>Low Performance</v>
      </c>
      <c r="AE444">
        <v>3</v>
      </c>
      <c r="AF444">
        <v>80</v>
      </c>
      <c r="AG444">
        <v>0</v>
      </c>
      <c r="AH444">
        <v>4</v>
      </c>
      <c r="AI444">
        <v>3</v>
      </c>
      <c r="AJ444">
        <v>3</v>
      </c>
      <c r="AK444" t="str" cm="1">
        <f t="array" ref="AK444">_xlfn.IFS(AJ444&lt;=2,"Poor",AJ444&lt;=3,"Fair",AJ444&gt;3,"Good")</f>
        <v>Fair</v>
      </c>
      <c r="AL444">
        <v>2</v>
      </c>
      <c r="AM444">
        <v>2</v>
      </c>
      <c r="AN444">
        <v>1</v>
      </c>
      <c r="AO444">
        <v>2</v>
      </c>
    </row>
    <row r="445" spans="1:41" x14ac:dyDescent="0.2">
      <c r="A445">
        <v>1096432</v>
      </c>
      <c r="B445">
        <v>48</v>
      </c>
      <c r="C445" t="str" cm="1">
        <f t="array" ref="C445">_xlfn.IFS(B445&lt;=25,"15-25",B445&lt;=35,"26-35",B445&lt;=45,"36-45",B445&lt;=55,"46-55",B445&lt;=65,"56-65")</f>
        <v>46-55</v>
      </c>
      <c r="D445" t="s">
        <v>35</v>
      </c>
      <c r="E445" t="str">
        <f t="shared" si="12"/>
        <v>Current Employee</v>
      </c>
      <c r="F445" t="s">
        <v>36</v>
      </c>
      <c r="G445">
        <v>163</v>
      </c>
      <c r="H445" t="s">
        <v>37</v>
      </c>
      <c r="I445">
        <v>2</v>
      </c>
      <c r="J445">
        <v>5</v>
      </c>
      <c r="K445" t="s">
        <v>55</v>
      </c>
      <c r="L445">
        <v>1</v>
      </c>
      <c r="M445">
        <v>2</v>
      </c>
      <c r="N445" t="s">
        <v>39</v>
      </c>
      <c r="O445">
        <v>37</v>
      </c>
      <c r="P445">
        <v>3</v>
      </c>
      <c r="Q445">
        <v>2</v>
      </c>
      <c r="R445" t="s">
        <v>40</v>
      </c>
      <c r="S445">
        <v>4</v>
      </c>
      <c r="T445" t="str" cm="1">
        <f t="array" ref="T445">_xlfn.IFS(S445&lt;=2,"Poor",S445&lt;=3,"Fair",S445&gt;=4,"Good")</f>
        <v>Good</v>
      </c>
      <c r="U445" t="s">
        <v>48</v>
      </c>
      <c r="V445" s="1">
        <v>4051</v>
      </c>
      <c r="W445" t="str" cm="1">
        <f t="array" ref="W445">_xlfn.IFS(V445&lt;=5000,"Low Salary",V445&lt;=12000,"Good Salary",V445&gt;12000,"High Salary")</f>
        <v>Low Salary</v>
      </c>
      <c r="X445">
        <v>19658</v>
      </c>
      <c r="Y445">
        <v>2</v>
      </c>
      <c r="Z445" t="s">
        <v>42</v>
      </c>
      <c r="AA445" t="s">
        <v>35</v>
      </c>
      <c r="AB445">
        <v>14</v>
      </c>
      <c r="AC445">
        <v>3</v>
      </c>
      <c r="AD445" t="str">
        <f t="shared" si="13"/>
        <v>Low Performance</v>
      </c>
      <c r="AE445">
        <v>1</v>
      </c>
      <c r="AF445">
        <v>80</v>
      </c>
      <c r="AG445">
        <v>1</v>
      </c>
      <c r="AH445">
        <v>14</v>
      </c>
      <c r="AI445">
        <v>2</v>
      </c>
      <c r="AJ445">
        <v>3</v>
      </c>
      <c r="AK445" t="str" cm="1">
        <f t="array" ref="AK445">_xlfn.IFS(AJ445&lt;=2,"Poor",AJ445&lt;=3,"Fair",AJ445&gt;3,"Good")</f>
        <v>Fair</v>
      </c>
      <c r="AL445">
        <v>9</v>
      </c>
      <c r="AM445">
        <v>7</v>
      </c>
      <c r="AN445">
        <v>6</v>
      </c>
      <c r="AO445">
        <v>7</v>
      </c>
    </row>
    <row r="446" spans="1:41" x14ac:dyDescent="0.2">
      <c r="A446">
        <v>1045162</v>
      </c>
      <c r="B446">
        <v>55</v>
      </c>
      <c r="C446" t="str" cm="1">
        <f t="array" ref="C446">_xlfn.IFS(B446&lt;=25,"15-25",B446&lt;=35,"26-35",B446&lt;=45,"36-45",B446&lt;=55,"46-55",B446&lt;=65,"56-65")</f>
        <v>46-55</v>
      </c>
      <c r="D446" t="s">
        <v>35</v>
      </c>
      <c r="E446" t="str">
        <f t="shared" si="12"/>
        <v>Current Employee</v>
      </c>
      <c r="F446" t="s">
        <v>36</v>
      </c>
      <c r="G446">
        <v>1117</v>
      </c>
      <c r="H446" t="s">
        <v>37</v>
      </c>
      <c r="I446">
        <v>18</v>
      </c>
      <c r="J446">
        <v>5</v>
      </c>
      <c r="K446" t="s">
        <v>38</v>
      </c>
      <c r="L446">
        <v>1</v>
      </c>
      <c r="M446">
        <v>1</v>
      </c>
      <c r="N446" t="s">
        <v>39</v>
      </c>
      <c r="O446">
        <v>83</v>
      </c>
      <c r="P446">
        <v>3</v>
      </c>
      <c r="Q446">
        <v>4</v>
      </c>
      <c r="R446" t="s">
        <v>53</v>
      </c>
      <c r="S446">
        <v>2</v>
      </c>
      <c r="T446" t="str" cm="1">
        <f t="array" ref="T446">_xlfn.IFS(S446&lt;=2,"Poor",S446&lt;=3,"Fair",S446&gt;=4,"Good")</f>
        <v>Poor</v>
      </c>
      <c r="U446" t="s">
        <v>41</v>
      </c>
      <c r="V446" s="1">
        <v>16835</v>
      </c>
      <c r="W446" t="str" cm="1">
        <f t="array" ref="W446">_xlfn.IFS(V446&lt;=5000,"Low Salary",V446&lt;=12000,"Good Salary",V446&gt;12000,"High Salary")</f>
        <v>High Salary</v>
      </c>
      <c r="X446">
        <v>9873</v>
      </c>
      <c r="Y446">
        <v>3</v>
      </c>
      <c r="Z446" t="s">
        <v>42</v>
      </c>
      <c r="AA446" t="s">
        <v>35</v>
      </c>
      <c r="AB446">
        <v>23</v>
      </c>
      <c r="AC446">
        <v>4</v>
      </c>
      <c r="AD446" t="str">
        <f t="shared" si="13"/>
        <v>High Performance</v>
      </c>
      <c r="AE446">
        <v>4</v>
      </c>
      <c r="AF446">
        <v>80</v>
      </c>
      <c r="AG446">
        <v>0</v>
      </c>
      <c r="AH446">
        <v>37</v>
      </c>
      <c r="AI446">
        <v>2</v>
      </c>
      <c r="AJ446">
        <v>3</v>
      </c>
      <c r="AK446" t="str" cm="1">
        <f t="array" ref="AK446">_xlfn.IFS(AJ446&lt;=2,"Poor",AJ446&lt;=3,"Fair",AJ446&gt;3,"Good")</f>
        <v>Fair</v>
      </c>
      <c r="AL446">
        <v>10</v>
      </c>
      <c r="AM446">
        <v>9</v>
      </c>
      <c r="AN446">
        <v>7</v>
      </c>
      <c r="AO446">
        <v>7</v>
      </c>
    </row>
    <row r="447" spans="1:41" x14ac:dyDescent="0.2">
      <c r="A447">
        <v>1756239</v>
      </c>
      <c r="B447">
        <v>41</v>
      </c>
      <c r="C447" t="str" cm="1">
        <f t="array" ref="C447">_xlfn.IFS(B447&lt;=25,"15-25",B447&lt;=35,"26-35",B447&lt;=45,"36-45",B447&lt;=55,"46-55",B447&lt;=65,"56-65")</f>
        <v>36-45</v>
      </c>
      <c r="D447" t="s">
        <v>35</v>
      </c>
      <c r="E447" t="str">
        <f t="shared" si="12"/>
        <v>Current Employee</v>
      </c>
      <c r="F447" t="s">
        <v>52</v>
      </c>
      <c r="G447">
        <v>267</v>
      </c>
      <c r="H447" t="s">
        <v>37</v>
      </c>
      <c r="I447">
        <v>10</v>
      </c>
      <c r="J447">
        <v>2</v>
      </c>
      <c r="K447" t="s">
        <v>38</v>
      </c>
      <c r="L447">
        <v>1</v>
      </c>
      <c r="M447">
        <v>4</v>
      </c>
      <c r="N447" t="s">
        <v>46</v>
      </c>
      <c r="O447">
        <v>56</v>
      </c>
      <c r="P447">
        <v>3</v>
      </c>
      <c r="Q447">
        <v>2</v>
      </c>
      <c r="R447" t="s">
        <v>40</v>
      </c>
      <c r="S447">
        <v>4</v>
      </c>
      <c r="T447" t="str" cm="1">
        <f t="array" ref="T447">_xlfn.IFS(S447&lt;=2,"Poor",S447&lt;=3,"Fair",S447&gt;=4,"Good")</f>
        <v>Good</v>
      </c>
      <c r="U447" t="s">
        <v>41</v>
      </c>
      <c r="V447" s="1">
        <v>6230</v>
      </c>
      <c r="W447" t="str" cm="1">
        <f t="array" ref="W447">_xlfn.IFS(V447&lt;=5000,"Low Salary",V447&lt;=12000,"Good Salary",V447&gt;12000,"High Salary")</f>
        <v>Good Salary</v>
      </c>
      <c r="X447">
        <v>13430</v>
      </c>
      <c r="Y447">
        <v>7</v>
      </c>
      <c r="Z447" t="s">
        <v>42</v>
      </c>
      <c r="AA447" t="s">
        <v>35</v>
      </c>
      <c r="AB447">
        <v>14</v>
      </c>
      <c r="AC447">
        <v>3</v>
      </c>
      <c r="AD447" t="str">
        <f t="shared" si="13"/>
        <v>Low Performance</v>
      </c>
      <c r="AE447">
        <v>4</v>
      </c>
      <c r="AF447">
        <v>80</v>
      </c>
      <c r="AG447">
        <v>0</v>
      </c>
      <c r="AH447">
        <v>16</v>
      </c>
      <c r="AI447">
        <v>3</v>
      </c>
      <c r="AJ447">
        <v>3</v>
      </c>
      <c r="AK447" t="str" cm="1">
        <f t="array" ref="AK447">_xlfn.IFS(AJ447&lt;=2,"Poor",AJ447&lt;=3,"Fair",AJ447&gt;3,"Good")</f>
        <v>Fair</v>
      </c>
      <c r="AL447">
        <v>14</v>
      </c>
      <c r="AM447">
        <v>3</v>
      </c>
      <c r="AN447">
        <v>1</v>
      </c>
      <c r="AO447">
        <v>10</v>
      </c>
    </row>
    <row r="448" spans="1:41" x14ac:dyDescent="0.2">
      <c r="A448">
        <v>1372229</v>
      </c>
      <c r="B448">
        <v>35</v>
      </c>
      <c r="C448" t="str" cm="1">
        <f t="array" ref="C448">_xlfn.IFS(B448&lt;=25,"15-25",B448&lt;=35,"26-35",B448&lt;=45,"36-45",B448&lt;=55,"46-55",B448&lt;=65,"56-65")</f>
        <v>26-35</v>
      </c>
      <c r="D448" t="s">
        <v>35</v>
      </c>
      <c r="E448" t="str">
        <f t="shared" si="12"/>
        <v>Current Employee</v>
      </c>
      <c r="F448" t="s">
        <v>36</v>
      </c>
      <c r="G448">
        <v>619</v>
      </c>
      <c r="H448" t="s">
        <v>37</v>
      </c>
      <c r="I448">
        <v>1</v>
      </c>
      <c r="J448">
        <v>3</v>
      </c>
      <c r="K448" t="s">
        <v>55</v>
      </c>
      <c r="L448">
        <v>1</v>
      </c>
      <c r="M448">
        <v>2</v>
      </c>
      <c r="N448" t="s">
        <v>46</v>
      </c>
      <c r="O448">
        <v>85</v>
      </c>
      <c r="P448">
        <v>3</v>
      </c>
      <c r="Q448">
        <v>2</v>
      </c>
      <c r="R448" t="s">
        <v>40</v>
      </c>
      <c r="S448">
        <v>3</v>
      </c>
      <c r="T448" t="str" cm="1">
        <f t="array" ref="T448">_xlfn.IFS(S448&lt;=2,"Poor",S448&lt;=3,"Fair",S448&gt;=4,"Good")</f>
        <v>Fair</v>
      </c>
      <c r="U448" t="s">
        <v>48</v>
      </c>
      <c r="V448" s="1">
        <v>4717</v>
      </c>
      <c r="W448" t="str" cm="1">
        <f t="array" ref="W448">_xlfn.IFS(V448&lt;=5000,"Low Salary",V448&lt;=12000,"Good Salary",V448&gt;12000,"High Salary")</f>
        <v>Low Salary</v>
      </c>
      <c r="X448">
        <v>18659</v>
      </c>
      <c r="Y448">
        <v>9</v>
      </c>
      <c r="Z448" t="s">
        <v>42</v>
      </c>
      <c r="AA448" t="s">
        <v>35</v>
      </c>
      <c r="AB448">
        <v>11</v>
      </c>
      <c r="AC448">
        <v>3</v>
      </c>
      <c r="AD448" t="str">
        <f t="shared" si="13"/>
        <v>Low Performance</v>
      </c>
      <c r="AE448">
        <v>3</v>
      </c>
      <c r="AF448">
        <v>80</v>
      </c>
      <c r="AG448">
        <v>0</v>
      </c>
      <c r="AH448">
        <v>15</v>
      </c>
      <c r="AI448">
        <v>2</v>
      </c>
      <c r="AJ448">
        <v>3</v>
      </c>
      <c r="AK448" t="str" cm="1">
        <f t="array" ref="AK448">_xlfn.IFS(AJ448&lt;=2,"Poor",AJ448&lt;=3,"Fair",AJ448&gt;3,"Good")</f>
        <v>Fair</v>
      </c>
      <c r="AL448">
        <v>11</v>
      </c>
      <c r="AM448">
        <v>9</v>
      </c>
      <c r="AN448">
        <v>6</v>
      </c>
      <c r="AO448">
        <v>9</v>
      </c>
    </row>
    <row r="449" spans="1:41" x14ac:dyDescent="0.2">
      <c r="A449">
        <v>1413753</v>
      </c>
      <c r="B449">
        <v>40</v>
      </c>
      <c r="C449" t="str" cm="1">
        <f t="array" ref="C449">_xlfn.IFS(B449&lt;=25,"15-25",B449&lt;=35,"26-35",B449&lt;=45,"36-45",B449&lt;=55,"46-55",B449&lt;=65,"56-65")</f>
        <v>36-45</v>
      </c>
      <c r="D449" t="s">
        <v>35</v>
      </c>
      <c r="E449" t="str">
        <f t="shared" si="12"/>
        <v>Current Employee</v>
      </c>
      <c r="F449" t="s">
        <v>36</v>
      </c>
      <c r="G449">
        <v>302</v>
      </c>
      <c r="H449" t="s">
        <v>54</v>
      </c>
      <c r="I449">
        <v>6</v>
      </c>
      <c r="J449">
        <v>3</v>
      </c>
      <c r="K449" t="s">
        <v>38</v>
      </c>
      <c r="L449">
        <v>1</v>
      </c>
      <c r="M449">
        <v>2</v>
      </c>
      <c r="N449" t="s">
        <v>39</v>
      </c>
      <c r="O449">
        <v>75</v>
      </c>
      <c r="P449">
        <v>3</v>
      </c>
      <c r="Q449">
        <v>4</v>
      </c>
      <c r="R449" t="s">
        <v>51</v>
      </c>
      <c r="S449">
        <v>3</v>
      </c>
      <c r="T449" t="str" cm="1">
        <f t="array" ref="T449">_xlfn.IFS(S449&lt;=2,"Poor",S449&lt;=3,"Fair",S449&gt;=4,"Good")</f>
        <v>Fair</v>
      </c>
      <c r="U449" t="s">
        <v>41</v>
      </c>
      <c r="V449" s="1">
        <v>13237</v>
      </c>
      <c r="W449" t="str" cm="1">
        <f t="array" ref="W449">_xlfn.IFS(V449&lt;=5000,"Low Salary",V449&lt;=12000,"Good Salary",V449&gt;12000,"High Salary")</f>
        <v>High Salary</v>
      </c>
      <c r="X449">
        <v>20364</v>
      </c>
      <c r="Y449">
        <v>7</v>
      </c>
      <c r="Z449" t="s">
        <v>42</v>
      </c>
      <c r="AA449" t="s">
        <v>35</v>
      </c>
      <c r="AB449">
        <v>15</v>
      </c>
      <c r="AC449">
        <v>3</v>
      </c>
      <c r="AD449" t="str">
        <f t="shared" si="13"/>
        <v>Low Performance</v>
      </c>
      <c r="AE449">
        <v>3</v>
      </c>
      <c r="AF449">
        <v>80</v>
      </c>
      <c r="AG449">
        <v>0</v>
      </c>
      <c r="AH449">
        <v>22</v>
      </c>
      <c r="AI449">
        <v>3</v>
      </c>
      <c r="AJ449">
        <v>3</v>
      </c>
      <c r="AK449" t="str" cm="1">
        <f t="array" ref="AK449">_xlfn.IFS(AJ449&lt;=2,"Poor",AJ449&lt;=3,"Fair",AJ449&gt;3,"Good")</f>
        <v>Fair</v>
      </c>
      <c r="AL449">
        <v>20</v>
      </c>
      <c r="AM449">
        <v>6</v>
      </c>
      <c r="AN449">
        <v>5</v>
      </c>
      <c r="AO449">
        <v>13</v>
      </c>
    </row>
    <row r="450" spans="1:41" x14ac:dyDescent="0.2">
      <c r="A450">
        <v>1394294</v>
      </c>
      <c r="B450">
        <v>39</v>
      </c>
      <c r="C450" t="str" cm="1">
        <f t="array" ref="C450">_xlfn.IFS(B450&lt;=25,"15-25",B450&lt;=35,"26-35",B450&lt;=45,"36-45",B450&lt;=55,"46-55",B450&lt;=65,"56-65")</f>
        <v>36-45</v>
      </c>
      <c r="D450" t="s">
        <v>35</v>
      </c>
      <c r="E450" t="str">
        <f t="shared" si="12"/>
        <v>Current Employee</v>
      </c>
      <c r="F450" t="s">
        <v>44</v>
      </c>
      <c r="G450">
        <v>443</v>
      </c>
      <c r="H450" t="s">
        <v>45</v>
      </c>
      <c r="I450">
        <v>8</v>
      </c>
      <c r="J450">
        <v>1</v>
      </c>
      <c r="K450" t="s">
        <v>38</v>
      </c>
      <c r="L450">
        <v>1</v>
      </c>
      <c r="M450">
        <v>3</v>
      </c>
      <c r="N450" t="s">
        <v>39</v>
      </c>
      <c r="O450">
        <v>48</v>
      </c>
      <c r="P450">
        <v>3</v>
      </c>
      <c r="Q450">
        <v>1</v>
      </c>
      <c r="R450" t="s">
        <v>40</v>
      </c>
      <c r="S450">
        <v>3</v>
      </c>
      <c r="T450" t="str" cm="1">
        <f t="array" ref="T450">_xlfn.IFS(S450&lt;=2,"Poor",S450&lt;=3,"Fair",S450&gt;=4,"Good")</f>
        <v>Fair</v>
      </c>
      <c r="U450" t="s">
        <v>48</v>
      </c>
      <c r="V450" s="1">
        <v>3755</v>
      </c>
      <c r="W450" t="str" cm="1">
        <f t="array" ref="W450">_xlfn.IFS(V450&lt;=5000,"Low Salary",V450&lt;=12000,"Good Salary",V450&gt;12000,"High Salary")</f>
        <v>Low Salary</v>
      </c>
      <c r="X450">
        <v>17872</v>
      </c>
      <c r="Y450">
        <v>1</v>
      </c>
      <c r="Z450" t="s">
        <v>42</v>
      </c>
      <c r="AA450" t="s">
        <v>35</v>
      </c>
      <c r="AB450">
        <v>11</v>
      </c>
      <c r="AC450">
        <v>3</v>
      </c>
      <c r="AD450" t="str">
        <f t="shared" si="13"/>
        <v>Low Performance</v>
      </c>
      <c r="AE450">
        <v>1</v>
      </c>
      <c r="AF450">
        <v>80</v>
      </c>
      <c r="AG450">
        <v>1</v>
      </c>
      <c r="AH450">
        <v>8</v>
      </c>
      <c r="AI450">
        <v>3</v>
      </c>
      <c r="AJ450">
        <v>3</v>
      </c>
      <c r="AK450" t="str" cm="1">
        <f t="array" ref="AK450">_xlfn.IFS(AJ450&lt;=2,"Poor",AJ450&lt;=3,"Fair",AJ450&gt;3,"Good")</f>
        <v>Fair</v>
      </c>
      <c r="AL450">
        <v>8</v>
      </c>
      <c r="AM450">
        <v>3</v>
      </c>
      <c r="AN450">
        <v>0</v>
      </c>
      <c r="AO450">
        <v>7</v>
      </c>
    </row>
    <row r="451" spans="1:41" x14ac:dyDescent="0.2">
      <c r="A451">
        <v>1233772</v>
      </c>
      <c r="B451">
        <v>31</v>
      </c>
      <c r="C451" t="str" cm="1">
        <f t="array" ref="C451">_xlfn.IFS(B451&lt;=25,"15-25",B451&lt;=35,"26-35",B451&lt;=45,"36-45",B451&lt;=55,"46-55",B451&lt;=65,"56-65")</f>
        <v>26-35</v>
      </c>
      <c r="D451" t="s">
        <v>35</v>
      </c>
      <c r="E451" t="str">
        <f t="shared" ref="E451:E514" si="14">IF(D451="No","Current Employee","Former Employee")</f>
        <v>Current Employee</v>
      </c>
      <c r="F451" t="s">
        <v>36</v>
      </c>
      <c r="G451">
        <v>828</v>
      </c>
      <c r="H451" t="s">
        <v>37</v>
      </c>
      <c r="I451">
        <v>2</v>
      </c>
      <c r="J451">
        <v>1</v>
      </c>
      <c r="K451" t="s">
        <v>38</v>
      </c>
      <c r="L451">
        <v>1</v>
      </c>
      <c r="M451">
        <v>2</v>
      </c>
      <c r="N451" t="s">
        <v>46</v>
      </c>
      <c r="O451">
        <v>77</v>
      </c>
      <c r="P451">
        <v>3</v>
      </c>
      <c r="Q451">
        <v>2</v>
      </c>
      <c r="R451" t="s">
        <v>40</v>
      </c>
      <c r="S451">
        <v>4</v>
      </c>
      <c r="T451" t="str" cm="1">
        <f t="array" ref="T451">_xlfn.IFS(S451&lt;=2,"Poor",S451&lt;=3,"Fair",S451&gt;=4,"Good")</f>
        <v>Good</v>
      </c>
      <c r="U451" t="s">
        <v>41</v>
      </c>
      <c r="V451" s="1">
        <v>6582</v>
      </c>
      <c r="W451" t="str" cm="1">
        <f t="array" ref="W451">_xlfn.IFS(V451&lt;=5000,"Low Salary",V451&lt;=12000,"Good Salary",V451&gt;12000,"High Salary")</f>
        <v>Good Salary</v>
      </c>
      <c r="X451">
        <v>8346</v>
      </c>
      <c r="Y451">
        <v>4</v>
      </c>
      <c r="Z451" t="s">
        <v>42</v>
      </c>
      <c r="AA451" t="s">
        <v>43</v>
      </c>
      <c r="AB451">
        <v>13</v>
      </c>
      <c r="AC451">
        <v>3</v>
      </c>
      <c r="AD451" t="str">
        <f t="shared" ref="AD451:AD514" si="15">IF(AC451&lt;=3,"Low Performance","High Performance")</f>
        <v>Low Performance</v>
      </c>
      <c r="AE451">
        <v>3</v>
      </c>
      <c r="AF451">
        <v>80</v>
      </c>
      <c r="AG451">
        <v>0</v>
      </c>
      <c r="AH451">
        <v>10</v>
      </c>
      <c r="AI451">
        <v>2</v>
      </c>
      <c r="AJ451">
        <v>4</v>
      </c>
      <c r="AK451" t="str" cm="1">
        <f t="array" ref="AK451">_xlfn.IFS(AJ451&lt;=2,"Poor",AJ451&lt;=3,"Fair",AJ451&gt;3,"Good")</f>
        <v>Good</v>
      </c>
      <c r="AL451">
        <v>6</v>
      </c>
      <c r="AM451">
        <v>5</v>
      </c>
      <c r="AN451">
        <v>0</v>
      </c>
      <c r="AO451">
        <v>5</v>
      </c>
    </row>
    <row r="452" spans="1:41" x14ac:dyDescent="0.2">
      <c r="A452">
        <v>1882668</v>
      </c>
      <c r="B452">
        <v>42</v>
      </c>
      <c r="C452" t="str" cm="1">
        <f t="array" ref="C452">_xlfn.IFS(B452&lt;=25,"15-25",B452&lt;=35,"26-35",B452&lt;=45,"36-45",B452&lt;=55,"46-55",B452&lt;=65,"56-65")</f>
        <v>36-45</v>
      </c>
      <c r="D452" t="s">
        <v>35</v>
      </c>
      <c r="E452" t="str">
        <f t="shared" si="14"/>
        <v>Current Employee</v>
      </c>
      <c r="F452" t="s">
        <v>36</v>
      </c>
      <c r="G452">
        <v>319</v>
      </c>
      <c r="H452" t="s">
        <v>45</v>
      </c>
      <c r="I452">
        <v>24</v>
      </c>
      <c r="J452">
        <v>3</v>
      </c>
      <c r="K452" t="s">
        <v>49</v>
      </c>
      <c r="L452">
        <v>1</v>
      </c>
      <c r="M452">
        <v>4</v>
      </c>
      <c r="N452" t="s">
        <v>46</v>
      </c>
      <c r="O452">
        <v>56</v>
      </c>
      <c r="P452">
        <v>3</v>
      </c>
      <c r="Q452">
        <v>3</v>
      </c>
      <c r="R452" t="s">
        <v>51</v>
      </c>
      <c r="S452">
        <v>1</v>
      </c>
      <c r="T452" t="str" cm="1">
        <f t="array" ref="T452">_xlfn.IFS(S452&lt;=2,"Poor",S452&lt;=3,"Fair",S452&gt;=4,"Good")</f>
        <v>Poor</v>
      </c>
      <c r="U452" t="s">
        <v>48</v>
      </c>
      <c r="V452" s="1">
        <v>7406</v>
      </c>
      <c r="W452" t="str" cm="1">
        <f t="array" ref="W452">_xlfn.IFS(V452&lt;=5000,"Low Salary",V452&lt;=12000,"Good Salary",V452&gt;12000,"High Salary")</f>
        <v>Good Salary</v>
      </c>
      <c r="X452">
        <v>6950</v>
      </c>
      <c r="Y452">
        <v>1</v>
      </c>
      <c r="Z452" t="s">
        <v>42</v>
      </c>
      <c r="AA452" t="s">
        <v>43</v>
      </c>
      <c r="AB452">
        <v>21</v>
      </c>
      <c r="AC452">
        <v>4</v>
      </c>
      <c r="AD452" t="str">
        <f t="shared" si="15"/>
        <v>High Performance</v>
      </c>
      <c r="AE452">
        <v>4</v>
      </c>
      <c r="AF452">
        <v>80</v>
      </c>
      <c r="AG452">
        <v>1</v>
      </c>
      <c r="AH452">
        <v>10</v>
      </c>
      <c r="AI452">
        <v>5</v>
      </c>
      <c r="AJ452">
        <v>2</v>
      </c>
      <c r="AK452" t="str" cm="1">
        <f t="array" ref="AK452">_xlfn.IFS(AJ452&lt;=2,"Poor",AJ452&lt;=3,"Fair",AJ452&gt;3,"Good")</f>
        <v>Poor</v>
      </c>
      <c r="AL452">
        <v>10</v>
      </c>
      <c r="AM452">
        <v>9</v>
      </c>
      <c r="AN452">
        <v>5</v>
      </c>
      <c r="AO452">
        <v>8</v>
      </c>
    </row>
    <row r="453" spans="1:41" x14ac:dyDescent="0.2">
      <c r="A453">
        <v>1218847</v>
      </c>
      <c r="B453">
        <v>45</v>
      </c>
      <c r="C453" t="str" cm="1">
        <f t="array" ref="C453">_xlfn.IFS(B453&lt;=25,"15-25",B453&lt;=35,"26-35",B453&lt;=45,"36-45",B453&lt;=55,"46-55",B453&lt;=65,"56-65")</f>
        <v>36-45</v>
      </c>
      <c r="D453" t="s">
        <v>35</v>
      </c>
      <c r="E453" t="str">
        <f t="shared" si="14"/>
        <v>Current Employee</v>
      </c>
      <c r="F453" t="s">
        <v>36</v>
      </c>
      <c r="G453">
        <v>561</v>
      </c>
      <c r="H453" t="s">
        <v>37</v>
      </c>
      <c r="I453">
        <v>2</v>
      </c>
      <c r="J453">
        <v>3</v>
      </c>
      <c r="K453" t="s">
        <v>47</v>
      </c>
      <c r="L453">
        <v>1</v>
      </c>
      <c r="M453">
        <v>4</v>
      </c>
      <c r="N453" t="s">
        <v>46</v>
      </c>
      <c r="O453">
        <v>61</v>
      </c>
      <c r="P453">
        <v>3</v>
      </c>
      <c r="Q453">
        <v>2</v>
      </c>
      <c r="R453" t="s">
        <v>40</v>
      </c>
      <c r="S453">
        <v>2</v>
      </c>
      <c r="T453" t="str" cm="1">
        <f t="array" ref="T453">_xlfn.IFS(S453&lt;=2,"Poor",S453&lt;=3,"Fair",S453&gt;=4,"Good")</f>
        <v>Poor</v>
      </c>
      <c r="U453" t="s">
        <v>48</v>
      </c>
      <c r="V453" s="1">
        <v>4805</v>
      </c>
      <c r="W453" t="str" cm="1">
        <f t="array" ref="W453">_xlfn.IFS(V453&lt;=5000,"Low Salary",V453&lt;=12000,"Good Salary",V453&gt;12000,"High Salary")</f>
        <v>Low Salary</v>
      </c>
      <c r="X453">
        <v>16177</v>
      </c>
      <c r="Y453">
        <v>0</v>
      </c>
      <c r="Z453" t="s">
        <v>42</v>
      </c>
      <c r="AA453" t="s">
        <v>35</v>
      </c>
      <c r="AB453">
        <v>19</v>
      </c>
      <c r="AC453">
        <v>3</v>
      </c>
      <c r="AD453" t="str">
        <f t="shared" si="15"/>
        <v>Low Performance</v>
      </c>
      <c r="AE453">
        <v>2</v>
      </c>
      <c r="AF453">
        <v>80</v>
      </c>
      <c r="AG453">
        <v>1</v>
      </c>
      <c r="AH453">
        <v>9</v>
      </c>
      <c r="AI453">
        <v>3</v>
      </c>
      <c r="AJ453">
        <v>4</v>
      </c>
      <c r="AK453" t="str" cm="1">
        <f t="array" ref="AK453">_xlfn.IFS(AJ453&lt;=2,"Poor",AJ453&lt;=3,"Fair",AJ453&gt;3,"Good")</f>
        <v>Good</v>
      </c>
      <c r="AL453">
        <v>8</v>
      </c>
      <c r="AM453">
        <v>7</v>
      </c>
      <c r="AN453">
        <v>3</v>
      </c>
      <c r="AO453">
        <v>7</v>
      </c>
    </row>
    <row r="454" spans="1:41" x14ac:dyDescent="0.2">
      <c r="A454">
        <v>1636995</v>
      </c>
      <c r="B454">
        <v>26</v>
      </c>
      <c r="C454" t="str" cm="1">
        <f t="array" ref="C454">_xlfn.IFS(B454&lt;=25,"15-25",B454&lt;=35,"26-35",B454&lt;=45,"36-45",B454&lt;=55,"46-55",B454&lt;=65,"56-65")</f>
        <v>26-35</v>
      </c>
      <c r="D454" t="s">
        <v>43</v>
      </c>
      <c r="E454" t="str">
        <f t="shared" si="14"/>
        <v>Former Employee</v>
      </c>
      <c r="F454" t="s">
        <v>44</v>
      </c>
      <c r="G454">
        <v>426</v>
      </c>
      <c r="H454" t="s">
        <v>54</v>
      </c>
      <c r="I454">
        <v>17</v>
      </c>
      <c r="J454">
        <v>4</v>
      </c>
      <c r="K454" t="s">
        <v>38</v>
      </c>
      <c r="L454">
        <v>1</v>
      </c>
      <c r="M454">
        <v>2</v>
      </c>
      <c r="N454" t="s">
        <v>39</v>
      </c>
      <c r="O454">
        <v>58</v>
      </c>
      <c r="P454">
        <v>3</v>
      </c>
      <c r="Q454">
        <v>1</v>
      </c>
      <c r="R454" t="s">
        <v>47</v>
      </c>
      <c r="S454">
        <v>3</v>
      </c>
      <c r="T454" t="str" cm="1">
        <f t="array" ref="T454">_xlfn.IFS(S454&lt;=2,"Poor",S454&lt;=3,"Fair",S454&gt;=4,"Good")</f>
        <v>Fair</v>
      </c>
      <c r="U454" t="s">
        <v>50</v>
      </c>
      <c r="V454" s="1">
        <v>2741</v>
      </c>
      <c r="W454" t="str" cm="1">
        <f t="array" ref="W454">_xlfn.IFS(V454&lt;=5000,"Low Salary",V454&lt;=12000,"Good Salary",V454&gt;12000,"High Salary")</f>
        <v>Low Salary</v>
      </c>
      <c r="X454">
        <v>22808</v>
      </c>
      <c r="Y454">
        <v>0</v>
      </c>
      <c r="Z454" t="s">
        <v>42</v>
      </c>
      <c r="AA454" t="s">
        <v>43</v>
      </c>
      <c r="AB454">
        <v>11</v>
      </c>
      <c r="AC454">
        <v>3</v>
      </c>
      <c r="AD454" t="str">
        <f t="shared" si="15"/>
        <v>Low Performance</v>
      </c>
      <c r="AE454">
        <v>2</v>
      </c>
      <c r="AF454">
        <v>80</v>
      </c>
      <c r="AG454">
        <v>1</v>
      </c>
      <c r="AH454">
        <v>8</v>
      </c>
      <c r="AI454">
        <v>2</v>
      </c>
      <c r="AJ454">
        <v>2</v>
      </c>
      <c r="AK454" t="str" cm="1">
        <f t="array" ref="AK454">_xlfn.IFS(AJ454&lt;=2,"Poor",AJ454&lt;=3,"Fair",AJ454&gt;3,"Good")</f>
        <v>Poor</v>
      </c>
      <c r="AL454">
        <v>7</v>
      </c>
      <c r="AM454">
        <v>7</v>
      </c>
      <c r="AN454">
        <v>1</v>
      </c>
      <c r="AO454">
        <v>0</v>
      </c>
    </row>
    <row r="455" spans="1:41" x14ac:dyDescent="0.2">
      <c r="A455">
        <v>1780761</v>
      </c>
      <c r="B455">
        <v>29</v>
      </c>
      <c r="C455" t="str" cm="1">
        <f t="array" ref="C455">_xlfn.IFS(B455&lt;=25,"15-25",B455&lt;=35,"26-35",B455&lt;=45,"36-45",B455&lt;=55,"46-55",B455&lt;=65,"56-65")</f>
        <v>26-35</v>
      </c>
      <c r="D455" t="s">
        <v>35</v>
      </c>
      <c r="E455" t="str">
        <f t="shared" si="14"/>
        <v>Current Employee</v>
      </c>
      <c r="F455" t="s">
        <v>36</v>
      </c>
      <c r="G455">
        <v>232</v>
      </c>
      <c r="H455" t="s">
        <v>45</v>
      </c>
      <c r="I455">
        <v>19</v>
      </c>
      <c r="J455">
        <v>3</v>
      </c>
      <c r="K455" t="s">
        <v>56</v>
      </c>
      <c r="L455">
        <v>1</v>
      </c>
      <c r="M455">
        <v>4</v>
      </c>
      <c r="N455" t="s">
        <v>46</v>
      </c>
      <c r="O455">
        <v>34</v>
      </c>
      <c r="P455">
        <v>3</v>
      </c>
      <c r="Q455">
        <v>2</v>
      </c>
      <c r="R455" t="s">
        <v>51</v>
      </c>
      <c r="S455">
        <v>4</v>
      </c>
      <c r="T455" t="str" cm="1">
        <f t="array" ref="T455">_xlfn.IFS(S455&lt;=2,"Poor",S455&lt;=3,"Fair",S455&gt;=4,"Good")</f>
        <v>Good</v>
      </c>
      <c r="U455" t="s">
        <v>50</v>
      </c>
      <c r="V455" s="1">
        <v>4262</v>
      </c>
      <c r="W455" t="str" cm="1">
        <f t="array" ref="W455">_xlfn.IFS(V455&lt;=5000,"Low Salary",V455&lt;=12000,"Good Salary",V455&gt;12000,"High Salary")</f>
        <v>Low Salary</v>
      </c>
      <c r="X455">
        <v>22645</v>
      </c>
      <c r="Y455">
        <v>4</v>
      </c>
      <c r="Z455" t="s">
        <v>42</v>
      </c>
      <c r="AA455" t="s">
        <v>35</v>
      </c>
      <c r="AB455">
        <v>12</v>
      </c>
      <c r="AC455">
        <v>3</v>
      </c>
      <c r="AD455" t="str">
        <f t="shared" si="15"/>
        <v>Low Performance</v>
      </c>
      <c r="AE455">
        <v>2</v>
      </c>
      <c r="AF455">
        <v>80</v>
      </c>
      <c r="AG455">
        <v>2</v>
      </c>
      <c r="AH455">
        <v>8</v>
      </c>
      <c r="AI455">
        <v>2</v>
      </c>
      <c r="AJ455">
        <v>4</v>
      </c>
      <c r="AK455" t="str" cm="1">
        <f t="array" ref="AK455">_xlfn.IFS(AJ455&lt;=2,"Poor",AJ455&lt;=3,"Fair",AJ455&gt;3,"Good")</f>
        <v>Good</v>
      </c>
      <c r="AL455">
        <v>3</v>
      </c>
      <c r="AM455">
        <v>2</v>
      </c>
      <c r="AN455">
        <v>1</v>
      </c>
      <c r="AO455">
        <v>2</v>
      </c>
    </row>
    <row r="456" spans="1:41" x14ac:dyDescent="0.2">
      <c r="A456">
        <v>1375351</v>
      </c>
      <c r="B456">
        <v>33</v>
      </c>
      <c r="C456" t="str" cm="1">
        <f t="array" ref="C456">_xlfn.IFS(B456&lt;=25,"15-25",B456&lt;=35,"26-35",B456&lt;=45,"36-45",B456&lt;=55,"46-55",B456&lt;=65,"56-65")</f>
        <v>26-35</v>
      </c>
      <c r="D456" t="s">
        <v>35</v>
      </c>
      <c r="E456" t="str">
        <f t="shared" si="14"/>
        <v>Current Employee</v>
      </c>
      <c r="F456" t="s">
        <v>36</v>
      </c>
      <c r="G456">
        <v>922</v>
      </c>
      <c r="H456" t="s">
        <v>45</v>
      </c>
      <c r="I456">
        <v>1</v>
      </c>
      <c r="J456">
        <v>5</v>
      </c>
      <c r="K456" t="s">
        <v>49</v>
      </c>
      <c r="L456">
        <v>1</v>
      </c>
      <c r="M456">
        <v>1</v>
      </c>
      <c r="N456" t="s">
        <v>39</v>
      </c>
      <c r="O456">
        <v>95</v>
      </c>
      <c r="P456">
        <v>4</v>
      </c>
      <c r="Q456">
        <v>4</v>
      </c>
      <c r="R456" t="s">
        <v>53</v>
      </c>
      <c r="S456">
        <v>3</v>
      </c>
      <c r="T456" t="str" cm="1">
        <f t="array" ref="T456">_xlfn.IFS(S456&lt;=2,"Poor",S456&lt;=3,"Fair",S456&gt;=4,"Good")</f>
        <v>Fair</v>
      </c>
      <c r="U456" t="s">
        <v>50</v>
      </c>
      <c r="V456" s="1">
        <v>16184</v>
      </c>
      <c r="W456" t="str" cm="1">
        <f t="array" ref="W456">_xlfn.IFS(V456&lt;=5000,"Low Salary",V456&lt;=12000,"Good Salary",V456&gt;12000,"High Salary")</f>
        <v>High Salary</v>
      </c>
      <c r="X456">
        <v>22578</v>
      </c>
      <c r="Y456">
        <v>4</v>
      </c>
      <c r="Z456" t="s">
        <v>42</v>
      </c>
      <c r="AA456" t="s">
        <v>35</v>
      </c>
      <c r="AB456">
        <v>19</v>
      </c>
      <c r="AC456">
        <v>3</v>
      </c>
      <c r="AD456" t="str">
        <f t="shared" si="15"/>
        <v>Low Performance</v>
      </c>
      <c r="AE456">
        <v>3</v>
      </c>
      <c r="AF456">
        <v>80</v>
      </c>
      <c r="AG456">
        <v>1</v>
      </c>
      <c r="AH456">
        <v>10</v>
      </c>
      <c r="AI456">
        <v>2</v>
      </c>
      <c r="AJ456">
        <v>3</v>
      </c>
      <c r="AK456" t="str" cm="1">
        <f t="array" ref="AK456">_xlfn.IFS(AJ456&lt;=2,"Poor",AJ456&lt;=3,"Fair",AJ456&gt;3,"Good")</f>
        <v>Fair</v>
      </c>
      <c r="AL456">
        <v>6</v>
      </c>
      <c r="AM456">
        <v>1</v>
      </c>
      <c r="AN456">
        <v>0</v>
      </c>
      <c r="AO456">
        <v>5</v>
      </c>
    </row>
    <row r="457" spans="1:41" x14ac:dyDescent="0.2">
      <c r="A457">
        <v>1670281</v>
      </c>
      <c r="B457">
        <v>31</v>
      </c>
      <c r="C457" t="str" cm="1">
        <f t="array" ref="C457">_xlfn.IFS(B457&lt;=25,"15-25",B457&lt;=35,"26-35",B457&lt;=45,"36-45",B457&lt;=55,"46-55",B457&lt;=65,"56-65")</f>
        <v>26-35</v>
      </c>
      <c r="D457" t="s">
        <v>35</v>
      </c>
      <c r="E457" t="str">
        <f t="shared" si="14"/>
        <v>Current Employee</v>
      </c>
      <c r="F457" t="s">
        <v>36</v>
      </c>
      <c r="G457">
        <v>688</v>
      </c>
      <c r="H457" t="s">
        <v>37</v>
      </c>
      <c r="I457">
        <v>7</v>
      </c>
      <c r="J457">
        <v>3</v>
      </c>
      <c r="K457" t="s">
        <v>38</v>
      </c>
      <c r="L457">
        <v>1</v>
      </c>
      <c r="M457">
        <v>3</v>
      </c>
      <c r="N457" t="s">
        <v>46</v>
      </c>
      <c r="O457">
        <v>44</v>
      </c>
      <c r="P457">
        <v>2</v>
      </c>
      <c r="Q457">
        <v>3</v>
      </c>
      <c r="R457" t="s">
        <v>53</v>
      </c>
      <c r="S457">
        <v>4</v>
      </c>
      <c r="T457" t="str" cm="1">
        <f t="array" ref="T457">_xlfn.IFS(S457&lt;=2,"Poor",S457&lt;=3,"Fair",S457&gt;=4,"Good")</f>
        <v>Good</v>
      </c>
      <c r="U457" t="s">
        <v>50</v>
      </c>
      <c r="V457" s="1">
        <v>11557</v>
      </c>
      <c r="W457" t="str" cm="1">
        <f t="array" ref="W457">_xlfn.IFS(V457&lt;=5000,"Low Salary",V457&lt;=12000,"Good Salary",V457&gt;12000,"High Salary")</f>
        <v>Good Salary</v>
      </c>
      <c r="X457">
        <v>25291</v>
      </c>
      <c r="Y457">
        <v>9</v>
      </c>
      <c r="Z457" t="s">
        <v>42</v>
      </c>
      <c r="AA457" t="s">
        <v>35</v>
      </c>
      <c r="AB457">
        <v>21</v>
      </c>
      <c r="AC457">
        <v>4</v>
      </c>
      <c r="AD457" t="str">
        <f t="shared" si="15"/>
        <v>High Performance</v>
      </c>
      <c r="AE457">
        <v>3</v>
      </c>
      <c r="AF457">
        <v>80</v>
      </c>
      <c r="AG457">
        <v>1</v>
      </c>
      <c r="AH457">
        <v>10</v>
      </c>
      <c r="AI457">
        <v>3</v>
      </c>
      <c r="AJ457">
        <v>2</v>
      </c>
      <c r="AK457" t="str" cm="1">
        <f t="array" ref="AK457">_xlfn.IFS(AJ457&lt;=2,"Poor",AJ457&lt;=3,"Fair",AJ457&gt;3,"Good")</f>
        <v>Poor</v>
      </c>
      <c r="AL457">
        <v>5</v>
      </c>
      <c r="AM457">
        <v>4</v>
      </c>
      <c r="AN457">
        <v>0</v>
      </c>
      <c r="AO457">
        <v>1</v>
      </c>
    </row>
    <row r="458" spans="1:41" x14ac:dyDescent="0.2">
      <c r="A458">
        <v>1138891</v>
      </c>
      <c r="B458">
        <v>18</v>
      </c>
      <c r="C458" t="str" cm="1">
        <f t="array" ref="C458">_xlfn.IFS(B458&lt;=25,"15-25",B458&lt;=35,"26-35",B458&lt;=45,"36-45",B458&lt;=55,"46-55",B458&lt;=65,"56-65")</f>
        <v>15-25</v>
      </c>
      <c r="D458" t="s">
        <v>43</v>
      </c>
      <c r="E458" t="str">
        <f t="shared" si="14"/>
        <v>Former Employee</v>
      </c>
      <c r="F458" t="s">
        <v>44</v>
      </c>
      <c r="G458">
        <v>1306</v>
      </c>
      <c r="H458" t="s">
        <v>37</v>
      </c>
      <c r="I458">
        <v>5</v>
      </c>
      <c r="J458">
        <v>3</v>
      </c>
      <c r="K458" t="s">
        <v>55</v>
      </c>
      <c r="L458">
        <v>1</v>
      </c>
      <c r="M458">
        <v>2</v>
      </c>
      <c r="N458" t="s">
        <v>46</v>
      </c>
      <c r="O458">
        <v>69</v>
      </c>
      <c r="P458">
        <v>3</v>
      </c>
      <c r="Q458">
        <v>1</v>
      </c>
      <c r="R458" t="s">
        <v>47</v>
      </c>
      <c r="S458">
        <v>2</v>
      </c>
      <c r="T458" t="str" cm="1">
        <f t="array" ref="T458">_xlfn.IFS(S458&lt;=2,"Poor",S458&lt;=3,"Fair",S458&gt;=4,"Good")</f>
        <v>Poor</v>
      </c>
      <c r="U458" t="s">
        <v>41</v>
      </c>
      <c r="V458" s="1">
        <v>1878</v>
      </c>
      <c r="W458" t="str" cm="1">
        <f t="array" ref="W458">_xlfn.IFS(V458&lt;=5000,"Low Salary",V458&lt;=12000,"Good Salary",V458&gt;12000,"High Salary")</f>
        <v>Low Salary</v>
      </c>
      <c r="X458">
        <v>8059</v>
      </c>
      <c r="Y458">
        <v>1</v>
      </c>
      <c r="Z458" t="s">
        <v>42</v>
      </c>
      <c r="AA458" t="s">
        <v>43</v>
      </c>
      <c r="AB458">
        <v>14</v>
      </c>
      <c r="AC458">
        <v>3</v>
      </c>
      <c r="AD458" t="str">
        <f t="shared" si="15"/>
        <v>Low Performance</v>
      </c>
      <c r="AE458">
        <v>4</v>
      </c>
      <c r="AF458">
        <v>80</v>
      </c>
      <c r="AG458">
        <v>0</v>
      </c>
      <c r="AH458">
        <v>0</v>
      </c>
      <c r="AI458">
        <v>3</v>
      </c>
      <c r="AJ458">
        <v>3</v>
      </c>
      <c r="AK458" t="str" cm="1">
        <f t="array" ref="AK458">_xlfn.IFS(AJ458&lt;=2,"Poor",AJ458&lt;=3,"Fair",AJ458&gt;3,"Good")</f>
        <v>Fair</v>
      </c>
      <c r="AL458">
        <v>0</v>
      </c>
      <c r="AM458">
        <v>0</v>
      </c>
      <c r="AN458">
        <v>0</v>
      </c>
      <c r="AO458">
        <v>0</v>
      </c>
    </row>
    <row r="459" spans="1:41" x14ac:dyDescent="0.2">
      <c r="A459">
        <v>1755403</v>
      </c>
      <c r="B459">
        <v>40</v>
      </c>
      <c r="C459" t="str" cm="1">
        <f t="array" ref="C459">_xlfn.IFS(B459&lt;=25,"15-25",B459&lt;=35,"26-35",B459&lt;=45,"36-45",B459&lt;=55,"46-55",B459&lt;=65,"56-65")</f>
        <v>36-45</v>
      </c>
      <c r="D459" t="s">
        <v>35</v>
      </c>
      <c r="E459" t="str">
        <f t="shared" si="14"/>
        <v>Current Employee</v>
      </c>
      <c r="F459" t="s">
        <v>52</v>
      </c>
      <c r="G459">
        <v>1094</v>
      </c>
      <c r="H459" t="s">
        <v>37</v>
      </c>
      <c r="I459">
        <v>28</v>
      </c>
      <c r="J459">
        <v>3</v>
      </c>
      <c r="K459" t="s">
        <v>47</v>
      </c>
      <c r="L459">
        <v>1</v>
      </c>
      <c r="M459">
        <v>3</v>
      </c>
      <c r="N459" t="s">
        <v>46</v>
      </c>
      <c r="O459">
        <v>58</v>
      </c>
      <c r="P459">
        <v>1</v>
      </c>
      <c r="Q459">
        <v>3</v>
      </c>
      <c r="R459" t="s">
        <v>40</v>
      </c>
      <c r="S459">
        <v>1</v>
      </c>
      <c r="T459" t="str" cm="1">
        <f t="array" ref="T459">_xlfn.IFS(S459&lt;=2,"Poor",S459&lt;=3,"Fair",S459&gt;=4,"Good")</f>
        <v>Poor</v>
      </c>
      <c r="U459" t="s">
        <v>50</v>
      </c>
      <c r="V459" s="1">
        <v>10932</v>
      </c>
      <c r="W459" t="str" cm="1">
        <f t="array" ref="W459">_xlfn.IFS(V459&lt;=5000,"Low Salary",V459&lt;=12000,"Good Salary",V459&gt;12000,"High Salary")</f>
        <v>Good Salary</v>
      </c>
      <c r="X459">
        <v>11373</v>
      </c>
      <c r="Y459">
        <v>3</v>
      </c>
      <c r="Z459" t="s">
        <v>42</v>
      </c>
      <c r="AA459" t="s">
        <v>35</v>
      </c>
      <c r="AB459">
        <v>15</v>
      </c>
      <c r="AC459">
        <v>3</v>
      </c>
      <c r="AD459" t="str">
        <f t="shared" si="15"/>
        <v>Low Performance</v>
      </c>
      <c r="AE459">
        <v>3</v>
      </c>
      <c r="AF459">
        <v>80</v>
      </c>
      <c r="AG459">
        <v>1</v>
      </c>
      <c r="AH459">
        <v>20</v>
      </c>
      <c r="AI459">
        <v>2</v>
      </c>
      <c r="AJ459">
        <v>3</v>
      </c>
      <c r="AK459" t="str" cm="1">
        <f t="array" ref="AK459">_xlfn.IFS(AJ459&lt;=2,"Poor",AJ459&lt;=3,"Fair",AJ459&gt;3,"Good")</f>
        <v>Fair</v>
      </c>
      <c r="AL459">
        <v>1</v>
      </c>
      <c r="AM459">
        <v>0</v>
      </c>
      <c r="AN459">
        <v>0</v>
      </c>
      <c r="AO459">
        <v>1</v>
      </c>
    </row>
    <row r="460" spans="1:41" x14ac:dyDescent="0.2">
      <c r="A460">
        <v>1566630</v>
      </c>
      <c r="B460">
        <v>41</v>
      </c>
      <c r="C460" t="str" cm="1">
        <f t="array" ref="C460">_xlfn.IFS(B460&lt;=25,"15-25",B460&lt;=35,"26-35",B460&lt;=45,"36-45",B460&lt;=55,"46-55",B460&lt;=65,"56-65")</f>
        <v>36-45</v>
      </c>
      <c r="D460" t="s">
        <v>35</v>
      </c>
      <c r="E460" t="str">
        <f t="shared" si="14"/>
        <v>Current Employee</v>
      </c>
      <c r="F460" t="s">
        <v>52</v>
      </c>
      <c r="G460">
        <v>509</v>
      </c>
      <c r="H460" t="s">
        <v>45</v>
      </c>
      <c r="I460">
        <v>2</v>
      </c>
      <c r="J460">
        <v>4</v>
      </c>
      <c r="K460" t="s">
        <v>47</v>
      </c>
      <c r="L460">
        <v>1</v>
      </c>
      <c r="M460">
        <v>1</v>
      </c>
      <c r="N460" t="s">
        <v>39</v>
      </c>
      <c r="O460">
        <v>62</v>
      </c>
      <c r="P460">
        <v>2</v>
      </c>
      <c r="Q460">
        <v>2</v>
      </c>
      <c r="R460" t="s">
        <v>40</v>
      </c>
      <c r="S460">
        <v>3</v>
      </c>
      <c r="T460" t="str" cm="1">
        <f t="array" ref="T460">_xlfn.IFS(S460&lt;=2,"Poor",S460&lt;=3,"Fair",S460&gt;=4,"Good")</f>
        <v>Fair</v>
      </c>
      <c r="U460" t="s">
        <v>41</v>
      </c>
      <c r="V460" s="1">
        <v>6811</v>
      </c>
      <c r="W460" t="str" cm="1">
        <f t="array" ref="W460">_xlfn.IFS(V460&lt;=5000,"Low Salary",V460&lt;=12000,"Good Salary",V460&gt;12000,"High Salary")</f>
        <v>Good Salary</v>
      </c>
      <c r="X460">
        <v>2112</v>
      </c>
      <c r="Y460">
        <v>2</v>
      </c>
      <c r="Z460" t="s">
        <v>42</v>
      </c>
      <c r="AA460" t="s">
        <v>43</v>
      </c>
      <c r="AB460">
        <v>17</v>
      </c>
      <c r="AC460">
        <v>3</v>
      </c>
      <c r="AD460" t="str">
        <f t="shared" si="15"/>
        <v>Low Performance</v>
      </c>
      <c r="AE460">
        <v>1</v>
      </c>
      <c r="AF460">
        <v>80</v>
      </c>
      <c r="AG460">
        <v>0</v>
      </c>
      <c r="AH460">
        <v>10</v>
      </c>
      <c r="AI460">
        <v>3</v>
      </c>
      <c r="AJ460">
        <v>3</v>
      </c>
      <c r="AK460" t="str" cm="1">
        <f t="array" ref="AK460">_xlfn.IFS(AJ460&lt;=2,"Poor",AJ460&lt;=3,"Fair",AJ460&gt;3,"Good")</f>
        <v>Fair</v>
      </c>
      <c r="AL460">
        <v>8</v>
      </c>
      <c r="AM460">
        <v>7</v>
      </c>
      <c r="AN460">
        <v>0</v>
      </c>
      <c r="AO460">
        <v>7</v>
      </c>
    </row>
    <row r="461" spans="1:41" x14ac:dyDescent="0.2">
      <c r="A461">
        <v>1777635</v>
      </c>
      <c r="B461">
        <v>26</v>
      </c>
      <c r="C461" t="str" cm="1">
        <f t="array" ref="C461">_xlfn.IFS(B461&lt;=25,"15-25",B461&lt;=35,"26-35",B461&lt;=45,"36-45",B461&lt;=55,"46-55",B461&lt;=65,"56-65")</f>
        <v>26-35</v>
      </c>
      <c r="D461" t="s">
        <v>35</v>
      </c>
      <c r="E461" t="str">
        <f t="shared" si="14"/>
        <v>Current Employee</v>
      </c>
      <c r="F461" t="s">
        <v>36</v>
      </c>
      <c r="G461">
        <v>775</v>
      </c>
      <c r="H461" t="s">
        <v>37</v>
      </c>
      <c r="I461">
        <v>29</v>
      </c>
      <c r="J461">
        <v>2</v>
      </c>
      <c r="K461" t="s">
        <v>49</v>
      </c>
      <c r="L461">
        <v>1</v>
      </c>
      <c r="M461">
        <v>1</v>
      </c>
      <c r="N461" t="s">
        <v>46</v>
      </c>
      <c r="O461">
        <v>45</v>
      </c>
      <c r="P461">
        <v>3</v>
      </c>
      <c r="Q461">
        <v>2</v>
      </c>
      <c r="R461" t="s">
        <v>40</v>
      </c>
      <c r="S461">
        <v>3</v>
      </c>
      <c r="T461" t="str" cm="1">
        <f t="array" ref="T461">_xlfn.IFS(S461&lt;=2,"Poor",S461&lt;=3,"Fair",S461&gt;=4,"Good")</f>
        <v>Fair</v>
      </c>
      <c r="U461" t="s">
        <v>50</v>
      </c>
      <c r="V461" s="1">
        <v>4306</v>
      </c>
      <c r="W461" t="str" cm="1">
        <f t="array" ref="W461">_xlfn.IFS(V461&lt;=5000,"Low Salary",V461&lt;=12000,"Good Salary",V461&gt;12000,"High Salary")</f>
        <v>Low Salary</v>
      </c>
      <c r="X461">
        <v>4267</v>
      </c>
      <c r="Y461">
        <v>5</v>
      </c>
      <c r="Z461" t="s">
        <v>42</v>
      </c>
      <c r="AA461" t="s">
        <v>35</v>
      </c>
      <c r="AB461">
        <v>12</v>
      </c>
      <c r="AC461">
        <v>3</v>
      </c>
      <c r="AD461" t="str">
        <f t="shared" si="15"/>
        <v>Low Performance</v>
      </c>
      <c r="AE461">
        <v>1</v>
      </c>
      <c r="AF461">
        <v>80</v>
      </c>
      <c r="AG461">
        <v>2</v>
      </c>
      <c r="AH461">
        <v>8</v>
      </c>
      <c r="AI461">
        <v>5</v>
      </c>
      <c r="AJ461">
        <v>3</v>
      </c>
      <c r="AK461" t="str" cm="1">
        <f t="array" ref="AK461">_xlfn.IFS(AJ461&lt;=2,"Poor",AJ461&lt;=3,"Fair",AJ461&gt;3,"Good")</f>
        <v>Fair</v>
      </c>
      <c r="AL461">
        <v>0</v>
      </c>
      <c r="AM461">
        <v>0</v>
      </c>
      <c r="AN461">
        <v>0</v>
      </c>
      <c r="AO461">
        <v>0</v>
      </c>
    </row>
    <row r="462" spans="1:41" x14ac:dyDescent="0.2">
      <c r="A462">
        <v>1427912</v>
      </c>
      <c r="B462">
        <v>35</v>
      </c>
      <c r="C462" t="str" cm="1">
        <f t="array" ref="C462">_xlfn.IFS(B462&lt;=25,"15-25",B462&lt;=35,"26-35",B462&lt;=45,"36-45",B462&lt;=55,"46-55",B462&lt;=65,"56-65")</f>
        <v>26-35</v>
      </c>
      <c r="D462" t="s">
        <v>35</v>
      </c>
      <c r="E462" t="str">
        <f t="shared" si="14"/>
        <v>Current Employee</v>
      </c>
      <c r="F462" t="s">
        <v>36</v>
      </c>
      <c r="G462">
        <v>195</v>
      </c>
      <c r="H462" t="s">
        <v>37</v>
      </c>
      <c r="I462">
        <v>1</v>
      </c>
      <c r="J462">
        <v>3</v>
      </c>
      <c r="K462" t="s">
        <v>49</v>
      </c>
      <c r="L462">
        <v>1</v>
      </c>
      <c r="M462">
        <v>1</v>
      </c>
      <c r="N462" t="s">
        <v>39</v>
      </c>
      <c r="O462">
        <v>80</v>
      </c>
      <c r="P462">
        <v>3</v>
      </c>
      <c r="Q462">
        <v>2</v>
      </c>
      <c r="R462" t="s">
        <v>40</v>
      </c>
      <c r="S462">
        <v>3</v>
      </c>
      <c r="T462" t="str" cm="1">
        <f t="array" ref="T462">_xlfn.IFS(S462&lt;=2,"Poor",S462&lt;=3,"Fair",S462&gt;=4,"Good")</f>
        <v>Fair</v>
      </c>
      <c r="U462" t="s">
        <v>41</v>
      </c>
      <c r="V462" s="1">
        <v>4859</v>
      </c>
      <c r="W462" t="str" cm="1">
        <f t="array" ref="W462">_xlfn.IFS(V462&lt;=5000,"Low Salary",V462&lt;=12000,"Good Salary",V462&gt;12000,"High Salary")</f>
        <v>Low Salary</v>
      </c>
      <c r="X462">
        <v>6698</v>
      </c>
      <c r="Y462">
        <v>1</v>
      </c>
      <c r="Z462" t="s">
        <v>42</v>
      </c>
      <c r="AA462" t="s">
        <v>35</v>
      </c>
      <c r="AB462">
        <v>16</v>
      </c>
      <c r="AC462">
        <v>3</v>
      </c>
      <c r="AD462" t="str">
        <f t="shared" si="15"/>
        <v>Low Performance</v>
      </c>
      <c r="AE462">
        <v>4</v>
      </c>
      <c r="AF462">
        <v>80</v>
      </c>
      <c r="AG462">
        <v>0</v>
      </c>
      <c r="AH462">
        <v>5</v>
      </c>
      <c r="AI462">
        <v>3</v>
      </c>
      <c r="AJ462">
        <v>3</v>
      </c>
      <c r="AK462" t="str" cm="1">
        <f t="array" ref="AK462">_xlfn.IFS(AJ462&lt;=2,"Poor",AJ462&lt;=3,"Fair",AJ462&gt;3,"Good")</f>
        <v>Fair</v>
      </c>
      <c r="AL462">
        <v>5</v>
      </c>
      <c r="AM462">
        <v>4</v>
      </c>
      <c r="AN462">
        <v>0</v>
      </c>
      <c r="AO462">
        <v>3</v>
      </c>
    </row>
    <row r="463" spans="1:41" x14ac:dyDescent="0.2">
      <c r="A463">
        <v>1884554</v>
      </c>
      <c r="B463">
        <v>34</v>
      </c>
      <c r="C463" t="str" cm="1">
        <f t="array" ref="C463">_xlfn.IFS(B463&lt;=25,"15-25",B463&lt;=35,"26-35",B463&lt;=45,"36-45",B463&lt;=55,"46-55",B463&lt;=65,"56-65")</f>
        <v>26-35</v>
      </c>
      <c r="D463" t="s">
        <v>35</v>
      </c>
      <c r="E463" t="str">
        <f t="shared" si="14"/>
        <v>Current Employee</v>
      </c>
      <c r="F463" t="s">
        <v>36</v>
      </c>
      <c r="G463">
        <v>258</v>
      </c>
      <c r="H463" t="s">
        <v>37</v>
      </c>
      <c r="I463">
        <v>21</v>
      </c>
      <c r="J463">
        <v>4</v>
      </c>
      <c r="K463" t="s">
        <v>38</v>
      </c>
      <c r="L463">
        <v>1</v>
      </c>
      <c r="M463">
        <v>4</v>
      </c>
      <c r="N463" t="s">
        <v>46</v>
      </c>
      <c r="O463">
        <v>74</v>
      </c>
      <c r="P463">
        <v>4</v>
      </c>
      <c r="Q463">
        <v>2</v>
      </c>
      <c r="R463" t="s">
        <v>40</v>
      </c>
      <c r="S463">
        <v>4</v>
      </c>
      <c r="T463" t="str" cm="1">
        <f t="array" ref="T463">_xlfn.IFS(S463&lt;=2,"Poor",S463&lt;=3,"Fair",S463&gt;=4,"Good")</f>
        <v>Good</v>
      </c>
      <c r="U463" t="s">
        <v>41</v>
      </c>
      <c r="V463" s="1">
        <v>5337</v>
      </c>
      <c r="W463" t="str" cm="1">
        <f t="array" ref="W463">_xlfn.IFS(V463&lt;=5000,"Low Salary",V463&lt;=12000,"Good Salary",V463&gt;12000,"High Salary")</f>
        <v>Good Salary</v>
      </c>
      <c r="X463">
        <v>19921</v>
      </c>
      <c r="Y463">
        <v>1</v>
      </c>
      <c r="Z463" t="s">
        <v>42</v>
      </c>
      <c r="AA463" t="s">
        <v>35</v>
      </c>
      <c r="AB463">
        <v>12</v>
      </c>
      <c r="AC463">
        <v>3</v>
      </c>
      <c r="AD463" t="str">
        <f t="shared" si="15"/>
        <v>Low Performance</v>
      </c>
      <c r="AE463">
        <v>4</v>
      </c>
      <c r="AF463">
        <v>80</v>
      </c>
      <c r="AG463">
        <v>0</v>
      </c>
      <c r="AH463">
        <v>10</v>
      </c>
      <c r="AI463">
        <v>3</v>
      </c>
      <c r="AJ463">
        <v>3</v>
      </c>
      <c r="AK463" t="str" cm="1">
        <f t="array" ref="AK463">_xlfn.IFS(AJ463&lt;=2,"Poor",AJ463&lt;=3,"Fair",AJ463&gt;3,"Good")</f>
        <v>Fair</v>
      </c>
      <c r="AL463">
        <v>10</v>
      </c>
      <c r="AM463">
        <v>7</v>
      </c>
      <c r="AN463">
        <v>5</v>
      </c>
      <c r="AO463">
        <v>7</v>
      </c>
    </row>
    <row r="464" spans="1:41" x14ac:dyDescent="0.2">
      <c r="A464">
        <v>1335605</v>
      </c>
      <c r="B464">
        <v>26</v>
      </c>
      <c r="C464" t="str" cm="1">
        <f t="array" ref="C464">_xlfn.IFS(B464&lt;=25,"15-25",B464&lt;=35,"26-35",B464&lt;=45,"36-45",B464&lt;=55,"46-55",B464&lt;=65,"56-65")</f>
        <v>26-35</v>
      </c>
      <c r="D464" t="s">
        <v>43</v>
      </c>
      <c r="E464" t="str">
        <f t="shared" si="14"/>
        <v>Former Employee</v>
      </c>
      <c r="F464" t="s">
        <v>36</v>
      </c>
      <c r="G464">
        <v>471</v>
      </c>
      <c r="H464" t="s">
        <v>45</v>
      </c>
      <c r="I464">
        <v>24</v>
      </c>
      <c r="J464">
        <v>3</v>
      </c>
      <c r="K464" t="s">
        <v>56</v>
      </c>
      <c r="L464">
        <v>1</v>
      </c>
      <c r="M464">
        <v>3</v>
      </c>
      <c r="N464" t="s">
        <v>46</v>
      </c>
      <c r="O464">
        <v>66</v>
      </c>
      <c r="P464">
        <v>1</v>
      </c>
      <c r="Q464">
        <v>1</v>
      </c>
      <c r="R464" t="s">
        <v>40</v>
      </c>
      <c r="S464">
        <v>4</v>
      </c>
      <c r="T464" t="str" cm="1">
        <f t="array" ref="T464">_xlfn.IFS(S464&lt;=2,"Poor",S464&lt;=3,"Fair",S464&gt;=4,"Good")</f>
        <v>Good</v>
      </c>
      <c r="U464" t="s">
        <v>41</v>
      </c>
      <c r="V464" s="1">
        <v>2340</v>
      </c>
      <c r="W464" t="str" cm="1">
        <f t="array" ref="W464">_xlfn.IFS(V464&lt;=5000,"Low Salary",V464&lt;=12000,"Good Salary",V464&gt;12000,"High Salary")</f>
        <v>Low Salary</v>
      </c>
      <c r="X464">
        <v>23213</v>
      </c>
      <c r="Y464">
        <v>1</v>
      </c>
      <c r="Z464" t="s">
        <v>42</v>
      </c>
      <c r="AA464" t="s">
        <v>43</v>
      </c>
      <c r="AB464">
        <v>18</v>
      </c>
      <c r="AC464">
        <v>3</v>
      </c>
      <c r="AD464" t="str">
        <f t="shared" si="15"/>
        <v>Low Performance</v>
      </c>
      <c r="AE464">
        <v>2</v>
      </c>
      <c r="AF464">
        <v>80</v>
      </c>
      <c r="AG464">
        <v>0</v>
      </c>
      <c r="AH464">
        <v>1</v>
      </c>
      <c r="AI464">
        <v>3</v>
      </c>
      <c r="AJ464">
        <v>1</v>
      </c>
      <c r="AK464" t="str" cm="1">
        <f t="array" ref="AK464">_xlfn.IFS(AJ464&lt;=2,"Poor",AJ464&lt;=3,"Fair",AJ464&gt;3,"Good")</f>
        <v>Poor</v>
      </c>
      <c r="AL464">
        <v>1</v>
      </c>
      <c r="AM464">
        <v>0</v>
      </c>
      <c r="AN464">
        <v>0</v>
      </c>
      <c r="AO464">
        <v>0</v>
      </c>
    </row>
    <row r="465" spans="1:41" x14ac:dyDescent="0.2">
      <c r="A465">
        <v>1361476</v>
      </c>
      <c r="B465">
        <v>37</v>
      </c>
      <c r="C465" t="str" cm="1">
        <f t="array" ref="C465">_xlfn.IFS(B465&lt;=25,"15-25",B465&lt;=35,"26-35",B465&lt;=45,"36-45",B465&lt;=55,"46-55",B465&lt;=65,"56-65")</f>
        <v>36-45</v>
      </c>
      <c r="D465" t="s">
        <v>35</v>
      </c>
      <c r="E465" t="str">
        <f t="shared" si="14"/>
        <v>Current Employee</v>
      </c>
      <c r="F465" t="s">
        <v>36</v>
      </c>
      <c r="G465">
        <v>799</v>
      </c>
      <c r="H465" t="s">
        <v>54</v>
      </c>
      <c r="I465">
        <v>1</v>
      </c>
      <c r="J465">
        <v>3</v>
      </c>
      <c r="K465" t="s">
        <v>56</v>
      </c>
      <c r="L465">
        <v>1</v>
      </c>
      <c r="M465">
        <v>2</v>
      </c>
      <c r="N465" t="s">
        <v>39</v>
      </c>
      <c r="O465">
        <v>59</v>
      </c>
      <c r="P465">
        <v>3</v>
      </c>
      <c r="Q465">
        <v>3</v>
      </c>
      <c r="R465" t="s">
        <v>51</v>
      </c>
      <c r="S465">
        <v>4</v>
      </c>
      <c r="T465" t="str" cm="1">
        <f t="array" ref="T465">_xlfn.IFS(S465&lt;=2,"Poor",S465&lt;=3,"Fair",S465&gt;=4,"Good")</f>
        <v>Good</v>
      </c>
      <c r="U465" t="s">
        <v>41</v>
      </c>
      <c r="V465" s="1">
        <v>7491</v>
      </c>
      <c r="W465" t="str" cm="1">
        <f t="array" ref="W465">_xlfn.IFS(V465&lt;=5000,"Low Salary",V465&lt;=12000,"Good Salary",V465&gt;12000,"High Salary")</f>
        <v>Good Salary</v>
      </c>
      <c r="X465">
        <v>23848</v>
      </c>
      <c r="Y465">
        <v>4</v>
      </c>
      <c r="Z465" t="s">
        <v>42</v>
      </c>
      <c r="AA465" t="s">
        <v>35</v>
      </c>
      <c r="AB465">
        <v>17</v>
      </c>
      <c r="AC465">
        <v>3</v>
      </c>
      <c r="AD465" t="str">
        <f t="shared" si="15"/>
        <v>Low Performance</v>
      </c>
      <c r="AE465">
        <v>4</v>
      </c>
      <c r="AF465">
        <v>80</v>
      </c>
      <c r="AG465">
        <v>0</v>
      </c>
      <c r="AH465">
        <v>12</v>
      </c>
      <c r="AI465">
        <v>3</v>
      </c>
      <c r="AJ465">
        <v>4</v>
      </c>
      <c r="AK465" t="str" cm="1">
        <f t="array" ref="AK465">_xlfn.IFS(AJ465&lt;=2,"Poor",AJ465&lt;=3,"Fair",AJ465&gt;3,"Good")</f>
        <v>Good</v>
      </c>
      <c r="AL465">
        <v>6</v>
      </c>
      <c r="AM465">
        <v>5</v>
      </c>
      <c r="AN465">
        <v>1</v>
      </c>
      <c r="AO465">
        <v>2</v>
      </c>
    </row>
    <row r="466" spans="1:41" x14ac:dyDescent="0.2">
      <c r="A466">
        <v>1057253</v>
      </c>
      <c r="B466">
        <v>46</v>
      </c>
      <c r="C466" t="str" cm="1">
        <f t="array" ref="C466">_xlfn.IFS(B466&lt;=25,"15-25",B466&lt;=35,"26-35",B466&lt;=45,"36-45",B466&lt;=55,"46-55",B466&lt;=65,"56-65")</f>
        <v>46-55</v>
      </c>
      <c r="D466" t="s">
        <v>35</v>
      </c>
      <c r="E466" t="str">
        <f t="shared" si="14"/>
        <v>Current Employee</v>
      </c>
      <c r="F466" t="s">
        <v>44</v>
      </c>
      <c r="G466">
        <v>1034</v>
      </c>
      <c r="H466" t="s">
        <v>45</v>
      </c>
      <c r="I466">
        <v>18</v>
      </c>
      <c r="J466">
        <v>1</v>
      </c>
      <c r="K466" t="s">
        <v>49</v>
      </c>
      <c r="L466">
        <v>1</v>
      </c>
      <c r="M466">
        <v>1</v>
      </c>
      <c r="N466" t="s">
        <v>39</v>
      </c>
      <c r="O466">
        <v>86</v>
      </c>
      <c r="P466">
        <v>3</v>
      </c>
      <c r="Q466">
        <v>3</v>
      </c>
      <c r="R466" t="s">
        <v>40</v>
      </c>
      <c r="S466">
        <v>3</v>
      </c>
      <c r="T466" t="str" cm="1">
        <f t="array" ref="T466">_xlfn.IFS(S466&lt;=2,"Poor",S466&lt;=3,"Fair",S466&gt;=4,"Good")</f>
        <v>Fair</v>
      </c>
      <c r="U466" t="s">
        <v>48</v>
      </c>
      <c r="V466" s="1">
        <v>10527</v>
      </c>
      <c r="W466" t="str" cm="1">
        <f t="array" ref="W466">_xlfn.IFS(V466&lt;=5000,"Low Salary",V466&lt;=12000,"Good Salary",V466&gt;12000,"High Salary")</f>
        <v>Good Salary</v>
      </c>
      <c r="X466">
        <v>8984</v>
      </c>
      <c r="Y466">
        <v>5</v>
      </c>
      <c r="Z466" t="s">
        <v>42</v>
      </c>
      <c r="AA466" t="s">
        <v>35</v>
      </c>
      <c r="AB466">
        <v>11</v>
      </c>
      <c r="AC466">
        <v>3</v>
      </c>
      <c r="AD466" t="str">
        <f t="shared" si="15"/>
        <v>Low Performance</v>
      </c>
      <c r="AE466">
        <v>4</v>
      </c>
      <c r="AF466">
        <v>80</v>
      </c>
      <c r="AG466">
        <v>0</v>
      </c>
      <c r="AH466">
        <v>28</v>
      </c>
      <c r="AI466">
        <v>3</v>
      </c>
      <c r="AJ466">
        <v>2</v>
      </c>
      <c r="AK466" t="str" cm="1">
        <f t="array" ref="AK466">_xlfn.IFS(AJ466&lt;=2,"Poor",AJ466&lt;=3,"Fair",AJ466&gt;3,"Good")</f>
        <v>Poor</v>
      </c>
      <c r="AL466">
        <v>2</v>
      </c>
      <c r="AM466">
        <v>2</v>
      </c>
      <c r="AN466">
        <v>1</v>
      </c>
      <c r="AO466">
        <v>2</v>
      </c>
    </row>
    <row r="467" spans="1:41" x14ac:dyDescent="0.2">
      <c r="A467">
        <v>1617735</v>
      </c>
      <c r="B467">
        <v>41</v>
      </c>
      <c r="C467" t="str" cm="1">
        <f t="array" ref="C467">_xlfn.IFS(B467&lt;=25,"15-25",B467&lt;=35,"26-35",B467&lt;=45,"36-45",B467&lt;=55,"46-55",B467&lt;=65,"56-65")</f>
        <v>36-45</v>
      </c>
      <c r="D467" t="s">
        <v>35</v>
      </c>
      <c r="E467" t="str">
        <f t="shared" si="14"/>
        <v>Current Employee</v>
      </c>
      <c r="F467" t="s">
        <v>36</v>
      </c>
      <c r="G467">
        <v>1276</v>
      </c>
      <c r="H467" t="s">
        <v>37</v>
      </c>
      <c r="I467">
        <v>2</v>
      </c>
      <c r="J467">
        <v>5</v>
      </c>
      <c r="K467" t="s">
        <v>38</v>
      </c>
      <c r="L467">
        <v>1</v>
      </c>
      <c r="M467">
        <v>2</v>
      </c>
      <c r="N467" t="s">
        <v>39</v>
      </c>
      <c r="O467">
        <v>91</v>
      </c>
      <c r="P467">
        <v>3</v>
      </c>
      <c r="Q467">
        <v>4</v>
      </c>
      <c r="R467" t="s">
        <v>53</v>
      </c>
      <c r="S467">
        <v>1</v>
      </c>
      <c r="T467" t="str" cm="1">
        <f t="array" ref="T467">_xlfn.IFS(S467&lt;=2,"Poor",S467&lt;=3,"Fair",S467&gt;=4,"Good")</f>
        <v>Poor</v>
      </c>
      <c r="U467" t="s">
        <v>48</v>
      </c>
      <c r="V467" s="1">
        <v>16595</v>
      </c>
      <c r="W467" t="str" cm="1">
        <f t="array" ref="W467">_xlfn.IFS(V467&lt;=5000,"Low Salary",V467&lt;=12000,"Good Salary",V467&gt;12000,"High Salary")</f>
        <v>High Salary</v>
      </c>
      <c r="X467">
        <v>5626</v>
      </c>
      <c r="Y467">
        <v>7</v>
      </c>
      <c r="Z467" t="s">
        <v>42</v>
      </c>
      <c r="AA467" t="s">
        <v>35</v>
      </c>
      <c r="AB467">
        <v>16</v>
      </c>
      <c r="AC467">
        <v>3</v>
      </c>
      <c r="AD467" t="str">
        <f t="shared" si="15"/>
        <v>Low Performance</v>
      </c>
      <c r="AE467">
        <v>2</v>
      </c>
      <c r="AF467">
        <v>80</v>
      </c>
      <c r="AG467">
        <v>1</v>
      </c>
      <c r="AH467">
        <v>22</v>
      </c>
      <c r="AI467">
        <v>2</v>
      </c>
      <c r="AJ467">
        <v>3</v>
      </c>
      <c r="AK467" t="str" cm="1">
        <f t="array" ref="AK467">_xlfn.IFS(AJ467&lt;=2,"Poor",AJ467&lt;=3,"Fair",AJ467&gt;3,"Good")</f>
        <v>Fair</v>
      </c>
      <c r="AL467">
        <v>18</v>
      </c>
      <c r="AM467">
        <v>16</v>
      </c>
      <c r="AN467">
        <v>11</v>
      </c>
      <c r="AO467">
        <v>8</v>
      </c>
    </row>
    <row r="468" spans="1:41" x14ac:dyDescent="0.2">
      <c r="A468">
        <v>1037353</v>
      </c>
      <c r="B468">
        <v>37</v>
      </c>
      <c r="C468" t="str" cm="1">
        <f t="array" ref="C468">_xlfn.IFS(B468&lt;=25,"15-25",B468&lt;=35,"26-35",B468&lt;=45,"36-45",B468&lt;=55,"46-55",B468&lt;=65,"56-65")</f>
        <v>36-45</v>
      </c>
      <c r="D468" t="s">
        <v>35</v>
      </c>
      <c r="E468" t="str">
        <f t="shared" si="14"/>
        <v>Current Employee</v>
      </c>
      <c r="F468" t="s">
        <v>52</v>
      </c>
      <c r="G468">
        <v>142</v>
      </c>
      <c r="H468" t="s">
        <v>37</v>
      </c>
      <c r="I468">
        <v>9</v>
      </c>
      <c r="J468">
        <v>4</v>
      </c>
      <c r="K468" t="s">
        <v>49</v>
      </c>
      <c r="L468">
        <v>1</v>
      </c>
      <c r="M468">
        <v>1</v>
      </c>
      <c r="N468" t="s">
        <v>46</v>
      </c>
      <c r="O468">
        <v>69</v>
      </c>
      <c r="P468">
        <v>3</v>
      </c>
      <c r="Q468">
        <v>3</v>
      </c>
      <c r="R468" t="s">
        <v>40</v>
      </c>
      <c r="S468">
        <v>2</v>
      </c>
      <c r="T468" t="str" cm="1">
        <f t="array" ref="T468">_xlfn.IFS(S468&lt;=2,"Poor",S468&lt;=3,"Fair",S468&gt;=4,"Good")</f>
        <v>Poor</v>
      </c>
      <c r="U468" t="s">
        <v>50</v>
      </c>
      <c r="V468" s="1">
        <v>8834</v>
      </c>
      <c r="W468" t="str" cm="1">
        <f t="array" ref="W468">_xlfn.IFS(V468&lt;=5000,"Low Salary",V468&lt;=12000,"Good Salary",V468&gt;12000,"High Salary")</f>
        <v>Good Salary</v>
      </c>
      <c r="X468">
        <v>24666</v>
      </c>
      <c r="Y468">
        <v>1</v>
      </c>
      <c r="Z468" t="s">
        <v>42</v>
      </c>
      <c r="AA468" t="s">
        <v>35</v>
      </c>
      <c r="AB468">
        <v>13</v>
      </c>
      <c r="AC468">
        <v>3</v>
      </c>
      <c r="AD468" t="str">
        <f t="shared" si="15"/>
        <v>Low Performance</v>
      </c>
      <c r="AE468">
        <v>4</v>
      </c>
      <c r="AF468">
        <v>80</v>
      </c>
      <c r="AG468">
        <v>1</v>
      </c>
      <c r="AH468">
        <v>9</v>
      </c>
      <c r="AI468">
        <v>6</v>
      </c>
      <c r="AJ468">
        <v>3</v>
      </c>
      <c r="AK468" t="str" cm="1">
        <f t="array" ref="AK468">_xlfn.IFS(AJ468&lt;=2,"Poor",AJ468&lt;=3,"Fair",AJ468&gt;3,"Good")</f>
        <v>Fair</v>
      </c>
      <c r="AL468">
        <v>9</v>
      </c>
      <c r="AM468">
        <v>5</v>
      </c>
      <c r="AN468">
        <v>7</v>
      </c>
      <c r="AO468">
        <v>7</v>
      </c>
    </row>
    <row r="469" spans="1:41" x14ac:dyDescent="0.2">
      <c r="A469">
        <v>1455020</v>
      </c>
      <c r="B469">
        <v>52</v>
      </c>
      <c r="C469" t="str" cm="1">
        <f t="array" ref="C469">_xlfn.IFS(B469&lt;=25,"15-25",B469&lt;=35,"26-35",B469&lt;=45,"36-45",B469&lt;=55,"46-55",B469&lt;=65,"56-65")</f>
        <v>46-55</v>
      </c>
      <c r="D469" t="s">
        <v>35</v>
      </c>
      <c r="E469" t="str">
        <f t="shared" si="14"/>
        <v>Current Employee</v>
      </c>
      <c r="F469" t="s">
        <v>36</v>
      </c>
      <c r="G469">
        <v>956</v>
      </c>
      <c r="H469" t="s">
        <v>45</v>
      </c>
      <c r="I469">
        <v>6</v>
      </c>
      <c r="J469">
        <v>2</v>
      </c>
      <c r="K469" t="s">
        <v>56</v>
      </c>
      <c r="L469">
        <v>1</v>
      </c>
      <c r="M469">
        <v>4</v>
      </c>
      <c r="N469" t="s">
        <v>46</v>
      </c>
      <c r="O469">
        <v>78</v>
      </c>
      <c r="P469">
        <v>3</v>
      </c>
      <c r="Q469">
        <v>2</v>
      </c>
      <c r="R469" t="s">
        <v>47</v>
      </c>
      <c r="S469">
        <v>1</v>
      </c>
      <c r="T469" t="str" cm="1">
        <f t="array" ref="T469">_xlfn.IFS(S469&lt;=2,"Poor",S469&lt;=3,"Fair",S469&gt;=4,"Good")</f>
        <v>Poor</v>
      </c>
      <c r="U469" t="s">
        <v>50</v>
      </c>
      <c r="V469" s="1">
        <v>5577</v>
      </c>
      <c r="W469" t="str" cm="1">
        <f t="array" ref="W469">_xlfn.IFS(V469&lt;=5000,"Low Salary",V469&lt;=12000,"Good Salary",V469&gt;12000,"High Salary")</f>
        <v>Good Salary</v>
      </c>
      <c r="X469">
        <v>22087</v>
      </c>
      <c r="Y469">
        <v>3</v>
      </c>
      <c r="Z469" t="s">
        <v>42</v>
      </c>
      <c r="AA469" t="s">
        <v>43</v>
      </c>
      <c r="AB469">
        <v>12</v>
      </c>
      <c r="AC469">
        <v>3</v>
      </c>
      <c r="AD469" t="str">
        <f t="shared" si="15"/>
        <v>Low Performance</v>
      </c>
      <c r="AE469">
        <v>2</v>
      </c>
      <c r="AF469">
        <v>80</v>
      </c>
      <c r="AG469">
        <v>2</v>
      </c>
      <c r="AH469">
        <v>18</v>
      </c>
      <c r="AI469">
        <v>3</v>
      </c>
      <c r="AJ469">
        <v>3</v>
      </c>
      <c r="AK469" t="str" cm="1">
        <f t="array" ref="AK469">_xlfn.IFS(AJ469&lt;=2,"Poor",AJ469&lt;=3,"Fair",AJ469&gt;3,"Good")</f>
        <v>Fair</v>
      </c>
      <c r="AL469">
        <v>10</v>
      </c>
      <c r="AM469">
        <v>9</v>
      </c>
      <c r="AN469">
        <v>6</v>
      </c>
      <c r="AO469">
        <v>9</v>
      </c>
    </row>
    <row r="470" spans="1:41" x14ac:dyDescent="0.2">
      <c r="A470">
        <v>1689256</v>
      </c>
      <c r="B470">
        <v>32</v>
      </c>
      <c r="C470" t="str" cm="1">
        <f t="array" ref="C470">_xlfn.IFS(B470&lt;=25,"15-25",B470&lt;=35,"26-35",B470&lt;=45,"36-45",B470&lt;=55,"46-55",B470&lt;=65,"56-65")</f>
        <v>26-35</v>
      </c>
      <c r="D470" t="s">
        <v>35</v>
      </c>
      <c r="E470" t="str">
        <f t="shared" si="14"/>
        <v>Current Employee</v>
      </c>
      <c r="F470" t="s">
        <v>52</v>
      </c>
      <c r="G470">
        <v>1474</v>
      </c>
      <c r="H470" t="s">
        <v>37</v>
      </c>
      <c r="I470">
        <v>11</v>
      </c>
      <c r="J470">
        <v>4</v>
      </c>
      <c r="K470" t="s">
        <v>47</v>
      </c>
      <c r="L470">
        <v>1</v>
      </c>
      <c r="M470">
        <v>4</v>
      </c>
      <c r="N470" t="s">
        <v>46</v>
      </c>
      <c r="O470">
        <v>60</v>
      </c>
      <c r="P470">
        <v>4</v>
      </c>
      <c r="Q470">
        <v>2</v>
      </c>
      <c r="R470" t="s">
        <v>40</v>
      </c>
      <c r="S470">
        <v>3</v>
      </c>
      <c r="T470" t="str" cm="1">
        <f t="array" ref="T470">_xlfn.IFS(S470&lt;=2,"Poor",S470&lt;=3,"Fair",S470&gt;=4,"Good")</f>
        <v>Fair</v>
      </c>
      <c r="U470" t="s">
        <v>48</v>
      </c>
      <c r="V470" s="1">
        <v>4707</v>
      </c>
      <c r="W470" t="str" cm="1">
        <f t="array" ref="W470">_xlfn.IFS(V470&lt;=5000,"Low Salary",V470&lt;=12000,"Good Salary",V470&gt;12000,"High Salary")</f>
        <v>Low Salary</v>
      </c>
      <c r="X470">
        <v>23914</v>
      </c>
      <c r="Y470">
        <v>8</v>
      </c>
      <c r="Z470" t="s">
        <v>42</v>
      </c>
      <c r="AA470" t="s">
        <v>35</v>
      </c>
      <c r="AB470">
        <v>12</v>
      </c>
      <c r="AC470">
        <v>3</v>
      </c>
      <c r="AD470" t="str">
        <f t="shared" si="15"/>
        <v>Low Performance</v>
      </c>
      <c r="AE470">
        <v>4</v>
      </c>
      <c r="AF470">
        <v>80</v>
      </c>
      <c r="AG470">
        <v>0</v>
      </c>
      <c r="AH470">
        <v>6</v>
      </c>
      <c r="AI470">
        <v>2</v>
      </c>
      <c r="AJ470">
        <v>3</v>
      </c>
      <c r="AK470" t="str" cm="1">
        <f t="array" ref="AK470">_xlfn.IFS(AJ470&lt;=2,"Poor",AJ470&lt;=3,"Fair",AJ470&gt;3,"Good")</f>
        <v>Fair</v>
      </c>
      <c r="AL470">
        <v>4</v>
      </c>
      <c r="AM470">
        <v>2</v>
      </c>
      <c r="AN470">
        <v>1</v>
      </c>
      <c r="AO470">
        <v>2</v>
      </c>
    </row>
    <row r="471" spans="1:41" x14ac:dyDescent="0.2">
      <c r="A471">
        <v>1793245</v>
      </c>
      <c r="B471">
        <v>24</v>
      </c>
      <c r="C471" t="str" cm="1">
        <f t="array" ref="C471">_xlfn.IFS(B471&lt;=25,"15-25",B471&lt;=35,"26-35",B471&lt;=45,"36-45",B471&lt;=55,"46-55",B471&lt;=65,"56-65")</f>
        <v>15-25</v>
      </c>
      <c r="D471" t="s">
        <v>35</v>
      </c>
      <c r="E471" t="str">
        <f t="shared" si="14"/>
        <v>Current Employee</v>
      </c>
      <c r="F471" t="s">
        <v>44</v>
      </c>
      <c r="G471">
        <v>535</v>
      </c>
      <c r="H471" t="s">
        <v>37</v>
      </c>
      <c r="I471">
        <v>24</v>
      </c>
      <c r="J471">
        <v>3</v>
      </c>
      <c r="K471" t="s">
        <v>49</v>
      </c>
      <c r="L471">
        <v>1</v>
      </c>
      <c r="M471">
        <v>4</v>
      </c>
      <c r="N471" t="s">
        <v>46</v>
      </c>
      <c r="O471">
        <v>38</v>
      </c>
      <c r="P471">
        <v>3</v>
      </c>
      <c r="Q471">
        <v>1</v>
      </c>
      <c r="R471" t="s">
        <v>47</v>
      </c>
      <c r="S471">
        <v>4</v>
      </c>
      <c r="T471" t="str" cm="1">
        <f t="array" ref="T471">_xlfn.IFS(S471&lt;=2,"Poor",S471&lt;=3,"Fair",S471&gt;=4,"Good")</f>
        <v>Good</v>
      </c>
      <c r="U471" t="s">
        <v>48</v>
      </c>
      <c r="V471" s="1">
        <v>2400</v>
      </c>
      <c r="W471" t="str" cm="1">
        <f t="array" ref="W471">_xlfn.IFS(V471&lt;=5000,"Low Salary",V471&lt;=12000,"Good Salary",V471&gt;12000,"High Salary")</f>
        <v>Low Salary</v>
      </c>
      <c r="X471">
        <v>5530</v>
      </c>
      <c r="Y471">
        <v>0</v>
      </c>
      <c r="Z471" t="s">
        <v>42</v>
      </c>
      <c r="AA471" t="s">
        <v>35</v>
      </c>
      <c r="AB471">
        <v>13</v>
      </c>
      <c r="AC471">
        <v>3</v>
      </c>
      <c r="AD471" t="str">
        <f t="shared" si="15"/>
        <v>Low Performance</v>
      </c>
      <c r="AE471">
        <v>3</v>
      </c>
      <c r="AF471">
        <v>80</v>
      </c>
      <c r="AG471">
        <v>2</v>
      </c>
      <c r="AH471">
        <v>3</v>
      </c>
      <c r="AI471">
        <v>3</v>
      </c>
      <c r="AJ471">
        <v>3</v>
      </c>
      <c r="AK471" t="str" cm="1">
        <f t="array" ref="AK471">_xlfn.IFS(AJ471&lt;=2,"Poor",AJ471&lt;=3,"Fair",AJ471&gt;3,"Good")</f>
        <v>Fair</v>
      </c>
      <c r="AL471">
        <v>2</v>
      </c>
      <c r="AM471">
        <v>2</v>
      </c>
      <c r="AN471">
        <v>2</v>
      </c>
      <c r="AO471">
        <v>1</v>
      </c>
    </row>
    <row r="472" spans="1:41" x14ac:dyDescent="0.2">
      <c r="A472">
        <v>1267131</v>
      </c>
      <c r="B472">
        <v>38</v>
      </c>
      <c r="C472" t="str" cm="1">
        <f t="array" ref="C472">_xlfn.IFS(B472&lt;=25,"15-25",B472&lt;=35,"26-35",B472&lt;=45,"36-45",B472&lt;=55,"46-55",B472&lt;=65,"56-65")</f>
        <v>36-45</v>
      </c>
      <c r="D472" t="s">
        <v>35</v>
      </c>
      <c r="E472" t="str">
        <f t="shared" si="14"/>
        <v>Current Employee</v>
      </c>
      <c r="F472" t="s">
        <v>36</v>
      </c>
      <c r="G472">
        <v>1495</v>
      </c>
      <c r="H472" t="s">
        <v>45</v>
      </c>
      <c r="I472">
        <v>10</v>
      </c>
      <c r="J472">
        <v>3</v>
      </c>
      <c r="K472" t="s">
        <v>49</v>
      </c>
      <c r="L472">
        <v>1</v>
      </c>
      <c r="M472">
        <v>3</v>
      </c>
      <c r="N472" t="s">
        <v>39</v>
      </c>
      <c r="O472">
        <v>76</v>
      </c>
      <c r="P472">
        <v>3</v>
      </c>
      <c r="Q472">
        <v>2</v>
      </c>
      <c r="R472" t="s">
        <v>40</v>
      </c>
      <c r="S472">
        <v>3</v>
      </c>
      <c r="T472" t="str" cm="1">
        <f t="array" ref="T472">_xlfn.IFS(S472&lt;=2,"Poor",S472&lt;=3,"Fair",S472&gt;=4,"Good")</f>
        <v>Fair</v>
      </c>
      <c r="U472" t="s">
        <v>48</v>
      </c>
      <c r="V472" s="1">
        <v>9824</v>
      </c>
      <c r="W472" t="str" cm="1">
        <f t="array" ref="W472">_xlfn.IFS(V472&lt;=5000,"Low Salary",V472&lt;=12000,"Good Salary",V472&gt;12000,"High Salary")</f>
        <v>Good Salary</v>
      </c>
      <c r="X472">
        <v>22174</v>
      </c>
      <c r="Y472">
        <v>3</v>
      </c>
      <c r="Z472" t="s">
        <v>42</v>
      </c>
      <c r="AA472" t="s">
        <v>35</v>
      </c>
      <c r="AB472">
        <v>19</v>
      </c>
      <c r="AC472">
        <v>3</v>
      </c>
      <c r="AD472" t="str">
        <f t="shared" si="15"/>
        <v>Low Performance</v>
      </c>
      <c r="AE472">
        <v>3</v>
      </c>
      <c r="AF472">
        <v>80</v>
      </c>
      <c r="AG472">
        <v>1</v>
      </c>
      <c r="AH472">
        <v>18</v>
      </c>
      <c r="AI472">
        <v>4</v>
      </c>
      <c r="AJ472">
        <v>3</v>
      </c>
      <c r="AK472" t="str" cm="1">
        <f t="array" ref="AK472">_xlfn.IFS(AJ472&lt;=2,"Poor",AJ472&lt;=3,"Fair",AJ472&gt;3,"Good")</f>
        <v>Fair</v>
      </c>
      <c r="AL472">
        <v>1</v>
      </c>
      <c r="AM472">
        <v>0</v>
      </c>
      <c r="AN472">
        <v>0</v>
      </c>
      <c r="AO472">
        <v>0</v>
      </c>
    </row>
    <row r="473" spans="1:41" x14ac:dyDescent="0.2">
      <c r="A473">
        <v>1105684</v>
      </c>
      <c r="B473">
        <v>37</v>
      </c>
      <c r="C473" t="str" cm="1">
        <f t="array" ref="C473">_xlfn.IFS(B473&lt;=25,"15-25",B473&lt;=35,"26-35",B473&lt;=45,"36-45",B473&lt;=55,"46-55",B473&lt;=65,"56-65")</f>
        <v>36-45</v>
      </c>
      <c r="D473" t="s">
        <v>35</v>
      </c>
      <c r="E473" t="str">
        <f t="shared" si="14"/>
        <v>Current Employee</v>
      </c>
      <c r="F473" t="s">
        <v>36</v>
      </c>
      <c r="G473">
        <v>446</v>
      </c>
      <c r="H473" t="s">
        <v>54</v>
      </c>
      <c r="I473">
        <v>1</v>
      </c>
      <c r="J473">
        <v>4</v>
      </c>
      <c r="K473" t="s">
        <v>38</v>
      </c>
      <c r="L473">
        <v>1</v>
      </c>
      <c r="M473">
        <v>2</v>
      </c>
      <c r="N473" t="s">
        <v>39</v>
      </c>
      <c r="O473">
        <v>65</v>
      </c>
      <c r="P473">
        <v>3</v>
      </c>
      <c r="Q473">
        <v>2</v>
      </c>
      <c r="R473" t="s">
        <v>51</v>
      </c>
      <c r="S473">
        <v>2</v>
      </c>
      <c r="T473" t="str" cm="1">
        <f t="array" ref="T473">_xlfn.IFS(S473&lt;=2,"Poor",S473&lt;=3,"Fair",S473&gt;=4,"Good")</f>
        <v>Poor</v>
      </c>
      <c r="U473" t="s">
        <v>48</v>
      </c>
      <c r="V473" s="1">
        <v>6447</v>
      </c>
      <c r="W473" t="str" cm="1">
        <f t="array" ref="W473">_xlfn.IFS(V473&lt;=5000,"Low Salary",V473&lt;=12000,"Good Salary",V473&gt;12000,"High Salary")</f>
        <v>Good Salary</v>
      </c>
      <c r="X473">
        <v>15701</v>
      </c>
      <c r="Y473">
        <v>6</v>
      </c>
      <c r="Z473" t="s">
        <v>42</v>
      </c>
      <c r="AA473" t="s">
        <v>35</v>
      </c>
      <c r="AB473">
        <v>12</v>
      </c>
      <c r="AC473">
        <v>3</v>
      </c>
      <c r="AD473" t="str">
        <f t="shared" si="15"/>
        <v>Low Performance</v>
      </c>
      <c r="AE473">
        <v>2</v>
      </c>
      <c r="AF473">
        <v>80</v>
      </c>
      <c r="AG473">
        <v>1</v>
      </c>
      <c r="AH473">
        <v>8</v>
      </c>
      <c r="AI473">
        <v>2</v>
      </c>
      <c r="AJ473">
        <v>2</v>
      </c>
      <c r="AK473" t="str" cm="1">
        <f t="array" ref="AK473">_xlfn.IFS(AJ473&lt;=2,"Poor",AJ473&lt;=3,"Fair",AJ473&gt;3,"Good")</f>
        <v>Poor</v>
      </c>
      <c r="AL473">
        <v>6</v>
      </c>
      <c r="AM473">
        <v>5</v>
      </c>
      <c r="AN473">
        <v>4</v>
      </c>
      <c r="AO473">
        <v>3</v>
      </c>
    </row>
    <row r="474" spans="1:41" x14ac:dyDescent="0.2">
      <c r="A474">
        <v>1206385</v>
      </c>
      <c r="B474">
        <v>49</v>
      </c>
      <c r="C474" t="str" cm="1">
        <f t="array" ref="C474">_xlfn.IFS(B474&lt;=25,"15-25",B474&lt;=35,"26-35",B474&lt;=45,"36-45",B474&lt;=55,"46-55",B474&lt;=65,"56-65")</f>
        <v>46-55</v>
      </c>
      <c r="D474" t="s">
        <v>35</v>
      </c>
      <c r="E474" t="str">
        <f t="shared" si="14"/>
        <v>Current Employee</v>
      </c>
      <c r="F474" t="s">
        <v>36</v>
      </c>
      <c r="G474">
        <v>1245</v>
      </c>
      <c r="H474" t="s">
        <v>45</v>
      </c>
      <c r="I474">
        <v>18</v>
      </c>
      <c r="J474">
        <v>4</v>
      </c>
      <c r="K474" t="s">
        <v>38</v>
      </c>
      <c r="L474">
        <v>1</v>
      </c>
      <c r="M474">
        <v>4</v>
      </c>
      <c r="N474" t="s">
        <v>46</v>
      </c>
      <c r="O474">
        <v>58</v>
      </c>
      <c r="P474">
        <v>2</v>
      </c>
      <c r="Q474">
        <v>5</v>
      </c>
      <c r="R474" t="s">
        <v>53</v>
      </c>
      <c r="S474">
        <v>3</v>
      </c>
      <c r="T474" t="str" cm="1">
        <f t="array" ref="T474">_xlfn.IFS(S474&lt;=2,"Poor",S474&lt;=3,"Fair",S474&gt;=4,"Good")</f>
        <v>Fair</v>
      </c>
      <c r="U474" t="s">
        <v>50</v>
      </c>
      <c r="V474" s="1">
        <v>19502</v>
      </c>
      <c r="W474" t="str" cm="1">
        <f t="array" ref="W474">_xlfn.IFS(V474&lt;=5000,"Low Salary",V474&lt;=12000,"Good Salary",V474&gt;12000,"High Salary")</f>
        <v>High Salary</v>
      </c>
      <c r="X474">
        <v>2125</v>
      </c>
      <c r="Y474">
        <v>1</v>
      </c>
      <c r="Z474" t="s">
        <v>42</v>
      </c>
      <c r="AA474" t="s">
        <v>43</v>
      </c>
      <c r="AB474">
        <v>17</v>
      </c>
      <c r="AC474">
        <v>3</v>
      </c>
      <c r="AD474" t="str">
        <f t="shared" si="15"/>
        <v>Low Performance</v>
      </c>
      <c r="AE474">
        <v>3</v>
      </c>
      <c r="AF474">
        <v>80</v>
      </c>
      <c r="AG474">
        <v>1</v>
      </c>
      <c r="AH474">
        <v>31</v>
      </c>
      <c r="AI474">
        <v>5</v>
      </c>
      <c r="AJ474">
        <v>3</v>
      </c>
      <c r="AK474" t="str" cm="1">
        <f t="array" ref="AK474">_xlfn.IFS(AJ474&lt;=2,"Poor",AJ474&lt;=3,"Fair",AJ474&gt;3,"Good")</f>
        <v>Fair</v>
      </c>
      <c r="AL474">
        <v>31</v>
      </c>
      <c r="AM474">
        <v>9</v>
      </c>
      <c r="AN474">
        <v>0</v>
      </c>
      <c r="AO474">
        <v>9</v>
      </c>
    </row>
    <row r="475" spans="1:41" x14ac:dyDescent="0.2">
      <c r="A475">
        <v>1487282</v>
      </c>
      <c r="B475">
        <v>24</v>
      </c>
      <c r="C475" t="str" cm="1">
        <f t="array" ref="C475">_xlfn.IFS(B475&lt;=25,"15-25",B475&lt;=35,"26-35",B475&lt;=45,"36-45",B475&lt;=55,"46-55",B475&lt;=65,"56-65")</f>
        <v>15-25</v>
      </c>
      <c r="D475" t="s">
        <v>35</v>
      </c>
      <c r="E475" t="str">
        <f t="shared" si="14"/>
        <v>Current Employee</v>
      </c>
      <c r="F475" t="s">
        <v>36</v>
      </c>
      <c r="G475">
        <v>691</v>
      </c>
      <c r="H475" t="s">
        <v>45</v>
      </c>
      <c r="I475">
        <v>23</v>
      </c>
      <c r="J475">
        <v>3</v>
      </c>
      <c r="K475" t="s">
        <v>49</v>
      </c>
      <c r="L475">
        <v>1</v>
      </c>
      <c r="M475">
        <v>2</v>
      </c>
      <c r="N475" t="s">
        <v>46</v>
      </c>
      <c r="O475">
        <v>89</v>
      </c>
      <c r="P475">
        <v>4</v>
      </c>
      <c r="Q475">
        <v>1</v>
      </c>
      <c r="R475" t="s">
        <v>47</v>
      </c>
      <c r="S475">
        <v>4</v>
      </c>
      <c r="T475" t="str" cm="1">
        <f t="array" ref="T475">_xlfn.IFS(S475&lt;=2,"Poor",S475&lt;=3,"Fair",S475&gt;=4,"Good")</f>
        <v>Good</v>
      </c>
      <c r="U475" t="s">
        <v>48</v>
      </c>
      <c r="V475" s="1">
        <v>2725</v>
      </c>
      <c r="W475" t="str" cm="1">
        <f t="array" ref="W475">_xlfn.IFS(V475&lt;=5000,"Low Salary",V475&lt;=12000,"Good Salary",V475&gt;12000,"High Salary")</f>
        <v>Low Salary</v>
      </c>
      <c r="X475">
        <v>21630</v>
      </c>
      <c r="Y475">
        <v>1</v>
      </c>
      <c r="Z475" t="s">
        <v>42</v>
      </c>
      <c r="AA475" t="s">
        <v>43</v>
      </c>
      <c r="AB475">
        <v>11</v>
      </c>
      <c r="AC475">
        <v>3</v>
      </c>
      <c r="AD475" t="str">
        <f t="shared" si="15"/>
        <v>Low Performance</v>
      </c>
      <c r="AE475">
        <v>2</v>
      </c>
      <c r="AF475">
        <v>80</v>
      </c>
      <c r="AG475">
        <v>2</v>
      </c>
      <c r="AH475">
        <v>6</v>
      </c>
      <c r="AI475">
        <v>3</v>
      </c>
      <c r="AJ475">
        <v>3</v>
      </c>
      <c r="AK475" t="str" cm="1">
        <f t="array" ref="AK475">_xlfn.IFS(AJ475&lt;=2,"Poor",AJ475&lt;=3,"Fair",AJ475&gt;3,"Good")</f>
        <v>Fair</v>
      </c>
      <c r="AL475">
        <v>6</v>
      </c>
      <c r="AM475">
        <v>5</v>
      </c>
      <c r="AN475">
        <v>1</v>
      </c>
      <c r="AO475">
        <v>4</v>
      </c>
    </row>
    <row r="476" spans="1:41" x14ac:dyDescent="0.2">
      <c r="A476">
        <v>1295289</v>
      </c>
      <c r="B476">
        <v>26</v>
      </c>
      <c r="C476" t="str" cm="1">
        <f t="array" ref="C476">_xlfn.IFS(B476&lt;=25,"15-25",B476&lt;=35,"26-35",B476&lt;=45,"36-45",B476&lt;=55,"46-55",B476&lt;=65,"56-65")</f>
        <v>26-35</v>
      </c>
      <c r="D476" t="s">
        <v>35</v>
      </c>
      <c r="E476" t="str">
        <f t="shared" si="14"/>
        <v>Current Employee</v>
      </c>
      <c r="F476" t="s">
        <v>36</v>
      </c>
      <c r="G476">
        <v>703</v>
      </c>
      <c r="H476" t="s">
        <v>37</v>
      </c>
      <c r="I476">
        <v>28</v>
      </c>
      <c r="J476">
        <v>2</v>
      </c>
      <c r="K476" t="s">
        <v>55</v>
      </c>
      <c r="L476">
        <v>1</v>
      </c>
      <c r="M476">
        <v>1</v>
      </c>
      <c r="N476" t="s">
        <v>46</v>
      </c>
      <c r="O476">
        <v>66</v>
      </c>
      <c r="P476">
        <v>3</v>
      </c>
      <c r="Q476">
        <v>2</v>
      </c>
      <c r="R476" t="s">
        <v>40</v>
      </c>
      <c r="S476">
        <v>2</v>
      </c>
      <c r="T476" t="str" cm="1">
        <f t="array" ref="T476">_xlfn.IFS(S476&lt;=2,"Poor",S476&lt;=3,"Fair",S476&gt;=4,"Good")</f>
        <v>Poor</v>
      </c>
      <c r="U476" t="s">
        <v>48</v>
      </c>
      <c r="V476" s="1">
        <v>6272</v>
      </c>
      <c r="W476" t="str" cm="1">
        <f t="array" ref="W476">_xlfn.IFS(V476&lt;=5000,"Low Salary",V476&lt;=12000,"Good Salary",V476&gt;12000,"High Salary")</f>
        <v>Good Salary</v>
      </c>
      <c r="X476">
        <v>7428</v>
      </c>
      <c r="Y476">
        <v>1</v>
      </c>
      <c r="Z476" t="s">
        <v>42</v>
      </c>
      <c r="AA476" t="s">
        <v>35</v>
      </c>
      <c r="AB476">
        <v>20</v>
      </c>
      <c r="AC476">
        <v>4</v>
      </c>
      <c r="AD476" t="str">
        <f t="shared" si="15"/>
        <v>High Performance</v>
      </c>
      <c r="AE476">
        <v>4</v>
      </c>
      <c r="AF476">
        <v>80</v>
      </c>
      <c r="AG476">
        <v>2</v>
      </c>
      <c r="AH476">
        <v>6</v>
      </c>
      <c r="AI476">
        <v>5</v>
      </c>
      <c r="AJ476">
        <v>4</v>
      </c>
      <c r="AK476" t="str" cm="1">
        <f t="array" ref="AK476">_xlfn.IFS(AJ476&lt;=2,"Poor",AJ476&lt;=3,"Fair",AJ476&gt;3,"Good")</f>
        <v>Good</v>
      </c>
      <c r="AL476">
        <v>5</v>
      </c>
      <c r="AM476">
        <v>3</v>
      </c>
      <c r="AN476">
        <v>1</v>
      </c>
      <c r="AO476">
        <v>4</v>
      </c>
    </row>
    <row r="477" spans="1:41" x14ac:dyDescent="0.2">
      <c r="A477">
        <v>1875209</v>
      </c>
      <c r="B477">
        <v>24</v>
      </c>
      <c r="C477" t="str" cm="1">
        <f t="array" ref="C477">_xlfn.IFS(B477&lt;=25,"15-25",B477&lt;=35,"26-35",B477&lt;=45,"36-45",B477&lt;=55,"46-55",B477&lt;=65,"56-65")</f>
        <v>15-25</v>
      </c>
      <c r="D477" t="s">
        <v>35</v>
      </c>
      <c r="E477" t="str">
        <f t="shared" si="14"/>
        <v>Current Employee</v>
      </c>
      <c r="F477" t="s">
        <v>36</v>
      </c>
      <c r="G477">
        <v>823</v>
      </c>
      <c r="H477" t="s">
        <v>45</v>
      </c>
      <c r="I477">
        <v>17</v>
      </c>
      <c r="J477">
        <v>2</v>
      </c>
      <c r="K477" t="s">
        <v>47</v>
      </c>
      <c r="L477">
        <v>1</v>
      </c>
      <c r="M477">
        <v>4</v>
      </c>
      <c r="N477" t="s">
        <v>46</v>
      </c>
      <c r="O477">
        <v>94</v>
      </c>
      <c r="P477">
        <v>2</v>
      </c>
      <c r="Q477">
        <v>1</v>
      </c>
      <c r="R477" t="s">
        <v>40</v>
      </c>
      <c r="S477">
        <v>2</v>
      </c>
      <c r="T477" t="str" cm="1">
        <f t="array" ref="T477">_xlfn.IFS(S477&lt;=2,"Poor",S477&lt;=3,"Fair",S477&gt;=4,"Good")</f>
        <v>Poor</v>
      </c>
      <c r="U477" t="s">
        <v>48</v>
      </c>
      <c r="V477" s="1">
        <v>2127</v>
      </c>
      <c r="W477" t="str" cm="1">
        <f t="array" ref="W477">_xlfn.IFS(V477&lt;=5000,"Low Salary",V477&lt;=12000,"Good Salary",V477&gt;12000,"High Salary")</f>
        <v>Low Salary</v>
      </c>
      <c r="X477">
        <v>9100</v>
      </c>
      <c r="Y477">
        <v>1</v>
      </c>
      <c r="Z477" t="s">
        <v>42</v>
      </c>
      <c r="AA477" t="s">
        <v>35</v>
      </c>
      <c r="AB477">
        <v>21</v>
      </c>
      <c r="AC477">
        <v>4</v>
      </c>
      <c r="AD477" t="str">
        <f t="shared" si="15"/>
        <v>High Performance</v>
      </c>
      <c r="AE477">
        <v>4</v>
      </c>
      <c r="AF477">
        <v>80</v>
      </c>
      <c r="AG477">
        <v>1</v>
      </c>
      <c r="AH477">
        <v>1</v>
      </c>
      <c r="AI477">
        <v>2</v>
      </c>
      <c r="AJ477">
        <v>3</v>
      </c>
      <c r="AK477" t="str" cm="1">
        <f t="array" ref="AK477">_xlfn.IFS(AJ477&lt;=2,"Poor",AJ477&lt;=3,"Fair",AJ477&gt;3,"Good")</f>
        <v>Fair</v>
      </c>
      <c r="AL477">
        <v>1</v>
      </c>
      <c r="AM477">
        <v>0</v>
      </c>
      <c r="AN477">
        <v>0</v>
      </c>
      <c r="AO477">
        <v>0</v>
      </c>
    </row>
    <row r="478" spans="1:41" x14ac:dyDescent="0.2">
      <c r="A478">
        <v>1079394</v>
      </c>
      <c r="B478">
        <v>50</v>
      </c>
      <c r="C478" t="str" cm="1">
        <f t="array" ref="C478">_xlfn.IFS(B478&lt;=25,"15-25",B478&lt;=35,"26-35",B478&lt;=45,"36-45",B478&lt;=55,"46-55",B478&lt;=65,"56-65")</f>
        <v>46-55</v>
      </c>
      <c r="D478" t="s">
        <v>35</v>
      </c>
      <c r="E478" t="str">
        <f t="shared" si="14"/>
        <v>Current Employee</v>
      </c>
      <c r="F478" t="s">
        <v>44</v>
      </c>
      <c r="G478">
        <v>1246</v>
      </c>
      <c r="H478" t="s">
        <v>54</v>
      </c>
      <c r="I478">
        <v>3</v>
      </c>
      <c r="J478">
        <v>3</v>
      </c>
      <c r="K478" t="s">
        <v>49</v>
      </c>
      <c r="L478">
        <v>1</v>
      </c>
      <c r="M478">
        <v>1</v>
      </c>
      <c r="N478" t="s">
        <v>46</v>
      </c>
      <c r="O478">
        <v>99</v>
      </c>
      <c r="P478">
        <v>3</v>
      </c>
      <c r="Q478">
        <v>5</v>
      </c>
      <c r="R478" t="s">
        <v>53</v>
      </c>
      <c r="S478">
        <v>2</v>
      </c>
      <c r="T478" t="str" cm="1">
        <f t="array" ref="T478">_xlfn.IFS(S478&lt;=2,"Poor",S478&lt;=3,"Fair",S478&gt;=4,"Good")</f>
        <v>Poor</v>
      </c>
      <c r="U478" t="s">
        <v>48</v>
      </c>
      <c r="V478" s="1">
        <v>18200</v>
      </c>
      <c r="W478" t="str" cm="1">
        <f t="array" ref="W478">_xlfn.IFS(V478&lt;=5000,"Low Salary",V478&lt;=12000,"Good Salary",V478&gt;12000,"High Salary")</f>
        <v>High Salary</v>
      </c>
      <c r="X478">
        <v>7999</v>
      </c>
      <c r="Y478">
        <v>1</v>
      </c>
      <c r="Z478" t="s">
        <v>42</v>
      </c>
      <c r="AA478" t="s">
        <v>35</v>
      </c>
      <c r="AB478">
        <v>11</v>
      </c>
      <c r="AC478">
        <v>3</v>
      </c>
      <c r="AD478" t="str">
        <f t="shared" si="15"/>
        <v>Low Performance</v>
      </c>
      <c r="AE478">
        <v>3</v>
      </c>
      <c r="AF478">
        <v>80</v>
      </c>
      <c r="AG478">
        <v>1</v>
      </c>
      <c r="AH478">
        <v>32</v>
      </c>
      <c r="AI478">
        <v>2</v>
      </c>
      <c r="AJ478">
        <v>3</v>
      </c>
      <c r="AK478" t="str" cm="1">
        <f t="array" ref="AK478">_xlfn.IFS(AJ478&lt;=2,"Poor",AJ478&lt;=3,"Fair",AJ478&gt;3,"Good")</f>
        <v>Fair</v>
      </c>
      <c r="AL478">
        <v>32</v>
      </c>
      <c r="AM478">
        <v>5</v>
      </c>
      <c r="AN478">
        <v>10</v>
      </c>
      <c r="AO478">
        <v>7</v>
      </c>
    </row>
    <row r="479" spans="1:41" x14ac:dyDescent="0.2">
      <c r="A479">
        <v>1353559</v>
      </c>
      <c r="B479">
        <v>25</v>
      </c>
      <c r="C479" t="str" cm="1">
        <f t="array" ref="C479">_xlfn.IFS(B479&lt;=25,"15-25",B479&lt;=35,"26-35",B479&lt;=45,"36-45",B479&lt;=55,"46-55",B479&lt;=65,"56-65")</f>
        <v>15-25</v>
      </c>
      <c r="D479" t="s">
        <v>35</v>
      </c>
      <c r="E479" t="str">
        <f t="shared" si="14"/>
        <v>Current Employee</v>
      </c>
      <c r="F479" t="s">
        <v>36</v>
      </c>
      <c r="G479">
        <v>622</v>
      </c>
      <c r="H479" t="s">
        <v>37</v>
      </c>
      <c r="I479">
        <v>13</v>
      </c>
      <c r="J479">
        <v>1</v>
      </c>
      <c r="K479" t="s">
        <v>49</v>
      </c>
      <c r="L479">
        <v>1</v>
      </c>
      <c r="M479">
        <v>2</v>
      </c>
      <c r="N479" t="s">
        <v>46</v>
      </c>
      <c r="O479">
        <v>40</v>
      </c>
      <c r="P479">
        <v>3</v>
      </c>
      <c r="Q479">
        <v>1</v>
      </c>
      <c r="R479" t="s">
        <v>47</v>
      </c>
      <c r="S479">
        <v>3</v>
      </c>
      <c r="T479" t="str" cm="1">
        <f t="array" ref="T479">_xlfn.IFS(S479&lt;=2,"Poor",S479&lt;=3,"Fair",S479&gt;=4,"Good")</f>
        <v>Fair</v>
      </c>
      <c r="U479" t="s">
        <v>48</v>
      </c>
      <c r="V479" s="1">
        <v>2096</v>
      </c>
      <c r="W479" t="str" cm="1">
        <f t="array" ref="W479">_xlfn.IFS(V479&lt;=5000,"Low Salary",V479&lt;=12000,"Good Salary",V479&gt;12000,"High Salary")</f>
        <v>Low Salary</v>
      </c>
      <c r="X479">
        <v>26376</v>
      </c>
      <c r="Y479">
        <v>1</v>
      </c>
      <c r="Z479" t="s">
        <v>42</v>
      </c>
      <c r="AA479" t="s">
        <v>35</v>
      </c>
      <c r="AB479">
        <v>11</v>
      </c>
      <c r="AC479">
        <v>3</v>
      </c>
      <c r="AD479" t="str">
        <f t="shared" si="15"/>
        <v>Low Performance</v>
      </c>
      <c r="AE479">
        <v>3</v>
      </c>
      <c r="AF479">
        <v>80</v>
      </c>
      <c r="AG479">
        <v>0</v>
      </c>
      <c r="AH479">
        <v>7</v>
      </c>
      <c r="AI479">
        <v>1</v>
      </c>
      <c r="AJ479">
        <v>3</v>
      </c>
      <c r="AK479" t="str" cm="1">
        <f t="array" ref="AK479">_xlfn.IFS(AJ479&lt;=2,"Poor",AJ479&lt;=3,"Fair",AJ479&gt;3,"Good")</f>
        <v>Fair</v>
      </c>
      <c r="AL479">
        <v>7</v>
      </c>
      <c r="AM479">
        <v>4</v>
      </c>
      <c r="AN479">
        <v>0</v>
      </c>
      <c r="AO479">
        <v>6</v>
      </c>
    </row>
    <row r="480" spans="1:41" x14ac:dyDescent="0.2">
      <c r="A480">
        <v>1119549</v>
      </c>
      <c r="B480">
        <v>24</v>
      </c>
      <c r="C480" t="str" cm="1">
        <f t="array" ref="C480">_xlfn.IFS(B480&lt;=25,"15-25",B480&lt;=35,"26-35",B480&lt;=45,"36-45",B480&lt;=55,"46-55",B480&lt;=65,"56-65")</f>
        <v>15-25</v>
      </c>
      <c r="D480" t="s">
        <v>43</v>
      </c>
      <c r="E480" t="str">
        <f t="shared" si="14"/>
        <v>Former Employee</v>
      </c>
      <c r="F480" t="s">
        <v>44</v>
      </c>
      <c r="G480">
        <v>1287</v>
      </c>
      <c r="H480" t="s">
        <v>45</v>
      </c>
      <c r="I480">
        <v>7</v>
      </c>
      <c r="J480">
        <v>3</v>
      </c>
      <c r="K480" t="s">
        <v>38</v>
      </c>
      <c r="L480">
        <v>1</v>
      </c>
      <c r="M480">
        <v>1</v>
      </c>
      <c r="N480" t="s">
        <v>39</v>
      </c>
      <c r="O480">
        <v>55</v>
      </c>
      <c r="P480">
        <v>3</v>
      </c>
      <c r="Q480">
        <v>1</v>
      </c>
      <c r="R480" t="s">
        <v>40</v>
      </c>
      <c r="S480">
        <v>3</v>
      </c>
      <c r="T480" t="str" cm="1">
        <f t="array" ref="T480">_xlfn.IFS(S480&lt;=2,"Poor",S480&lt;=3,"Fair",S480&gt;=4,"Good")</f>
        <v>Fair</v>
      </c>
      <c r="U480" t="s">
        <v>48</v>
      </c>
      <c r="V480" s="1">
        <v>2886</v>
      </c>
      <c r="W480" t="str" cm="1">
        <f t="array" ref="W480">_xlfn.IFS(V480&lt;=5000,"Low Salary",V480&lt;=12000,"Good Salary",V480&gt;12000,"High Salary")</f>
        <v>Low Salary</v>
      </c>
      <c r="X480">
        <v>14168</v>
      </c>
      <c r="Y480">
        <v>1</v>
      </c>
      <c r="Z480" t="s">
        <v>42</v>
      </c>
      <c r="AA480" t="s">
        <v>43</v>
      </c>
      <c r="AB480">
        <v>16</v>
      </c>
      <c r="AC480">
        <v>3</v>
      </c>
      <c r="AD480" t="str">
        <f t="shared" si="15"/>
        <v>Low Performance</v>
      </c>
      <c r="AE480">
        <v>4</v>
      </c>
      <c r="AF480">
        <v>80</v>
      </c>
      <c r="AG480">
        <v>1</v>
      </c>
      <c r="AH480">
        <v>6</v>
      </c>
      <c r="AI480">
        <v>4</v>
      </c>
      <c r="AJ480">
        <v>3</v>
      </c>
      <c r="AK480" t="str" cm="1">
        <f t="array" ref="AK480">_xlfn.IFS(AJ480&lt;=2,"Poor",AJ480&lt;=3,"Fair",AJ480&gt;3,"Good")</f>
        <v>Fair</v>
      </c>
      <c r="AL480">
        <v>6</v>
      </c>
      <c r="AM480">
        <v>3</v>
      </c>
      <c r="AN480">
        <v>1</v>
      </c>
      <c r="AO480">
        <v>2</v>
      </c>
    </row>
    <row r="481" spans="1:41" x14ac:dyDescent="0.2">
      <c r="A481">
        <v>1209208</v>
      </c>
      <c r="B481">
        <v>30</v>
      </c>
      <c r="C481" t="str" cm="1">
        <f t="array" ref="C481">_xlfn.IFS(B481&lt;=25,"15-25",B481&lt;=35,"26-35",B481&lt;=45,"36-45",B481&lt;=55,"46-55",B481&lt;=65,"56-65")</f>
        <v>26-35</v>
      </c>
      <c r="D481" t="s">
        <v>43</v>
      </c>
      <c r="E481" t="str">
        <f t="shared" si="14"/>
        <v>Former Employee</v>
      </c>
      <c r="F481" t="s">
        <v>44</v>
      </c>
      <c r="G481">
        <v>448</v>
      </c>
      <c r="H481" t="s">
        <v>37</v>
      </c>
      <c r="I481">
        <v>12</v>
      </c>
      <c r="J481">
        <v>4</v>
      </c>
      <c r="K481" t="s">
        <v>38</v>
      </c>
      <c r="L481">
        <v>1</v>
      </c>
      <c r="M481">
        <v>2</v>
      </c>
      <c r="N481" t="s">
        <v>46</v>
      </c>
      <c r="O481">
        <v>74</v>
      </c>
      <c r="P481">
        <v>2</v>
      </c>
      <c r="Q481">
        <v>1</v>
      </c>
      <c r="R481" t="s">
        <v>47</v>
      </c>
      <c r="S481">
        <v>1</v>
      </c>
      <c r="T481" t="str" cm="1">
        <f t="array" ref="T481">_xlfn.IFS(S481&lt;=2,"Poor",S481&lt;=3,"Fair",S481&gt;=4,"Good")</f>
        <v>Poor</v>
      </c>
      <c r="U481" t="s">
        <v>48</v>
      </c>
      <c r="V481" s="1">
        <v>2033</v>
      </c>
      <c r="W481" t="str" cm="1">
        <f t="array" ref="W481">_xlfn.IFS(V481&lt;=5000,"Low Salary",V481&lt;=12000,"Good Salary",V481&gt;12000,"High Salary")</f>
        <v>Low Salary</v>
      </c>
      <c r="X481">
        <v>14470</v>
      </c>
      <c r="Y481">
        <v>1</v>
      </c>
      <c r="Z481" t="s">
        <v>42</v>
      </c>
      <c r="AA481" t="s">
        <v>35</v>
      </c>
      <c r="AB481">
        <v>18</v>
      </c>
      <c r="AC481">
        <v>3</v>
      </c>
      <c r="AD481" t="str">
        <f t="shared" si="15"/>
        <v>Low Performance</v>
      </c>
      <c r="AE481">
        <v>3</v>
      </c>
      <c r="AF481">
        <v>80</v>
      </c>
      <c r="AG481">
        <v>1</v>
      </c>
      <c r="AH481">
        <v>1</v>
      </c>
      <c r="AI481">
        <v>2</v>
      </c>
      <c r="AJ481">
        <v>4</v>
      </c>
      <c r="AK481" t="str" cm="1">
        <f t="array" ref="AK481">_xlfn.IFS(AJ481&lt;=2,"Poor",AJ481&lt;=3,"Fair",AJ481&gt;3,"Good")</f>
        <v>Good</v>
      </c>
      <c r="AL481">
        <v>1</v>
      </c>
      <c r="AM481">
        <v>0</v>
      </c>
      <c r="AN481">
        <v>0</v>
      </c>
      <c r="AO481">
        <v>0</v>
      </c>
    </row>
    <row r="482" spans="1:41" x14ac:dyDescent="0.2">
      <c r="A482">
        <v>1228187</v>
      </c>
      <c r="B482">
        <v>34</v>
      </c>
      <c r="C482" t="str" cm="1">
        <f t="array" ref="C482">_xlfn.IFS(B482&lt;=25,"15-25",B482&lt;=35,"26-35",B482&lt;=45,"36-45",B482&lt;=55,"46-55",B482&lt;=65,"56-65")</f>
        <v>26-35</v>
      </c>
      <c r="D482" t="s">
        <v>35</v>
      </c>
      <c r="E482" t="str">
        <f t="shared" si="14"/>
        <v>Current Employee</v>
      </c>
      <c r="F482" t="s">
        <v>36</v>
      </c>
      <c r="G482">
        <v>254</v>
      </c>
      <c r="H482" t="s">
        <v>45</v>
      </c>
      <c r="I482">
        <v>1</v>
      </c>
      <c r="J482">
        <v>2</v>
      </c>
      <c r="K482" t="s">
        <v>38</v>
      </c>
      <c r="L482">
        <v>1</v>
      </c>
      <c r="M482">
        <v>2</v>
      </c>
      <c r="N482" t="s">
        <v>46</v>
      </c>
      <c r="O482">
        <v>83</v>
      </c>
      <c r="P482">
        <v>2</v>
      </c>
      <c r="Q482">
        <v>1</v>
      </c>
      <c r="R482" t="s">
        <v>47</v>
      </c>
      <c r="S482">
        <v>4</v>
      </c>
      <c r="T482" t="str" cm="1">
        <f t="array" ref="T482">_xlfn.IFS(S482&lt;=2,"Poor",S482&lt;=3,"Fair",S482&gt;=4,"Good")</f>
        <v>Good</v>
      </c>
      <c r="U482" t="s">
        <v>48</v>
      </c>
      <c r="V482" s="1">
        <v>3622</v>
      </c>
      <c r="W482" t="str" cm="1">
        <f t="array" ref="W482">_xlfn.IFS(V482&lt;=5000,"Low Salary",V482&lt;=12000,"Good Salary",V482&gt;12000,"High Salary")</f>
        <v>Low Salary</v>
      </c>
      <c r="X482">
        <v>22794</v>
      </c>
      <c r="Y482">
        <v>1</v>
      </c>
      <c r="Z482" t="s">
        <v>42</v>
      </c>
      <c r="AA482" t="s">
        <v>43</v>
      </c>
      <c r="AB482">
        <v>13</v>
      </c>
      <c r="AC482">
        <v>3</v>
      </c>
      <c r="AD482" t="str">
        <f t="shared" si="15"/>
        <v>Low Performance</v>
      </c>
      <c r="AE482">
        <v>4</v>
      </c>
      <c r="AF482">
        <v>80</v>
      </c>
      <c r="AG482">
        <v>1</v>
      </c>
      <c r="AH482">
        <v>6</v>
      </c>
      <c r="AI482">
        <v>3</v>
      </c>
      <c r="AJ482">
        <v>3</v>
      </c>
      <c r="AK482" t="str" cm="1">
        <f t="array" ref="AK482">_xlfn.IFS(AJ482&lt;=2,"Poor",AJ482&lt;=3,"Fair",AJ482&gt;3,"Good")</f>
        <v>Fair</v>
      </c>
      <c r="AL482">
        <v>6</v>
      </c>
      <c r="AM482">
        <v>5</v>
      </c>
      <c r="AN482">
        <v>1</v>
      </c>
      <c r="AO482">
        <v>3</v>
      </c>
    </row>
    <row r="483" spans="1:41" x14ac:dyDescent="0.2">
      <c r="A483">
        <v>1090528</v>
      </c>
      <c r="B483">
        <v>31</v>
      </c>
      <c r="C483" t="str" cm="1">
        <f t="array" ref="C483">_xlfn.IFS(B483&lt;=25,"15-25",B483&lt;=35,"26-35",B483&lt;=45,"36-45",B483&lt;=55,"46-55",B483&lt;=65,"56-65")</f>
        <v>26-35</v>
      </c>
      <c r="D483" t="s">
        <v>35</v>
      </c>
      <c r="E483" t="str">
        <f t="shared" si="14"/>
        <v>Current Employee</v>
      </c>
      <c r="F483" t="s">
        <v>36</v>
      </c>
      <c r="G483">
        <v>1365</v>
      </c>
      <c r="H483" t="s">
        <v>37</v>
      </c>
      <c r="I483">
        <v>13</v>
      </c>
      <c r="J483">
        <v>4</v>
      </c>
      <c r="K483" t="s">
        <v>49</v>
      </c>
      <c r="L483">
        <v>1</v>
      </c>
      <c r="M483">
        <v>2</v>
      </c>
      <c r="N483" t="s">
        <v>46</v>
      </c>
      <c r="O483">
        <v>46</v>
      </c>
      <c r="P483">
        <v>3</v>
      </c>
      <c r="Q483">
        <v>2</v>
      </c>
      <c r="R483" t="s">
        <v>40</v>
      </c>
      <c r="S483">
        <v>1</v>
      </c>
      <c r="T483" t="str" cm="1">
        <f t="array" ref="T483">_xlfn.IFS(S483&lt;=2,"Poor",S483&lt;=3,"Fair",S483&gt;=4,"Good")</f>
        <v>Poor</v>
      </c>
      <c r="U483" t="s">
        <v>50</v>
      </c>
      <c r="V483" s="1">
        <v>4233</v>
      </c>
      <c r="W483" t="str" cm="1">
        <f t="array" ref="W483">_xlfn.IFS(V483&lt;=5000,"Low Salary",V483&lt;=12000,"Good Salary",V483&gt;12000,"High Salary")</f>
        <v>Low Salary</v>
      </c>
      <c r="X483">
        <v>11512</v>
      </c>
      <c r="Y483">
        <v>2</v>
      </c>
      <c r="Z483" t="s">
        <v>42</v>
      </c>
      <c r="AA483" t="s">
        <v>35</v>
      </c>
      <c r="AB483">
        <v>17</v>
      </c>
      <c r="AC483">
        <v>3</v>
      </c>
      <c r="AD483" t="str">
        <f t="shared" si="15"/>
        <v>Low Performance</v>
      </c>
      <c r="AE483">
        <v>3</v>
      </c>
      <c r="AF483">
        <v>80</v>
      </c>
      <c r="AG483">
        <v>0</v>
      </c>
      <c r="AH483">
        <v>9</v>
      </c>
      <c r="AI483">
        <v>2</v>
      </c>
      <c r="AJ483">
        <v>1</v>
      </c>
      <c r="AK483" t="str" cm="1">
        <f t="array" ref="AK483">_xlfn.IFS(AJ483&lt;=2,"Poor",AJ483&lt;=3,"Fair",AJ483&gt;3,"Good")</f>
        <v>Poor</v>
      </c>
      <c r="AL483">
        <v>3</v>
      </c>
      <c r="AM483">
        <v>1</v>
      </c>
      <c r="AN483">
        <v>1</v>
      </c>
      <c r="AO483">
        <v>2</v>
      </c>
    </row>
    <row r="484" spans="1:41" x14ac:dyDescent="0.2">
      <c r="A484">
        <v>1665575</v>
      </c>
      <c r="B484">
        <v>35</v>
      </c>
      <c r="C484" t="str" cm="1">
        <f t="array" ref="C484">_xlfn.IFS(B484&lt;=25,"15-25",B484&lt;=35,"26-35",B484&lt;=45,"36-45",B484&lt;=55,"46-55",B484&lt;=65,"56-65")</f>
        <v>26-35</v>
      </c>
      <c r="D484" t="s">
        <v>35</v>
      </c>
      <c r="E484" t="str">
        <f t="shared" si="14"/>
        <v>Current Employee</v>
      </c>
      <c r="F484" t="s">
        <v>36</v>
      </c>
      <c r="G484">
        <v>538</v>
      </c>
      <c r="H484" t="s">
        <v>45</v>
      </c>
      <c r="I484">
        <v>25</v>
      </c>
      <c r="J484">
        <v>2</v>
      </c>
      <c r="K484" t="s">
        <v>47</v>
      </c>
      <c r="L484">
        <v>1</v>
      </c>
      <c r="M484">
        <v>1</v>
      </c>
      <c r="N484" t="s">
        <v>46</v>
      </c>
      <c r="O484">
        <v>54</v>
      </c>
      <c r="P484">
        <v>2</v>
      </c>
      <c r="Q484">
        <v>2</v>
      </c>
      <c r="R484" t="s">
        <v>40</v>
      </c>
      <c r="S484">
        <v>4</v>
      </c>
      <c r="T484" t="str" cm="1">
        <f t="array" ref="T484">_xlfn.IFS(S484&lt;=2,"Poor",S484&lt;=3,"Fair",S484&gt;=4,"Good")</f>
        <v>Good</v>
      </c>
      <c r="U484" t="s">
        <v>41</v>
      </c>
      <c r="V484" s="1">
        <v>3681</v>
      </c>
      <c r="W484" t="str" cm="1">
        <f t="array" ref="W484">_xlfn.IFS(V484&lt;=5000,"Low Salary",V484&lt;=12000,"Good Salary",V484&gt;12000,"High Salary")</f>
        <v>Low Salary</v>
      </c>
      <c r="X484">
        <v>14004</v>
      </c>
      <c r="Y484">
        <v>4</v>
      </c>
      <c r="Z484" t="s">
        <v>42</v>
      </c>
      <c r="AA484" t="s">
        <v>35</v>
      </c>
      <c r="AB484">
        <v>14</v>
      </c>
      <c r="AC484">
        <v>3</v>
      </c>
      <c r="AD484" t="str">
        <f t="shared" si="15"/>
        <v>Low Performance</v>
      </c>
      <c r="AE484">
        <v>4</v>
      </c>
      <c r="AF484">
        <v>80</v>
      </c>
      <c r="AG484">
        <v>0</v>
      </c>
      <c r="AH484">
        <v>9</v>
      </c>
      <c r="AI484">
        <v>3</v>
      </c>
      <c r="AJ484">
        <v>3</v>
      </c>
      <c r="AK484" t="str" cm="1">
        <f t="array" ref="AK484">_xlfn.IFS(AJ484&lt;=2,"Poor",AJ484&lt;=3,"Fair",AJ484&gt;3,"Good")</f>
        <v>Fair</v>
      </c>
      <c r="AL484">
        <v>3</v>
      </c>
      <c r="AM484">
        <v>2</v>
      </c>
      <c r="AN484">
        <v>0</v>
      </c>
      <c r="AO484">
        <v>2</v>
      </c>
    </row>
    <row r="485" spans="1:41" x14ac:dyDescent="0.2">
      <c r="A485">
        <v>1761086</v>
      </c>
      <c r="B485">
        <v>31</v>
      </c>
      <c r="C485" t="str" cm="1">
        <f t="array" ref="C485">_xlfn.IFS(B485&lt;=25,"15-25",B485&lt;=35,"26-35",B485&lt;=45,"36-45",B485&lt;=55,"46-55",B485&lt;=65,"56-65")</f>
        <v>26-35</v>
      </c>
      <c r="D485" t="s">
        <v>35</v>
      </c>
      <c r="E485" t="str">
        <f t="shared" si="14"/>
        <v>Current Employee</v>
      </c>
      <c r="F485" t="s">
        <v>36</v>
      </c>
      <c r="G485">
        <v>525</v>
      </c>
      <c r="H485" t="s">
        <v>37</v>
      </c>
      <c r="I485">
        <v>6</v>
      </c>
      <c r="J485">
        <v>4</v>
      </c>
      <c r="K485" t="s">
        <v>49</v>
      </c>
      <c r="L485">
        <v>1</v>
      </c>
      <c r="M485">
        <v>1</v>
      </c>
      <c r="N485" t="s">
        <v>46</v>
      </c>
      <c r="O485">
        <v>66</v>
      </c>
      <c r="P485">
        <v>4</v>
      </c>
      <c r="Q485">
        <v>2</v>
      </c>
      <c r="R485" t="s">
        <v>40</v>
      </c>
      <c r="S485">
        <v>4</v>
      </c>
      <c r="T485" t="str" cm="1">
        <f t="array" ref="T485">_xlfn.IFS(S485&lt;=2,"Poor",S485&lt;=3,"Fair",S485&gt;=4,"Good")</f>
        <v>Good</v>
      </c>
      <c r="U485" t="s">
        <v>50</v>
      </c>
      <c r="V485" s="1">
        <v>5460</v>
      </c>
      <c r="W485" t="str" cm="1">
        <f t="array" ref="W485">_xlfn.IFS(V485&lt;=5000,"Low Salary",V485&lt;=12000,"Good Salary",V485&gt;12000,"High Salary")</f>
        <v>Good Salary</v>
      </c>
      <c r="X485">
        <v>6219</v>
      </c>
      <c r="Y485">
        <v>4</v>
      </c>
      <c r="Z485" t="s">
        <v>42</v>
      </c>
      <c r="AA485" t="s">
        <v>35</v>
      </c>
      <c r="AB485">
        <v>22</v>
      </c>
      <c r="AC485">
        <v>4</v>
      </c>
      <c r="AD485" t="str">
        <f t="shared" si="15"/>
        <v>High Performance</v>
      </c>
      <c r="AE485">
        <v>4</v>
      </c>
      <c r="AF485">
        <v>80</v>
      </c>
      <c r="AG485">
        <v>2</v>
      </c>
      <c r="AH485">
        <v>13</v>
      </c>
      <c r="AI485">
        <v>4</v>
      </c>
      <c r="AJ485">
        <v>4</v>
      </c>
      <c r="AK485" t="str" cm="1">
        <f t="array" ref="AK485">_xlfn.IFS(AJ485&lt;=2,"Poor",AJ485&lt;=3,"Fair",AJ485&gt;3,"Good")</f>
        <v>Good</v>
      </c>
      <c r="AL485">
        <v>7</v>
      </c>
      <c r="AM485">
        <v>7</v>
      </c>
      <c r="AN485">
        <v>5</v>
      </c>
      <c r="AO485">
        <v>7</v>
      </c>
    </row>
    <row r="486" spans="1:41" x14ac:dyDescent="0.2">
      <c r="A486">
        <v>1591129</v>
      </c>
      <c r="B486">
        <v>27</v>
      </c>
      <c r="C486" t="str" cm="1">
        <f t="array" ref="C486">_xlfn.IFS(B486&lt;=25,"15-25",B486&lt;=35,"26-35",B486&lt;=45,"36-45",B486&lt;=55,"46-55",B486&lt;=65,"56-65")</f>
        <v>26-35</v>
      </c>
      <c r="D486" t="s">
        <v>35</v>
      </c>
      <c r="E486" t="str">
        <f t="shared" si="14"/>
        <v>Current Employee</v>
      </c>
      <c r="F486" t="s">
        <v>36</v>
      </c>
      <c r="G486">
        <v>798</v>
      </c>
      <c r="H486" t="s">
        <v>45</v>
      </c>
      <c r="I486">
        <v>6</v>
      </c>
      <c r="J486">
        <v>4</v>
      </c>
      <c r="K486" t="s">
        <v>49</v>
      </c>
      <c r="L486">
        <v>1</v>
      </c>
      <c r="M486">
        <v>1</v>
      </c>
      <c r="N486" t="s">
        <v>39</v>
      </c>
      <c r="O486">
        <v>66</v>
      </c>
      <c r="P486">
        <v>2</v>
      </c>
      <c r="Q486">
        <v>1</v>
      </c>
      <c r="R486" t="s">
        <v>47</v>
      </c>
      <c r="S486">
        <v>3</v>
      </c>
      <c r="T486" t="str" cm="1">
        <f t="array" ref="T486">_xlfn.IFS(S486&lt;=2,"Poor",S486&lt;=3,"Fair",S486&gt;=4,"Good")</f>
        <v>Fair</v>
      </c>
      <c r="U486" t="s">
        <v>50</v>
      </c>
      <c r="V486" s="1">
        <v>2187</v>
      </c>
      <c r="W486" t="str" cm="1">
        <f t="array" ref="W486">_xlfn.IFS(V486&lt;=5000,"Low Salary",V486&lt;=12000,"Good Salary",V486&gt;12000,"High Salary")</f>
        <v>Low Salary</v>
      </c>
      <c r="X486">
        <v>5013</v>
      </c>
      <c r="Y486">
        <v>0</v>
      </c>
      <c r="Z486" t="s">
        <v>42</v>
      </c>
      <c r="AA486" t="s">
        <v>35</v>
      </c>
      <c r="AB486">
        <v>12</v>
      </c>
      <c r="AC486">
        <v>3</v>
      </c>
      <c r="AD486" t="str">
        <f t="shared" si="15"/>
        <v>Low Performance</v>
      </c>
      <c r="AE486">
        <v>3</v>
      </c>
      <c r="AF486">
        <v>80</v>
      </c>
      <c r="AG486">
        <v>2</v>
      </c>
      <c r="AH486">
        <v>6</v>
      </c>
      <c r="AI486">
        <v>5</v>
      </c>
      <c r="AJ486">
        <v>2</v>
      </c>
      <c r="AK486" t="str" cm="1">
        <f t="array" ref="AK486">_xlfn.IFS(AJ486&lt;=2,"Poor",AJ486&lt;=3,"Fair",AJ486&gt;3,"Good")</f>
        <v>Poor</v>
      </c>
      <c r="AL486">
        <v>5</v>
      </c>
      <c r="AM486">
        <v>3</v>
      </c>
      <c r="AN486">
        <v>0</v>
      </c>
      <c r="AO486">
        <v>3</v>
      </c>
    </row>
    <row r="487" spans="1:41" x14ac:dyDescent="0.2">
      <c r="A487">
        <v>1518444</v>
      </c>
      <c r="B487">
        <v>37</v>
      </c>
      <c r="C487" t="str" cm="1">
        <f t="array" ref="C487">_xlfn.IFS(B487&lt;=25,"15-25",B487&lt;=35,"26-35",B487&lt;=45,"36-45",B487&lt;=55,"46-55",B487&lt;=65,"56-65")</f>
        <v>36-45</v>
      </c>
      <c r="D487" t="s">
        <v>35</v>
      </c>
      <c r="E487" t="str">
        <f t="shared" si="14"/>
        <v>Current Employee</v>
      </c>
      <c r="F487" t="s">
        <v>36</v>
      </c>
      <c r="G487">
        <v>558</v>
      </c>
      <c r="H487" t="s">
        <v>37</v>
      </c>
      <c r="I487">
        <v>2</v>
      </c>
      <c r="J487">
        <v>3</v>
      </c>
      <c r="K487" t="s">
        <v>55</v>
      </c>
      <c r="L487">
        <v>1</v>
      </c>
      <c r="M487">
        <v>4</v>
      </c>
      <c r="N487" t="s">
        <v>46</v>
      </c>
      <c r="O487">
        <v>75</v>
      </c>
      <c r="P487">
        <v>3</v>
      </c>
      <c r="Q487">
        <v>2</v>
      </c>
      <c r="R487" t="s">
        <v>40</v>
      </c>
      <c r="S487">
        <v>3</v>
      </c>
      <c r="T487" t="str" cm="1">
        <f t="array" ref="T487">_xlfn.IFS(S487&lt;=2,"Poor",S487&lt;=3,"Fair",S487&gt;=4,"Good")</f>
        <v>Fair</v>
      </c>
      <c r="U487" t="s">
        <v>48</v>
      </c>
      <c r="V487" s="1">
        <v>9602</v>
      </c>
      <c r="W487" t="str" cm="1">
        <f t="array" ref="W487">_xlfn.IFS(V487&lt;=5000,"Low Salary",V487&lt;=12000,"Good Salary",V487&gt;12000,"High Salary")</f>
        <v>Good Salary</v>
      </c>
      <c r="X487">
        <v>3010</v>
      </c>
      <c r="Y487">
        <v>4</v>
      </c>
      <c r="Z487" t="s">
        <v>42</v>
      </c>
      <c r="AA487" t="s">
        <v>43</v>
      </c>
      <c r="AB487">
        <v>11</v>
      </c>
      <c r="AC487">
        <v>3</v>
      </c>
      <c r="AD487" t="str">
        <f t="shared" si="15"/>
        <v>Low Performance</v>
      </c>
      <c r="AE487">
        <v>3</v>
      </c>
      <c r="AF487">
        <v>80</v>
      </c>
      <c r="AG487">
        <v>1</v>
      </c>
      <c r="AH487">
        <v>17</v>
      </c>
      <c r="AI487">
        <v>3</v>
      </c>
      <c r="AJ487">
        <v>2</v>
      </c>
      <c r="AK487" t="str" cm="1">
        <f t="array" ref="AK487">_xlfn.IFS(AJ487&lt;=2,"Poor",AJ487&lt;=3,"Fair",AJ487&gt;3,"Good")</f>
        <v>Poor</v>
      </c>
      <c r="AL487">
        <v>3</v>
      </c>
      <c r="AM487">
        <v>0</v>
      </c>
      <c r="AN487">
        <v>1</v>
      </c>
      <c r="AO487">
        <v>0</v>
      </c>
    </row>
    <row r="488" spans="1:41" x14ac:dyDescent="0.2">
      <c r="A488">
        <v>1814200</v>
      </c>
      <c r="B488">
        <v>42</v>
      </c>
      <c r="C488" t="str" cm="1">
        <f t="array" ref="C488">_xlfn.IFS(B488&lt;=25,"15-25",B488&lt;=35,"26-35",B488&lt;=45,"36-45",B488&lt;=55,"46-55",B488&lt;=65,"56-65")</f>
        <v>36-45</v>
      </c>
      <c r="D488" t="s">
        <v>35</v>
      </c>
      <c r="E488" t="str">
        <f t="shared" si="14"/>
        <v>Current Employee</v>
      </c>
      <c r="F488" t="s">
        <v>36</v>
      </c>
      <c r="G488">
        <v>622</v>
      </c>
      <c r="H488" t="s">
        <v>45</v>
      </c>
      <c r="I488">
        <v>2</v>
      </c>
      <c r="J488">
        <v>4</v>
      </c>
      <c r="K488" t="s">
        <v>38</v>
      </c>
      <c r="L488">
        <v>1</v>
      </c>
      <c r="M488">
        <v>3</v>
      </c>
      <c r="N488" t="s">
        <v>39</v>
      </c>
      <c r="O488">
        <v>81</v>
      </c>
      <c r="P488">
        <v>3</v>
      </c>
      <c r="Q488">
        <v>2</v>
      </c>
      <c r="R488" t="s">
        <v>40</v>
      </c>
      <c r="S488">
        <v>4</v>
      </c>
      <c r="T488" t="str" cm="1">
        <f t="array" ref="T488">_xlfn.IFS(S488&lt;=2,"Poor",S488&lt;=3,"Fair",S488&gt;=4,"Good")</f>
        <v>Good</v>
      </c>
      <c r="U488" t="s">
        <v>48</v>
      </c>
      <c r="V488" s="1">
        <v>4089</v>
      </c>
      <c r="W488" t="str" cm="1">
        <f t="array" ref="W488">_xlfn.IFS(V488&lt;=5000,"Low Salary",V488&lt;=12000,"Good Salary",V488&gt;12000,"High Salary")</f>
        <v>Low Salary</v>
      </c>
      <c r="X488">
        <v>5718</v>
      </c>
      <c r="Y488">
        <v>1</v>
      </c>
      <c r="Z488" t="s">
        <v>42</v>
      </c>
      <c r="AA488" t="s">
        <v>35</v>
      </c>
      <c r="AB488">
        <v>13</v>
      </c>
      <c r="AC488">
        <v>3</v>
      </c>
      <c r="AD488" t="str">
        <f t="shared" si="15"/>
        <v>Low Performance</v>
      </c>
      <c r="AE488">
        <v>2</v>
      </c>
      <c r="AF488">
        <v>80</v>
      </c>
      <c r="AG488">
        <v>2</v>
      </c>
      <c r="AH488">
        <v>10</v>
      </c>
      <c r="AI488">
        <v>4</v>
      </c>
      <c r="AJ488">
        <v>3</v>
      </c>
      <c r="AK488" t="str" cm="1">
        <f t="array" ref="AK488">_xlfn.IFS(AJ488&lt;=2,"Poor",AJ488&lt;=3,"Fair",AJ488&gt;3,"Good")</f>
        <v>Fair</v>
      </c>
      <c r="AL488">
        <v>10</v>
      </c>
      <c r="AM488">
        <v>2</v>
      </c>
      <c r="AN488">
        <v>2</v>
      </c>
      <c r="AO488">
        <v>2</v>
      </c>
    </row>
    <row r="489" spans="1:41" x14ac:dyDescent="0.2">
      <c r="A489">
        <v>1669153</v>
      </c>
      <c r="B489">
        <v>43</v>
      </c>
      <c r="C489" t="str" cm="1">
        <f t="array" ref="C489">_xlfn.IFS(B489&lt;=25,"15-25",B489&lt;=35,"26-35",B489&lt;=45,"36-45",B489&lt;=55,"46-55",B489&lt;=65,"56-65")</f>
        <v>36-45</v>
      </c>
      <c r="D489" t="s">
        <v>35</v>
      </c>
      <c r="E489" t="str">
        <f t="shared" si="14"/>
        <v>Current Employee</v>
      </c>
      <c r="F489" t="s">
        <v>36</v>
      </c>
      <c r="G489">
        <v>782</v>
      </c>
      <c r="H489" t="s">
        <v>45</v>
      </c>
      <c r="I489">
        <v>6</v>
      </c>
      <c r="J489">
        <v>4</v>
      </c>
      <c r="K489" t="s">
        <v>47</v>
      </c>
      <c r="L489">
        <v>1</v>
      </c>
      <c r="M489">
        <v>2</v>
      </c>
      <c r="N489" t="s">
        <v>46</v>
      </c>
      <c r="O489">
        <v>50</v>
      </c>
      <c r="P489">
        <v>2</v>
      </c>
      <c r="Q489">
        <v>4</v>
      </c>
      <c r="R489" t="s">
        <v>53</v>
      </c>
      <c r="S489">
        <v>4</v>
      </c>
      <c r="T489" t="str" cm="1">
        <f t="array" ref="T489">_xlfn.IFS(S489&lt;=2,"Poor",S489&lt;=3,"Fair",S489&gt;=4,"Good")</f>
        <v>Good</v>
      </c>
      <c r="U489" t="s">
        <v>50</v>
      </c>
      <c r="V489" s="1">
        <v>16627</v>
      </c>
      <c r="W489" t="str" cm="1">
        <f t="array" ref="W489">_xlfn.IFS(V489&lt;=5000,"Low Salary",V489&lt;=12000,"Good Salary",V489&gt;12000,"High Salary")</f>
        <v>High Salary</v>
      </c>
      <c r="X489">
        <v>2671</v>
      </c>
      <c r="Y489">
        <v>4</v>
      </c>
      <c r="Z489" t="s">
        <v>42</v>
      </c>
      <c r="AA489" t="s">
        <v>43</v>
      </c>
      <c r="AB489">
        <v>14</v>
      </c>
      <c r="AC489">
        <v>3</v>
      </c>
      <c r="AD489" t="str">
        <f t="shared" si="15"/>
        <v>Low Performance</v>
      </c>
      <c r="AE489">
        <v>3</v>
      </c>
      <c r="AF489">
        <v>80</v>
      </c>
      <c r="AG489">
        <v>1</v>
      </c>
      <c r="AH489">
        <v>21</v>
      </c>
      <c r="AI489">
        <v>3</v>
      </c>
      <c r="AJ489">
        <v>2</v>
      </c>
      <c r="AK489" t="str" cm="1">
        <f t="array" ref="AK489">_xlfn.IFS(AJ489&lt;=2,"Poor",AJ489&lt;=3,"Fair",AJ489&gt;3,"Good")</f>
        <v>Poor</v>
      </c>
      <c r="AL489">
        <v>1</v>
      </c>
      <c r="AM489">
        <v>0</v>
      </c>
      <c r="AN489">
        <v>0</v>
      </c>
      <c r="AO489">
        <v>0</v>
      </c>
    </row>
    <row r="490" spans="1:41" x14ac:dyDescent="0.2">
      <c r="A490">
        <v>1668455</v>
      </c>
      <c r="B490">
        <v>38</v>
      </c>
      <c r="C490" t="str" cm="1">
        <f t="array" ref="C490">_xlfn.IFS(B490&lt;=25,"15-25",B490&lt;=35,"26-35",B490&lt;=45,"36-45",B490&lt;=55,"46-55",B490&lt;=65,"56-65")</f>
        <v>36-45</v>
      </c>
      <c r="D490" t="s">
        <v>35</v>
      </c>
      <c r="E490" t="str">
        <f t="shared" si="14"/>
        <v>Current Employee</v>
      </c>
      <c r="F490" t="s">
        <v>36</v>
      </c>
      <c r="G490">
        <v>362</v>
      </c>
      <c r="H490" t="s">
        <v>45</v>
      </c>
      <c r="I490">
        <v>1</v>
      </c>
      <c r="J490">
        <v>1</v>
      </c>
      <c r="K490" t="s">
        <v>38</v>
      </c>
      <c r="L490">
        <v>1</v>
      </c>
      <c r="M490">
        <v>3</v>
      </c>
      <c r="N490" t="s">
        <v>39</v>
      </c>
      <c r="O490">
        <v>43</v>
      </c>
      <c r="P490">
        <v>3</v>
      </c>
      <c r="Q490">
        <v>1</v>
      </c>
      <c r="R490" t="s">
        <v>47</v>
      </c>
      <c r="S490">
        <v>1</v>
      </c>
      <c r="T490" t="str" cm="1">
        <f t="array" ref="T490">_xlfn.IFS(S490&lt;=2,"Poor",S490&lt;=3,"Fair",S490&gt;=4,"Good")</f>
        <v>Poor</v>
      </c>
      <c r="U490" t="s">
        <v>41</v>
      </c>
      <c r="V490" s="1">
        <v>2619</v>
      </c>
      <c r="W490" t="str" cm="1">
        <f t="array" ref="W490">_xlfn.IFS(V490&lt;=5000,"Low Salary",V490&lt;=12000,"Good Salary",V490&gt;12000,"High Salary")</f>
        <v>Low Salary</v>
      </c>
      <c r="X490">
        <v>14561</v>
      </c>
      <c r="Y490">
        <v>3</v>
      </c>
      <c r="Z490" t="s">
        <v>42</v>
      </c>
      <c r="AA490" t="s">
        <v>35</v>
      </c>
      <c r="AB490">
        <v>17</v>
      </c>
      <c r="AC490">
        <v>3</v>
      </c>
      <c r="AD490" t="str">
        <f t="shared" si="15"/>
        <v>Low Performance</v>
      </c>
      <c r="AE490">
        <v>4</v>
      </c>
      <c r="AF490">
        <v>80</v>
      </c>
      <c r="AG490">
        <v>0</v>
      </c>
      <c r="AH490">
        <v>8</v>
      </c>
      <c r="AI490">
        <v>3</v>
      </c>
      <c r="AJ490">
        <v>2</v>
      </c>
      <c r="AK490" t="str" cm="1">
        <f t="array" ref="AK490">_xlfn.IFS(AJ490&lt;=2,"Poor",AJ490&lt;=3,"Fair",AJ490&gt;3,"Good")</f>
        <v>Poor</v>
      </c>
      <c r="AL490">
        <v>0</v>
      </c>
      <c r="AM490">
        <v>0</v>
      </c>
      <c r="AN490">
        <v>0</v>
      </c>
      <c r="AO490">
        <v>0</v>
      </c>
    </row>
    <row r="491" spans="1:41" x14ac:dyDescent="0.2">
      <c r="A491">
        <v>1251852</v>
      </c>
      <c r="B491">
        <v>43</v>
      </c>
      <c r="C491" t="str" cm="1">
        <f t="array" ref="C491">_xlfn.IFS(B491&lt;=25,"15-25",B491&lt;=35,"26-35",B491&lt;=45,"36-45",B491&lt;=55,"46-55",B491&lt;=65,"56-65")</f>
        <v>36-45</v>
      </c>
      <c r="D491" t="s">
        <v>35</v>
      </c>
      <c r="E491" t="str">
        <f t="shared" si="14"/>
        <v>Current Employee</v>
      </c>
      <c r="F491" t="s">
        <v>44</v>
      </c>
      <c r="G491">
        <v>1001</v>
      </c>
      <c r="H491" t="s">
        <v>45</v>
      </c>
      <c r="I491">
        <v>9</v>
      </c>
      <c r="J491">
        <v>5</v>
      </c>
      <c r="K491" t="s">
        <v>49</v>
      </c>
      <c r="L491">
        <v>1</v>
      </c>
      <c r="M491">
        <v>4</v>
      </c>
      <c r="N491" t="s">
        <v>46</v>
      </c>
      <c r="O491">
        <v>72</v>
      </c>
      <c r="P491">
        <v>3</v>
      </c>
      <c r="Q491">
        <v>2</v>
      </c>
      <c r="R491" t="s">
        <v>40</v>
      </c>
      <c r="S491">
        <v>3</v>
      </c>
      <c r="T491" t="str" cm="1">
        <f t="array" ref="T491">_xlfn.IFS(S491&lt;=2,"Poor",S491&lt;=3,"Fair",S491&gt;=4,"Good")</f>
        <v>Fair</v>
      </c>
      <c r="U491" t="s">
        <v>50</v>
      </c>
      <c r="V491" s="1">
        <v>5679</v>
      </c>
      <c r="W491" t="str" cm="1">
        <f t="array" ref="W491">_xlfn.IFS(V491&lt;=5000,"Low Salary",V491&lt;=12000,"Good Salary",V491&gt;12000,"High Salary")</f>
        <v>Good Salary</v>
      </c>
      <c r="X491">
        <v>19627</v>
      </c>
      <c r="Y491">
        <v>3</v>
      </c>
      <c r="Z491" t="s">
        <v>42</v>
      </c>
      <c r="AA491" t="s">
        <v>43</v>
      </c>
      <c r="AB491">
        <v>13</v>
      </c>
      <c r="AC491">
        <v>3</v>
      </c>
      <c r="AD491" t="str">
        <f t="shared" si="15"/>
        <v>Low Performance</v>
      </c>
      <c r="AE491">
        <v>2</v>
      </c>
      <c r="AF491">
        <v>80</v>
      </c>
      <c r="AG491">
        <v>1</v>
      </c>
      <c r="AH491">
        <v>10</v>
      </c>
      <c r="AI491">
        <v>3</v>
      </c>
      <c r="AJ491">
        <v>3</v>
      </c>
      <c r="AK491" t="str" cm="1">
        <f t="array" ref="AK491">_xlfn.IFS(AJ491&lt;=2,"Poor",AJ491&lt;=3,"Fair",AJ491&gt;3,"Good")</f>
        <v>Fair</v>
      </c>
      <c r="AL491">
        <v>8</v>
      </c>
      <c r="AM491">
        <v>7</v>
      </c>
      <c r="AN491">
        <v>4</v>
      </c>
      <c r="AO491">
        <v>7</v>
      </c>
    </row>
    <row r="492" spans="1:41" x14ac:dyDescent="0.2">
      <c r="A492">
        <v>1589946</v>
      </c>
      <c r="B492">
        <v>48</v>
      </c>
      <c r="C492" t="str" cm="1">
        <f t="array" ref="C492">_xlfn.IFS(B492&lt;=25,"15-25",B492&lt;=35,"26-35",B492&lt;=45,"36-45",B492&lt;=55,"46-55",B492&lt;=65,"56-65")</f>
        <v>46-55</v>
      </c>
      <c r="D492" t="s">
        <v>35</v>
      </c>
      <c r="E492" t="str">
        <f t="shared" si="14"/>
        <v>Current Employee</v>
      </c>
      <c r="F492" t="s">
        <v>36</v>
      </c>
      <c r="G492">
        <v>1236</v>
      </c>
      <c r="H492" t="s">
        <v>54</v>
      </c>
      <c r="I492">
        <v>1</v>
      </c>
      <c r="J492">
        <v>4</v>
      </c>
      <c r="K492" t="s">
        <v>38</v>
      </c>
      <c r="L492">
        <v>1</v>
      </c>
      <c r="M492">
        <v>4</v>
      </c>
      <c r="N492" t="s">
        <v>39</v>
      </c>
      <c r="O492">
        <v>40</v>
      </c>
      <c r="P492">
        <v>2</v>
      </c>
      <c r="Q492">
        <v>4</v>
      </c>
      <c r="R492" t="s">
        <v>47</v>
      </c>
      <c r="S492">
        <v>1</v>
      </c>
      <c r="T492" t="str" cm="1">
        <f t="array" ref="T492">_xlfn.IFS(S492&lt;=2,"Poor",S492&lt;=3,"Fair",S492&gt;=4,"Good")</f>
        <v>Poor</v>
      </c>
      <c r="U492" t="s">
        <v>48</v>
      </c>
      <c r="V492" s="1">
        <v>15402</v>
      </c>
      <c r="W492" t="str" cm="1">
        <f t="array" ref="W492">_xlfn.IFS(V492&lt;=5000,"Low Salary",V492&lt;=12000,"Good Salary",V492&gt;12000,"High Salary")</f>
        <v>High Salary</v>
      </c>
      <c r="X492">
        <v>17997</v>
      </c>
      <c r="Y492">
        <v>7</v>
      </c>
      <c r="Z492" t="s">
        <v>42</v>
      </c>
      <c r="AA492" t="s">
        <v>35</v>
      </c>
      <c r="AB492">
        <v>11</v>
      </c>
      <c r="AC492">
        <v>3</v>
      </c>
      <c r="AD492" t="str">
        <f t="shared" si="15"/>
        <v>Low Performance</v>
      </c>
      <c r="AE492">
        <v>1</v>
      </c>
      <c r="AF492">
        <v>80</v>
      </c>
      <c r="AG492">
        <v>1</v>
      </c>
      <c r="AH492">
        <v>21</v>
      </c>
      <c r="AI492">
        <v>3</v>
      </c>
      <c r="AJ492">
        <v>1</v>
      </c>
      <c r="AK492" t="str" cm="1">
        <f t="array" ref="AK492">_xlfn.IFS(AJ492&lt;=2,"Poor",AJ492&lt;=3,"Fair",AJ492&gt;3,"Good")</f>
        <v>Poor</v>
      </c>
      <c r="AL492">
        <v>3</v>
      </c>
      <c r="AM492">
        <v>2</v>
      </c>
      <c r="AN492">
        <v>0</v>
      </c>
      <c r="AO492">
        <v>2</v>
      </c>
    </row>
    <row r="493" spans="1:41" x14ac:dyDescent="0.2">
      <c r="A493">
        <v>1580530</v>
      </c>
      <c r="B493">
        <v>44</v>
      </c>
      <c r="C493" t="str" cm="1">
        <f t="array" ref="C493">_xlfn.IFS(B493&lt;=25,"15-25",B493&lt;=35,"26-35",B493&lt;=45,"36-45",B493&lt;=55,"46-55",B493&lt;=65,"56-65")</f>
        <v>36-45</v>
      </c>
      <c r="D493" t="s">
        <v>35</v>
      </c>
      <c r="E493" t="str">
        <f t="shared" si="14"/>
        <v>Current Employee</v>
      </c>
      <c r="F493" t="s">
        <v>36</v>
      </c>
      <c r="G493">
        <v>1112</v>
      </c>
      <c r="H493" t="s">
        <v>54</v>
      </c>
      <c r="I493">
        <v>1</v>
      </c>
      <c r="J493">
        <v>4</v>
      </c>
      <c r="K493" t="s">
        <v>38</v>
      </c>
      <c r="L493">
        <v>1</v>
      </c>
      <c r="M493">
        <v>1</v>
      </c>
      <c r="N493" t="s">
        <v>39</v>
      </c>
      <c r="O493">
        <v>50</v>
      </c>
      <c r="P493">
        <v>2</v>
      </c>
      <c r="Q493">
        <v>2</v>
      </c>
      <c r="R493" t="s">
        <v>47</v>
      </c>
      <c r="S493">
        <v>3</v>
      </c>
      <c r="T493" t="str" cm="1">
        <f t="array" ref="T493">_xlfn.IFS(S493&lt;=2,"Poor",S493&lt;=3,"Fair",S493&gt;=4,"Good")</f>
        <v>Fair</v>
      </c>
      <c r="U493" t="s">
        <v>41</v>
      </c>
      <c r="V493" s="1">
        <v>5985</v>
      </c>
      <c r="W493" t="str" cm="1">
        <f t="array" ref="W493">_xlfn.IFS(V493&lt;=5000,"Low Salary",V493&lt;=12000,"Good Salary",V493&gt;12000,"High Salary")</f>
        <v>Good Salary</v>
      </c>
      <c r="X493">
        <v>26894</v>
      </c>
      <c r="Y493">
        <v>4</v>
      </c>
      <c r="Z493" t="s">
        <v>42</v>
      </c>
      <c r="AA493" t="s">
        <v>35</v>
      </c>
      <c r="AB493">
        <v>11</v>
      </c>
      <c r="AC493">
        <v>3</v>
      </c>
      <c r="AD493" t="str">
        <f t="shared" si="15"/>
        <v>Low Performance</v>
      </c>
      <c r="AE493">
        <v>2</v>
      </c>
      <c r="AF493">
        <v>80</v>
      </c>
      <c r="AG493">
        <v>0</v>
      </c>
      <c r="AH493">
        <v>10</v>
      </c>
      <c r="AI493">
        <v>1</v>
      </c>
      <c r="AJ493">
        <v>4</v>
      </c>
      <c r="AK493" t="str" cm="1">
        <f t="array" ref="AK493">_xlfn.IFS(AJ493&lt;=2,"Poor",AJ493&lt;=3,"Fair",AJ493&gt;3,"Good")</f>
        <v>Good</v>
      </c>
      <c r="AL493">
        <v>2</v>
      </c>
      <c r="AM493">
        <v>2</v>
      </c>
      <c r="AN493">
        <v>0</v>
      </c>
      <c r="AO493">
        <v>2</v>
      </c>
    </row>
    <row r="494" spans="1:41" x14ac:dyDescent="0.2">
      <c r="A494">
        <v>1718961</v>
      </c>
      <c r="B494">
        <v>34</v>
      </c>
      <c r="C494" t="str" cm="1">
        <f t="array" ref="C494">_xlfn.IFS(B494&lt;=25,"15-25",B494&lt;=35,"26-35",B494&lt;=45,"36-45",B494&lt;=55,"46-55",B494&lt;=65,"56-65")</f>
        <v>26-35</v>
      </c>
      <c r="D494" t="s">
        <v>35</v>
      </c>
      <c r="E494" t="str">
        <f t="shared" si="14"/>
        <v>Current Employee</v>
      </c>
      <c r="F494" t="s">
        <v>36</v>
      </c>
      <c r="G494">
        <v>204</v>
      </c>
      <c r="H494" t="s">
        <v>37</v>
      </c>
      <c r="I494">
        <v>14</v>
      </c>
      <c r="J494">
        <v>3</v>
      </c>
      <c r="K494" t="s">
        <v>56</v>
      </c>
      <c r="L494">
        <v>1</v>
      </c>
      <c r="M494">
        <v>3</v>
      </c>
      <c r="N494" t="s">
        <v>39</v>
      </c>
      <c r="O494">
        <v>31</v>
      </c>
      <c r="P494">
        <v>3</v>
      </c>
      <c r="Q494">
        <v>1</v>
      </c>
      <c r="R494" t="s">
        <v>47</v>
      </c>
      <c r="S494">
        <v>3</v>
      </c>
      <c r="T494" t="str" cm="1">
        <f t="array" ref="T494">_xlfn.IFS(S494&lt;=2,"Poor",S494&lt;=3,"Fair",S494&gt;=4,"Good")</f>
        <v>Fair</v>
      </c>
      <c r="U494" t="s">
        <v>50</v>
      </c>
      <c r="V494" s="1">
        <v>2579</v>
      </c>
      <c r="W494" t="str" cm="1">
        <f t="array" ref="W494">_xlfn.IFS(V494&lt;=5000,"Low Salary",V494&lt;=12000,"Good Salary",V494&gt;12000,"High Salary")</f>
        <v>Low Salary</v>
      </c>
      <c r="X494">
        <v>2912</v>
      </c>
      <c r="Y494">
        <v>1</v>
      </c>
      <c r="Z494" t="s">
        <v>42</v>
      </c>
      <c r="AA494" t="s">
        <v>43</v>
      </c>
      <c r="AB494">
        <v>18</v>
      </c>
      <c r="AC494">
        <v>3</v>
      </c>
      <c r="AD494" t="str">
        <f t="shared" si="15"/>
        <v>Low Performance</v>
      </c>
      <c r="AE494">
        <v>4</v>
      </c>
      <c r="AF494">
        <v>80</v>
      </c>
      <c r="AG494">
        <v>2</v>
      </c>
      <c r="AH494">
        <v>8</v>
      </c>
      <c r="AI494">
        <v>3</v>
      </c>
      <c r="AJ494">
        <v>3</v>
      </c>
      <c r="AK494" t="str" cm="1">
        <f t="array" ref="AK494">_xlfn.IFS(AJ494&lt;=2,"Poor",AJ494&lt;=3,"Fair",AJ494&gt;3,"Good")</f>
        <v>Fair</v>
      </c>
      <c r="AL494">
        <v>8</v>
      </c>
      <c r="AM494">
        <v>2</v>
      </c>
      <c r="AN494">
        <v>0</v>
      </c>
      <c r="AO494">
        <v>6</v>
      </c>
    </row>
    <row r="495" spans="1:41" x14ac:dyDescent="0.2">
      <c r="A495">
        <v>1792606</v>
      </c>
      <c r="B495">
        <v>27</v>
      </c>
      <c r="C495" t="str" cm="1">
        <f t="array" ref="C495">_xlfn.IFS(B495&lt;=25,"15-25",B495&lt;=35,"26-35",B495&lt;=45,"36-45",B495&lt;=55,"46-55",B495&lt;=65,"56-65")</f>
        <v>26-35</v>
      </c>
      <c r="D495" t="s">
        <v>35</v>
      </c>
      <c r="E495" t="str">
        <f t="shared" si="14"/>
        <v>Current Employee</v>
      </c>
      <c r="F495" t="s">
        <v>36</v>
      </c>
      <c r="G495">
        <v>1420</v>
      </c>
      <c r="H495" t="s">
        <v>37</v>
      </c>
      <c r="I495">
        <v>2</v>
      </c>
      <c r="J495">
        <v>1</v>
      </c>
      <c r="K495" t="s">
        <v>55</v>
      </c>
      <c r="L495">
        <v>1</v>
      </c>
      <c r="M495">
        <v>3</v>
      </c>
      <c r="N495" t="s">
        <v>46</v>
      </c>
      <c r="O495">
        <v>85</v>
      </c>
      <c r="P495">
        <v>3</v>
      </c>
      <c r="Q495">
        <v>1</v>
      </c>
      <c r="R495" t="s">
        <v>47</v>
      </c>
      <c r="S495">
        <v>1</v>
      </c>
      <c r="T495" t="str" cm="1">
        <f t="array" ref="T495">_xlfn.IFS(S495&lt;=2,"Poor",S495&lt;=3,"Fair",S495&gt;=4,"Good")</f>
        <v>Poor</v>
      </c>
      <c r="U495" t="s">
        <v>50</v>
      </c>
      <c r="V495" s="1">
        <v>3041</v>
      </c>
      <c r="W495" t="str" cm="1">
        <f t="array" ref="W495">_xlfn.IFS(V495&lt;=5000,"Low Salary",V495&lt;=12000,"Good Salary",V495&gt;12000,"High Salary")</f>
        <v>Low Salary</v>
      </c>
      <c r="X495">
        <v>16346</v>
      </c>
      <c r="Y495">
        <v>0</v>
      </c>
      <c r="Z495" t="s">
        <v>42</v>
      </c>
      <c r="AA495" t="s">
        <v>35</v>
      </c>
      <c r="AB495">
        <v>11</v>
      </c>
      <c r="AC495">
        <v>3</v>
      </c>
      <c r="AD495" t="str">
        <f t="shared" si="15"/>
        <v>Low Performance</v>
      </c>
      <c r="AE495">
        <v>2</v>
      </c>
      <c r="AF495">
        <v>80</v>
      </c>
      <c r="AG495">
        <v>1</v>
      </c>
      <c r="AH495">
        <v>5</v>
      </c>
      <c r="AI495">
        <v>3</v>
      </c>
      <c r="AJ495">
        <v>3</v>
      </c>
      <c r="AK495" t="str" cm="1">
        <f t="array" ref="AK495">_xlfn.IFS(AJ495&lt;=2,"Poor",AJ495&lt;=3,"Fair",AJ495&gt;3,"Good")</f>
        <v>Fair</v>
      </c>
      <c r="AL495">
        <v>4</v>
      </c>
      <c r="AM495">
        <v>3</v>
      </c>
      <c r="AN495">
        <v>0</v>
      </c>
      <c r="AO495">
        <v>2</v>
      </c>
    </row>
    <row r="496" spans="1:41" x14ac:dyDescent="0.2">
      <c r="A496">
        <v>1147261</v>
      </c>
      <c r="B496">
        <v>21</v>
      </c>
      <c r="C496" t="str" cm="1">
        <f t="array" ref="C496">_xlfn.IFS(B496&lt;=25,"15-25",B496&lt;=35,"26-35",B496&lt;=45,"36-45",B496&lt;=55,"46-55",B496&lt;=65,"56-65")</f>
        <v>15-25</v>
      </c>
      <c r="D496" t="s">
        <v>35</v>
      </c>
      <c r="E496" t="str">
        <f t="shared" si="14"/>
        <v>Current Employee</v>
      </c>
      <c r="F496" t="s">
        <v>36</v>
      </c>
      <c r="G496">
        <v>1343</v>
      </c>
      <c r="H496" t="s">
        <v>37</v>
      </c>
      <c r="I496">
        <v>22</v>
      </c>
      <c r="J496">
        <v>1</v>
      </c>
      <c r="K496" t="s">
        <v>56</v>
      </c>
      <c r="L496">
        <v>1</v>
      </c>
      <c r="M496">
        <v>3</v>
      </c>
      <c r="N496" t="s">
        <v>46</v>
      </c>
      <c r="O496">
        <v>49</v>
      </c>
      <c r="P496">
        <v>3</v>
      </c>
      <c r="Q496">
        <v>1</v>
      </c>
      <c r="R496" t="s">
        <v>47</v>
      </c>
      <c r="S496">
        <v>3</v>
      </c>
      <c r="T496" t="str" cm="1">
        <f t="array" ref="T496">_xlfn.IFS(S496&lt;=2,"Poor",S496&lt;=3,"Fair",S496&gt;=4,"Good")</f>
        <v>Fair</v>
      </c>
      <c r="U496" t="s">
        <v>41</v>
      </c>
      <c r="V496" s="1">
        <v>3447</v>
      </c>
      <c r="W496" t="str" cm="1">
        <f t="array" ref="W496">_xlfn.IFS(V496&lt;=5000,"Low Salary",V496&lt;=12000,"Good Salary",V496&gt;12000,"High Salary")</f>
        <v>Low Salary</v>
      </c>
      <c r="X496">
        <v>24444</v>
      </c>
      <c r="Y496">
        <v>1</v>
      </c>
      <c r="Z496" t="s">
        <v>42</v>
      </c>
      <c r="AA496" t="s">
        <v>35</v>
      </c>
      <c r="AB496">
        <v>11</v>
      </c>
      <c r="AC496">
        <v>3</v>
      </c>
      <c r="AD496" t="str">
        <f t="shared" si="15"/>
        <v>Low Performance</v>
      </c>
      <c r="AE496">
        <v>3</v>
      </c>
      <c r="AF496">
        <v>80</v>
      </c>
      <c r="AG496">
        <v>0</v>
      </c>
      <c r="AH496">
        <v>3</v>
      </c>
      <c r="AI496">
        <v>2</v>
      </c>
      <c r="AJ496">
        <v>3</v>
      </c>
      <c r="AK496" t="str" cm="1">
        <f t="array" ref="AK496">_xlfn.IFS(AJ496&lt;=2,"Poor",AJ496&lt;=3,"Fair",AJ496&gt;3,"Good")</f>
        <v>Fair</v>
      </c>
      <c r="AL496">
        <v>3</v>
      </c>
      <c r="AM496">
        <v>2</v>
      </c>
      <c r="AN496">
        <v>1</v>
      </c>
      <c r="AO496">
        <v>2</v>
      </c>
    </row>
    <row r="497" spans="1:41" x14ac:dyDescent="0.2">
      <c r="A497">
        <v>1434704</v>
      </c>
      <c r="B497">
        <v>44</v>
      </c>
      <c r="C497" t="str" cm="1">
        <f t="array" ref="C497">_xlfn.IFS(B497&lt;=25,"15-25",B497&lt;=35,"26-35",B497&lt;=45,"36-45",B497&lt;=55,"46-55",B497&lt;=65,"56-65")</f>
        <v>36-45</v>
      </c>
      <c r="D497" t="s">
        <v>35</v>
      </c>
      <c r="E497" t="str">
        <f t="shared" si="14"/>
        <v>Current Employee</v>
      </c>
      <c r="F497" t="s">
        <v>36</v>
      </c>
      <c r="G497">
        <v>1315</v>
      </c>
      <c r="H497" t="s">
        <v>54</v>
      </c>
      <c r="I497">
        <v>3</v>
      </c>
      <c r="J497">
        <v>4</v>
      </c>
      <c r="K497" t="s">
        <v>47</v>
      </c>
      <c r="L497">
        <v>1</v>
      </c>
      <c r="M497">
        <v>4</v>
      </c>
      <c r="N497" t="s">
        <v>46</v>
      </c>
      <c r="O497">
        <v>35</v>
      </c>
      <c r="P497">
        <v>3</v>
      </c>
      <c r="Q497">
        <v>5</v>
      </c>
      <c r="R497" t="s">
        <v>47</v>
      </c>
      <c r="S497">
        <v>4</v>
      </c>
      <c r="T497" t="str" cm="1">
        <f t="array" ref="T497">_xlfn.IFS(S497&lt;=2,"Poor",S497&lt;=3,"Fair",S497&gt;=4,"Good")</f>
        <v>Good</v>
      </c>
      <c r="U497" t="s">
        <v>48</v>
      </c>
      <c r="V497" s="1">
        <v>19513</v>
      </c>
      <c r="W497" t="str" cm="1">
        <f t="array" ref="W497">_xlfn.IFS(V497&lt;=5000,"Low Salary",V497&lt;=12000,"Good Salary",V497&gt;12000,"High Salary")</f>
        <v>High Salary</v>
      </c>
      <c r="X497">
        <v>9358</v>
      </c>
      <c r="Y497">
        <v>4</v>
      </c>
      <c r="Z497" t="s">
        <v>42</v>
      </c>
      <c r="AA497" t="s">
        <v>43</v>
      </c>
      <c r="AB497">
        <v>12</v>
      </c>
      <c r="AC497">
        <v>3</v>
      </c>
      <c r="AD497" t="str">
        <f t="shared" si="15"/>
        <v>Low Performance</v>
      </c>
      <c r="AE497">
        <v>1</v>
      </c>
      <c r="AF497">
        <v>80</v>
      </c>
      <c r="AG497">
        <v>1</v>
      </c>
      <c r="AH497">
        <v>26</v>
      </c>
      <c r="AI497">
        <v>2</v>
      </c>
      <c r="AJ497">
        <v>4</v>
      </c>
      <c r="AK497" t="str" cm="1">
        <f t="array" ref="AK497">_xlfn.IFS(AJ497&lt;=2,"Poor",AJ497&lt;=3,"Fair",AJ497&gt;3,"Good")</f>
        <v>Good</v>
      </c>
      <c r="AL497">
        <v>2</v>
      </c>
      <c r="AM497">
        <v>2</v>
      </c>
      <c r="AN497">
        <v>0</v>
      </c>
      <c r="AO497">
        <v>1</v>
      </c>
    </row>
    <row r="498" spans="1:41" x14ac:dyDescent="0.2">
      <c r="A498">
        <v>1794793</v>
      </c>
      <c r="B498">
        <v>22</v>
      </c>
      <c r="C498" t="str" cm="1">
        <f t="array" ref="C498">_xlfn.IFS(B498&lt;=25,"15-25",B498&lt;=35,"26-35",B498&lt;=45,"36-45",B498&lt;=55,"46-55",B498&lt;=65,"56-65")</f>
        <v>15-25</v>
      </c>
      <c r="D498" t="s">
        <v>35</v>
      </c>
      <c r="E498" t="str">
        <f t="shared" si="14"/>
        <v>Current Employee</v>
      </c>
      <c r="F498" t="s">
        <v>36</v>
      </c>
      <c r="G498">
        <v>604</v>
      </c>
      <c r="H498" t="s">
        <v>45</v>
      </c>
      <c r="I498">
        <v>6</v>
      </c>
      <c r="J498">
        <v>1</v>
      </c>
      <c r="K498" t="s">
        <v>49</v>
      </c>
      <c r="L498">
        <v>1</v>
      </c>
      <c r="M498">
        <v>1</v>
      </c>
      <c r="N498" t="s">
        <v>46</v>
      </c>
      <c r="O498">
        <v>69</v>
      </c>
      <c r="P498">
        <v>3</v>
      </c>
      <c r="Q498">
        <v>1</v>
      </c>
      <c r="R498" t="s">
        <v>47</v>
      </c>
      <c r="S498">
        <v>3</v>
      </c>
      <c r="T498" t="str" cm="1">
        <f t="array" ref="T498">_xlfn.IFS(S498&lt;=2,"Poor",S498&lt;=3,"Fair",S498&gt;=4,"Good")</f>
        <v>Fair</v>
      </c>
      <c r="U498" t="s">
        <v>48</v>
      </c>
      <c r="V498" s="1">
        <v>2773</v>
      </c>
      <c r="W498" t="str" cm="1">
        <f t="array" ref="W498">_xlfn.IFS(V498&lt;=5000,"Low Salary",V498&lt;=12000,"Good Salary",V498&gt;12000,"High Salary")</f>
        <v>Low Salary</v>
      </c>
      <c r="X498">
        <v>12145</v>
      </c>
      <c r="Y498">
        <v>0</v>
      </c>
      <c r="Z498" t="s">
        <v>42</v>
      </c>
      <c r="AA498" t="s">
        <v>35</v>
      </c>
      <c r="AB498">
        <v>20</v>
      </c>
      <c r="AC498">
        <v>4</v>
      </c>
      <c r="AD498" t="str">
        <f t="shared" si="15"/>
        <v>High Performance</v>
      </c>
      <c r="AE498">
        <v>4</v>
      </c>
      <c r="AF498">
        <v>80</v>
      </c>
      <c r="AG498">
        <v>0</v>
      </c>
      <c r="AH498">
        <v>3</v>
      </c>
      <c r="AI498">
        <v>3</v>
      </c>
      <c r="AJ498">
        <v>3</v>
      </c>
      <c r="AK498" t="str" cm="1">
        <f t="array" ref="AK498">_xlfn.IFS(AJ498&lt;=2,"Poor",AJ498&lt;=3,"Fair",AJ498&gt;3,"Good")</f>
        <v>Fair</v>
      </c>
      <c r="AL498">
        <v>2</v>
      </c>
      <c r="AM498">
        <v>2</v>
      </c>
      <c r="AN498">
        <v>2</v>
      </c>
      <c r="AO498">
        <v>2</v>
      </c>
    </row>
    <row r="499" spans="1:41" x14ac:dyDescent="0.2">
      <c r="A499">
        <v>1034561</v>
      </c>
      <c r="B499">
        <v>33</v>
      </c>
      <c r="C499" t="str" cm="1">
        <f t="array" ref="C499">_xlfn.IFS(B499&lt;=25,"15-25",B499&lt;=35,"26-35",B499&lt;=45,"36-45",B499&lt;=55,"46-55",B499&lt;=65,"56-65")</f>
        <v>26-35</v>
      </c>
      <c r="D499" t="s">
        <v>35</v>
      </c>
      <c r="E499" t="str">
        <f t="shared" si="14"/>
        <v>Current Employee</v>
      </c>
      <c r="F499" t="s">
        <v>36</v>
      </c>
      <c r="G499">
        <v>1216</v>
      </c>
      <c r="H499" t="s">
        <v>37</v>
      </c>
      <c r="I499">
        <v>8</v>
      </c>
      <c r="J499">
        <v>4</v>
      </c>
      <c r="K499" t="s">
        <v>55</v>
      </c>
      <c r="L499">
        <v>1</v>
      </c>
      <c r="M499">
        <v>3</v>
      </c>
      <c r="N499" t="s">
        <v>46</v>
      </c>
      <c r="O499">
        <v>39</v>
      </c>
      <c r="P499">
        <v>3</v>
      </c>
      <c r="Q499">
        <v>2</v>
      </c>
      <c r="R499" t="s">
        <v>40</v>
      </c>
      <c r="S499">
        <v>3</v>
      </c>
      <c r="T499" t="str" cm="1">
        <f t="array" ref="T499">_xlfn.IFS(S499&lt;=2,"Poor",S499&lt;=3,"Fair",S499&gt;=4,"Good")</f>
        <v>Fair</v>
      </c>
      <c r="U499" t="s">
        <v>50</v>
      </c>
      <c r="V499" s="1">
        <v>7104</v>
      </c>
      <c r="W499" t="str" cm="1">
        <f t="array" ref="W499">_xlfn.IFS(V499&lt;=5000,"Low Salary",V499&lt;=12000,"Good Salary",V499&gt;12000,"High Salary")</f>
        <v>Good Salary</v>
      </c>
      <c r="X499">
        <v>20431</v>
      </c>
      <c r="Y499">
        <v>0</v>
      </c>
      <c r="Z499" t="s">
        <v>42</v>
      </c>
      <c r="AA499" t="s">
        <v>35</v>
      </c>
      <c r="AB499">
        <v>12</v>
      </c>
      <c r="AC499">
        <v>3</v>
      </c>
      <c r="AD499" t="str">
        <f t="shared" si="15"/>
        <v>Low Performance</v>
      </c>
      <c r="AE499">
        <v>4</v>
      </c>
      <c r="AF499">
        <v>80</v>
      </c>
      <c r="AG499">
        <v>0</v>
      </c>
      <c r="AH499">
        <v>6</v>
      </c>
      <c r="AI499">
        <v>3</v>
      </c>
      <c r="AJ499">
        <v>3</v>
      </c>
      <c r="AK499" t="str" cm="1">
        <f t="array" ref="AK499">_xlfn.IFS(AJ499&lt;=2,"Poor",AJ499&lt;=3,"Fair",AJ499&gt;3,"Good")</f>
        <v>Fair</v>
      </c>
      <c r="AL499">
        <v>5</v>
      </c>
      <c r="AM499">
        <v>0</v>
      </c>
      <c r="AN499">
        <v>1</v>
      </c>
      <c r="AO499">
        <v>2</v>
      </c>
    </row>
    <row r="500" spans="1:41" x14ac:dyDescent="0.2">
      <c r="A500">
        <v>1745732</v>
      </c>
      <c r="B500">
        <v>32</v>
      </c>
      <c r="C500" t="str" cm="1">
        <f t="array" ref="C500">_xlfn.IFS(B500&lt;=25,"15-25",B500&lt;=35,"26-35",B500&lt;=45,"36-45",B500&lt;=55,"46-55",B500&lt;=65,"56-65")</f>
        <v>26-35</v>
      </c>
      <c r="D500" t="s">
        <v>35</v>
      </c>
      <c r="E500" t="str">
        <f t="shared" si="14"/>
        <v>Current Employee</v>
      </c>
      <c r="F500" t="s">
        <v>36</v>
      </c>
      <c r="G500">
        <v>646</v>
      </c>
      <c r="H500" t="s">
        <v>45</v>
      </c>
      <c r="I500">
        <v>9</v>
      </c>
      <c r="J500">
        <v>4</v>
      </c>
      <c r="K500" t="s">
        <v>38</v>
      </c>
      <c r="L500">
        <v>1</v>
      </c>
      <c r="M500">
        <v>1</v>
      </c>
      <c r="N500" t="s">
        <v>39</v>
      </c>
      <c r="O500">
        <v>92</v>
      </c>
      <c r="P500">
        <v>3</v>
      </c>
      <c r="Q500">
        <v>2</v>
      </c>
      <c r="R500" t="s">
        <v>47</v>
      </c>
      <c r="S500">
        <v>4</v>
      </c>
      <c r="T500" t="str" cm="1">
        <f t="array" ref="T500">_xlfn.IFS(S500&lt;=2,"Poor",S500&lt;=3,"Fair",S500&gt;=4,"Good")</f>
        <v>Good</v>
      </c>
      <c r="U500" t="s">
        <v>48</v>
      </c>
      <c r="V500" s="1">
        <v>6322</v>
      </c>
      <c r="W500" t="str" cm="1">
        <f t="array" ref="W500">_xlfn.IFS(V500&lt;=5000,"Low Salary",V500&lt;=12000,"Good Salary",V500&gt;12000,"High Salary")</f>
        <v>Good Salary</v>
      </c>
      <c r="X500">
        <v>18089</v>
      </c>
      <c r="Y500">
        <v>1</v>
      </c>
      <c r="Z500" t="s">
        <v>42</v>
      </c>
      <c r="AA500" t="s">
        <v>43</v>
      </c>
      <c r="AB500">
        <v>12</v>
      </c>
      <c r="AC500">
        <v>3</v>
      </c>
      <c r="AD500" t="str">
        <f t="shared" si="15"/>
        <v>Low Performance</v>
      </c>
      <c r="AE500">
        <v>4</v>
      </c>
      <c r="AF500">
        <v>80</v>
      </c>
      <c r="AG500">
        <v>1</v>
      </c>
      <c r="AH500">
        <v>6</v>
      </c>
      <c r="AI500">
        <v>2</v>
      </c>
      <c r="AJ500">
        <v>2</v>
      </c>
      <c r="AK500" t="str" cm="1">
        <f t="array" ref="AK500">_xlfn.IFS(AJ500&lt;=2,"Poor",AJ500&lt;=3,"Fair",AJ500&gt;3,"Good")</f>
        <v>Poor</v>
      </c>
      <c r="AL500">
        <v>6</v>
      </c>
      <c r="AM500">
        <v>4</v>
      </c>
      <c r="AN500">
        <v>0</v>
      </c>
      <c r="AO500">
        <v>5</v>
      </c>
    </row>
    <row r="501" spans="1:41" x14ac:dyDescent="0.2">
      <c r="A501">
        <v>1477313</v>
      </c>
      <c r="B501">
        <v>30</v>
      </c>
      <c r="C501" t="str" cm="1">
        <f t="array" ref="C501">_xlfn.IFS(B501&lt;=25,"15-25",B501&lt;=35,"26-35",B501&lt;=45,"36-45",B501&lt;=55,"46-55",B501&lt;=65,"56-65")</f>
        <v>26-35</v>
      </c>
      <c r="D501" t="s">
        <v>35</v>
      </c>
      <c r="E501" t="str">
        <f t="shared" si="14"/>
        <v>Current Employee</v>
      </c>
      <c r="F501" t="s">
        <v>44</v>
      </c>
      <c r="G501">
        <v>160</v>
      </c>
      <c r="H501" t="s">
        <v>45</v>
      </c>
      <c r="I501">
        <v>3</v>
      </c>
      <c r="J501">
        <v>3</v>
      </c>
      <c r="K501" t="s">
        <v>49</v>
      </c>
      <c r="L501">
        <v>1</v>
      </c>
      <c r="M501">
        <v>3</v>
      </c>
      <c r="N501" t="s">
        <v>39</v>
      </c>
      <c r="O501">
        <v>71</v>
      </c>
      <c r="P501">
        <v>3</v>
      </c>
      <c r="Q501">
        <v>1</v>
      </c>
      <c r="R501" t="s">
        <v>47</v>
      </c>
      <c r="S501">
        <v>3</v>
      </c>
      <c r="T501" t="str" cm="1">
        <f t="array" ref="T501">_xlfn.IFS(S501&lt;=2,"Poor",S501&lt;=3,"Fair",S501&gt;=4,"Good")</f>
        <v>Fair</v>
      </c>
      <c r="U501" t="s">
        <v>50</v>
      </c>
      <c r="V501" s="1">
        <v>2083</v>
      </c>
      <c r="W501" t="str" cm="1">
        <f t="array" ref="W501">_xlfn.IFS(V501&lt;=5000,"Low Salary",V501&lt;=12000,"Good Salary",V501&gt;12000,"High Salary")</f>
        <v>Low Salary</v>
      </c>
      <c r="X501">
        <v>22653</v>
      </c>
      <c r="Y501">
        <v>1</v>
      </c>
      <c r="Z501" t="s">
        <v>42</v>
      </c>
      <c r="AA501" t="s">
        <v>35</v>
      </c>
      <c r="AB501">
        <v>20</v>
      </c>
      <c r="AC501">
        <v>4</v>
      </c>
      <c r="AD501" t="str">
        <f t="shared" si="15"/>
        <v>High Performance</v>
      </c>
      <c r="AE501">
        <v>3</v>
      </c>
      <c r="AF501">
        <v>80</v>
      </c>
      <c r="AG501">
        <v>1</v>
      </c>
      <c r="AH501">
        <v>1</v>
      </c>
      <c r="AI501">
        <v>2</v>
      </c>
      <c r="AJ501">
        <v>3</v>
      </c>
      <c r="AK501" t="str" cm="1">
        <f t="array" ref="AK501">_xlfn.IFS(AJ501&lt;=2,"Poor",AJ501&lt;=3,"Fair",AJ501&gt;3,"Good")</f>
        <v>Fair</v>
      </c>
      <c r="AL501">
        <v>1</v>
      </c>
      <c r="AM501">
        <v>0</v>
      </c>
      <c r="AN501">
        <v>0</v>
      </c>
      <c r="AO501">
        <v>0</v>
      </c>
    </row>
    <row r="502" spans="1:41" x14ac:dyDescent="0.2">
      <c r="A502">
        <v>1624205</v>
      </c>
      <c r="B502">
        <v>53</v>
      </c>
      <c r="C502" t="str" cm="1">
        <f t="array" ref="C502">_xlfn.IFS(B502&lt;=25,"15-25",B502&lt;=35,"26-35",B502&lt;=45,"36-45",B502&lt;=55,"46-55",B502&lt;=65,"56-65")</f>
        <v>46-55</v>
      </c>
      <c r="D502" t="s">
        <v>35</v>
      </c>
      <c r="E502" t="str">
        <f t="shared" si="14"/>
        <v>Current Employee</v>
      </c>
      <c r="F502" t="s">
        <v>36</v>
      </c>
      <c r="G502">
        <v>238</v>
      </c>
      <c r="H502" t="s">
        <v>37</v>
      </c>
      <c r="I502">
        <v>1</v>
      </c>
      <c r="J502">
        <v>1</v>
      </c>
      <c r="K502" t="s">
        <v>49</v>
      </c>
      <c r="L502">
        <v>1</v>
      </c>
      <c r="M502">
        <v>4</v>
      </c>
      <c r="N502" t="s">
        <v>39</v>
      </c>
      <c r="O502">
        <v>34</v>
      </c>
      <c r="P502">
        <v>3</v>
      </c>
      <c r="Q502">
        <v>2</v>
      </c>
      <c r="R502" t="s">
        <v>40</v>
      </c>
      <c r="S502">
        <v>1</v>
      </c>
      <c r="T502" t="str" cm="1">
        <f t="array" ref="T502">_xlfn.IFS(S502&lt;=2,"Poor",S502&lt;=3,"Fair",S502&gt;=4,"Good")</f>
        <v>Poor</v>
      </c>
      <c r="U502" t="s">
        <v>41</v>
      </c>
      <c r="V502" s="1">
        <v>8381</v>
      </c>
      <c r="W502" t="str" cm="1">
        <f t="array" ref="W502">_xlfn.IFS(V502&lt;=5000,"Low Salary",V502&lt;=12000,"Good Salary",V502&gt;12000,"High Salary")</f>
        <v>Good Salary</v>
      </c>
      <c r="X502">
        <v>7507</v>
      </c>
      <c r="Y502">
        <v>7</v>
      </c>
      <c r="Z502" t="s">
        <v>42</v>
      </c>
      <c r="AA502" t="s">
        <v>35</v>
      </c>
      <c r="AB502">
        <v>20</v>
      </c>
      <c r="AC502">
        <v>4</v>
      </c>
      <c r="AD502" t="str">
        <f t="shared" si="15"/>
        <v>High Performance</v>
      </c>
      <c r="AE502">
        <v>4</v>
      </c>
      <c r="AF502">
        <v>80</v>
      </c>
      <c r="AG502">
        <v>0</v>
      </c>
      <c r="AH502">
        <v>18</v>
      </c>
      <c r="AI502">
        <v>2</v>
      </c>
      <c r="AJ502">
        <v>4</v>
      </c>
      <c r="AK502" t="str" cm="1">
        <f t="array" ref="AK502">_xlfn.IFS(AJ502&lt;=2,"Poor",AJ502&lt;=3,"Fair",AJ502&gt;3,"Good")</f>
        <v>Good</v>
      </c>
      <c r="AL502">
        <v>14</v>
      </c>
      <c r="AM502">
        <v>7</v>
      </c>
      <c r="AN502">
        <v>8</v>
      </c>
      <c r="AO502">
        <v>10</v>
      </c>
    </row>
    <row r="503" spans="1:41" x14ac:dyDescent="0.2">
      <c r="A503">
        <v>1641585</v>
      </c>
      <c r="B503">
        <v>34</v>
      </c>
      <c r="C503" t="str" cm="1">
        <f t="array" ref="C503">_xlfn.IFS(B503&lt;=25,"15-25",B503&lt;=35,"26-35",B503&lt;=45,"36-45",B503&lt;=55,"46-55",B503&lt;=65,"56-65")</f>
        <v>26-35</v>
      </c>
      <c r="D503" t="s">
        <v>35</v>
      </c>
      <c r="E503" t="str">
        <f t="shared" si="14"/>
        <v>Current Employee</v>
      </c>
      <c r="F503" t="s">
        <v>36</v>
      </c>
      <c r="G503">
        <v>1397</v>
      </c>
      <c r="H503" t="s">
        <v>45</v>
      </c>
      <c r="I503">
        <v>1</v>
      </c>
      <c r="J503">
        <v>5</v>
      </c>
      <c r="K503" t="s">
        <v>38</v>
      </c>
      <c r="L503">
        <v>1</v>
      </c>
      <c r="M503">
        <v>2</v>
      </c>
      <c r="N503" t="s">
        <v>46</v>
      </c>
      <c r="O503">
        <v>42</v>
      </c>
      <c r="P503">
        <v>3</v>
      </c>
      <c r="Q503">
        <v>1</v>
      </c>
      <c r="R503" t="s">
        <v>47</v>
      </c>
      <c r="S503">
        <v>4</v>
      </c>
      <c r="T503" t="str" cm="1">
        <f t="array" ref="T503">_xlfn.IFS(S503&lt;=2,"Poor",S503&lt;=3,"Fair",S503&gt;=4,"Good")</f>
        <v>Good</v>
      </c>
      <c r="U503" t="s">
        <v>48</v>
      </c>
      <c r="V503" s="1">
        <v>2691</v>
      </c>
      <c r="W503" t="str" cm="1">
        <f t="array" ref="W503">_xlfn.IFS(V503&lt;=5000,"Low Salary",V503&lt;=12000,"Good Salary",V503&gt;12000,"High Salary")</f>
        <v>Low Salary</v>
      </c>
      <c r="X503">
        <v>7660</v>
      </c>
      <c r="Y503">
        <v>1</v>
      </c>
      <c r="Z503" t="s">
        <v>42</v>
      </c>
      <c r="AA503" t="s">
        <v>35</v>
      </c>
      <c r="AB503">
        <v>12</v>
      </c>
      <c r="AC503">
        <v>3</v>
      </c>
      <c r="AD503" t="str">
        <f t="shared" si="15"/>
        <v>Low Performance</v>
      </c>
      <c r="AE503">
        <v>4</v>
      </c>
      <c r="AF503">
        <v>80</v>
      </c>
      <c r="AG503">
        <v>1</v>
      </c>
      <c r="AH503">
        <v>10</v>
      </c>
      <c r="AI503">
        <v>4</v>
      </c>
      <c r="AJ503">
        <v>2</v>
      </c>
      <c r="AK503" t="str" cm="1">
        <f t="array" ref="AK503">_xlfn.IFS(AJ503&lt;=2,"Poor",AJ503&lt;=3,"Fair",AJ503&gt;3,"Good")</f>
        <v>Poor</v>
      </c>
      <c r="AL503">
        <v>10</v>
      </c>
      <c r="AM503">
        <v>9</v>
      </c>
      <c r="AN503">
        <v>8</v>
      </c>
      <c r="AO503">
        <v>8</v>
      </c>
    </row>
    <row r="504" spans="1:41" x14ac:dyDescent="0.2">
      <c r="A504">
        <v>1080875</v>
      </c>
      <c r="B504">
        <v>45</v>
      </c>
      <c r="C504" t="str" cm="1">
        <f t="array" ref="C504">_xlfn.IFS(B504&lt;=25,"15-25",B504&lt;=35,"26-35",B504&lt;=45,"36-45",B504&lt;=55,"46-55",B504&lt;=65,"56-65")</f>
        <v>36-45</v>
      </c>
      <c r="D504" t="s">
        <v>43</v>
      </c>
      <c r="E504" t="str">
        <f t="shared" si="14"/>
        <v>Former Employee</v>
      </c>
      <c r="F504" t="s">
        <v>44</v>
      </c>
      <c r="G504">
        <v>306</v>
      </c>
      <c r="H504" t="s">
        <v>37</v>
      </c>
      <c r="I504">
        <v>26</v>
      </c>
      <c r="J504">
        <v>4</v>
      </c>
      <c r="K504" t="s">
        <v>38</v>
      </c>
      <c r="L504">
        <v>1</v>
      </c>
      <c r="M504">
        <v>1</v>
      </c>
      <c r="N504" t="s">
        <v>39</v>
      </c>
      <c r="O504">
        <v>100</v>
      </c>
      <c r="P504">
        <v>3</v>
      </c>
      <c r="Q504">
        <v>2</v>
      </c>
      <c r="R504" t="s">
        <v>40</v>
      </c>
      <c r="S504">
        <v>1</v>
      </c>
      <c r="T504" t="str" cm="1">
        <f t="array" ref="T504">_xlfn.IFS(S504&lt;=2,"Poor",S504&lt;=3,"Fair",S504&gt;=4,"Good")</f>
        <v>Poor</v>
      </c>
      <c r="U504" t="s">
        <v>48</v>
      </c>
      <c r="V504" s="1">
        <v>4286</v>
      </c>
      <c r="W504" t="str" cm="1">
        <f t="array" ref="W504">_xlfn.IFS(V504&lt;=5000,"Low Salary",V504&lt;=12000,"Good Salary",V504&gt;12000,"High Salary")</f>
        <v>Low Salary</v>
      </c>
      <c r="X504">
        <v>5630</v>
      </c>
      <c r="Y504">
        <v>2</v>
      </c>
      <c r="Z504" t="s">
        <v>42</v>
      </c>
      <c r="AA504" t="s">
        <v>35</v>
      </c>
      <c r="AB504">
        <v>14</v>
      </c>
      <c r="AC504">
        <v>3</v>
      </c>
      <c r="AD504" t="str">
        <f t="shared" si="15"/>
        <v>Low Performance</v>
      </c>
      <c r="AE504">
        <v>4</v>
      </c>
      <c r="AF504">
        <v>80</v>
      </c>
      <c r="AG504">
        <v>2</v>
      </c>
      <c r="AH504">
        <v>5</v>
      </c>
      <c r="AI504">
        <v>4</v>
      </c>
      <c r="AJ504">
        <v>3</v>
      </c>
      <c r="AK504" t="str" cm="1">
        <f t="array" ref="AK504">_xlfn.IFS(AJ504&lt;=2,"Poor",AJ504&lt;=3,"Fair",AJ504&gt;3,"Good")</f>
        <v>Fair</v>
      </c>
      <c r="AL504">
        <v>1</v>
      </c>
      <c r="AM504">
        <v>1</v>
      </c>
      <c r="AN504">
        <v>0</v>
      </c>
      <c r="AO504">
        <v>0</v>
      </c>
    </row>
    <row r="505" spans="1:41" x14ac:dyDescent="0.2">
      <c r="A505">
        <v>1551597</v>
      </c>
      <c r="B505">
        <v>26</v>
      </c>
      <c r="C505" t="str" cm="1">
        <f t="array" ref="C505">_xlfn.IFS(B505&lt;=25,"15-25",B505&lt;=35,"26-35",B505&lt;=45,"36-45",B505&lt;=55,"46-55",B505&lt;=65,"56-65")</f>
        <v>26-35</v>
      </c>
      <c r="D505" t="s">
        <v>35</v>
      </c>
      <c r="E505" t="str">
        <f t="shared" si="14"/>
        <v>Current Employee</v>
      </c>
      <c r="F505" t="s">
        <v>36</v>
      </c>
      <c r="G505">
        <v>991</v>
      </c>
      <c r="H505" t="s">
        <v>45</v>
      </c>
      <c r="I505">
        <v>6</v>
      </c>
      <c r="J505">
        <v>3</v>
      </c>
      <c r="K505" t="s">
        <v>38</v>
      </c>
      <c r="L505">
        <v>1</v>
      </c>
      <c r="M505">
        <v>3</v>
      </c>
      <c r="N505" t="s">
        <v>39</v>
      </c>
      <c r="O505">
        <v>71</v>
      </c>
      <c r="P505">
        <v>3</v>
      </c>
      <c r="Q505">
        <v>1</v>
      </c>
      <c r="R505" t="s">
        <v>40</v>
      </c>
      <c r="S505">
        <v>4</v>
      </c>
      <c r="T505" t="str" cm="1">
        <f t="array" ref="T505">_xlfn.IFS(S505&lt;=2,"Poor",S505&lt;=3,"Fair",S505&gt;=4,"Good")</f>
        <v>Good</v>
      </c>
      <c r="U505" t="s">
        <v>48</v>
      </c>
      <c r="V505" s="1">
        <v>2659</v>
      </c>
      <c r="W505" t="str" cm="1">
        <f t="array" ref="W505">_xlfn.IFS(V505&lt;=5000,"Low Salary",V505&lt;=12000,"Good Salary",V505&gt;12000,"High Salary")</f>
        <v>Low Salary</v>
      </c>
      <c r="X505">
        <v>17759</v>
      </c>
      <c r="Y505">
        <v>1</v>
      </c>
      <c r="Z505" t="s">
        <v>42</v>
      </c>
      <c r="AA505" t="s">
        <v>43</v>
      </c>
      <c r="AB505">
        <v>13</v>
      </c>
      <c r="AC505">
        <v>3</v>
      </c>
      <c r="AD505" t="str">
        <f t="shared" si="15"/>
        <v>Low Performance</v>
      </c>
      <c r="AE505">
        <v>3</v>
      </c>
      <c r="AF505">
        <v>80</v>
      </c>
      <c r="AG505">
        <v>1</v>
      </c>
      <c r="AH505">
        <v>3</v>
      </c>
      <c r="AI505">
        <v>2</v>
      </c>
      <c r="AJ505">
        <v>3</v>
      </c>
      <c r="AK505" t="str" cm="1">
        <f t="array" ref="AK505">_xlfn.IFS(AJ505&lt;=2,"Poor",AJ505&lt;=3,"Fair",AJ505&gt;3,"Good")</f>
        <v>Fair</v>
      </c>
      <c r="AL505">
        <v>3</v>
      </c>
      <c r="AM505">
        <v>2</v>
      </c>
      <c r="AN505">
        <v>0</v>
      </c>
      <c r="AO505">
        <v>2</v>
      </c>
    </row>
    <row r="506" spans="1:41" x14ac:dyDescent="0.2">
      <c r="A506">
        <v>1498477</v>
      </c>
      <c r="B506">
        <v>37</v>
      </c>
      <c r="C506" t="str" cm="1">
        <f t="array" ref="C506">_xlfn.IFS(B506&lt;=25,"15-25",B506&lt;=35,"26-35",B506&lt;=45,"36-45",B506&lt;=55,"46-55",B506&lt;=65,"56-65")</f>
        <v>36-45</v>
      </c>
      <c r="D506" t="s">
        <v>35</v>
      </c>
      <c r="E506" t="str">
        <f t="shared" si="14"/>
        <v>Current Employee</v>
      </c>
      <c r="F506" t="s">
        <v>36</v>
      </c>
      <c r="G506">
        <v>482</v>
      </c>
      <c r="H506" t="s">
        <v>54</v>
      </c>
      <c r="I506">
        <v>3</v>
      </c>
      <c r="J506">
        <v>3</v>
      </c>
      <c r="K506" t="s">
        <v>47</v>
      </c>
      <c r="L506">
        <v>1</v>
      </c>
      <c r="M506">
        <v>3</v>
      </c>
      <c r="N506" t="s">
        <v>46</v>
      </c>
      <c r="O506">
        <v>36</v>
      </c>
      <c r="P506">
        <v>3</v>
      </c>
      <c r="Q506">
        <v>3</v>
      </c>
      <c r="R506" t="s">
        <v>51</v>
      </c>
      <c r="S506">
        <v>3</v>
      </c>
      <c r="T506" t="str" cm="1">
        <f t="array" ref="T506">_xlfn.IFS(S506&lt;=2,"Poor",S506&lt;=3,"Fair",S506&gt;=4,"Good")</f>
        <v>Fair</v>
      </c>
      <c r="U506" t="s">
        <v>48</v>
      </c>
      <c r="V506" s="1">
        <v>9434</v>
      </c>
      <c r="W506" t="str" cm="1">
        <f t="array" ref="W506">_xlfn.IFS(V506&lt;=5000,"Low Salary",V506&lt;=12000,"Good Salary",V506&gt;12000,"High Salary")</f>
        <v>Good Salary</v>
      </c>
      <c r="X506">
        <v>9606</v>
      </c>
      <c r="Y506">
        <v>1</v>
      </c>
      <c r="Z506" t="s">
        <v>42</v>
      </c>
      <c r="AA506" t="s">
        <v>35</v>
      </c>
      <c r="AB506">
        <v>15</v>
      </c>
      <c r="AC506">
        <v>3</v>
      </c>
      <c r="AD506" t="str">
        <f t="shared" si="15"/>
        <v>Low Performance</v>
      </c>
      <c r="AE506">
        <v>3</v>
      </c>
      <c r="AF506">
        <v>80</v>
      </c>
      <c r="AG506">
        <v>1</v>
      </c>
      <c r="AH506">
        <v>10</v>
      </c>
      <c r="AI506">
        <v>2</v>
      </c>
      <c r="AJ506">
        <v>3</v>
      </c>
      <c r="AK506" t="str" cm="1">
        <f t="array" ref="AK506">_xlfn.IFS(AJ506&lt;=2,"Poor",AJ506&lt;=3,"Fair",AJ506&gt;3,"Good")</f>
        <v>Fair</v>
      </c>
      <c r="AL506">
        <v>10</v>
      </c>
      <c r="AM506">
        <v>7</v>
      </c>
      <c r="AN506">
        <v>7</v>
      </c>
      <c r="AO506">
        <v>8</v>
      </c>
    </row>
    <row r="507" spans="1:41" x14ac:dyDescent="0.2">
      <c r="A507">
        <v>1507332</v>
      </c>
      <c r="B507">
        <v>29</v>
      </c>
      <c r="C507" t="str" cm="1">
        <f t="array" ref="C507">_xlfn.IFS(B507&lt;=25,"15-25",B507&lt;=35,"26-35",B507&lt;=45,"36-45",B507&lt;=55,"46-55",B507&lt;=65,"56-65")</f>
        <v>26-35</v>
      </c>
      <c r="D507" t="s">
        <v>35</v>
      </c>
      <c r="E507" t="str">
        <f t="shared" si="14"/>
        <v>Current Employee</v>
      </c>
      <c r="F507" t="s">
        <v>36</v>
      </c>
      <c r="G507">
        <v>1176</v>
      </c>
      <c r="H507" t="s">
        <v>37</v>
      </c>
      <c r="I507">
        <v>3</v>
      </c>
      <c r="J507">
        <v>2</v>
      </c>
      <c r="K507" t="s">
        <v>49</v>
      </c>
      <c r="L507">
        <v>1</v>
      </c>
      <c r="M507">
        <v>2</v>
      </c>
      <c r="N507" t="s">
        <v>39</v>
      </c>
      <c r="O507">
        <v>62</v>
      </c>
      <c r="P507">
        <v>3</v>
      </c>
      <c r="Q507">
        <v>2</v>
      </c>
      <c r="R507" t="s">
        <v>40</v>
      </c>
      <c r="S507">
        <v>3</v>
      </c>
      <c r="T507" t="str" cm="1">
        <f t="array" ref="T507">_xlfn.IFS(S507&lt;=2,"Poor",S507&lt;=3,"Fair",S507&gt;=4,"Good")</f>
        <v>Fair</v>
      </c>
      <c r="U507" t="s">
        <v>48</v>
      </c>
      <c r="V507" s="1">
        <v>5561</v>
      </c>
      <c r="W507" t="str" cm="1">
        <f t="array" ref="W507">_xlfn.IFS(V507&lt;=5000,"Low Salary",V507&lt;=12000,"Good Salary",V507&gt;12000,"High Salary")</f>
        <v>Good Salary</v>
      </c>
      <c r="X507">
        <v>3487</v>
      </c>
      <c r="Y507">
        <v>1</v>
      </c>
      <c r="Z507" t="s">
        <v>42</v>
      </c>
      <c r="AA507" t="s">
        <v>35</v>
      </c>
      <c r="AB507">
        <v>14</v>
      </c>
      <c r="AC507">
        <v>3</v>
      </c>
      <c r="AD507" t="str">
        <f t="shared" si="15"/>
        <v>Low Performance</v>
      </c>
      <c r="AE507">
        <v>1</v>
      </c>
      <c r="AF507">
        <v>80</v>
      </c>
      <c r="AG507">
        <v>1</v>
      </c>
      <c r="AH507">
        <v>6</v>
      </c>
      <c r="AI507">
        <v>5</v>
      </c>
      <c r="AJ507">
        <v>2</v>
      </c>
      <c r="AK507" t="str" cm="1">
        <f t="array" ref="AK507">_xlfn.IFS(AJ507&lt;=2,"Poor",AJ507&lt;=3,"Fair",AJ507&gt;3,"Good")</f>
        <v>Poor</v>
      </c>
      <c r="AL507">
        <v>6</v>
      </c>
      <c r="AM507">
        <v>0</v>
      </c>
      <c r="AN507">
        <v>1</v>
      </c>
      <c r="AO507">
        <v>2</v>
      </c>
    </row>
    <row r="508" spans="1:41" x14ac:dyDescent="0.2">
      <c r="A508">
        <v>1398672</v>
      </c>
      <c r="B508">
        <v>35</v>
      </c>
      <c r="C508" t="str" cm="1">
        <f t="array" ref="C508">_xlfn.IFS(B508&lt;=25,"15-25",B508&lt;=35,"26-35",B508&lt;=45,"36-45",B508&lt;=55,"46-55",B508&lt;=65,"56-65")</f>
        <v>26-35</v>
      </c>
      <c r="D508" t="s">
        <v>35</v>
      </c>
      <c r="E508" t="str">
        <f t="shared" si="14"/>
        <v>Current Employee</v>
      </c>
      <c r="F508" t="s">
        <v>36</v>
      </c>
      <c r="G508">
        <v>1017</v>
      </c>
      <c r="H508" t="s">
        <v>45</v>
      </c>
      <c r="I508">
        <v>6</v>
      </c>
      <c r="J508">
        <v>4</v>
      </c>
      <c r="K508" t="s">
        <v>38</v>
      </c>
      <c r="L508">
        <v>1</v>
      </c>
      <c r="M508">
        <v>2</v>
      </c>
      <c r="N508" t="s">
        <v>46</v>
      </c>
      <c r="O508">
        <v>82</v>
      </c>
      <c r="P508">
        <v>1</v>
      </c>
      <c r="Q508">
        <v>2</v>
      </c>
      <c r="R508" t="s">
        <v>47</v>
      </c>
      <c r="S508">
        <v>4</v>
      </c>
      <c r="T508" t="str" cm="1">
        <f t="array" ref="T508">_xlfn.IFS(S508&lt;=2,"Poor",S508&lt;=3,"Fair",S508&gt;=4,"Good")</f>
        <v>Good</v>
      </c>
      <c r="U508" t="s">
        <v>41</v>
      </c>
      <c r="V508" s="1">
        <v>6646</v>
      </c>
      <c r="W508" t="str" cm="1">
        <f t="array" ref="W508">_xlfn.IFS(V508&lt;=5000,"Low Salary",V508&lt;=12000,"Good Salary",V508&gt;12000,"High Salary")</f>
        <v>Good Salary</v>
      </c>
      <c r="X508">
        <v>19368</v>
      </c>
      <c r="Y508">
        <v>1</v>
      </c>
      <c r="Z508" t="s">
        <v>42</v>
      </c>
      <c r="AA508" t="s">
        <v>35</v>
      </c>
      <c r="AB508">
        <v>13</v>
      </c>
      <c r="AC508">
        <v>3</v>
      </c>
      <c r="AD508" t="str">
        <f t="shared" si="15"/>
        <v>Low Performance</v>
      </c>
      <c r="AE508">
        <v>2</v>
      </c>
      <c r="AF508">
        <v>80</v>
      </c>
      <c r="AG508">
        <v>0</v>
      </c>
      <c r="AH508">
        <v>17</v>
      </c>
      <c r="AI508">
        <v>3</v>
      </c>
      <c r="AJ508">
        <v>3</v>
      </c>
      <c r="AK508" t="str" cm="1">
        <f t="array" ref="AK508">_xlfn.IFS(AJ508&lt;=2,"Poor",AJ508&lt;=3,"Fair",AJ508&gt;3,"Good")</f>
        <v>Fair</v>
      </c>
      <c r="AL508">
        <v>17</v>
      </c>
      <c r="AM508">
        <v>11</v>
      </c>
      <c r="AN508">
        <v>11</v>
      </c>
      <c r="AO508">
        <v>8</v>
      </c>
    </row>
    <row r="509" spans="1:41" x14ac:dyDescent="0.2">
      <c r="A509">
        <v>1179356</v>
      </c>
      <c r="B509">
        <v>33</v>
      </c>
      <c r="C509" t="str" cm="1">
        <f t="array" ref="C509">_xlfn.IFS(B509&lt;=25,"15-25",B509&lt;=35,"26-35",B509&lt;=45,"36-45",B509&lt;=55,"46-55",B509&lt;=65,"56-65")</f>
        <v>26-35</v>
      </c>
      <c r="D509" t="s">
        <v>35</v>
      </c>
      <c r="E509" t="str">
        <f t="shared" si="14"/>
        <v>Current Employee</v>
      </c>
      <c r="F509" t="s">
        <v>44</v>
      </c>
      <c r="G509">
        <v>1296</v>
      </c>
      <c r="H509" t="s">
        <v>45</v>
      </c>
      <c r="I509">
        <v>6</v>
      </c>
      <c r="J509">
        <v>3</v>
      </c>
      <c r="K509" t="s">
        <v>38</v>
      </c>
      <c r="L509">
        <v>1</v>
      </c>
      <c r="M509">
        <v>3</v>
      </c>
      <c r="N509" t="s">
        <v>46</v>
      </c>
      <c r="O509">
        <v>30</v>
      </c>
      <c r="P509">
        <v>3</v>
      </c>
      <c r="Q509">
        <v>2</v>
      </c>
      <c r="R509" t="s">
        <v>40</v>
      </c>
      <c r="S509">
        <v>4</v>
      </c>
      <c r="T509" t="str" cm="1">
        <f t="array" ref="T509">_xlfn.IFS(S509&lt;=2,"Poor",S509&lt;=3,"Fair",S509&gt;=4,"Good")</f>
        <v>Good</v>
      </c>
      <c r="U509" t="s">
        <v>50</v>
      </c>
      <c r="V509" s="1">
        <v>7725</v>
      </c>
      <c r="W509" t="str" cm="1">
        <f t="array" ref="W509">_xlfn.IFS(V509&lt;=5000,"Low Salary",V509&lt;=12000,"Good Salary",V509&gt;12000,"High Salary")</f>
        <v>Good Salary</v>
      </c>
      <c r="X509">
        <v>5335</v>
      </c>
      <c r="Y509">
        <v>3</v>
      </c>
      <c r="Z509" t="s">
        <v>42</v>
      </c>
      <c r="AA509" t="s">
        <v>35</v>
      </c>
      <c r="AB509">
        <v>23</v>
      </c>
      <c r="AC509">
        <v>4</v>
      </c>
      <c r="AD509" t="str">
        <f t="shared" si="15"/>
        <v>High Performance</v>
      </c>
      <c r="AE509">
        <v>3</v>
      </c>
      <c r="AF509">
        <v>80</v>
      </c>
      <c r="AG509">
        <v>1</v>
      </c>
      <c r="AH509">
        <v>15</v>
      </c>
      <c r="AI509">
        <v>2</v>
      </c>
      <c r="AJ509">
        <v>1</v>
      </c>
      <c r="AK509" t="str" cm="1">
        <f t="array" ref="AK509">_xlfn.IFS(AJ509&lt;=2,"Poor",AJ509&lt;=3,"Fair",AJ509&gt;3,"Good")</f>
        <v>Poor</v>
      </c>
      <c r="AL509">
        <v>13</v>
      </c>
      <c r="AM509">
        <v>11</v>
      </c>
      <c r="AN509">
        <v>4</v>
      </c>
      <c r="AO509">
        <v>7</v>
      </c>
    </row>
    <row r="510" spans="1:41" x14ac:dyDescent="0.2">
      <c r="A510">
        <v>1414067</v>
      </c>
      <c r="B510">
        <v>54</v>
      </c>
      <c r="C510" t="str" cm="1">
        <f t="array" ref="C510">_xlfn.IFS(B510&lt;=25,"15-25",B510&lt;=35,"26-35",B510&lt;=45,"36-45",B510&lt;=55,"46-55",B510&lt;=65,"56-65")</f>
        <v>46-55</v>
      </c>
      <c r="D510" t="s">
        <v>35</v>
      </c>
      <c r="E510" t="str">
        <f t="shared" si="14"/>
        <v>Current Employee</v>
      </c>
      <c r="F510" t="s">
        <v>36</v>
      </c>
      <c r="G510">
        <v>397</v>
      </c>
      <c r="H510" t="s">
        <v>54</v>
      </c>
      <c r="I510">
        <v>19</v>
      </c>
      <c r="J510">
        <v>4</v>
      </c>
      <c r="K510" t="s">
        <v>49</v>
      </c>
      <c r="L510">
        <v>1</v>
      </c>
      <c r="M510">
        <v>3</v>
      </c>
      <c r="N510" t="s">
        <v>46</v>
      </c>
      <c r="O510">
        <v>88</v>
      </c>
      <c r="P510">
        <v>3</v>
      </c>
      <c r="Q510">
        <v>3</v>
      </c>
      <c r="R510" t="s">
        <v>47</v>
      </c>
      <c r="S510">
        <v>2</v>
      </c>
      <c r="T510" t="str" cm="1">
        <f t="array" ref="T510">_xlfn.IFS(S510&lt;=2,"Poor",S510&lt;=3,"Fair",S510&gt;=4,"Good")</f>
        <v>Poor</v>
      </c>
      <c r="U510" t="s">
        <v>48</v>
      </c>
      <c r="V510" s="1">
        <v>10725</v>
      </c>
      <c r="W510" t="str" cm="1">
        <f t="array" ref="W510">_xlfn.IFS(V510&lt;=5000,"Low Salary",V510&lt;=12000,"Good Salary",V510&gt;12000,"High Salary")</f>
        <v>Good Salary</v>
      </c>
      <c r="X510">
        <v>6729</v>
      </c>
      <c r="Y510">
        <v>2</v>
      </c>
      <c r="Z510" t="s">
        <v>42</v>
      </c>
      <c r="AA510" t="s">
        <v>35</v>
      </c>
      <c r="AB510">
        <v>15</v>
      </c>
      <c r="AC510">
        <v>3</v>
      </c>
      <c r="AD510" t="str">
        <f t="shared" si="15"/>
        <v>Low Performance</v>
      </c>
      <c r="AE510">
        <v>3</v>
      </c>
      <c r="AF510">
        <v>80</v>
      </c>
      <c r="AG510">
        <v>1</v>
      </c>
      <c r="AH510">
        <v>16</v>
      </c>
      <c r="AI510">
        <v>1</v>
      </c>
      <c r="AJ510">
        <v>4</v>
      </c>
      <c r="AK510" t="str" cm="1">
        <f t="array" ref="AK510">_xlfn.IFS(AJ510&lt;=2,"Poor",AJ510&lt;=3,"Fair",AJ510&gt;3,"Good")</f>
        <v>Good</v>
      </c>
      <c r="AL510">
        <v>9</v>
      </c>
      <c r="AM510">
        <v>7</v>
      </c>
      <c r="AN510">
        <v>7</v>
      </c>
      <c r="AO510">
        <v>1</v>
      </c>
    </row>
    <row r="511" spans="1:41" x14ac:dyDescent="0.2">
      <c r="A511">
        <v>1285109</v>
      </c>
      <c r="B511">
        <v>36</v>
      </c>
      <c r="C511" t="str" cm="1">
        <f t="array" ref="C511">_xlfn.IFS(B511&lt;=25,"15-25",B511&lt;=35,"26-35",B511&lt;=45,"36-45",B511&lt;=55,"46-55",B511&lt;=65,"56-65")</f>
        <v>36-45</v>
      </c>
      <c r="D511" t="s">
        <v>35</v>
      </c>
      <c r="E511" t="str">
        <f t="shared" si="14"/>
        <v>Current Employee</v>
      </c>
      <c r="F511" t="s">
        <v>36</v>
      </c>
      <c r="G511">
        <v>913</v>
      </c>
      <c r="H511" t="s">
        <v>45</v>
      </c>
      <c r="I511">
        <v>9</v>
      </c>
      <c r="J511">
        <v>2</v>
      </c>
      <c r="K511" t="s">
        <v>49</v>
      </c>
      <c r="L511">
        <v>1</v>
      </c>
      <c r="M511">
        <v>2</v>
      </c>
      <c r="N511" t="s">
        <v>46</v>
      </c>
      <c r="O511">
        <v>48</v>
      </c>
      <c r="P511">
        <v>2</v>
      </c>
      <c r="Q511">
        <v>2</v>
      </c>
      <c r="R511" t="s">
        <v>51</v>
      </c>
      <c r="S511">
        <v>2</v>
      </c>
      <c r="T511" t="str" cm="1">
        <f t="array" ref="T511">_xlfn.IFS(S511&lt;=2,"Poor",S511&lt;=3,"Fair",S511&gt;=4,"Good")</f>
        <v>Poor</v>
      </c>
      <c r="U511" t="s">
        <v>50</v>
      </c>
      <c r="V511" s="1">
        <v>8847</v>
      </c>
      <c r="W511" t="str" cm="1">
        <f t="array" ref="W511">_xlfn.IFS(V511&lt;=5000,"Low Salary",V511&lt;=12000,"Good Salary",V511&gt;12000,"High Salary")</f>
        <v>Good Salary</v>
      </c>
      <c r="X511">
        <v>13934</v>
      </c>
      <c r="Y511">
        <v>2</v>
      </c>
      <c r="Z511" t="s">
        <v>42</v>
      </c>
      <c r="AA511" t="s">
        <v>43</v>
      </c>
      <c r="AB511">
        <v>11</v>
      </c>
      <c r="AC511">
        <v>3</v>
      </c>
      <c r="AD511" t="str">
        <f t="shared" si="15"/>
        <v>Low Performance</v>
      </c>
      <c r="AE511">
        <v>3</v>
      </c>
      <c r="AF511">
        <v>80</v>
      </c>
      <c r="AG511">
        <v>1</v>
      </c>
      <c r="AH511">
        <v>13</v>
      </c>
      <c r="AI511">
        <v>2</v>
      </c>
      <c r="AJ511">
        <v>3</v>
      </c>
      <c r="AK511" t="str" cm="1">
        <f t="array" ref="AK511">_xlfn.IFS(AJ511&lt;=2,"Poor",AJ511&lt;=3,"Fair",AJ511&gt;3,"Good")</f>
        <v>Fair</v>
      </c>
      <c r="AL511">
        <v>3</v>
      </c>
      <c r="AM511">
        <v>2</v>
      </c>
      <c r="AN511">
        <v>0</v>
      </c>
      <c r="AO511">
        <v>2</v>
      </c>
    </row>
    <row r="512" spans="1:41" x14ac:dyDescent="0.2">
      <c r="A512">
        <v>1699009</v>
      </c>
      <c r="B512">
        <v>27</v>
      </c>
      <c r="C512" t="str" cm="1">
        <f t="array" ref="C512">_xlfn.IFS(B512&lt;=25,"15-25",B512&lt;=35,"26-35",B512&lt;=45,"36-45",B512&lt;=55,"46-55",B512&lt;=65,"56-65")</f>
        <v>26-35</v>
      </c>
      <c r="D512" t="s">
        <v>35</v>
      </c>
      <c r="E512" t="str">
        <f t="shared" si="14"/>
        <v>Current Employee</v>
      </c>
      <c r="F512" t="s">
        <v>36</v>
      </c>
      <c r="G512">
        <v>1115</v>
      </c>
      <c r="H512" t="s">
        <v>45</v>
      </c>
      <c r="I512">
        <v>3</v>
      </c>
      <c r="J512">
        <v>4</v>
      </c>
      <c r="K512" t="s">
        <v>49</v>
      </c>
      <c r="L512">
        <v>1</v>
      </c>
      <c r="M512">
        <v>1</v>
      </c>
      <c r="N512" t="s">
        <v>46</v>
      </c>
      <c r="O512">
        <v>54</v>
      </c>
      <c r="P512">
        <v>2</v>
      </c>
      <c r="Q512">
        <v>1</v>
      </c>
      <c r="R512" t="s">
        <v>47</v>
      </c>
      <c r="S512">
        <v>4</v>
      </c>
      <c r="T512" t="str" cm="1">
        <f t="array" ref="T512">_xlfn.IFS(S512&lt;=2,"Poor",S512&lt;=3,"Fair",S512&gt;=4,"Good")</f>
        <v>Good</v>
      </c>
      <c r="U512" t="s">
        <v>41</v>
      </c>
      <c r="V512" s="1">
        <v>2045</v>
      </c>
      <c r="W512" t="str" cm="1">
        <f t="array" ref="W512">_xlfn.IFS(V512&lt;=5000,"Low Salary",V512&lt;=12000,"Good Salary",V512&gt;12000,"High Salary")</f>
        <v>Low Salary</v>
      </c>
      <c r="X512">
        <v>15174</v>
      </c>
      <c r="Y512">
        <v>0</v>
      </c>
      <c r="Z512" t="s">
        <v>42</v>
      </c>
      <c r="AA512" t="s">
        <v>35</v>
      </c>
      <c r="AB512">
        <v>13</v>
      </c>
      <c r="AC512">
        <v>3</v>
      </c>
      <c r="AD512" t="str">
        <f t="shared" si="15"/>
        <v>Low Performance</v>
      </c>
      <c r="AE512">
        <v>4</v>
      </c>
      <c r="AF512">
        <v>80</v>
      </c>
      <c r="AG512">
        <v>0</v>
      </c>
      <c r="AH512">
        <v>5</v>
      </c>
      <c r="AI512">
        <v>0</v>
      </c>
      <c r="AJ512">
        <v>3</v>
      </c>
      <c r="AK512" t="str" cm="1">
        <f t="array" ref="AK512">_xlfn.IFS(AJ512&lt;=2,"Poor",AJ512&lt;=3,"Fair",AJ512&gt;3,"Good")</f>
        <v>Fair</v>
      </c>
      <c r="AL512">
        <v>4</v>
      </c>
      <c r="AM512">
        <v>2</v>
      </c>
      <c r="AN512">
        <v>1</v>
      </c>
      <c r="AO512">
        <v>1</v>
      </c>
    </row>
    <row r="513" spans="1:41" x14ac:dyDescent="0.2">
      <c r="A513">
        <v>1547538</v>
      </c>
      <c r="B513">
        <v>20</v>
      </c>
      <c r="C513" t="str" cm="1">
        <f t="array" ref="C513">_xlfn.IFS(B513&lt;=25,"15-25",B513&lt;=35,"26-35",B513&lt;=45,"36-45",B513&lt;=55,"46-55",B513&lt;=65,"56-65")</f>
        <v>15-25</v>
      </c>
      <c r="D513" t="s">
        <v>43</v>
      </c>
      <c r="E513" t="str">
        <f t="shared" si="14"/>
        <v>Former Employee</v>
      </c>
      <c r="F513" t="s">
        <v>36</v>
      </c>
      <c r="G513">
        <v>1362</v>
      </c>
      <c r="H513" t="s">
        <v>45</v>
      </c>
      <c r="I513">
        <v>10</v>
      </c>
      <c r="J513">
        <v>1</v>
      </c>
      <c r="K513" t="s">
        <v>49</v>
      </c>
      <c r="L513">
        <v>1</v>
      </c>
      <c r="M513">
        <v>4</v>
      </c>
      <c r="N513" t="s">
        <v>46</v>
      </c>
      <c r="O513">
        <v>32</v>
      </c>
      <c r="P513">
        <v>3</v>
      </c>
      <c r="Q513">
        <v>1</v>
      </c>
      <c r="R513" t="s">
        <v>47</v>
      </c>
      <c r="S513">
        <v>3</v>
      </c>
      <c r="T513" t="str" cm="1">
        <f t="array" ref="T513">_xlfn.IFS(S513&lt;=2,"Poor",S513&lt;=3,"Fair",S513&gt;=4,"Good")</f>
        <v>Fair</v>
      </c>
      <c r="U513" t="s">
        <v>41</v>
      </c>
      <c r="V513" s="1">
        <v>1009</v>
      </c>
      <c r="W513" t="str" cm="1">
        <f t="array" ref="W513">_xlfn.IFS(V513&lt;=5000,"Low Salary",V513&lt;=12000,"Good Salary",V513&gt;12000,"High Salary")</f>
        <v>Low Salary</v>
      </c>
      <c r="X513">
        <v>26999</v>
      </c>
      <c r="Y513">
        <v>1</v>
      </c>
      <c r="Z513" t="s">
        <v>42</v>
      </c>
      <c r="AA513" t="s">
        <v>43</v>
      </c>
      <c r="AB513">
        <v>11</v>
      </c>
      <c r="AC513">
        <v>3</v>
      </c>
      <c r="AD513" t="str">
        <f t="shared" si="15"/>
        <v>Low Performance</v>
      </c>
      <c r="AE513">
        <v>4</v>
      </c>
      <c r="AF513">
        <v>80</v>
      </c>
      <c r="AG513">
        <v>0</v>
      </c>
      <c r="AH513">
        <v>1</v>
      </c>
      <c r="AI513">
        <v>5</v>
      </c>
      <c r="AJ513">
        <v>3</v>
      </c>
      <c r="AK513" t="str" cm="1">
        <f t="array" ref="AK513">_xlfn.IFS(AJ513&lt;=2,"Poor",AJ513&lt;=3,"Fair",AJ513&gt;3,"Good")</f>
        <v>Fair</v>
      </c>
      <c r="AL513">
        <v>1</v>
      </c>
      <c r="AM513">
        <v>0</v>
      </c>
      <c r="AN513">
        <v>1</v>
      </c>
      <c r="AO513">
        <v>1</v>
      </c>
    </row>
    <row r="514" spans="1:41" x14ac:dyDescent="0.2">
      <c r="A514">
        <v>1712154</v>
      </c>
      <c r="B514">
        <v>33</v>
      </c>
      <c r="C514" t="str" cm="1">
        <f t="array" ref="C514">_xlfn.IFS(B514&lt;=25,"15-25",B514&lt;=35,"26-35",B514&lt;=45,"36-45",B514&lt;=55,"46-55",B514&lt;=65,"56-65")</f>
        <v>26-35</v>
      </c>
      <c r="D514" t="s">
        <v>43</v>
      </c>
      <c r="E514" t="str">
        <f t="shared" si="14"/>
        <v>Former Employee</v>
      </c>
      <c r="F514" t="s">
        <v>44</v>
      </c>
      <c r="G514">
        <v>1076</v>
      </c>
      <c r="H514" t="s">
        <v>45</v>
      </c>
      <c r="I514">
        <v>3</v>
      </c>
      <c r="J514">
        <v>3</v>
      </c>
      <c r="K514" t="s">
        <v>38</v>
      </c>
      <c r="L514">
        <v>1</v>
      </c>
      <c r="M514">
        <v>1</v>
      </c>
      <c r="N514" t="s">
        <v>46</v>
      </c>
      <c r="O514">
        <v>70</v>
      </c>
      <c r="P514">
        <v>3</v>
      </c>
      <c r="Q514">
        <v>1</v>
      </c>
      <c r="R514" t="s">
        <v>47</v>
      </c>
      <c r="S514">
        <v>1</v>
      </c>
      <c r="T514" t="str" cm="1">
        <f t="array" ref="T514">_xlfn.IFS(S514&lt;=2,"Poor",S514&lt;=3,"Fair",S514&gt;=4,"Good")</f>
        <v>Poor</v>
      </c>
      <c r="U514" t="s">
        <v>41</v>
      </c>
      <c r="V514" s="1">
        <v>3348</v>
      </c>
      <c r="W514" t="str" cm="1">
        <f t="array" ref="W514">_xlfn.IFS(V514&lt;=5000,"Low Salary",V514&lt;=12000,"Good Salary",V514&gt;12000,"High Salary")</f>
        <v>Low Salary</v>
      </c>
      <c r="X514">
        <v>3164</v>
      </c>
      <c r="Y514">
        <v>1</v>
      </c>
      <c r="Z514" t="s">
        <v>42</v>
      </c>
      <c r="AA514" t="s">
        <v>43</v>
      </c>
      <c r="AB514">
        <v>11</v>
      </c>
      <c r="AC514">
        <v>3</v>
      </c>
      <c r="AD514" t="str">
        <f t="shared" si="15"/>
        <v>Low Performance</v>
      </c>
      <c r="AE514">
        <v>1</v>
      </c>
      <c r="AF514">
        <v>80</v>
      </c>
      <c r="AG514">
        <v>0</v>
      </c>
      <c r="AH514">
        <v>10</v>
      </c>
      <c r="AI514">
        <v>3</v>
      </c>
      <c r="AJ514">
        <v>3</v>
      </c>
      <c r="AK514" t="str" cm="1">
        <f t="array" ref="AK514">_xlfn.IFS(AJ514&lt;=2,"Poor",AJ514&lt;=3,"Fair",AJ514&gt;3,"Good")</f>
        <v>Fair</v>
      </c>
      <c r="AL514">
        <v>10</v>
      </c>
      <c r="AM514">
        <v>8</v>
      </c>
      <c r="AN514">
        <v>9</v>
      </c>
      <c r="AO514">
        <v>7</v>
      </c>
    </row>
    <row r="515" spans="1:41" x14ac:dyDescent="0.2">
      <c r="A515">
        <v>1715015</v>
      </c>
      <c r="B515">
        <v>35</v>
      </c>
      <c r="C515" t="str" cm="1">
        <f t="array" ref="C515">_xlfn.IFS(B515&lt;=25,"15-25",B515&lt;=35,"26-35",B515&lt;=45,"36-45",B515&lt;=55,"46-55",B515&lt;=65,"56-65")</f>
        <v>26-35</v>
      </c>
      <c r="D515" t="s">
        <v>35</v>
      </c>
      <c r="E515" t="str">
        <f t="shared" ref="E515:E578" si="16">IF(D515="No","Current Employee","Former Employee")</f>
        <v>Current Employee</v>
      </c>
      <c r="F515" t="s">
        <v>52</v>
      </c>
      <c r="G515">
        <v>727</v>
      </c>
      <c r="H515" t="s">
        <v>45</v>
      </c>
      <c r="I515">
        <v>3</v>
      </c>
      <c r="J515">
        <v>3</v>
      </c>
      <c r="K515" t="s">
        <v>38</v>
      </c>
      <c r="L515">
        <v>1</v>
      </c>
      <c r="M515">
        <v>3</v>
      </c>
      <c r="N515" t="s">
        <v>46</v>
      </c>
      <c r="O515">
        <v>41</v>
      </c>
      <c r="P515">
        <v>2</v>
      </c>
      <c r="Q515">
        <v>1</v>
      </c>
      <c r="R515" t="s">
        <v>40</v>
      </c>
      <c r="S515">
        <v>3</v>
      </c>
      <c r="T515" t="str" cm="1">
        <f t="array" ref="T515">_xlfn.IFS(S515&lt;=2,"Poor",S515&lt;=3,"Fair",S515&gt;=4,"Good")</f>
        <v>Fair</v>
      </c>
      <c r="U515" t="s">
        <v>48</v>
      </c>
      <c r="V515" s="1">
        <v>1281</v>
      </c>
      <c r="W515" t="str" cm="1">
        <f t="array" ref="W515">_xlfn.IFS(V515&lt;=5000,"Low Salary",V515&lt;=12000,"Good Salary",V515&gt;12000,"High Salary")</f>
        <v>Low Salary</v>
      </c>
      <c r="X515">
        <v>16900</v>
      </c>
      <c r="Y515">
        <v>1</v>
      </c>
      <c r="Z515" t="s">
        <v>42</v>
      </c>
      <c r="AA515" t="s">
        <v>35</v>
      </c>
      <c r="AB515">
        <v>18</v>
      </c>
      <c r="AC515">
        <v>3</v>
      </c>
      <c r="AD515" t="str">
        <f t="shared" ref="AD515:AD578" si="17">IF(AC515&lt;=3,"Low Performance","High Performance")</f>
        <v>Low Performance</v>
      </c>
      <c r="AE515">
        <v>3</v>
      </c>
      <c r="AF515">
        <v>80</v>
      </c>
      <c r="AG515">
        <v>2</v>
      </c>
      <c r="AH515">
        <v>1</v>
      </c>
      <c r="AI515">
        <v>3</v>
      </c>
      <c r="AJ515">
        <v>3</v>
      </c>
      <c r="AK515" t="str" cm="1">
        <f t="array" ref="AK515">_xlfn.IFS(AJ515&lt;=2,"Poor",AJ515&lt;=3,"Fair",AJ515&gt;3,"Good")</f>
        <v>Fair</v>
      </c>
      <c r="AL515">
        <v>1</v>
      </c>
      <c r="AM515">
        <v>0</v>
      </c>
      <c r="AN515">
        <v>0</v>
      </c>
      <c r="AO515">
        <v>0</v>
      </c>
    </row>
    <row r="516" spans="1:41" x14ac:dyDescent="0.2">
      <c r="A516">
        <v>1344006</v>
      </c>
      <c r="B516">
        <v>23</v>
      </c>
      <c r="C516" t="str" cm="1">
        <f t="array" ref="C516">_xlfn.IFS(B516&lt;=25,"15-25",B516&lt;=35,"26-35",B516&lt;=45,"36-45",B516&lt;=55,"46-55",B516&lt;=65,"56-65")</f>
        <v>15-25</v>
      </c>
      <c r="D516" t="s">
        <v>35</v>
      </c>
      <c r="E516" t="str">
        <f t="shared" si="16"/>
        <v>Current Employee</v>
      </c>
      <c r="F516" t="s">
        <v>36</v>
      </c>
      <c r="G516">
        <v>885</v>
      </c>
      <c r="H516" t="s">
        <v>45</v>
      </c>
      <c r="I516">
        <v>4</v>
      </c>
      <c r="J516">
        <v>3</v>
      </c>
      <c r="K516" t="s">
        <v>49</v>
      </c>
      <c r="L516">
        <v>1</v>
      </c>
      <c r="M516">
        <v>1</v>
      </c>
      <c r="N516" t="s">
        <v>46</v>
      </c>
      <c r="O516">
        <v>58</v>
      </c>
      <c r="P516">
        <v>4</v>
      </c>
      <c r="Q516">
        <v>1</v>
      </c>
      <c r="R516" t="s">
        <v>47</v>
      </c>
      <c r="S516">
        <v>1</v>
      </c>
      <c r="T516" t="str" cm="1">
        <f t="array" ref="T516">_xlfn.IFS(S516&lt;=2,"Poor",S516&lt;=3,"Fair",S516&gt;=4,"Good")</f>
        <v>Poor</v>
      </c>
      <c r="U516" t="s">
        <v>48</v>
      </c>
      <c r="V516" s="1">
        <v>2819</v>
      </c>
      <c r="W516" t="str" cm="1">
        <f t="array" ref="W516">_xlfn.IFS(V516&lt;=5000,"Low Salary",V516&lt;=12000,"Good Salary",V516&gt;12000,"High Salary")</f>
        <v>Low Salary</v>
      </c>
      <c r="X516">
        <v>8544</v>
      </c>
      <c r="Y516">
        <v>2</v>
      </c>
      <c r="Z516" t="s">
        <v>42</v>
      </c>
      <c r="AA516" t="s">
        <v>35</v>
      </c>
      <c r="AB516">
        <v>16</v>
      </c>
      <c r="AC516">
        <v>3</v>
      </c>
      <c r="AD516" t="str">
        <f t="shared" si="17"/>
        <v>Low Performance</v>
      </c>
      <c r="AE516">
        <v>1</v>
      </c>
      <c r="AF516">
        <v>80</v>
      </c>
      <c r="AG516">
        <v>1</v>
      </c>
      <c r="AH516">
        <v>5</v>
      </c>
      <c r="AI516">
        <v>3</v>
      </c>
      <c r="AJ516">
        <v>4</v>
      </c>
      <c r="AK516" t="str" cm="1">
        <f t="array" ref="AK516">_xlfn.IFS(AJ516&lt;=2,"Poor",AJ516&lt;=3,"Fair",AJ516&gt;3,"Good")</f>
        <v>Good</v>
      </c>
      <c r="AL516">
        <v>3</v>
      </c>
      <c r="AM516">
        <v>2</v>
      </c>
      <c r="AN516">
        <v>0</v>
      </c>
      <c r="AO516">
        <v>2</v>
      </c>
    </row>
    <row r="517" spans="1:41" x14ac:dyDescent="0.2">
      <c r="A517">
        <v>1136352</v>
      </c>
      <c r="B517">
        <v>25</v>
      </c>
      <c r="C517" t="str" cm="1">
        <f t="array" ref="C517">_xlfn.IFS(B517&lt;=25,"15-25",B517&lt;=35,"26-35",B517&lt;=45,"36-45",B517&lt;=55,"46-55",B517&lt;=65,"56-65")</f>
        <v>15-25</v>
      </c>
      <c r="D517" t="s">
        <v>35</v>
      </c>
      <c r="E517" t="str">
        <f t="shared" si="16"/>
        <v>Current Employee</v>
      </c>
      <c r="F517" t="s">
        <v>36</v>
      </c>
      <c r="G517">
        <v>810</v>
      </c>
      <c r="H517" t="s">
        <v>37</v>
      </c>
      <c r="I517">
        <v>8</v>
      </c>
      <c r="J517">
        <v>3</v>
      </c>
      <c r="K517" t="s">
        <v>38</v>
      </c>
      <c r="L517">
        <v>1</v>
      </c>
      <c r="M517">
        <v>4</v>
      </c>
      <c r="N517" t="s">
        <v>46</v>
      </c>
      <c r="O517">
        <v>57</v>
      </c>
      <c r="P517">
        <v>4</v>
      </c>
      <c r="Q517">
        <v>2</v>
      </c>
      <c r="R517" t="s">
        <v>40</v>
      </c>
      <c r="S517">
        <v>2</v>
      </c>
      <c r="T517" t="str" cm="1">
        <f t="array" ref="T517">_xlfn.IFS(S517&lt;=2,"Poor",S517&lt;=3,"Fair",S517&gt;=4,"Good")</f>
        <v>Poor</v>
      </c>
      <c r="U517" t="s">
        <v>48</v>
      </c>
      <c r="V517" s="1">
        <v>4851</v>
      </c>
      <c r="W517" t="str" cm="1">
        <f t="array" ref="W517">_xlfn.IFS(V517&lt;=5000,"Low Salary",V517&lt;=12000,"Good Salary",V517&gt;12000,"High Salary")</f>
        <v>Low Salary</v>
      </c>
      <c r="X517">
        <v>15678</v>
      </c>
      <c r="Y517">
        <v>0</v>
      </c>
      <c r="Z517" t="s">
        <v>42</v>
      </c>
      <c r="AA517" t="s">
        <v>35</v>
      </c>
      <c r="AB517">
        <v>22</v>
      </c>
      <c r="AC517">
        <v>4</v>
      </c>
      <c r="AD517" t="str">
        <f t="shared" si="17"/>
        <v>High Performance</v>
      </c>
      <c r="AE517">
        <v>3</v>
      </c>
      <c r="AF517">
        <v>80</v>
      </c>
      <c r="AG517">
        <v>1</v>
      </c>
      <c r="AH517">
        <v>4</v>
      </c>
      <c r="AI517">
        <v>4</v>
      </c>
      <c r="AJ517">
        <v>3</v>
      </c>
      <c r="AK517" t="str" cm="1">
        <f t="array" ref="AK517">_xlfn.IFS(AJ517&lt;=2,"Poor",AJ517&lt;=3,"Fair",AJ517&gt;3,"Good")</f>
        <v>Fair</v>
      </c>
      <c r="AL517">
        <v>3</v>
      </c>
      <c r="AM517">
        <v>2</v>
      </c>
      <c r="AN517">
        <v>1</v>
      </c>
      <c r="AO517">
        <v>2</v>
      </c>
    </row>
    <row r="518" spans="1:41" x14ac:dyDescent="0.2">
      <c r="A518">
        <v>1767421</v>
      </c>
      <c r="B518">
        <v>38</v>
      </c>
      <c r="C518" t="str" cm="1">
        <f t="array" ref="C518">_xlfn.IFS(B518&lt;=25,"15-25",B518&lt;=35,"26-35",B518&lt;=45,"36-45",B518&lt;=55,"46-55",B518&lt;=65,"56-65")</f>
        <v>36-45</v>
      </c>
      <c r="D518" t="s">
        <v>35</v>
      </c>
      <c r="E518" t="str">
        <f t="shared" si="16"/>
        <v>Current Employee</v>
      </c>
      <c r="F518" t="s">
        <v>36</v>
      </c>
      <c r="G518">
        <v>243</v>
      </c>
      <c r="H518" t="s">
        <v>37</v>
      </c>
      <c r="I518">
        <v>7</v>
      </c>
      <c r="J518">
        <v>4</v>
      </c>
      <c r="K518" t="s">
        <v>55</v>
      </c>
      <c r="L518">
        <v>1</v>
      </c>
      <c r="M518">
        <v>4</v>
      </c>
      <c r="N518" t="s">
        <v>39</v>
      </c>
      <c r="O518">
        <v>46</v>
      </c>
      <c r="P518">
        <v>2</v>
      </c>
      <c r="Q518">
        <v>2</v>
      </c>
      <c r="R518" t="s">
        <v>40</v>
      </c>
      <c r="S518">
        <v>4</v>
      </c>
      <c r="T518" t="str" cm="1">
        <f t="array" ref="T518">_xlfn.IFS(S518&lt;=2,"Poor",S518&lt;=3,"Fair",S518&gt;=4,"Good")</f>
        <v>Good</v>
      </c>
      <c r="U518" t="s">
        <v>41</v>
      </c>
      <c r="V518" s="1">
        <v>4028</v>
      </c>
      <c r="W518" t="str" cm="1">
        <f t="array" ref="W518">_xlfn.IFS(V518&lt;=5000,"Low Salary",V518&lt;=12000,"Good Salary",V518&gt;12000,"High Salary")</f>
        <v>Low Salary</v>
      </c>
      <c r="X518">
        <v>7791</v>
      </c>
      <c r="Y518">
        <v>0</v>
      </c>
      <c r="Z518" t="s">
        <v>42</v>
      </c>
      <c r="AA518" t="s">
        <v>35</v>
      </c>
      <c r="AB518">
        <v>20</v>
      </c>
      <c r="AC518">
        <v>4</v>
      </c>
      <c r="AD518" t="str">
        <f t="shared" si="17"/>
        <v>High Performance</v>
      </c>
      <c r="AE518">
        <v>1</v>
      </c>
      <c r="AF518">
        <v>80</v>
      </c>
      <c r="AG518">
        <v>0</v>
      </c>
      <c r="AH518">
        <v>8</v>
      </c>
      <c r="AI518">
        <v>2</v>
      </c>
      <c r="AJ518">
        <v>3</v>
      </c>
      <c r="AK518" t="str" cm="1">
        <f t="array" ref="AK518">_xlfn.IFS(AJ518&lt;=2,"Poor",AJ518&lt;=3,"Fair",AJ518&gt;3,"Good")</f>
        <v>Fair</v>
      </c>
      <c r="AL518">
        <v>7</v>
      </c>
      <c r="AM518">
        <v>7</v>
      </c>
      <c r="AN518">
        <v>0</v>
      </c>
      <c r="AO518">
        <v>5</v>
      </c>
    </row>
    <row r="519" spans="1:41" x14ac:dyDescent="0.2">
      <c r="A519">
        <v>1196090</v>
      </c>
      <c r="B519">
        <v>29</v>
      </c>
      <c r="C519" t="str" cm="1">
        <f t="array" ref="C519">_xlfn.IFS(B519&lt;=25,"15-25",B519&lt;=35,"26-35",B519&lt;=45,"36-45",B519&lt;=55,"46-55",B519&lt;=65,"56-65")</f>
        <v>26-35</v>
      </c>
      <c r="D519" t="s">
        <v>35</v>
      </c>
      <c r="E519" t="str">
        <f t="shared" si="16"/>
        <v>Current Employee</v>
      </c>
      <c r="F519" t="s">
        <v>44</v>
      </c>
      <c r="G519">
        <v>806</v>
      </c>
      <c r="H519" t="s">
        <v>45</v>
      </c>
      <c r="I519">
        <v>1</v>
      </c>
      <c r="J519">
        <v>4</v>
      </c>
      <c r="K519" t="s">
        <v>38</v>
      </c>
      <c r="L519">
        <v>1</v>
      </c>
      <c r="M519">
        <v>2</v>
      </c>
      <c r="N519" t="s">
        <v>46</v>
      </c>
      <c r="O519">
        <v>76</v>
      </c>
      <c r="P519">
        <v>1</v>
      </c>
      <c r="Q519">
        <v>1</v>
      </c>
      <c r="R519" t="s">
        <v>47</v>
      </c>
      <c r="S519">
        <v>4</v>
      </c>
      <c r="T519" t="str" cm="1">
        <f t="array" ref="T519">_xlfn.IFS(S519&lt;=2,"Poor",S519&lt;=3,"Fair",S519&gt;=4,"Good")</f>
        <v>Good</v>
      </c>
      <c r="U519" t="s">
        <v>50</v>
      </c>
      <c r="V519" s="1">
        <v>2720</v>
      </c>
      <c r="W519" t="str" cm="1">
        <f t="array" ref="W519">_xlfn.IFS(V519&lt;=5000,"Low Salary",V519&lt;=12000,"Good Salary",V519&gt;12000,"High Salary")</f>
        <v>Low Salary</v>
      </c>
      <c r="X519">
        <v>18959</v>
      </c>
      <c r="Y519">
        <v>1</v>
      </c>
      <c r="Z519" t="s">
        <v>42</v>
      </c>
      <c r="AA519" t="s">
        <v>35</v>
      </c>
      <c r="AB519">
        <v>18</v>
      </c>
      <c r="AC519">
        <v>3</v>
      </c>
      <c r="AD519" t="str">
        <f t="shared" si="17"/>
        <v>Low Performance</v>
      </c>
      <c r="AE519">
        <v>4</v>
      </c>
      <c r="AF519">
        <v>80</v>
      </c>
      <c r="AG519">
        <v>1</v>
      </c>
      <c r="AH519">
        <v>10</v>
      </c>
      <c r="AI519">
        <v>5</v>
      </c>
      <c r="AJ519">
        <v>3</v>
      </c>
      <c r="AK519" t="str" cm="1">
        <f t="array" ref="AK519">_xlfn.IFS(AJ519&lt;=2,"Poor",AJ519&lt;=3,"Fair",AJ519&gt;3,"Good")</f>
        <v>Fair</v>
      </c>
      <c r="AL519">
        <v>10</v>
      </c>
      <c r="AM519">
        <v>7</v>
      </c>
      <c r="AN519">
        <v>2</v>
      </c>
      <c r="AO519">
        <v>8</v>
      </c>
    </row>
    <row r="520" spans="1:41" x14ac:dyDescent="0.2">
      <c r="A520">
        <v>1202761</v>
      </c>
      <c r="B520">
        <v>48</v>
      </c>
      <c r="C520" t="str" cm="1">
        <f t="array" ref="C520">_xlfn.IFS(B520&lt;=25,"15-25",B520&lt;=35,"26-35",B520&lt;=45,"36-45",B520&lt;=55,"46-55",B520&lt;=65,"56-65")</f>
        <v>46-55</v>
      </c>
      <c r="D520" t="s">
        <v>35</v>
      </c>
      <c r="E520" t="str">
        <f t="shared" si="16"/>
        <v>Current Employee</v>
      </c>
      <c r="F520" t="s">
        <v>36</v>
      </c>
      <c r="G520">
        <v>817</v>
      </c>
      <c r="H520" t="s">
        <v>37</v>
      </c>
      <c r="I520">
        <v>2</v>
      </c>
      <c r="J520">
        <v>1</v>
      </c>
      <c r="K520" t="s">
        <v>55</v>
      </c>
      <c r="L520">
        <v>1</v>
      </c>
      <c r="M520">
        <v>2</v>
      </c>
      <c r="N520" t="s">
        <v>46</v>
      </c>
      <c r="O520">
        <v>56</v>
      </c>
      <c r="P520">
        <v>4</v>
      </c>
      <c r="Q520">
        <v>2</v>
      </c>
      <c r="R520" t="s">
        <v>40</v>
      </c>
      <c r="S520">
        <v>2</v>
      </c>
      <c r="T520" t="str" cm="1">
        <f t="array" ref="T520">_xlfn.IFS(S520&lt;=2,"Poor",S520&lt;=3,"Fair",S520&gt;=4,"Good")</f>
        <v>Poor</v>
      </c>
      <c r="U520" t="s">
        <v>48</v>
      </c>
      <c r="V520" s="1">
        <v>8120</v>
      </c>
      <c r="W520" t="str" cm="1">
        <f t="array" ref="W520">_xlfn.IFS(V520&lt;=5000,"Low Salary",V520&lt;=12000,"Good Salary",V520&gt;12000,"High Salary")</f>
        <v>Good Salary</v>
      </c>
      <c r="X520">
        <v>18597</v>
      </c>
      <c r="Y520">
        <v>3</v>
      </c>
      <c r="Z520" t="s">
        <v>42</v>
      </c>
      <c r="AA520" t="s">
        <v>35</v>
      </c>
      <c r="AB520">
        <v>12</v>
      </c>
      <c r="AC520">
        <v>3</v>
      </c>
      <c r="AD520" t="str">
        <f t="shared" si="17"/>
        <v>Low Performance</v>
      </c>
      <c r="AE520">
        <v>4</v>
      </c>
      <c r="AF520">
        <v>80</v>
      </c>
      <c r="AG520">
        <v>0</v>
      </c>
      <c r="AH520">
        <v>12</v>
      </c>
      <c r="AI520">
        <v>3</v>
      </c>
      <c r="AJ520">
        <v>3</v>
      </c>
      <c r="AK520" t="str" cm="1">
        <f t="array" ref="AK520">_xlfn.IFS(AJ520&lt;=2,"Poor",AJ520&lt;=3,"Fair",AJ520&gt;3,"Good")</f>
        <v>Fair</v>
      </c>
      <c r="AL520">
        <v>2</v>
      </c>
      <c r="AM520">
        <v>2</v>
      </c>
      <c r="AN520">
        <v>2</v>
      </c>
      <c r="AO520">
        <v>2</v>
      </c>
    </row>
    <row r="521" spans="1:41" x14ac:dyDescent="0.2">
      <c r="A521">
        <v>1288214</v>
      </c>
      <c r="B521">
        <v>27</v>
      </c>
      <c r="C521" t="str" cm="1">
        <f t="array" ref="C521">_xlfn.IFS(B521&lt;=25,"15-25",B521&lt;=35,"26-35",B521&lt;=45,"36-45",B521&lt;=55,"46-55",B521&lt;=65,"56-65")</f>
        <v>26-35</v>
      </c>
      <c r="D521" t="s">
        <v>35</v>
      </c>
      <c r="E521" t="str">
        <f t="shared" si="16"/>
        <v>Current Employee</v>
      </c>
      <c r="F521" t="s">
        <v>44</v>
      </c>
      <c r="G521">
        <v>1410</v>
      </c>
      <c r="H521" t="s">
        <v>37</v>
      </c>
      <c r="I521">
        <v>3</v>
      </c>
      <c r="J521">
        <v>1</v>
      </c>
      <c r="K521" t="s">
        <v>49</v>
      </c>
      <c r="L521">
        <v>1</v>
      </c>
      <c r="M521">
        <v>4</v>
      </c>
      <c r="N521" t="s">
        <v>39</v>
      </c>
      <c r="O521">
        <v>71</v>
      </c>
      <c r="P521">
        <v>4</v>
      </c>
      <c r="Q521">
        <v>2</v>
      </c>
      <c r="R521" t="s">
        <v>40</v>
      </c>
      <c r="S521">
        <v>4</v>
      </c>
      <c r="T521" t="str" cm="1">
        <f t="array" ref="T521">_xlfn.IFS(S521&lt;=2,"Poor",S521&lt;=3,"Fair",S521&gt;=4,"Good")</f>
        <v>Good</v>
      </c>
      <c r="U521" t="s">
        <v>50</v>
      </c>
      <c r="V521" s="1">
        <v>4647</v>
      </c>
      <c r="W521" t="str" cm="1">
        <f t="array" ref="W521">_xlfn.IFS(V521&lt;=5000,"Low Salary",V521&lt;=12000,"Good Salary",V521&gt;12000,"High Salary")</f>
        <v>Low Salary</v>
      </c>
      <c r="X521">
        <v>16673</v>
      </c>
      <c r="Y521">
        <v>1</v>
      </c>
      <c r="Z521" t="s">
        <v>42</v>
      </c>
      <c r="AA521" t="s">
        <v>43</v>
      </c>
      <c r="AB521">
        <v>20</v>
      </c>
      <c r="AC521">
        <v>4</v>
      </c>
      <c r="AD521" t="str">
        <f t="shared" si="17"/>
        <v>High Performance</v>
      </c>
      <c r="AE521">
        <v>2</v>
      </c>
      <c r="AF521">
        <v>80</v>
      </c>
      <c r="AG521">
        <v>2</v>
      </c>
      <c r="AH521">
        <v>6</v>
      </c>
      <c r="AI521">
        <v>3</v>
      </c>
      <c r="AJ521">
        <v>3</v>
      </c>
      <c r="AK521" t="str" cm="1">
        <f t="array" ref="AK521">_xlfn.IFS(AJ521&lt;=2,"Poor",AJ521&lt;=3,"Fair",AJ521&gt;3,"Good")</f>
        <v>Fair</v>
      </c>
      <c r="AL521">
        <v>6</v>
      </c>
      <c r="AM521">
        <v>5</v>
      </c>
      <c r="AN521">
        <v>0</v>
      </c>
      <c r="AO521">
        <v>4</v>
      </c>
    </row>
    <row r="522" spans="1:41" x14ac:dyDescent="0.2">
      <c r="A522">
        <v>1510616</v>
      </c>
      <c r="B522">
        <v>37</v>
      </c>
      <c r="C522" t="str" cm="1">
        <f t="array" ref="C522">_xlfn.IFS(B522&lt;=25,"15-25",B522&lt;=35,"26-35",B522&lt;=45,"36-45",B522&lt;=55,"46-55",B522&lt;=65,"56-65")</f>
        <v>36-45</v>
      </c>
      <c r="D522" t="s">
        <v>35</v>
      </c>
      <c r="E522" t="str">
        <f t="shared" si="16"/>
        <v>Current Employee</v>
      </c>
      <c r="F522" t="s">
        <v>36</v>
      </c>
      <c r="G522">
        <v>1225</v>
      </c>
      <c r="H522" t="s">
        <v>45</v>
      </c>
      <c r="I522">
        <v>10</v>
      </c>
      <c r="J522">
        <v>2</v>
      </c>
      <c r="K522" t="s">
        <v>38</v>
      </c>
      <c r="L522">
        <v>1</v>
      </c>
      <c r="M522">
        <v>4</v>
      </c>
      <c r="N522" t="s">
        <v>46</v>
      </c>
      <c r="O522">
        <v>80</v>
      </c>
      <c r="P522">
        <v>4</v>
      </c>
      <c r="Q522">
        <v>1</v>
      </c>
      <c r="R522" t="s">
        <v>47</v>
      </c>
      <c r="S522">
        <v>4</v>
      </c>
      <c r="T522" t="str" cm="1">
        <f t="array" ref="T522">_xlfn.IFS(S522&lt;=2,"Poor",S522&lt;=3,"Fair",S522&gt;=4,"Good")</f>
        <v>Good</v>
      </c>
      <c r="U522" t="s">
        <v>41</v>
      </c>
      <c r="V522" s="1">
        <v>4680</v>
      </c>
      <c r="W522" t="str" cm="1">
        <f t="array" ref="W522">_xlfn.IFS(V522&lt;=5000,"Low Salary",V522&lt;=12000,"Good Salary",V522&gt;12000,"High Salary")</f>
        <v>Low Salary</v>
      </c>
      <c r="X522">
        <v>15232</v>
      </c>
      <c r="Y522">
        <v>3</v>
      </c>
      <c r="Z522" t="s">
        <v>42</v>
      </c>
      <c r="AA522" t="s">
        <v>35</v>
      </c>
      <c r="AB522">
        <v>17</v>
      </c>
      <c r="AC522">
        <v>3</v>
      </c>
      <c r="AD522" t="str">
        <f t="shared" si="17"/>
        <v>Low Performance</v>
      </c>
      <c r="AE522">
        <v>1</v>
      </c>
      <c r="AF522">
        <v>80</v>
      </c>
      <c r="AG522">
        <v>0</v>
      </c>
      <c r="AH522">
        <v>4</v>
      </c>
      <c r="AI522">
        <v>2</v>
      </c>
      <c r="AJ522">
        <v>3</v>
      </c>
      <c r="AK522" t="str" cm="1">
        <f t="array" ref="AK522">_xlfn.IFS(AJ522&lt;=2,"Poor",AJ522&lt;=3,"Fair",AJ522&gt;3,"Good")</f>
        <v>Fair</v>
      </c>
      <c r="AL522">
        <v>1</v>
      </c>
      <c r="AM522">
        <v>0</v>
      </c>
      <c r="AN522">
        <v>0</v>
      </c>
      <c r="AO522">
        <v>0</v>
      </c>
    </row>
    <row r="523" spans="1:41" x14ac:dyDescent="0.2">
      <c r="A523">
        <v>1824855</v>
      </c>
      <c r="B523">
        <v>50</v>
      </c>
      <c r="C523" t="str" cm="1">
        <f t="array" ref="C523">_xlfn.IFS(B523&lt;=25,"15-25",B523&lt;=35,"26-35",B523&lt;=45,"36-45",B523&lt;=55,"46-55",B523&lt;=65,"56-65")</f>
        <v>46-55</v>
      </c>
      <c r="D523" t="s">
        <v>35</v>
      </c>
      <c r="E523" t="str">
        <f t="shared" si="16"/>
        <v>Current Employee</v>
      </c>
      <c r="F523" t="s">
        <v>36</v>
      </c>
      <c r="G523">
        <v>1207</v>
      </c>
      <c r="H523" t="s">
        <v>45</v>
      </c>
      <c r="I523">
        <v>28</v>
      </c>
      <c r="J523">
        <v>1</v>
      </c>
      <c r="K523" t="s">
        <v>49</v>
      </c>
      <c r="L523">
        <v>1</v>
      </c>
      <c r="M523">
        <v>4</v>
      </c>
      <c r="N523" t="s">
        <v>46</v>
      </c>
      <c r="O523">
        <v>74</v>
      </c>
      <c r="P523">
        <v>4</v>
      </c>
      <c r="Q523">
        <v>1</v>
      </c>
      <c r="R523" t="s">
        <v>40</v>
      </c>
      <c r="S523">
        <v>3</v>
      </c>
      <c r="T523" t="str" cm="1">
        <f t="array" ref="T523">_xlfn.IFS(S523&lt;=2,"Poor",S523&lt;=3,"Fair",S523&gt;=4,"Good")</f>
        <v>Fair</v>
      </c>
      <c r="U523" t="s">
        <v>48</v>
      </c>
      <c r="V523" s="1">
        <v>3221</v>
      </c>
      <c r="W523" t="str" cm="1">
        <f t="array" ref="W523">_xlfn.IFS(V523&lt;=5000,"Low Salary",V523&lt;=12000,"Good Salary",V523&gt;12000,"High Salary")</f>
        <v>Low Salary</v>
      </c>
      <c r="X523">
        <v>3297</v>
      </c>
      <c r="Y523">
        <v>1</v>
      </c>
      <c r="Z523" t="s">
        <v>42</v>
      </c>
      <c r="AA523" t="s">
        <v>43</v>
      </c>
      <c r="AB523">
        <v>11</v>
      </c>
      <c r="AC523">
        <v>3</v>
      </c>
      <c r="AD523" t="str">
        <f t="shared" si="17"/>
        <v>Low Performance</v>
      </c>
      <c r="AE523">
        <v>3</v>
      </c>
      <c r="AF523">
        <v>80</v>
      </c>
      <c r="AG523">
        <v>3</v>
      </c>
      <c r="AH523">
        <v>20</v>
      </c>
      <c r="AI523">
        <v>3</v>
      </c>
      <c r="AJ523">
        <v>3</v>
      </c>
      <c r="AK523" t="str" cm="1">
        <f t="array" ref="AK523">_xlfn.IFS(AJ523&lt;=2,"Poor",AJ523&lt;=3,"Fair",AJ523&gt;3,"Good")</f>
        <v>Fair</v>
      </c>
      <c r="AL523">
        <v>20</v>
      </c>
      <c r="AM523">
        <v>8</v>
      </c>
      <c r="AN523">
        <v>3</v>
      </c>
      <c r="AO523">
        <v>8</v>
      </c>
    </row>
    <row r="524" spans="1:41" x14ac:dyDescent="0.2">
      <c r="A524">
        <v>1700617</v>
      </c>
      <c r="B524">
        <v>34</v>
      </c>
      <c r="C524" t="str" cm="1">
        <f t="array" ref="C524">_xlfn.IFS(B524&lt;=25,"15-25",B524&lt;=35,"26-35",B524&lt;=45,"36-45",B524&lt;=55,"46-55",B524&lt;=65,"56-65")</f>
        <v>26-35</v>
      </c>
      <c r="D524" t="s">
        <v>35</v>
      </c>
      <c r="E524" t="str">
        <f t="shared" si="16"/>
        <v>Current Employee</v>
      </c>
      <c r="F524" t="s">
        <v>36</v>
      </c>
      <c r="G524">
        <v>1442</v>
      </c>
      <c r="H524" t="s">
        <v>45</v>
      </c>
      <c r="I524">
        <v>9</v>
      </c>
      <c r="J524">
        <v>3</v>
      </c>
      <c r="K524" t="s">
        <v>49</v>
      </c>
      <c r="L524">
        <v>1</v>
      </c>
      <c r="M524">
        <v>4</v>
      </c>
      <c r="N524" t="s">
        <v>39</v>
      </c>
      <c r="O524">
        <v>46</v>
      </c>
      <c r="P524">
        <v>2</v>
      </c>
      <c r="Q524">
        <v>3</v>
      </c>
      <c r="R524" t="s">
        <v>40</v>
      </c>
      <c r="S524">
        <v>2</v>
      </c>
      <c r="T524" t="str" cm="1">
        <f t="array" ref="T524">_xlfn.IFS(S524&lt;=2,"Poor",S524&lt;=3,"Fair",S524&gt;=4,"Good")</f>
        <v>Poor</v>
      </c>
      <c r="U524" t="s">
        <v>41</v>
      </c>
      <c r="V524" s="1">
        <v>8621</v>
      </c>
      <c r="W524" t="str" cm="1">
        <f t="array" ref="W524">_xlfn.IFS(V524&lt;=5000,"Low Salary",V524&lt;=12000,"Good Salary",V524&gt;12000,"High Salary")</f>
        <v>Good Salary</v>
      </c>
      <c r="X524">
        <v>17654</v>
      </c>
      <c r="Y524">
        <v>1</v>
      </c>
      <c r="Z524" t="s">
        <v>42</v>
      </c>
      <c r="AA524" t="s">
        <v>35</v>
      </c>
      <c r="AB524">
        <v>14</v>
      </c>
      <c r="AC524">
        <v>3</v>
      </c>
      <c r="AD524" t="str">
        <f t="shared" si="17"/>
        <v>Low Performance</v>
      </c>
      <c r="AE524">
        <v>2</v>
      </c>
      <c r="AF524">
        <v>80</v>
      </c>
      <c r="AG524">
        <v>0</v>
      </c>
      <c r="AH524">
        <v>9</v>
      </c>
      <c r="AI524">
        <v>3</v>
      </c>
      <c r="AJ524">
        <v>4</v>
      </c>
      <c r="AK524" t="str" cm="1">
        <f t="array" ref="AK524">_xlfn.IFS(AJ524&lt;=2,"Poor",AJ524&lt;=3,"Fair",AJ524&gt;3,"Good")</f>
        <v>Good</v>
      </c>
      <c r="AL524">
        <v>8</v>
      </c>
      <c r="AM524">
        <v>7</v>
      </c>
      <c r="AN524">
        <v>7</v>
      </c>
      <c r="AO524">
        <v>7</v>
      </c>
    </row>
    <row r="525" spans="1:41" x14ac:dyDescent="0.2">
      <c r="A525">
        <v>1589131</v>
      </c>
      <c r="B525">
        <v>24</v>
      </c>
      <c r="C525" t="str" cm="1">
        <f t="array" ref="C525">_xlfn.IFS(B525&lt;=25,"15-25",B525&lt;=35,"26-35",B525&lt;=45,"36-45",B525&lt;=55,"46-55",B525&lt;=65,"56-65")</f>
        <v>15-25</v>
      </c>
      <c r="D525" t="s">
        <v>35</v>
      </c>
      <c r="E525" t="str">
        <f t="shared" si="16"/>
        <v>Current Employee</v>
      </c>
      <c r="F525" t="s">
        <v>36</v>
      </c>
      <c r="G525">
        <v>693</v>
      </c>
      <c r="H525" t="s">
        <v>37</v>
      </c>
      <c r="I525">
        <v>3</v>
      </c>
      <c r="J525">
        <v>2</v>
      </c>
      <c r="K525" t="s">
        <v>38</v>
      </c>
      <c r="L525">
        <v>1</v>
      </c>
      <c r="M525">
        <v>1</v>
      </c>
      <c r="N525" t="s">
        <v>39</v>
      </c>
      <c r="O525">
        <v>65</v>
      </c>
      <c r="P525">
        <v>3</v>
      </c>
      <c r="Q525">
        <v>2</v>
      </c>
      <c r="R525" t="s">
        <v>40</v>
      </c>
      <c r="S525">
        <v>3</v>
      </c>
      <c r="T525" t="str" cm="1">
        <f t="array" ref="T525">_xlfn.IFS(S525&lt;=2,"Poor",S525&lt;=3,"Fair",S525&gt;=4,"Good")</f>
        <v>Fair</v>
      </c>
      <c r="U525" t="s">
        <v>41</v>
      </c>
      <c r="V525" s="1">
        <v>4577</v>
      </c>
      <c r="W525" t="str" cm="1">
        <f t="array" ref="W525">_xlfn.IFS(V525&lt;=5000,"Low Salary",V525&lt;=12000,"Good Salary",V525&gt;12000,"High Salary")</f>
        <v>Low Salary</v>
      </c>
      <c r="X525">
        <v>24785</v>
      </c>
      <c r="Y525">
        <v>9</v>
      </c>
      <c r="Z525" t="s">
        <v>42</v>
      </c>
      <c r="AA525" t="s">
        <v>35</v>
      </c>
      <c r="AB525">
        <v>14</v>
      </c>
      <c r="AC525">
        <v>3</v>
      </c>
      <c r="AD525" t="str">
        <f t="shared" si="17"/>
        <v>Low Performance</v>
      </c>
      <c r="AE525">
        <v>1</v>
      </c>
      <c r="AF525">
        <v>80</v>
      </c>
      <c r="AG525">
        <v>0</v>
      </c>
      <c r="AH525">
        <v>4</v>
      </c>
      <c r="AI525">
        <v>3</v>
      </c>
      <c r="AJ525">
        <v>3</v>
      </c>
      <c r="AK525" t="str" cm="1">
        <f t="array" ref="AK525">_xlfn.IFS(AJ525&lt;=2,"Poor",AJ525&lt;=3,"Fair",AJ525&gt;3,"Good")</f>
        <v>Fair</v>
      </c>
      <c r="AL525">
        <v>2</v>
      </c>
      <c r="AM525">
        <v>2</v>
      </c>
      <c r="AN525">
        <v>2</v>
      </c>
      <c r="AO525">
        <v>0</v>
      </c>
    </row>
    <row r="526" spans="1:41" x14ac:dyDescent="0.2">
      <c r="A526">
        <v>1634766</v>
      </c>
      <c r="B526">
        <v>39</v>
      </c>
      <c r="C526" t="str" cm="1">
        <f t="array" ref="C526">_xlfn.IFS(B526&lt;=25,"15-25",B526&lt;=35,"26-35",B526&lt;=45,"36-45",B526&lt;=55,"46-55",B526&lt;=65,"56-65")</f>
        <v>36-45</v>
      </c>
      <c r="D526" t="s">
        <v>35</v>
      </c>
      <c r="E526" t="str">
        <f t="shared" si="16"/>
        <v>Current Employee</v>
      </c>
      <c r="F526" t="s">
        <v>36</v>
      </c>
      <c r="G526">
        <v>408</v>
      </c>
      <c r="H526" t="s">
        <v>45</v>
      </c>
      <c r="I526">
        <v>2</v>
      </c>
      <c r="J526">
        <v>4</v>
      </c>
      <c r="K526" t="s">
        <v>56</v>
      </c>
      <c r="L526">
        <v>1</v>
      </c>
      <c r="M526">
        <v>4</v>
      </c>
      <c r="N526" t="s">
        <v>39</v>
      </c>
      <c r="O526">
        <v>80</v>
      </c>
      <c r="P526">
        <v>2</v>
      </c>
      <c r="Q526">
        <v>2</v>
      </c>
      <c r="R526" t="s">
        <v>40</v>
      </c>
      <c r="S526">
        <v>3</v>
      </c>
      <c r="T526" t="str" cm="1">
        <f t="array" ref="T526">_xlfn.IFS(S526&lt;=2,"Poor",S526&lt;=3,"Fair",S526&gt;=4,"Good")</f>
        <v>Fair</v>
      </c>
      <c r="U526" t="s">
        <v>41</v>
      </c>
      <c r="V526" s="1">
        <v>4553</v>
      </c>
      <c r="W526" t="str" cm="1">
        <f t="array" ref="W526">_xlfn.IFS(V526&lt;=5000,"Low Salary",V526&lt;=12000,"Good Salary",V526&gt;12000,"High Salary")</f>
        <v>Low Salary</v>
      </c>
      <c r="X526">
        <v>20978</v>
      </c>
      <c r="Y526">
        <v>1</v>
      </c>
      <c r="Z526" t="s">
        <v>42</v>
      </c>
      <c r="AA526" t="s">
        <v>35</v>
      </c>
      <c r="AB526">
        <v>11</v>
      </c>
      <c r="AC526">
        <v>3</v>
      </c>
      <c r="AD526" t="str">
        <f t="shared" si="17"/>
        <v>Low Performance</v>
      </c>
      <c r="AE526">
        <v>1</v>
      </c>
      <c r="AF526">
        <v>80</v>
      </c>
      <c r="AG526">
        <v>0</v>
      </c>
      <c r="AH526">
        <v>20</v>
      </c>
      <c r="AI526">
        <v>4</v>
      </c>
      <c r="AJ526">
        <v>3</v>
      </c>
      <c r="AK526" t="str" cm="1">
        <f t="array" ref="AK526">_xlfn.IFS(AJ526&lt;=2,"Poor",AJ526&lt;=3,"Fair",AJ526&gt;3,"Good")</f>
        <v>Fair</v>
      </c>
      <c r="AL526">
        <v>20</v>
      </c>
      <c r="AM526">
        <v>7</v>
      </c>
      <c r="AN526">
        <v>11</v>
      </c>
      <c r="AO526">
        <v>10</v>
      </c>
    </row>
    <row r="527" spans="1:41" x14ac:dyDescent="0.2">
      <c r="A527">
        <v>1248364</v>
      </c>
      <c r="B527">
        <v>32</v>
      </c>
      <c r="C527" t="str" cm="1">
        <f t="array" ref="C527">_xlfn.IFS(B527&lt;=25,"15-25",B527&lt;=35,"26-35",B527&lt;=45,"36-45",B527&lt;=55,"46-55",B527&lt;=65,"56-65")</f>
        <v>26-35</v>
      </c>
      <c r="D527" t="s">
        <v>35</v>
      </c>
      <c r="E527" t="str">
        <f t="shared" si="16"/>
        <v>Current Employee</v>
      </c>
      <c r="F527" t="s">
        <v>36</v>
      </c>
      <c r="G527">
        <v>929</v>
      </c>
      <c r="H527" t="s">
        <v>37</v>
      </c>
      <c r="I527">
        <v>10</v>
      </c>
      <c r="J527">
        <v>3</v>
      </c>
      <c r="K527" t="s">
        <v>55</v>
      </c>
      <c r="L527">
        <v>1</v>
      </c>
      <c r="M527">
        <v>4</v>
      </c>
      <c r="N527" t="s">
        <v>46</v>
      </c>
      <c r="O527">
        <v>55</v>
      </c>
      <c r="P527">
        <v>3</v>
      </c>
      <c r="Q527">
        <v>2</v>
      </c>
      <c r="R527" t="s">
        <v>40</v>
      </c>
      <c r="S527">
        <v>4</v>
      </c>
      <c r="T527" t="str" cm="1">
        <f t="array" ref="T527">_xlfn.IFS(S527&lt;=2,"Poor",S527&lt;=3,"Fair",S527&gt;=4,"Good")</f>
        <v>Good</v>
      </c>
      <c r="U527" t="s">
        <v>41</v>
      </c>
      <c r="V527" s="1">
        <v>5396</v>
      </c>
      <c r="W527" t="str" cm="1">
        <f t="array" ref="W527">_xlfn.IFS(V527&lt;=5000,"Low Salary",V527&lt;=12000,"Good Salary",V527&gt;12000,"High Salary")</f>
        <v>Good Salary</v>
      </c>
      <c r="X527">
        <v>21703</v>
      </c>
      <c r="Y527">
        <v>1</v>
      </c>
      <c r="Z527" t="s">
        <v>42</v>
      </c>
      <c r="AA527" t="s">
        <v>35</v>
      </c>
      <c r="AB527">
        <v>12</v>
      </c>
      <c r="AC527">
        <v>3</v>
      </c>
      <c r="AD527" t="str">
        <f t="shared" si="17"/>
        <v>Low Performance</v>
      </c>
      <c r="AE527">
        <v>4</v>
      </c>
      <c r="AF527">
        <v>80</v>
      </c>
      <c r="AG527">
        <v>0</v>
      </c>
      <c r="AH527">
        <v>10</v>
      </c>
      <c r="AI527">
        <v>2</v>
      </c>
      <c r="AJ527">
        <v>2</v>
      </c>
      <c r="AK527" t="str" cm="1">
        <f t="array" ref="AK527">_xlfn.IFS(AJ527&lt;=2,"Poor",AJ527&lt;=3,"Fair",AJ527&gt;3,"Good")</f>
        <v>Poor</v>
      </c>
      <c r="AL527">
        <v>10</v>
      </c>
      <c r="AM527">
        <v>7</v>
      </c>
      <c r="AN527">
        <v>0</v>
      </c>
      <c r="AO527">
        <v>8</v>
      </c>
    </row>
    <row r="528" spans="1:41" x14ac:dyDescent="0.2">
      <c r="A528">
        <v>1844102</v>
      </c>
      <c r="B528">
        <v>50</v>
      </c>
      <c r="C528" t="str" cm="1">
        <f t="array" ref="C528">_xlfn.IFS(B528&lt;=25,"15-25",B528&lt;=35,"26-35",B528&lt;=45,"36-45",B528&lt;=55,"46-55",B528&lt;=65,"56-65")</f>
        <v>46-55</v>
      </c>
      <c r="D528" t="s">
        <v>35</v>
      </c>
      <c r="E528" t="str">
        <f t="shared" si="16"/>
        <v>Current Employee</v>
      </c>
      <c r="F528" t="s">
        <v>44</v>
      </c>
      <c r="G528">
        <v>562</v>
      </c>
      <c r="H528" t="s">
        <v>37</v>
      </c>
      <c r="I528">
        <v>8</v>
      </c>
      <c r="J528">
        <v>2</v>
      </c>
      <c r="K528" t="s">
        <v>56</v>
      </c>
      <c r="L528">
        <v>1</v>
      </c>
      <c r="M528">
        <v>2</v>
      </c>
      <c r="N528" t="s">
        <v>46</v>
      </c>
      <c r="O528">
        <v>50</v>
      </c>
      <c r="P528">
        <v>3</v>
      </c>
      <c r="Q528">
        <v>2</v>
      </c>
      <c r="R528" t="s">
        <v>40</v>
      </c>
      <c r="S528">
        <v>3</v>
      </c>
      <c r="T528" t="str" cm="1">
        <f t="array" ref="T528">_xlfn.IFS(S528&lt;=2,"Poor",S528&lt;=3,"Fair",S528&gt;=4,"Good")</f>
        <v>Fair</v>
      </c>
      <c r="U528" t="s">
        <v>48</v>
      </c>
      <c r="V528" s="1">
        <v>6796</v>
      </c>
      <c r="W528" t="str" cm="1">
        <f t="array" ref="W528">_xlfn.IFS(V528&lt;=5000,"Low Salary",V528&lt;=12000,"Good Salary",V528&gt;12000,"High Salary")</f>
        <v>Good Salary</v>
      </c>
      <c r="X528">
        <v>23452</v>
      </c>
      <c r="Y528">
        <v>3</v>
      </c>
      <c r="Z528" t="s">
        <v>42</v>
      </c>
      <c r="AA528" t="s">
        <v>43</v>
      </c>
      <c r="AB528">
        <v>14</v>
      </c>
      <c r="AC528">
        <v>3</v>
      </c>
      <c r="AD528" t="str">
        <f t="shared" si="17"/>
        <v>Low Performance</v>
      </c>
      <c r="AE528">
        <v>1</v>
      </c>
      <c r="AF528">
        <v>80</v>
      </c>
      <c r="AG528">
        <v>1</v>
      </c>
      <c r="AH528">
        <v>18</v>
      </c>
      <c r="AI528">
        <v>4</v>
      </c>
      <c r="AJ528">
        <v>3</v>
      </c>
      <c r="AK528" t="str" cm="1">
        <f t="array" ref="AK528">_xlfn.IFS(AJ528&lt;=2,"Poor",AJ528&lt;=3,"Fair",AJ528&gt;3,"Good")</f>
        <v>Fair</v>
      </c>
      <c r="AL528">
        <v>4</v>
      </c>
      <c r="AM528">
        <v>3</v>
      </c>
      <c r="AN528">
        <v>1</v>
      </c>
      <c r="AO528">
        <v>3</v>
      </c>
    </row>
    <row r="529" spans="1:41" x14ac:dyDescent="0.2">
      <c r="A529">
        <v>1180968</v>
      </c>
      <c r="B529">
        <v>38</v>
      </c>
      <c r="C529" t="str" cm="1">
        <f t="array" ref="C529">_xlfn.IFS(B529&lt;=25,"15-25",B529&lt;=35,"26-35",B529&lt;=45,"36-45",B529&lt;=55,"46-55",B529&lt;=65,"56-65")</f>
        <v>36-45</v>
      </c>
      <c r="D529" t="s">
        <v>35</v>
      </c>
      <c r="E529" t="str">
        <f t="shared" si="16"/>
        <v>Current Employee</v>
      </c>
      <c r="F529" t="s">
        <v>36</v>
      </c>
      <c r="G529">
        <v>827</v>
      </c>
      <c r="H529" t="s">
        <v>45</v>
      </c>
      <c r="I529">
        <v>1</v>
      </c>
      <c r="J529">
        <v>4</v>
      </c>
      <c r="K529" t="s">
        <v>38</v>
      </c>
      <c r="L529">
        <v>1</v>
      </c>
      <c r="M529">
        <v>2</v>
      </c>
      <c r="N529" t="s">
        <v>39</v>
      </c>
      <c r="O529">
        <v>33</v>
      </c>
      <c r="P529">
        <v>4</v>
      </c>
      <c r="Q529">
        <v>2</v>
      </c>
      <c r="R529" t="s">
        <v>40</v>
      </c>
      <c r="S529">
        <v>4</v>
      </c>
      <c r="T529" t="str" cm="1">
        <f t="array" ref="T529">_xlfn.IFS(S529&lt;=2,"Poor",S529&lt;=3,"Fair",S529&gt;=4,"Good")</f>
        <v>Good</v>
      </c>
      <c r="U529" t="s">
        <v>41</v>
      </c>
      <c r="V529" s="1">
        <v>7625</v>
      </c>
      <c r="W529" t="str" cm="1">
        <f t="array" ref="W529">_xlfn.IFS(V529&lt;=5000,"Low Salary",V529&lt;=12000,"Good Salary",V529&gt;12000,"High Salary")</f>
        <v>Good Salary</v>
      </c>
      <c r="X529">
        <v>19383</v>
      </c>
      <c r="Y529">
        <v>0</v>
      </c>
      <c r="Z529" t="s">
        <v>42</v>
      </c>
      <c r="AA529" t="s">
        <v>35</v>
      </c>
      <c r="AB529">
        <v>13</v>
      </c>
      <c r="AC529">
        <v>3</v>
      </c>
      <c r="AD529" t="str">
        <f t="shared" si="17"/>
        <v>Low Performance</v>
      </c>
      <c r="AE529">
        <v>3</v>
      </c>
      <c r="AF529">
        <v>80</v>
      </c>
      <c r="AG529">
        <v>0</v>
      </c>
      <c r="AH529">
        <v>10</v>
      </c>
      <c r="AI529">
        <v>4</v>
      </c>
      <c r="AJ529">
        <v>2</v>
      </c>
      <c r="AK529" t="str" cm="1">
        <f t="array" ref="AK529">_xlfn.IFS(AJ529&lt;=2,"Poor",AJ529&lt;=3,"Fair",AJ529&gt;3,"Good")</f>
        <v>Poor</v>
      </c>
      <c r="AL529">
        <v>9</v>
      </c>
      <c r="AM529">
        <v>7</v>
      </c>
      <c r="AN529">
        <v>1</v>
      </c>
      <c r="AO529">
        <v>8</v>
      </c>
    </row>
    <row r="530" spans="1:41" x14ac:dyDescent="0.2">
      <c r="A530">
        <v>1705991</v>
      </c>
      <c r="B530">
        <v>27</v>
      </c>
      <c r="C530" t="str" cm="1">
        <f t="array" ref="C530">_xlfn.IFS(B530&lt;=25,"15-25",B530&lt;=35,"26-35",B530&lt;=45,"36-45",B530&lt;=55,"46-55",B530&lt;=65,"56-65")</f>
        <v>26-35</v>
      </c>
      <c r="D530" t="s">
        <v>35</v>
      </c>
      <c r="E530" t="str">
        <f t="shared" si="16"/>
        <v>Current Employee</v>
      </c>
      <c r="F530" t="s">
        <v>36</v>
      </c>
      <c r="G530">
        <v>608</v>
      </c>
      <c r="H530" t="s">
        <v>54</v>
      </c>
      <c r="I530">
        <v>1</v>
      </c>
      <c r="J530">
        <v>2</v>
      </c>
      <c r="K530" t="s">
        <v>38</v>
      </c>
      <c r="L530">
        <v>1</v>
      </c>
      <c r="M530">
        <v>3</v>
      </c>
      <c r="N530" t="s">
        <v>39</v>
      </c>
      <c r="O530">
        <v>68</v>
      </c>
      <c r="P530">
        <v>3</v>
      </c>
      <c r="Q530">
        <v>3</v>
      </c>
      <c r="R530" t="s">
        <v>51</v>
      </c>
      <c r="S530">
        <v>1</v>
      </c>
      <c r="T530" t="str" cm="1">
        <f t="array" ref="T530">_xlfn.IFS(S530&lt;=2,"Poor",S530&lt;=3,"Fair",S530&gt;=4,"Good")</f>
        <v>Poor</v>
      </c>
      <c r="U530" t="s">
        <v>48</v>
      </c>
      <c r="V530" s="1">
        <v>7412</v>
      </c>
      <c r="W530" t="str" cm="1">
        <f t="array" ref="W530">_xlfn.IFS(V530&lt;=5000,"Low Salary",V530&lt;=12000,"Good Salary",V530&gt;12000,"High Salary")</f>
        <v>Good Salary</v>
      </c>
      <c r="X530">
        <v>6009</v>
      </c>
      <c r="Y530">
        <v>1</v>
      </c>
      <c r="Z530" t="s">
        <v>42</v>
      </c>
      <c r="AA530" t="s">
        <v>35</v>
      </c>
      <c r="AB530">
        <v>11</v>
      </c>
      <c r="AC530">
        <v>3</v>
      </c>
      <c r="AD530" t="str">
        <f t="shared" si="17"/>
        <v>Low Performance</v>
      </c>
      <c r="AE530">
        <v>4</v>
      </c>
      <c r="AF530">
        <v>80</v>
      </c>
      <c r="AG530">
        <v>0</v>
      </c>
      <c r="AH530">
        <v>9</v>
      </c>
      <c r="AI530">
        <v>3</v>
      </c>
      <c r="AJ530">
        <v>3</v>
      </c>
      <c r="AK530" t="str" cm="1">
        <f t="array" ref="AK530">_xlfn.IFS(AJ530&lt;=2,"Poor",AJ530&lt;=3,"Fair",AJ530&gt;3,"Good")</f>
        <v>Fair</v>
      </c>
      <c r="AL530">
        <v>9</v>
      </c>
      <c r="AM530">
        <v>7</v>
      </c>
      <c r="AN530">
        <v>0</v>
      </c>
      <c r="AO530">
        <v>7</v>
      </c>
    </row>
    <row r="531" spans="1:41" x14ac:dyDescent="0.2">
      <c r="A531">
        <v>1533978</v>
      </c>
      <c r="B531">
        <v>32</v>
      </c>
      <c r="C531" t="str" cm="1">
        <f t="array" ref="C531">_xlfn.IFS(B531&lt;=25,"15-25",B531&lt;=35,"26-35",B531&lt;=45,"36-45",B531&lt;=55,"46-55",B531&lt;=65,"56-65")</f>
        <v>26-35</v>
      </c>
      <c r="D531" t="s">
        <v>35</v>
      </c>
      <c r="E531" t="str">
        <f t="shared" si="16"/>
        <v>Current Employee</v>
      </c>
      <c r="F531" t="s">
        <v>36</v>
      </c>
      <c r="G531">
        <v>1018</v>
      </c>
      <c r="H531" t="s">
        <v>45</v>
      </c>
      <c r="I531">
        <v>3</v>
      </c>
      <c r="J531">
        <v>2</v>
      </c>
      <c r="K531" t="s">
        <v>38</v>
      </c>
      <c r="L531">
        <v>1</v>
      </c>
      <c r="M531">
        <v>3</v>
      </c>
      <c r="N531" t="s">
        <v>39</v>
      </c>
      <c r="O531">
        <v>39</v>
      </c>
      <c r="P531">
        <v>3</v>
      </c>
      <c r="Q531">
        <v>3</v>
      </c>
      <c r="R531" t="s">
        <v>53</v>
      </c>
      <c r="S531">
        <v>4</v>
      </c>
      <c r="T531" t="str" cm="1">
        <f t="array" ref="T531">_xlfn.IFS(S531&lt;=2,"Poor",S531&lt;=3,"Fair",S531&gt;=4,"Good")</f>
        <v>Good</v>
      </c>
      <c r="U531" t="s">
        <v>41</v>
      </c>
      <c r="V531" s="1">
        <v>11159</v>
      </c>
      <c r="W531" t="str" cm="1">
        <f t="array" ref="W531">_xlfn.IFS(V531&lt;=5000,"Low Salary",V531&lt;=12000,"Good Salary",V531&gt;12000,"High Salary")</f>
        <v>Good Salary</v>
      </c>
      <c r="X531">
        <v>19373</v>
      </c>
      <c r="Y531">
        <v>3</v>
      </c>
      <c r="Z531" t="s">
        <v>42</v>
      </c>
      <c r="AA531" t="s">
        <v>35</v>
      </c>
      <c r="AB531">
        <v>15</v>
      </c>
      <c r="AC531">
        <v>3</v>
      </c>
      <c r="AD531" t="str">
        <f t="shared" si="17"/>
        <v>Low Performance</v>
      </c>
      <c r="AE531">
        <v>4</v>
      </c>
      <c r="AF531">
        <v>80</v>
      </c>
      <c r="AG531">
        <v>0</v>
      </c>
      <c r="AH531">
        <v>10</v>
      </c>
      <c r="AI531">
        <v>6</v>
      </c>
      <c r="AJ531">
        <v>3</v>
      </c>
      <c r="AK531" t="str" cm="1">
        <f t="array" ref="AK531">_xlfn.IFS(AJ531&lt;=2,"Poor",AJ531&lt;=3,"Fair",AJ531&gt;3,"Good")</f>
        <v>Fair</v>
      </c>
      <c r="AL531">
        <v>7</v>
      </c>
      <c r="AM531">
        <v>7</v>
      </c>
      <c r="AN531">
        <v>7</v>
      </c>
      <c r="AO531">
        <v>7</v>
      </c>
    </row>
    <row r="532" spans="1:41" x14ac:dyDescent="0.2">
      <c r="A532">
        <v>1838364</v>
      </c>
      <c r="B532">
        <v>47</v>
      </c>
      <c r="C532" t="str" cm="1">
        <f t="array" ref="C532">_xlfn.IFS(B532&lt;=25,"15-25",B532&lt;=35,"26-35",B532&lt;=45,"36-45",B532&lt;=55,"46-55",B532&lt;=65,"56-65")</f>
        <v>46-55</v>
      </c>
      <c r="D532" t="s">
        <v>35</v>
      </c>
      <c r="E532" t="str">
        <f t="shared" si="16"/>
        <v>Current Employee</v>
      </c>
      <c r="F532" t="s">
        <v>36</v>
      </c>
      <c r="G532">
        <v>703</v>
      </c>
      <c r="H532" t="s">
        <v>37</v>
      </c>
      <c r="I532">
        <v>14</v>
      </c>
      <c r="J532">
        <v>4</v>
      </c>
      <c r="K532" t="s">
        <v>55</v>
      </c>
      <c r="L532">
        <v>1</v>
      </c>
      <c r="M532">
        <v>4</v>
      </c>
      <c r="N532" t="s">
        <v>46</v>
      </c>
      <c r="O532">
        <v>42</v>
      </c>
      <c r="P532">
        <v>3</v>
      </c>
      <c r="Q532">
        <v>2</v>
      </c>
      <c r="R532" t="s">
        <v>40</v>
      </c>
      <c r="S532">
        <v>1</v>
      </c>
      <c r="T532" t="str" cm="1">
        <f t="array" ref="T532">_xlfn.IFS(S532&lt;=2,"Poor",S532&lt;=3,"Fair",S532&gt;=4,"Good")</f>
        <v>Poor</v>
      </c>
      <c r="U532" t="s">
        <v>41</v>
      </c>
      <c r="V532" s="1">
        <v>4960</v>
      </c>
      <c r="W532" t="str" cm="1">
        <f t="array" ref="W532">_xlfn.IFS(V532&lt;=5000,"Low Salary",V532&lt;=12000,"Good Salary",V532&gt;12000,"High Salary")</f>
        <v>Low Salary</v>
      </c>
      <c r="X532">
        <v>11825</v>
      </c>
      <c r="Y532">
        <v>2</v>
      </c>
      <c r="Z532" t="s">
        <v>42</v>
      </c>
      <c r="AA532" t="s">
        <v>35</v>
      </c>
      <c r="AB532">
        <v>12</v>
      </c>
      <c r="AC532">
        <v>3</v>
      </c>
      <c r="AD532" t="str">
        <f t="shared" si="17"/>
        <v>Low Performance</v>
      </c>
      <c r="AE532">
        <v>4</v>
      </c>
      <c r="AF532">
        <v>80</v>
      </c>
      <c r="AG532">
        <v>0</v>
      </c>
      <c r="AH532">
        <v>20</v>
      </c>
      <c r="AI532">
        <v>2</v>
      </c>
      <c r="AJ532">
        <v>3</v>
      </c>
      <c r="AK532" t="str" cm="1">
        <f t="array" ref="AK532">_xlfn.IFS(AJ532&lt;=2,"Poor",AJ532&lt;=3,"Fair",AJ532&gt;3,"Good")</f>
        <v>Fair</v>
      </c>
      <c r="AL532">
        <v>7</v>
      </c>
      <c r="AM532">
        <v>7</v>
      </c>
      <c r="AN532">
        <v>1</v>
      </c>
      <c r="AO532">
        <v>7</v>
      </c>
    </row>
    <row r="533" spans="1:41" x14ac:dyDescent="0.2">
      <c r="A533">
        <v>1886378</v>
      </c>
      <c r="B533">
        <v>40</v>
      </c>
      <c r="C533" t="str" cm="1">
        <f t="array" ref="C533">_xlfn.IFS(B533&lt;=25,"15-25",B533&lt;=35,"26-35",B533&lt;=45,"36-45",B533&lt;=55,"46-55",B533&lt;=65,"56-65")</f>
        <v>36-45</v>
      </c>
      <c r="D533" t="s">
        <v>35</v>
      </c>
      <c r="E533" t="str">
        <f t="shared" si="16"/>
        <v>Current Employee</v>
      </c>
      <c r="F533" t="s">
        <v>44</v>
      </c>
      <c r="G533">
        <v>580</v>
      </c>
      <c r="H533" t="s">
        <v>37</v>
      </c>
      <c r="I533">
        <v>5</v>
      </c>
      <c r="J533">
        <v>4</v>
      </c>
      <c r="K533" t="s">
        <v>38</v>
      </c>
      <c r="L533">
        <v>1</v>
      </c>
      <c r="M533">
        <v>4</v>
      </c>
      <c r="N533" t="s">
        <v>46</v>
      </c>
      <c r="O533">
        <v>48</v>
      </c>
      <c r="P533">
        <v>2</v>
      </c>
      <c r="Q533">
        <v>3</v>
      </c>
      <c r="R533" t="s">
        <v>40</v>
      </c>
      <c r="S533">
        <v>1</v>
      </c>
      <c r="T533" t="str" cm="1">
        <f t="array" ref="T533">_xlfn.IFS(S533&lt;=2,"Poor",S533&lt;=3,"Fair",S533&gt;=4,"Good")</f>
        <v>Poor</v>
      </c>
      <c r="U533" t="s">
        <v>48</v>
      </c>
      <c r="V533" s="1">
        <v>10475</v>
      </c>
      <c r="W533" t="str" cm="1">
        <f t="array" ref="W533">_xlfn.IFS(V533&lt;=5000,"Low Salary",V533&lt;=12000,"Good Salary",V533&gt;12000,"High Salary")</f>
        <v>Good Salary</v>
      </c>
      <c r="X533">
        <v>23772</v>
      </c>
      <c r="Y533">
        <v>5</v>
      </c>
      <c r="Z533" t="s">
        <v>42</v>
      </c>
      <c r="AA533" t="s">
        <v>43</v>
      </c>
      <c r="AB533">
        <v>21</v>
      </c>
      <c r="AC533">
        <v>4</v>
      </c>
      <c r="AD533" t="str">
        <f t="shared" si="17"/>
        <v>High Performance</v>
      </c>
      <c r="AE533">
        <v>3</v>
      </c>
      <c r="AF533">
        <v>80</v>
      </c>
      <c r="AG533">
        <v>1</v>
      </c>
      <c r="AH533">
        <v>20</v>
      </c>
      <c r="AI533">
        <v>2</v>
      </c>
      <c r="AJ533">
        <v>3</v>
      </c>
      <c r="AK533" t="str" cm="1">
        <f t="array" ref="AK533">_xlfn.IFS(AJ533&lt;=2,"Poor",AJ533&lt;=3,"Fair",AJ533&gt;3,"Good")</f>
        <v>Fair</v>
      </c>
      <c r="AL533">
        <v>18</v>
      </c>
      <c r="AM533">
        <v>13</v>
      </c>
      <c r="AN533">
        <v>1</v>
      </c>
      <c r="AO533">
        <v>12</v>
      </c>
    </row>
    <row r="534" spans="1:41" x14ac:dyDescent="0.2">
      <c r="A534">
        <v>1217160</v>
      </c>
      <c r="B534">
        <v>53</v>
      </c>
      <c r="C534" t="str" cm="1">
        <f t="array" ref="C534">_xlfn.IFS(B534&lt;=25,"15-25",B534&lt;=35,"26-35",B534&lt;=45,"36-45",B534&lt;=55,"46-55",B534&lt;=65,"56-65")</f>
        <v>46-55</v>
      </c>
      <c r="D534" t="s">
        <v>35</v>
      </c>
      <c r="E534" t="str">
        <f t="shared" si="16"/>
        <v>Current Employee</v>
      </c>
      <c r="F534" t="s">
        <v>36</v>
      </c>
      <c r="G534">
        <v>970</v>
      </c>
      <c r="H534" t="s">
        <v>45</v>
      </c>
      <c r="I534">
        <v>7</v>
      </c>
      <c r="J534">
        <v>3</v>
      </c>
      <c r="K534" t="s">
        <v>38</v>
      </c>
      <c r="L534">
        <v>1</v>
      </c>
      <c r="M534">
        <v>3</v>
      </c>
      <c r="N534" t="s">
        <v>46</v>
      </c>
      <c r="O534">
        <v>59</v>
      </c>
      <c r="P534">
        <v>4</v>
      </c>
      <c r="Q534">
        <v>4</v>
      </c>
      <c r="R534" t="s">
        <v>53</v>
      </c>
      <c r="S534">
        <v>3</v>
      </c>
      <c r="T534" t="str" cm="1">
        <f t="array" ref="T534">_xlfn.IFS(S534&lt;=2,"Poor",S534&lt;=3,"Fair",S534&gt;=4,"Good")</f>
        <v>Fair</v>
      </c>
      <c r="U534" t="s">
        <v>48</v>
      </c>
      <c r="V534" s="1">
        <v>14814</v>
      </c>
      <c r="W534" t="str" cm="1">
        <f t="array" ref="W534">_xlfn.IFS(V534&lt;=5000,"Low Salary",V534&lt;=12000,"Good Salary",V534&gt;12000,"High Salary")</f>
        <v>High Salary</v>
      </c>
      <c r="X534">
        <v>13514</v>
      </c>
      <c r="Y534">
        <v>3</v>
      </c>
      <c r="Z534" t="s">
        <v>42</v>
      </c>
      <c r="AA534" t="s">
        <v>35</v>
      </c>
      <c r="AB534">
        <v>19</v>
      </c>
      <c r="AC534">
        <v>3</v>
      </c>
      <c r="AD534" t="str">
        <f t="shared" si="17"/>
        <v>Low Performance</v>
      </c>
      <c r="AE534">
        <v>3</v>
      </c>
      <c r="AF534">
        <v>80</v>
      </c>
      <c r="AG534">
        <v>0</v>
      </c>
      <c r="AH534">
        <v>32</v>
      </c>
      <c r="AI534">
        <v>3</v>
      </c>
      <c r="AJ534">
        <v>3</v>
      </c>
      <c r="AK534" t="str" cm="1">
        <f t="array" ref="AK534">_xlfn.IFS(AJ534&lt;=2,"Poor",AJ534&lt;=3,"Fair",AJ534&gt;3,"Good")</f>
        <v>Fair</v>
      </c>
      <c r="AL534">
        <v>5</v>
      </c>
      <c r="AM534">
        <v>1</v>
      </c>
      <c r="AN534">
        <v>1</v>
      </c>
      <c r="AO534">
        <v>3</v>
      </c>
    </row>
    <row r="535" spans="1:41" x14ac:dyDescent="0.2">
      <c r="A535">
        <v>1494989</v>
      </c>
      <c r="B535">
        <v>41</v>
      </c>
      <c r="C535" t="str" cm="1">
        <f t="array" ref="C535">_xlfn.IFS(B535&lt;=25,"15-25",B535&lt;=35,"26-35",B535&lt;=45,"36-45",B535&lt;=55,"46-55",B535&lt;=65,"56-65")</f>
        <v>36-45</v>
      </c>
      <c r="D535" t="s">
        <v>35</v>
      </c>
      <c r="E535" t="str">
        <f t="shared" si="16"/>
        <v>Current Employee</v>
      </c>
      <c r="F535" t="s">
        <v>36</v>
      </c>
      <c r="G535">
        <v>427</v>
      </c>
      <c r="H535" t="s">
        <v>54</v>
      </c>
      <c r="I535">
        <v>10</v>
      </c>
      <c r="J535">
        <v>4</v>
      </c>
      <c r="K535" t="s">
        <v>57</v>
      </c>
      <c r="L535">
        <v>1</v>
      </c>
      <c r="M535">
        <v>2</v>
      </c>
      <c r="N535" t="s">
        <v>46</v>
      </c>
      <c r="O535">
        <v>73</v>
      </c>
      <c r="P535">
        <v>2</v>
      </c>
      <c r="Q535">
        <v>5</v>
      </c>
      <c r="R535" t="s">
        <v>53</v>
      </c>
      <c r="S535">
        <v>4</v>
      </c>
      <c r="T535" t="str" cm="1">
        <f t="array" ref="T535">_xlfn.IFS(S535&lt;=2,"Poor",S535&lt;=3,"Fair",S535&gt;=4,"Good")</f>
        <v>Good</v>
      </c>
      <c r="U535" t="s">
        <v>50</v>
      </c>
      <c r="V535" s="1">
        <v>19141</v>
      </c>
      <c r="W535" t="str" cm="1">
        <f t="array" ref="W535">_xlfn.IFS(V535&lt;=5000,"Low Salary",V535&lt;=12000,"Good Salary",V535&gt;12000,"High Salary")</f>
        <v>High Salary</v>
      </c>
      <c r="X535">
        <v>8861</v>
      </c>
      <c r="Y535">
        <v>3</v>
      </c>
      <c r="Z535" t="s">
        <v>42</v>
      </c>
      <c r="AA535" t="s">
        <v>35</v>
      </c>
      <c r="AB535">
        <v>15</v>
      </c>
      <c r="AC535">
        <v>3</v>
      </c>
      <c r="AD535" t="str">
        <f t="shared" si="17"/>
        <v>Low Performance</v>
      </c>
      <c r="AE535">
        <v>2</v>
      </c>
      <c r="AF535">
        <v>80</v>
      </c>
      <c r="AG535">
        <v>3</v>
      </c>
      <c r="AH535">
        <v>23</v>
      </c>
      <c r="AI535">
        <v>2</v>
      </c>
      <c r="AJ535">
        <v>2</v>
      </c>
      <c r="AK535" t="str" cm="1">
        <f t="array" ref="AK535">_xlfn.IFS(AJ535&lt;=2,"Poor",AJ535&lt;=3,"Fair",AJ535&gt;3,"Good")</f>
        <v>Poor</v>
      </c>
      <c r="AL535">
        <v>21</v>
      </c>
      <c r="AM535">
        <v>6</v>
      </c>
      <c r="AN535">
        <v>12</v>
      </c>
      <c r="AO535">
        <v>6</v>
      </c>
    </row>
    <row r="536" spans="1:41" x14ac:dyDescent="0.2">
      <c r="A536">
        <v>1180556</v>
      </c>
      <c r="B536">
        <v>60</v>
      </c>
      <c r="C536" t="str" cm="1">
        <f t="array" ref="C536">_xlfn.IFS(B536&lt;=25,"15-25",B536&lt;=35,"26-35",B536&lt;=45,"36-45",B536&lt;=55,"46-55",B536&lt;=65,"56-65")</f>
        <v>56-65</v>
      </c>
      <c r="D536" t="s">
        <v>35</v>
      </c>
      <c r="E536" t="str">
        <f t="shared" si="16"/>
        <v>Current Employee</v>
      </c>
      <c r="F536" t="s">
        <v>36</v>
      </c>
      <c r="G536">
        <v>1179</v>
      </c>
      <c r="H536" t="s">
        <v>37</v>
      </c>
      <c r="I536">
        <v>16</v>
      </c>
      <c r="J536">
        <v>4</v>
      </c>
      <c r="K536" t="s">
        <v>55</v>
      </c>
      <c r="L536">
        <v>1</v>
      </c>
      <c r="M536">
        <v>1</v>
      </c>
      <c r="N536" t="s">
        <v>46</v>
      </c>
      <c r="O536">
        <v>84</v>
      </c>
      <c r="P536">
        <v>3</v>
      </c>
      <c r="Q536">
        <v>2</v>
      </c>
      <c r="R536" t="s">
        <v>40</v>
      </c>
      <c r="S536">
        <v>1</v>
      </c>
      <c r="T536" t="str" cm="1">
        <f t="array" ref="T536">_xlfn.IFS(S536&lt;=2,"Poor",S536&lt;=3,"Fair",S536&gt;=4,"Good")</f>
        <v>Poor</v>
      </c>
      <c r="U536" t="s">
        <v>41</v>
      </c>
      <c r="V536" s="1">
        <v>5405</v>
      </c>
      <c r="W536" t="str" cm="1">
        <f t="array" ref="W536">_xlfn.IFS(V536&lt;=5000,"Low Salary",V536&lt;=12000,"Good Salary",V536&gt;12000,"High Salary")</f>
        <v>Good Salary</v>
      </c>
      <c r="X536">
        <v>11924</v>
      </c>
      <c r="Y536">
        <v>8</v>
      </c>
      <c r="Z536" t="s">
        <v>42</v>
      </c>
      <c r="AA536" t="s">
        <v>35</v>
      </c>
      <c r="AB536">
        <v>14</v>
      </c>
      <c r="AC536">
        <v>3</v>
      </c>
      <c r="AD536" t="str">
        <f t="shared" si="17"/>
        <v>Low Performance</v>
      </c>
      <c r="AE536">
        <v>4</v>
      </c>
      <c r="AF536">
        <v>80</v>
      </c>
      <c r="AG536">
        <v>0</v>
      </c>
      <c r="AH536">
        <v>10</v>
      </c>
      <c r="AI536">
        <v>1</v>
      </c>
      <c r="AJ536">
        <v>3</v>
      </c>
      <c r="AK536" t="str" cm="1">
        <f t="array" ref="AK536">_xlfn.IFS(AJ536&lt;=2,"Poor",AJ536&lt;=3,"Fair",AJ536&gt;3,"Good")</f>
        <v>Fair</v>
      </c>
      <c r="AL536">
        <v>2</v>
      </c>
      <c r="AM536">
        <v>2</v>
      </c>
      <c r="AN536">
        <v>2</v>
      </c>
      <c r="AO536">
        <v>2</v>
      </c>
    </row>
    <row r="537" spans="1:41" x14ac:dyDescent="0.2">
      <c r="A537">
        <v>1271756</v>
      </c>
      <c r="B537">
        <v>27</v>
      </c>
      <c r="C537" t="str" cm="1">
        <f t="array" ref="C537">_xlfn.IFS(B537&lt;=25,"15-25",B537&lt;=35,"26-35",B537&lt;=45,"36-45",B537&lt;=55,"46-55",B537&lt;=65,"56-65")</f>
        <v>26-35</v>
      </c>
      <c r="D537" t="s">
        <v>35</v>
      </c>
      <c r="E537" t="str">
        <f t="shared" si="16"/>
        <v>Current Employee</v>
      </c>
      <c r="F537" t="s">
        <v>44</v>
      </c>
      <c r="G537">
        <v>294</v>
      </c>
      <c r="H537" t="s">
        <v>45</v>
      </c>
      <c r="I537">
        <v>10</v>
      </c>
      <c r="J537">
        <v>2</v>
      </c>
      <c r="K537" t="s">
        <v>38</v>
      </c>
      <c r="L537">
        <v>1</v>
      </c>
      <c r="M537">
        <v>4</v>
      </c>
      <c r="N537" t="s">
        <v>46</v>
      </c>
      <c r="O537">
        <v>32</v>
      </c>
      <c r="P537">
        <v>3</v>
      </c>
      <c r="Q537">
        <v>3</v>
      </c>
      <c r="R537" t="s">
        <v>51</v>
      </c>
      <c r="S537">
        <v>1</v>
      </c>
      <c r="T537" t="str" cm="1">
        <f t="array" ref="T537">_xlfn.IFS(S537&lt;=2,"Poor",S537&lt;=3,"Fair",S537&gt;=4,"Good")</f>
        <v>Poor</v>
      </c>
      <c r="U537" t="s">
        <v>50</v>
      </c>
      <c r="V537" s="1">
        <v>8793</v>
      </c>
      <c r="W537" t="str" cm="1">
        <f t="array" ref="W537">_xlfn.IFS(V537&lt;=5000,"Low Salary",V537&lt;=12000,"Good Salary",V537&gt;12000,"High Salary")</f>
        <v>Good Salary</v>
      </c>
      <c r="X537">
        <v>4809</v>
      </c>
      <c r="Y537">
        <v>1</v>
      </c>
      <c r="Z537" t="s">
        <v>42</v>
      </c>
      <c r="AA537" t="s">
        <v>35</v>
      </c>
      <c r="AB537">
        <v>21</v>
      </c>
      <c r="AC537">
        <v>4</v>
      </c>
      <c r="AD537" t="str">
        <f t="shared" si="17"/>
        <v>High Performance</v>
      </c>
      <c r="AE537">
        <v>3</v>
      </c>
      <c r="AF537">
        <v>80</v>
      </c>
      <c r="AG537">
        <v>2</v>
      </c>
      <c r="AH537">
        <v>9</v>
      </c>
      <c r="AI537">
        <v>4</v>
      </c>
      <c r="AJ537">
        <v>2</v>
      </c>
      <c r="AK537" t="str" cm="1">
        <f t="array" ref="AK537">_xlfn.IFS(AJ537&lt;=2,"Poor",AJ537&lt;=3,"Fair",AJ537&gt;3,"Good")</f>
        <v>Poor</v>
      </c>
      <c r="AL537">
        <v>9</v>
      </c>
      <c r="AM537">
        <v>7</v>
      </c>
      <c r="AN537">
        <v>1</v>
      </c>
      <c r="AO537">
        <v>7</v>
      </c>
    </row>
    <row r="538" spans="1:41" x14ac:dyDescent="0.2">
      <c r="A538">
        <v>1786662</v>
      </c>
      <c r="B538">
        <v>41</v>
      </c>
      <c r="C538" t="str" cm="1">
        <f t="array" ref="C538">_xlfn.IFS(B538&lt;=25,"15-25",B538&lt;=35,"26-35",B538&lt;=45,"36-45",B538&lt;=55,"46-55",B538&lt;=65,"56-65")</f>
        <v>36-45</v>
      </c>
      <c r="D538" t="s">
        <v>35</v>
      </c>
      <c r="E538" t="str">
        <f t="shared" si="16"/>
        <v>Current Employee</v>
      </c>
      <c r="F538" t="s">
        <v>36</v>
      </c>
      <c r="G538">
        <v>314</v>
      </c>
      <c r="H538" t="s">
        <v>54</v>
      </c>
      <c r="I538">
        <v>1</v>
      </c>
      <c r="J538">
        <v>3</v>
      </c>
      <c r="K538" t="s">
        <v>57</v>
      </c>
      <c r="L538">
        <v>1</v>
      </c>
      <c r="M538">
        <v>4</v>
      </c>
      <c r="N538" t="s">
        <v>46</v>
      </c>
      <c r="O538">
        <v>59</v>
      </c>
      <c r="P538">
        <v>2</v>
      </c>
      <c r="Q538">
        <v>5</v>
      </c>
      <c r="R538" t="s">
        <v>53</v>
      </c>
      <c r="S538">
        <v>3</v>
      </c>
      <c r="T538" t="str" cm="1">
        <f t="array" ref="T538">_xlfn.IFS(S538&lt;=2,"Poor",S538&lt;=3,"Fair",S538&gt;=4,"Good")</f>
        <v>Fair</v>
      </c>
      <c r="U538" t="s">
        <v>48</v>
      </c>
      <c r="V538" s="1">
        <v>19189</v>
      </c>
      <c r="W538" t="str" cm="1">
        <f t="array" ref="W538">_xlfn.IFS(V538&lt;=5000,"Low Salary",V538&lt;=12000,"Good Salary",V538&gt;12000,"High Salary")</f>
        <v>High Salary</v>
      </c>
      <c r="X538">
        <v>19562</v>
      </c>
      <c r="Y538">
        <v>1</v>
      </c>
      <c r="Z538" t="s">
        <v>42</v>
      </c>
      <c r="AA538" t="s">
        <v>35</v>
      </c>
      <c r="AB538">
        <v>12</v>
      </c>
      <c r="AC538">
        <v>3</v>
      </c>
      <c r="AD538" t="str">
        <f t="shared" si="17"/>
        <v>Low Performance</v>
      </c>
      <c r="AE538">
        <v>2</v>
      </c>
      <c r="AF538">
        <v>80</v>
      </c>
      <c r="AG538">
        <v>1</v>
      </c>
      <c r="AH538">
        <v>22</v>
      </c>
      <c r="AI538">
        <v>3</v>
      </c>
      <c r="AJ538">
        <v>3</v>
      </c>
      <c r="AK538" t="str" cm="1">
        <f t="array" ref="AK538">_xlfn.IFS(AJ538&lt;=2,"Poor",AJ538&lt;=3,"Fair",AJ538&gt;3,"Good")</f>
        <v>Fair</v>
      </c>
      <c r="AL538">
        <v>22</v>
      </c>
      <c r="AM538">
        <v>7</v>
      </c>
      <c r="AN538">
        <v>2</v>
      </c>
      <c r="AO538">
        <v>10</v>
      </c>
    </row>
    <row r="539" spans="1:41" x14ac:dyDescent="0.2">
      <c r="A539">
        <v>1713058</v>
      </c>
      <c r="B539">
        <v>50</v>
      </c>
      <c r="C539" t="str" cm="1">
        <f t="array" ref="C539">_xlfn.IFS(B539&lt;=25,"15-25",B539&lt;=35,"26-35",B539&lt;=45,"36-45",B539&lt;=55,"46-55",B539&lt;=65,"56-65")</f>
        <v>46-55</v>
      </c>
      <c r="D539" t="s">
        <v>35</v>
      </c>
      <c r="E539" t="str">
        <f t="shared" si="16"/>
        <v>Current Employee</v>
      </c>
      <c r="F539" t="s">
        <v>36</v>
      </c>
      <c r="G539">
        <v>316</v>
      </c>
      <c r="H539" t="s">
        <v>37</v>
      </c>
      <c r="I539">
        <v>8</v>
      </c>
      <c r="J539">
        <v>4</v>
      </c>
      <c r="K539" t="s">
        <v>55</v>
      </c>
      <c r="L539">
        <v>1</v>
      </c>
      <c r="M539">
        <v>4</v>
      </c>
      <c r="N539" t="s">
        <v>46</v>
      </c>
      <c r="O539">
        <v>54</v>
      </c>
      <c r="P539">
        <v>3</v>
      </c>
      <c r="Q539">
        <v>1</v>
      </c>
      <c r="R539" t="s">
        <v>47</v>
      </c>
      <c r="S539">
        <v>2</v>
      </c>
      <c r="T539" t="str" cm="1">
        <f t="array" ref="T539">_xlfn.IFS(S539&lt;=2,"Poor",S539&lt;=3,"Fair",S539&gt;=4,"Good")</f>
        <v>Poor</v>
      </c>
      <c r="U539" t="s">
        <v>48</v>
      </c>
      <c r="V539" s="1">
        <v>3875</v>
      </c>
      <c r="W539" t="str" cm="1">
        <f t="array" ref="W539">_xlfn.IFS(V539&lt;=5000,"Low Salary",V539&lt;=12000,"Good Salary",V539&gt;12000,"High Salary")</f>
        <v>Low Salary</v>
      </c>
      <c r="X539">
        <v>9983</v>
      </c>
      <c r="Y539">
        <v>7</v>
      </c>
      <c r="Z539" t="s">
        <v>42</v>
      </c>
      <c r="AA539" t="s">
        <v>35</v>
      </c>
      <c r="AB539">
        <v>15</v>
      </c>
      <c r="AC539">
        <v>3</v>
      </c>
      <c r="AD539" t="str">
        <f t="shared" si="17"/>
        <v>Low Performance</v>
      </c>
      <c r="AE539">
        <v>4</v>
      </c>
      <c r="AF539">
        <v>80</v>
      </c>
      <c r="AG539">
        <v>1</v>
      </c>
      <c r="AH539">
        <v>4</v>
      </c>
      <c r="AI539">
        <v>2</v>
      </c>
      <c r="AJ539">
        <v>3</v>
      </c>
      <c r="AK539" t="str" cm="1">
        <f t="array" ref="AK539">_xlfn.IFS(AJ539&lt;=2,"Poor",AJ539&lt;=3,"Fair",AJ539&gt;3,"Good")</f>
        <v>Fair</v>
      </c>
      <c r="AL539">
        <v>2</v>
      </c>
      <c r="AM539">
        <v>2</v>
      </c>
      <c r="AN539">
        <v>2</v>
      </c>
      <c r="AO539">
        <v>2</v>
      </c>
    </row>
    <row r="540" spans="1:41" x14ac:dyDescent="0.2">
      <c r="A540">
        <v>1879624</v>
      </c>
      <c r="B540">
        <v>28</v>
      </c>
      <c r="C540" t="str" cm="1">
        <f t="array" ref="C540">_xlfn.IFS(B540&lt;=25,"15-25",B540&lt;=35,"26-35",B540&lt;=45,"36-45",B540&lt;=55,"46-55",B540&lt;=65,"56-65")</f>
        <v>26-35</v>
      </c>
      <c r="D540" t="s">
        <v>43</v>
      </c>
      <c r="E540" t="str">
        <f t="shared" si="16"/>
        <v>Former Employee</v>
      </c>
      <c r="F540" t="s">
        <v>36</v>
      </c>
      <c r="G540">
        <v>654</v>
      </c>
      <c r="H540" t="s">
        <v>45</v>
      </c>
      <c r="I540">
        <v>1</v>
      </c>
      <c r="J540">
        <v>2</v>
      </c>
      <c r="K540" t="s">
        <v>38</v>
      </c>
      <c r="L540">
        <v>1</v>
      </c>
      <c r="M540">
        <v>1</v>
      </c>
      <c r="N540" t="s">
        <v>39</v>
      </c>
      <c r="O540">
        <v>67</v>
      </c>
      <c r="P540">
        <v>1</v>
      </c>
      <c r="Q540">
        <v>1</v>
      </c>
      <c r="R540" t="s">
        <v>47</v>
      </c>
      <c r="S540">
        <v>2</v>
      </c>
      <c r="T540" t="str" cm="1">
        <f t="array" ref="T540">_xlfn.IFS(S540&lt;=2,"Poor",S540&lt;=3,"Fair",S540&gt;=4,"Good")</f>
        <v>Poor</v>
      </c>
      <c r="U540" t="s">
        <v>41</v>
      </c>
      <c r="V540" s="1">
        <v>2216</v>
      </c>
      <c r="W540" t="str" cm="1">
        <f t="array" ref="W540">_xlfn.IFS(V540&lt;=5000,"Low Salary",V540&lt;=12000,"Good Salary",V540&gt;12000,"High Salary")</f>
        <v>Low Salary</v>
      </c>
      <c r="X540">
        <v>3872</v>
      </c>
      <c r="Y540">
        <v>7</v>
      </c>
      <c r="Z540" t="s">
        <v>42</v>
      </c>
      <c r="AA540" t="s">
        <v>43</v>
      </c>
      <c r="AB540">
        <v>13</v>
      </c>
      <c r="AC540">
        <v>3</v>
      </c>
      <c r="AD540" t="str">
        <f t="shared" si="17"/>
        <v>Low Performance</v>
      </c>
      <c r="AE540">
        <v>4</v>
      </c>
      <c r="AF540">
        <v>80</v>
      </c>
      <c r="AG540">
        <v>0</v>
      </c>
      <c r="AH540">
        <v>10</v>
      </c>
      <c r="AI540">
        <v>4</v>
      </c>
      <c r="AJ540">
        <v>3</v>
      </c>
      <c r="AK540" t="str" cm="1">
        <f t="array" ref="AK540">_xlfn.IFS(AJ540&lt;=2,"Poor",AJ540&lt;=3,"Fair",AJ540&gt;3,"Good")</f>
        <v>Fair</v>
      </c>
      <c r="AL540">
        <v>7</v>
      </c>
      <c r="AM540">
        <v>7</v>
      </c>
      <c r="AN540">
        <v>3</v>
      </c>
      <c r="AO540">
        <v>7</v>
      </c>
    </row>
    <row r="541" spans="1:41" x14ac:dyDescent="0.2">
      <c r="A541">
        <v>1530315</v>
      </c>
      <c r="B541">
        <v>36</v>
      </c>
      <c r="C541" t="str" cm="1">
        <f t="array" ref="C541">_xlfn.IFS(B541&lt;=25,"15-25",B541&lt;=35,"26-35",B541&lt;=45,"36-45",B541&lt;=55,"46-55",B541&lt;=65,"56-65")</f>
        <v>36-45</v>
      </c>
      <c r="D541" t="s">
        <v>35</v>
      </c>
      <c r="E541" t="str">
        <f t="shared" si="16"/>
        <v>Current Employee</v>
      </c>
      <c r="F541" t="s">
        <v>52</v>
      </c>
      <c r="G541">
        <v>427</v>
      </c>
      <c r="H541" t="s">
        <v>45</v>
      </c>
      <c r="I541">
        <v>8</v>
      </c>
      <c r="J541">
        <v>3</v>
      </c>
      <c r="K541" t="s">
        <v>38</v>
      </c>
      <c r="L541">
        <v>1</v>
      </c>
      <c r="M541">
        <v>1</v>
      </c>
      <c r="N541" t="s">
        <v>39</v>
      </c>
      <c r="O541">
        <v>63</v>
      </c>
      <c r="P541">
        <v>4</v>
      </c>
      <c r="Q541">
        <v>3</v>
      </c>
      <c r="R541" t="s">
        <v>53</v>
      </c>
      <c r="S541">
        <v>1</v>
      </c>
      <c r="T541" t="str" cm="1">
        <f t="array" ref="T541">_xlfn.IFS(S541&lt;=2,"Poor",S541&lt;=3,"Fair",S541&gt;=4,"Good")</f>
        <v>Poor</v>
      </c>
      <c r="U541" t="s">
        <v>48</v>
      </c>
      <c r="V541" s="1">
        <v>11713</v>
      </c>
      <c r="W541" t="str" cm="1">
        <f t="array" ref="W541">_xlfn.IFS(V541&lt;=5000,"Low Salary",V541&lt;=12000,"Good Salary",V541&gt;12000,"High Salary")</f>
        <v>Good Salary</v>
      </c>
      <c r="X541">
        <v>20335</v>
      </c>
      <c r="Y541">
        <v>9</v>
      </c>
      <c r="Z541" t="s">
        <v>42</v>
      </c>
      <c r="AA541" t="s">
        <v>35</v>
      </c>
      <c r="AB541">
        <v>14</v>
      </c>
      <c r="AC541">
        <v>3</v>
      </c>
      <c r="AD541" t="str">
        <f t="shared" si="17"/>
        <v>Low Performance</v>
      </c>
      <c r="AE541">
        <v>1</v>
      </c>
      <c r="AF541">
        <v>80</v>
      </c>
      <c r="AG541">
        <v>1</v>
      </c>
      <c r="AH541">
        <v>10</v>
      </c>
      <c r="AI541">
        <v>2</v>
      </c>
      <c r="AJ541">
        <v>3</v>
      </c>
      <c r="AK541" t="str" cm="1">
        <f t="array" ref="AK541">_xlfn.IFS(AJ541&lt;=2,"Poor",AJ541&lt;=3,"Fair",AJ541&gt;3,"Good")</f>
        <v>Fair</v>
      </c>
      <c r="AL541">
        <v>8</v>
      </c>
      <c r="AM541">
        <v>7</v>
      </c>
      <c r="AN541">
        <v>0</v>
      </c>
      <c r="AO541">
        <v>5</v>
      </c>
    </row>
    <row r="542" spans="1:41" x14ac:dyDescent="0.2">
      <c r="A542">
        <v>1589247</v>
      </c>
      <c r="B542">
        <v>38</v>
      </c>
      <c r="C542" t="str" cm="1">
        <f t="array" ref="C542">_xlfn.IFS(B542&lt;=25,"15-25",B542&lt;=35,"26-35",B542&lt;=45,"36-45",B542&lt;=55,"46-55",B542&lt;=65,"56-65")</f>
        <v>36-45</v>
      </c>
      <c r="D542" t="s">
        <v>35</v>
      </c>
      <c r="E542" t="str">
        <f t="shared" si="16"/>
        <v>Current Employee</v>
      </c>
      <c r="F542" t="s">
        <v>36</v>
      </c>
      <c r="G542">
        <v>168</v>
      </c>
      <c r="H542" t="s">
        <v>54</v>
      </c>
      <c r="I542">
        <v>1</v>
      </c>
      <c r="J542">
        <v>3</v>
      </c>
      <c r="K542" t="s">
        <v>38</v>
      </c>
      <c r="L542">
        <v>1</v>
      </c>
      <c r="M542">
        <v>3</v>
      </c>
      <c r="N542" t="s">
        <v>39</v>
      </c>
      <c r="O542">
        <v>81</v>
      </c>
      <c r="P542">
        <v>3</v>
      </c>
      <c r="Q542">
        <v>3</v>
      </c>
      <c r="R542" t="s">
        <v>51</v>
      </c>
      <c r="S542">
        <v>3</v>
      </c>
      <c r="T542" t="str" cm="1">
        <f t="array" ref="T542">_xlfn.IFS(S542&lt;=2,"Poor",S542&lt;=3,"Fair",S542&gt;=4,"Good")</f>
        <v>Fair</v>
      </c>
      <c r="U542" t="s">
        <v>41</v>
      </c>
      <c r="V542" s="1">
        <v>7861</v>
      </c>
      <c r="W542" t="str" cm="1">
        <f t="array" ref="W542">_xlfn.IFS(V542&lt;=5000,"Low Salary",V542&lt;=12000,"Good Salary",V542&gt;12000,"High Salary")</f>
        <v>Good Salary</v>
      </c>
      <c r="X542">
        <v>15397</v>
      </c>
      <c r="Y542">
        <v>4</v>
      </c>
      <c r="Z542" t="s">
        <v>42</v>
      </c>
      <c r="AA542" t="s">
        <v>43</v>
      </c>
      <c r="AB542">
        <v>14</v>
      </c>
      <c r="AC542">
        <v>3</v>
      </c>
      <c r="AD542" t="str">
        <f t="shared" si="17"/>
        <v>Low Performance</v>
      </c>
      <c r="AE542">
        <v>4</v>
      </c>
      <c r="AF542">
        <v>80</v>
      </c>
      <c r="AG542">
        <v>0</v>
      </c>
      <c r="AH542">
        <v>10</v>
      </c>
      <c r="AI542">
        <v>4</v>
      </c>
      <c r="AJ542">
        <v>4</v>
      </c>
      <c r="AK542" t="str" cm="1">
        <f t="array" ref="AK542">_xlfn.IFS(AJ542&lt;=2,"Poor",AJ542&lt;=3,"Fair",AJ542&gt;3,"Good")</f>
        <v>Good</v>
      </c>
      <c r="AL542">
        <v>1</v>
      </c>
      <c r="AM542">
        <v>0</v>
      </c>
      <c r="AN542">
        <v>0</v>
      </c>
      <c r="AO542">
        <v>0</v>
      </c>
    </row>
    <row r="543" spans="1:41" x14ac:dyDescent="0.2">
      <c r="A543">
        <v>1347933</v>
      </c>
      <c r="B543">
        <v>44</v>
      </c>
      <c r="C543" t="str" cm="1">
        <f t="array" ref="C543">_xlfn.IFS(B543&lt;=25,"15-25",B543&lt;=35,"26-35",B543&lt;=45,"36-45",B543&lt;=55,"46-55",B543&lt;=65,"56-65")</f>
        <v>36-45</v>
      </c>
      <c r="D543" t="s">
        <v>35</v>
      </c>
      <c r="E543" t="str">
        <f t="shared" si="16"/>
        <v>Current Employee</v>
      </c>
      <c r="F543" t="s">
        <v>52</v>
      </c>
      <c r="G543">
        <v>381</v>
      </c>
      <c r="H543" t="s">
        <v>45</v>
      </c>
      <c r="I543">
        <v>24</v>
      </c>
      <c r="J543">
        <v>3</v>
      </c>
      <c r="K543" t="s">
        <v>49</v>
      </c>
      <c r="L543">
        <v>1</v>
      </c>
      <c r="M543">
        <v>1</v>
      </c>
      <c r="N543" t="s">
        <v>46</v>
      </c>
      <c r="O543">
        <v>49</v>
      </c>
      <c r="P543">
        <v>1</v>
      </c>
      <c r="Q543">
        <v>1</v>
      </c>
      <c r="R543" t="s">
        <v>40</v>
      </c>
      <c r="S543">
        <v>3</v>
      </c>
      <c r="T543" t="str" cm="1">
        <f t="array" ref="T543">_xlfn.IFS(S543&lt;=2,"Poor",S543&lt;=3,"Fair",S543&gt;=4,"Good")</f>
        <v>Fair</v>
      </c>
      <c r="U543" t="s">
        <v>41</v>
      </c>
      <c r="V543" s="1">
        <v>3708</v>
      </c>
      <c r="W543" t="str" cm="1">
        <f t="array" ref="W543">_xlfn.IFS(V543&lt;=5000,"Low Salary",V543&lt;=12000,"Good Salary",V543&gt;12000,"High Salary")</f>
        <v>Low Salary</v>
      </c>
      <c r="X543">
        <v>2104</v>
      </c>
      <c r="Y543">
        <v>2</v>
      </c>
      <c r="Z543" t="s">
        <v>42</v>
      </c>
      <c r="AA543" t="s">
        <v>35</v>
      </c>
      <c r="AB543">
        <v>14</v>
      </c>
      <c r="AC543">
        <v>3</v>
      </c>
      <c r="AD543" t="str">
        <f t="shared" si="17"/>
        <v>Low Performance</v>
      </c>
      <c r="AE543">
        <v>3</v>
      </c>
      <c r="AF543">
        <v>80</v>
      </c>
      <c r="AG543">
        <v>0</v>
      </c>
      <c r="AH543">
        <v>9</v>
      </c>
      <c r="AI543">
        <v>5</v>
      </c>
      <c r="AJ543">
        <v>3</v>
      </c>
      <c r="AK543" t="str" cm="1">
        <f t="array" ref="AK543">_xlfn.IFS(AJ543&lt;=2,"Poor",AJ543&lt;=3,"Fair",AJ543&gt;3,"Good")</f>
        <v>Fair</v>
      </c>
      <c r="AL543">
        <v>5</v>
      </c>
      <c r="AM543">
        <v>2</v>
      </c>
      <c r="AN543">
        <v>1</v>
      </c>
      <c r="AO543">
        <v>4</v>
      </c>
    </row>
    <row r="544" spans="1:41" x14ac:dyDescent="0.2">
      <c r="A544">
        <v>1031434</v>
      </c>
      <c r="B544">
        <v>47</v>
      </c>
      <c r="C544" t="str" cm="1">
        <f t="array" ref="C544">_xlfn.IFS(B544&lt;=25,"15-25",B544&lt;=35,"26-35",B544&lt;=45,"36-45",B544&lt;=55,"46-55",B544&lt;=65,"56-65")</f>
        <v>46-55</v>
      </c>
      <c r="D544" t="s">
        <v>35</v>
      </c>
      <c r="E544" t="str">
        <f t="shared" si="16"/>
        <v>Current Employee</v>
      </c>
      <c r="F544" t="s">
        <v>44</v>
      </c>
      <c r="G544">
        <v>217</v>
      </c>
      <c r="H544" t="s">
        <v>37</v>
      </c>
      <c r="I544">
        <v>3</v>
      </c>
      <c r="J544">
        <v>3</v>
      </c>
      <c r="K544" t="s">
        <v>49</v>
      </c>
      <c r="L544">
        <v>1</v>
      </c>
      <c r="M544">
        <v>4</v>
      </c>
      <c r="N544" t="s">
        <v>39</v>
      </c>
      <c r="O544">
        <v>49</v>
      </c>
      <c r="P544">
        <v>3</v>
      </c>
      <c r="Q544">
        <v>4</v>
      </c>
      <c r="R544" t="s">
        <v>40</v>
      </c>
      <c r="S544">
        <v>3</v>
      </c>
      <c r="T544" t="str" cm="1">
        <f t="array" ref="T544">_xlfn.IFS(S544&lt;=2,"Poor",S544&lt;=3,"Fair",S544&gt;=4,"Good")</f>
        <v>Fair</v>
      </c>
      <c r="U544" t="s">
        <v>50</v>
      </c>
      <c r="V544" s="1">
        <v>13770</v>
      </c>
      <c r="W544" t="str" cm="1">
        <f t="array" ref="W544">_xlfn.IFS(V544&lt;=5000,"Low Salary",V544&lt;=12000,"Good Salary",V544&gt;12000,"High Salary")</f>
        <v>High Salary</v>
      </c>
      <c r="X544">
        <v>10225</v>
      </c>
      <c r="Y544">
        <v>9</v>
      </c>
      <c r="Z544" t="s">
        <v>42</v>
      </c>
      <c r="AA544" t="s">
        <v>43</v>
      </c>
      <c r="AB544">
        <v>12</v>
      </c>
      <c r="AC544">
        <v>3</v>
      </c>
      <c r="AD544" t="str">
        <f t="shared" si="17"/>
        <v>Low Performance</v>
      </c>
      <c r="AE544">
        <v>4</v>
      </c>
      <c r="AF544">
        <v>80</v>
      </c>
      <c r="AG544">
        <v>2</v>
      </c>
      <c r="AH544">
        <v>28</v>
      </c>
      <c r="AI544">
        <v>2</v>
      </c>
      <c r="AJ544">
        <v>2</v>
      </c>
      <c r="AK544" t="str" cm="1">
        <f t="array" ref="AK544">_xlfn.IFS(AJ544&lt;=2,"Poor",AJ544&lt;=3,"Fair",AJ544&gt;3,"Good")</f>
        <v>Poor</v>
      </c>
      <c r="AL544">
        <v>22</v>
      </c>
      <c r="AM544">
        <v>2</v>
      </c>
      <c r="AN544">
        <v>11</v>
      </c>
      <c r="AO544">
        <v>13</v>
      </c>
    </row>
    <row r="545" spans="1:41" x14ac:dyDescent="0.2">
      <c r="A545">
        <v>1699255</v>
      </c>
      <c r="B545">
        <v>30</v>
      </c>
      <c r="C545" t="str" cm="1">
        <f t="array" ref="C545">_xlfn.IFS(B545&lt;=25,"15-25",B545&lt;=35,"26-35",B545&lt;=45,"36-45",B545&lt;=55,"46-55",B545&lt;=65,"56-65")</f>
        <v>26-35</v>
      </c>
      <c r="D545" t="s">
        <v>35</v>
      </c>
      <c r="E545" t="str">
        <f t="shared" si="16"/>
        <v>Current Employee</v>
      </c>
      <c r="F545" t="s">
        <v>36</v>
      </c>
      <c r="G545">
        <v>501</v>
      </c>
      <c r="H545" t="s">
        <v>37</v>
      </c>
      <c r="I545">
        <v>27</v>
      </c>
      <c r="J545">
        <v>5</v>
      </c>
      <c r="K545" t="s">
        <v>55</v>
      </c>
      <c r="L545">
        <v>1</v>
      </c>
      <c r="M545">
        <v>3</v>
      </c>
      <c r="N545" t="s">
        <v>46</v>
      </c>
      <c r="O545">
        <v>99</v>
      </c>
      <c r="P545">
        <v>3</v>
      </c>
      <c r="Q545">
        <v>2</v>
      </c>
      <c r="R545" t="s">
        <v>40</v>
      </c>
      <c r="S545">
        <v>4</v>
      </c>
      <c r="T545" t="str" cm="1">
        <f t="array" ref="T545">_xlfn.IFS(S545&lt;=2,"Poor",S545&lt;=3,"Fair",S545&gt;=4,"Good")</f>
        <v>Good</v>
      </c>
      <c r="U545" t="s">
        <v>50</v>
      </c>
      <c r="V545" s="1">
        <v>5304</v>
      </c>
      <c r="W545" t="str" cm="1">
        <f t="array" ref="W545">_xlfn.IFS(V545&lt;=5000,"Low Salary",V545&lt;=12000,"Good Salary",V545&gt;12000,"High Salary")</f>
        <v>Good Salary</v>
      </c>
      <c r="X545">
        <v>25275</v>
      </c>
      <c r="Y545">
        <v>7</v>
      </c>
      <c r="Z545" t="s">
        <v>42</v>
      </c>
      <c r="AA545" t="s">
        <v>35</v>
      </c>
      <c r="AB545">
        <v>23</v>
      </c>
      <c r="AC545">
        <v>4</v>
      </c>
      <c r="AD545" t="str">
        <f t="shared" si="17"/>
        <v>High Performance</v>
      </c>
      <c r="AE545">
        <v>4</v>
      </c>
      <c r="AF545">
        <v>80</v>
      </c>
      <c r="AG545">
        <v>1</v>
      </c>
      <c r="AH545">
        <v>10</v>
      </c>
      <c r="AI545">
        <v>2</v>
      </c>
      <c r="AJ545">
        <v>2</v>
      </c>
      <c r="AK545" t="str" cm="1">
        <f t="array" ref="AK545">_xlfn.IFS(AJ545&lt;=2,"Poor",AJ545&lt;=3,"Fair",AJ545&gt;3,"Good")</f>
        <v>Poor</v>
      </c>
      <c r="AL545">
        <v>8</v>
      </c>
      <c r="AM545">
        <v>7</v>
      </c>
      <c r="AN545">
        <v>7</v>
      </c>
      <c r="AO545">
        <v>7</v>
      </c>
    </row>
    <row r="546" spans="1:41" x14ac:dyDescent="0.2">
      <c r="A546">
        <v>1670081</v>
      </c>
      <c r="B546">
        <v>29</v>
      </c>
      <c r="C546" t="str" cm="1">
        <f t="array" ref="C546">_xlfn.IFS(B546&lt;=25,"15-25",B546&lt;=35,"26-35",B546&lt;=45,"36-45",B546&lt;=55,"46-55",B546&lt;=65,"56-65")</f>
        <v>26-35</v>
      </c>
      <c r="D546" t="s">
        <v>35</v>
      </c>
      <c r="E546" t="str">
        <f t="shared" si="16"/>
        <v>Current Employee</v>
      </c>
      <c r="F546" t="s">
        <v>36</v>
      </c>
      <c r="G546">
        <v>1396</v>
      </c>
      <c r="H546" t="s">
        <v>37</v>
      </c>
      <c r="I546">
        <v>10</v>
      </c>
      <c r="J546">
        <v>3</v>
      </c>
      <c r="K546" t="s">
        <v>38</v>
      </c>
      <c r="L546">
        <v>1</v>
      </c>
      <c r="M546">
        <v>3</v>
      </c>
      <c r="N546" t="s">
        <v>46</v>
      </c>
      <c r="O546">
        <v>99</v>
      </c>
      <c r="P546">
        <v>3</v>
      </c>
      <c r="Q546">
        <v>1</v>
      </c>
      <c r="R546" t="s">
        <v>47</v>
      </c>
      <c r="S546">
        <v>3</v>
      </c>
      <c r="T546" t="str" cm="1">
        <f t="array" ref="T546">_xlfn.IFS(S546&lt;=2,"Poor",S546&lt;=3,"Fair",S546&gt;=4,"Good")</f>
        <v>Fair</v>
      </c>
      <c r="U546" t="s">
        <v>41</v>
      </c>
      <c r="V546" s="1">
        <v>2642</v>
      </c>
      <c r="W546" t="str" cm="1">
        <f t="array" ref="W546">_xlfn.IFS(V546&lt;=5000,"Low Salary",V546&lt;=12000,"Good Salary",V546&gt;12000,"High Salary")</f>
        <v>Low Salary</v>
      </c>
      <c r="X546">
        <v>2755</v>
      </c>
      <c r="Y546">
        <v>1</v>
      </c>
      <c r="Z546" t="s">
        <v>42</v>
      </c>
      <c r="AA546" t="s">
        <v>35</v>
      </c>
      <c r="AB546">
        <v>11</v>
      </c>
      <c r="AC546">
        <v>3</v>
      </c>
      <c r="AD546" t="str">
        <f t="shared" si="17"/>
        <v>Low Performance</v>
      </c>
      <c r="AE546">
        <v>3</v>
      </c>
      <c r="AF546">
        <v>80</v>
      </c>
      <c r="AG546">
        <v>0</v>
      </c>
      <c r="AH546">
        <v>1</v>
      </c>
      <c r="AI546">
        <v>6</v>
      </c>
      <c r="AJ546">
        <v>3</v>
      </c>
      <c r="AK546" t="str" cm="1">
        <f t="array" ref="AK546">_xlfn.IFS(AJ546&lt;=2,"Poor",AJ546&lt;=3,"Fair",AJ546&gt;3,"Good")</f>
        <v>Fair</v>
      </c>
      <c r="AL546">
        <v>1</v>
      </c>
      <c r="AM546">
        <v>0</v>
      </c>
      <c r="AN546">
        <v>0</v>
      </c>
      <c r="AO546">
        <v>0</v>
      </c>
    </row>
    <row r="547" spans="1:41" x14ac:dyDescent="0.2">
      <c r="A547">
        <v>1542367</v>
      </c>
      <c r="B547">
        <v>42</v>
      </c>
      <c r="C547" t="str" cm="1">
        <f t="array" ref="C547">_xlfn.IFS(B547&lt;=25,"15-25",B547&lt;=35,"26-35",B547&lt;=45,"36-45",B547&lt;=55,"46-55",B547&lt;=65,"56-65")</f>
        <v>36-45</v>
      </c>
      <c r="D547" t="s">
        <v>43</v>
      </c>
      <c r="E547" t="str">
        <f t="shared" si="16"/>
        <v>Former Employee</v>
      </c>
      <c r="F547" t="s">
        <v>44</v>
      </c>
      <c r="G547">
        <v>933</v>
      </c>
      <c r="H547" t="s">
        <v>45</v>
      </c>
      <c r="I547">
        <v>19</v>
      </c>
      <c r="J547">
        <v>3</v>
      </c>
      <c r="K547" t="s">
        <v>49</v>
      </c>
      <c r="L547">
        <v>1</v>
      </c>
      <c r="M547">
        <v>3</v>
      </c>
      <c r="N547" t="s">
        <v>46</v>
      </c>
      <c r="O547">
        <v>57</v>
      </c>
      <c r="P547">
        <v>4</v>
      </c>
      <c r="Q547">
        <v>1</v>
      </c>
      <c r="R547" t="s">
        <v>47</v>
      </c>
      <c r="S547">
        <v>3</v>
      </c>
      <c r="T547" t="str" cm="1">
        <f t="array" ref="T547">_xlfn.IFS(S547&lt;=2,"Poor",S547&lt;=3,"Fair",S547&gt;=4,"Good")</f>
        <v>Fair</v>
      </c>
      <c r="U547" t="s">
        <v>50</v>
      </c>
      <c r="V547" s="1">
        <v>2759</v>
      </c>
      <c r="W547" t="str" cm="1">
        <f t="array" ref="W547">_xlfn.IFS(V547&lt;=5000,"Low Salary",V547&lt;=12000,"Good Salary",V547&gt;12000,"High Salary")</f>
        <v>Low Salary</v>
      </c>
      <c r="X547">
        <v>20366</v>
      </c>
      <c r="Y547">
        <v>6</v>
      </c>
      <c r="Z547" t="s">
        <v>42</v>
      </c>
      <c r="AA547" t="s">
        <v>43</v>
      </c>
      <c r="AB547">
        <v>12</v>
      </c>
      <c r="AC547">
        <v>3</v>
      </c>
      <c r="AD547" t="str">
        <f t="shared" si="17"/>
        <v>Low Performance</v>
      </c>
      <c r="AE547">
        <v>4</v>
      </c>
      <c r="AF547">
        <v>80</v>
      </c>
      <c r="AG547">
        <v>0</v>
      </c>
      <c r="AH547">
        <v>7</v>
      </c>
      <c r="AI547">
        <v>2</v>
      </c>
      <c r="AJ547">
        <v>3</v>
      </c>
      <c r="AK547" t="str" cm="1">
        <f t="array" ref="AK547">_xlfn.IFS(AJ547&lt;=2,"Poor",AJ547&lt;=3,"Fair",AJ547&gt;3,"Good")</f>
        <v>Fair</v>
      </c>
      <c r="AL547">
        <v>2</v>
      </c>
      <c r="AM547">
        <v>2</v>
      </c>
      <c r="AN547">
        <v>2</v>
      </c>
      <c r="AO547">
        <v>2</v>
      </c>
    </row>
    <row r="548" spans="1:41" x14ac:dyDescent="0.2">
      <c r="A548">
        <v>1259211</v>
      </c>
      <c r="B548">
        <v>43</v>
      </c>
      <c r="C548" t="str" cm="1">
        <f t="array" ref="C548">_xlfn.IFS(B548&lt;=25,"15-25",B548&lt;=35,"26-35",B548&lt;=45,"36-45",B548&lt;=55,"46-55",B548&lt;=65,"56-65")</f>
        <v>36-45</v>
      </c>
      <c r="D548" t="s">
        <v>35</v>
      </c>
      <c r="E548" t="str">
        <f t="shared" si="16"/>
        <v>Current Employee</v>
      </c>
      <c r="F548" t="s">
        <v>44</v>
      </c>
      <c r="G548">
        <v>775</v>
      </c>
      <c r="H548" t="s">
        <v>37</v>
      </c>
      <c r="I548">
        <v>15</v>
      </c>
      <c r="J548">
        <v>3</v>
      </c>
      <c r="K548" t="s">
        <v>38</v>
      </c>
      <c r="L548">
        <v>1</v>
      </c>
      <c r="M548">
        <v>4</v>
      </c>
      <c r="N548" t="s">
        <v>46</v>
      </c>
      <c r="O548">
        <v>47</v>
      </c>
      <c r="P548">
        <v>2</v>
      </c>
      <c r="Q548">
        <v>2</v>
      </c>
      <c r="R548" t="s">
        <v>40</v>
      </c>
      <c r="S548">
        <v>4</v>
      </c>
      <c r="T548" t="str" cm="1">
        <f t="array" ref="T548">_xlfn.IFS(S548&lt;=2,"Poor",S548&lt;=3,"Fair",S548&gt;=4,"Good")</f>
        <v>Good</v>
      </c>
      <c r="U548" t="s">
        <v>48</v>
      </c>
      <c r="V548" s="1">
        <v>6804</v>
      </c>
      <c r="W548" t="str" cm="1">
        <f t="array" ref="W548">_xlfn.IFS(V548&lt;=5000,"Low Salary",V548&lt;=12000,"Good Salary",V548&gt;12000,"High Salary")</f>
        <v>Good Salary</v>
      </c>
      <c r="X548">
        <v>23683</v>
      </c>
      <c r="Y548">
        <v>3</v>
      </c>
      <c r="Z548" t="s">
        <v>42</v>
      </c>
      <c r="AA548" t="s">
        <v>35</v>
      </c>
      <c r="AB548">
        <v>18</v>
      </c>
      <c r="AC548">
        <v>3</v>
      </c>
      <c r="AD548" t="str">
        <f t="shared" si="17"/>
        <v>Low Performance</v>
      </c>
      <c r="AE548">
        <v>3</v>
      </c>
      <c r="AF548">
        <v>80</v>
      </c>
      <c r="AG548">
        <v>1</v>
      </c>
      <c r="AH548">
        <v>7</v>
      </c>
      <c r="AI548">
        <v>5</v>
      </c>
      <c r="AJ548">
        <v>3</v>
      </c>
      <c r="AK548" t="str" cm="1">
        <f t="array" ref="AK548">_xlfn.IFS(AJ548&lt;=2,"Poor",AJ548&lt;=3,"Fair",AJ548&gt;3,"Good")</f>
        <v>Fair</v>
      </c>
      <c r="AL548">
        <v>2</v>
      </c>
      <c r="AM548">
        <v>2</v>
      </c>
      <c r="AN548">
        <v>2</v>
      </c>
      <c r="AO548">
        <v>2</v>
      </c>
    </row>
    <row r="549" spans="1:41" x14ac:dyDescent="0.2">
      <c r="A549">
        <v>1758544</v>
      </c>
      <c r="B549">
        <v>34</v>
      </c>
      <c r="C549" t="str" cm="1">
        <f t="array" ref="C549">_xlfn.IFS(B549&lt;=25,"15-25",B549&lt;=35,"26-35",B549&lt;=45,"36-45",B549&lt;=55,"46-55",B549&lt;=65,"56-65")</f>
        <v>26-35</v>
      </c>
      <c r="D549" t="s">
        <v>35</v>
      </c>
      <c r="E549" t="str">
        <f t="shared" si="16"/>
        <v>Current Employee</v>
      </c>
      <c r="F549" t="s">
        <v>36</v>
      </c>
      <c r="G549">
        <v>970</v>
      </c>
      <c r="H549" t="s">
        <v>45</v>
      </c>
      <c r="I549">
        <v>8</v>
      </c>
      <c r="J549">
        <v>2</v>
      </c>
      <c r="K549" t="s">
        <v>49</v>
      </c>
      <c r="L549">
        <v>1</v>
      </c>
      <c r="M549">
        <v>2</v>
      </c>
      <c r="N549" t="s">
        <v>39</v>
      </c>
      <c r="O549">
        <v>96</v>
      </c>
      <c r="P549">
        <v>3</v>
      </c>
      <c r="Q549">
        <v>2</v>
      </c>
      <c r="R549" t="s">
        <v>40</v>
      </c>
      <c r="S549">
        <v>3</v>
      </c>
      <c r="T549" t="str" cm="1">
        <f t="array" ref="T549">_xlfn.IFS(S549&lt;=2,"Poor",S549&lt;=3,"Fair",S549&gt;=4,"Good")</f>
        <v>Fair</v>
      </c>
      <c r="U549" t="s">
        <v>41</v>
      </c>
      <c r="V549" s="1">
        <v>6142</v>
      </c>
      <c r="W549" t="str" cm="1">
        <f t="array" ref="W549">_xlfn.IFS(V549&lt;=5000,"Low Salary",V549&lt;=12000,"Good Salary",V549&gt;12000,"High Salary")</f>
        <v>Good Salary</v>
      </c>
      <c r="X549">
        <v>7360</v>
      </c>
      <c r="Y549">
        <v>3</v>
      </c>
      <c r="Z549" t="s">
        <v>42</v>
      </c>
      <c r="AA549" t="s">
        <v>35</v>
      </c>
      <c r="AB549">
        <v>11</v>
      </c>
      <c r="AC549">
        <v>3</v>
      </c>
      <c r="AD549" t="str">
        <f t="shared" si="17"/>
        <v>Low Performance</v>
      </c>
      <c r="AE549">
        <v>4</v>
      </c>
      <c r="AF549">
        <v>80</v>
      </c>
      <c r="AG549">
        <v>0</v>
      </c>
      <c r="AH549">
        <v>10</v>
      </c>
      <c r="AI549">
        <v>2</v>
      </c>
      <c r="AJ549">
        <v>3</v>
      </c>
      <c r="AK549" t="str" cm="1">
        <f t="array" ref="AK549">_xlfn.IFS(AJ549&lt;=2,"Poor",AJ549&lt;=3,"Fair",AJ549&gt;3,"Good")</f>
        <v>Fair</v>
      </c>
      <c r="AL549">
        <v>5</v>
      </c>
      <c r="AM549">
        <v>1</v>
      </c>
      <c r="AN549">
        <v>4</v>
      </c>
      <c r="AO549">
        <v>3</v>
      </c>
    </row>
    <row r="550" spans="1:41" x14ac:dyDescent="0.2">
      <c r="A550">
        <v>1545288</v>
      </c>
      <c r="B550">
        <v>23</v>
      </c>
      <c r="C550" t="str" cm="1">
        <f t="array" ref="C550">_xlfn.IFS(B550&lt;=25,"15-25",B550&lt;=35,"26-35",B550&lt;=45,"36-45",B550&lt;=55,"46-55",B550&lt;=65,"56-65")</f>
        <v>15-25</v>
      </c>
      <c r="D550" t="s">
        <v>35</v>
      </c>
      <c r="E550" t="str">
        <f t="shared" si="16"/>
        <v>Current Employee</v>
      </c>
      <c r="F550" t="s">
        <v>36</v>
      </c>
      <c r="G550">
        <v>650</v>
      </c>
      <c r="H550" t="s">
        <v>45</v>
      </c>
      <c r="I550">
        <v>9</v>
      </c>
      <c r="J550">
        <v>1</v>
      </c>
      <c r="K550" t="s">
        <v>49</v>
      </c>
      <c r="L550">
        <v>1</v>
      </c>
      <c r="M550">
        <v>2</v>
      </c>
      <c r="N550" t="s">
        <v>46</v>
      </c>
      <c r="O550">
        <v>37</v>
      </c>
      <c r="P550">
        <v>3</v>
      </c>
      <c r="Q550">
        <v>1</v>
      </c>
      <c r="R550" t="s">
        <v>40</v>
      </c>
      <c r="S550">
        <v>1</v>
      </c>
      <c r="T550" t="str" cm="1">
        <f t="array" ref="T550">_xlfn.IFS(S550&lt;=2,"Poor",S550&lt;=3,"Fair",S550&gt;=4,"Good")</f>
        <v>Poor</v>
      </c>
      <c r="U550" t="s">
        <v>48</v>
      </c>
      <c r="V550" s="1">
        <v>2500</v>
      </c>
      <c r="W550" t="str" cm="1">
        <f t="array" ref="W550">_xlfn.IFS(V550&lt;=5000,"Low Salary",V550&lt;=12000,"Good Salary",V550&gt;12000,"High Salary")</f>
        <v>Low Salary</v>
      </c>
      <c r="X550">
        <v>4344</v>
      </c>
      <c r="Y550">
        <v>1</v>
      </c>
      <c r="Z550" t="s">
        <v>42</v>
      </c>
      <c r="AA550" t="s">
        <v>35</v>
      </c>
      <c r="AB550">
        <v>14</v>
      </c>
      <c r="AC550">
        <v>3</v>
      </c>
      <c r="AD550" t="str">
        <f t="shared" si="17"/>
        <v>Low Performance</v>
      </c>
      <c r="AE550">
        <v>4</v>
      </c>
      <c r="AF550">
        <v>80</v>
      </c>
      <c r="AG550">
        <v>1</v>
      </c>
      <c r="AH550">
        <v>5</v>
      </c>
      <c r="AI550">
        <v>2</v>
      </c>
      <c r="AJ550">
        <v>4</v>
      </c>
      <c r="AK550" t="str" cm="1">
        <f t="array" ref="AK550">_xlfn.IFS(AJ550&lt;=2,"Poor",AJ550&lt;=3,"Fair",AJ550&gt;3,"Good")</f>
        <v>Good</v>
      </c>
      <c r="AL550">
        <v>4</v>
      </c>
      <c r="AM550">
        <v>3</v>
      </c>
      <c r="AN550">
        <v>0</v>
      </c>
      <c r="AO550">
        <v>2</v>
      </c>
    </row>
    <row r="551" spans="1:41" x14ac:dyDescent="0.2">
      <c r="A551">
        <v>1121259</v>
      </c>
      <c r="B551">
        <v>39</v>
      </c>
      <c r="C551" t="str" cm="1">
        <f t="array" ref="C551">_xlfn.IFS(B551&lt;=25,"15-25",B551&lt;=35,"26-35",B551&lt;=45,"36-45",B551&lt;=55,"46-55",B551&lt;=65,"56-65")</f>
        <v>36-45</v>
      </c>
      <c r="D551" t="s">
        <v>35</v>
      </c>
      <c r="E551" t="str">
        <f t="shared" si="16"/>
        <v>Current Employee</v>
      </c>
      <c r="F551" t="s">
        <v>36</v>
      </c>
      <c r="G551">
        <v>141</v>
      </c>
      <c r="H551" t="s">
        <v>54</v>
      </c>
      <c r="I551">
        <v>3</v>
      </c>
      <c r="J551">
        <v>3</v>
      </c>
      <c r="K551" t="s">
        <v>57</v>
      </c>
      <c r="L551">
        <v>1</v>
      </c>
      <c r="M551">
        <v>3</v>
      </c>
      <c r="N551" t="s">
        <v>39</v>
      </c>
      <c r="O551">
        <v>44</v>
      </c>
      <c r="P551">
        <v>4</v>
      </c>
      <c r="Q551">
        <v>2</v>
      </c>
      <c r="R551" t="s">
        <v>47</v>
      </c>
      <c r="S551">
        <v>2</v>
      </c>
      <c r="T551" t="str" cm="1">
        <f t="array" ref="T551">_xlfn.IFS(S551&lt;=2,"Poor",S551&lt;=3,"Fair",S551&gt;=4,"Good")</f>
        <v>Poor</v>
      </c>
      <c r="U551" t="s">
        <v>48</v>
      </c>
      <c r="V551" s="1">
        <v>6389</v>
      </c>
      <c r="W551" t="str" cm="1">
        <f t="array" ref="W551">_xlfn.IFS(V551&lt;=5000,"Low Salary",V551&lt;=12000,"Good Salary",V551&gt;12000,"High Salary")</f>
        <v>Good Salary</v>
      </c>
      <c r="X551">
        <v>18767</v>
      </c>
      <c r="Y551">
        <v>9</v>
      </c>
      <c r="Z551" t="s">
        <v>42</v>
      </c>
      <c r="AA551" t="s">
        <v>35</v>
      </c>
      <c r="AB551">
        <v>15</v>
      </c>
      <c r="AC551">
        <v>3</v>
      </c>
      <c r="AD551" t="str">
        <f t="shared" si="17"/>
        <v>Low Performance</v>
      </c>
      <c r="AE551">
        <v>3</v>
      </c>
      <c r="AF551">
        <v>80</v>
      </c>
      <c r="AG551">
        <v>1</v>
      </c>
      <c r="AH551">
        <v>12</v>
      </c>
      <c r="AI551">
        <v>3</v>
      </c>
      <c r="AJ551">
        <v>1</v>
      </c>
      <c r="AK551" t="str" cm="1">
        <f t="array" ref="AK551">_xlfn.IFS(AJ551&lt;=2,"Poor",AJ551&lt;=3,"Fair",AJ551&gt;3,"Good")</f>
        <v>Poor</v>
      </c>
      <c r="AL551">
        <v>8</v>
      </c>
      <c r="AM551">
        <v>3</v>
      </c>
      <c r="AN551">
        <v>3</v>
      </c>
      <c r="AO551">
        <v>6</v>
      </c>
    </row>
    <row r="552" spans="1:41" x14ac:dyDescent="0.2">
      <c r="A552">
        <v>1126307</v>
      </c>
      <c r="B552">
        <v>56</v>
      </c>
      <c r="C552" t="str" cm="1">
        <f t="array" ref="C552">_xlfn.IFS(B552&lt;=25,"15-25",B552&lt;=35,"26-35",B552&lt;=45,"36-45",B552&lt;=55,"46-55",B552&lt;=65,"56-65")</f>
        <v>56-65</v>
      </c>
      <c r="D552" t="s">
        <v>35</v>
      </c>
      <c r="E552" t="str">
        <f t="shared" si="16"/>
        <v>Current Employee</v>
      </c>
      <c r="F552" t="s">
        <v>36</v>
      </c>
      <c r="G552">
        <v>832</v>
      </c>
      <c r="H552" t="s">
        <v>45</v>
      </c>
      <c r="I552">
        <v>9</v>
      </c>
      <c r="J552">
        <v>3</v>
      </c>
      <c r="K552" t="s">
        <v>49</v>
      </c>
      <c r="L552">
        <v>1</v>
      </c>
      <c r="M552">
        <v>3</v>
      </c>
      <c r="N552" t="s">
        <v>46</v>
      </c>
      <c r="O552">
        <v>81</v>
      </c>
      <c r="P552">
        <v>3</v>
      </c>
      <c r="Q552">
        <v>4</v>
      </c>
      <c r="R552" t="s">
        <v>40</v>
      </c>
      <c r="S552">
        <v>4</v>
      </c>
      <c r="T552" t="str" cm="1">
        <f t="array" ref="T552">_xlfn.IFS(S552&lt;=2,"Poor",S552&lt;=3,"Fair",S552&gt;=4,"Good")</f>
        <v>Good</v>
      </c>
      <c r="U552" t="s">
        <v>48</v>
      </c>
      <c r="V552" s="1">
        <v>11103</v>
      </c>
      <c r="W552" t="str" cm="1">
        <f t="array" ref="W552">_xlfn.IFS(V552&lt;=5000,"Low Salary",V552&lt;=12000,"Good Salary",V552&gt;12000,"High Salary")</f>
        <v>Good Salary</v>
      </c>
      <c r="X552">
        <v>20420</v>
      </c>
      <c r="Y552">
        <v>7</v>
      </c>
      <c r="Z552" t="s">
        <v>42</v>
      </c>
      <c r="AA552" t="s">
        <v>35</v>
      </c>
      <c r="AB552">
        <v>11</v>
      </c>
      <c r="AC552">
        <v>3</v>
      </c>
      <c r="AD552" t="str">
        <f t="shared" si="17"/>
        <v>Low Performance</v>
      </c>
      <c r="AE552">
        <v>3</v>
      </c>
      <c r="AF552">
        <v>80</v>
      </c>
      <c r="AG552">
        <v>0</v>
      </c>
      <c r="AH552">
        <v>30</v>
      </c>
      <c r="AI552">
        <v>1</v>
      </c>
      <c r="AJ552">
        <v>2</v>
      </c>
      <c r="AK552" t="str" cm="1">
        <f t="array" ref="AK552">_xlfn.IFS(AJ552&lt;=2,"Poor",AJ552&lt;=3,"Fair",AJ552&gt;3,"Good")</f>
        <v>Poor</v>
      </c>
      <c r="AL552">
        <v>10</v>
      </c>
      <c r="AM552">
        <v>7</v>
      </c>
      <c r="AN552">
        <v>1</v>
      </c>
      <c r="AO552">
        <v>1</v>
      </c>
    </row>
    <row r="553" spans="1:41" x14ac:dyDescent="0.2">
      <c r="A553">
        <v>1400061</v>
      </c>
      <c r="B553">
        <v>40</v>
      </c>
      <c r="C553" t="str" cm="1">
        <f t="array" ref="C553">_xlfn.IFS(B553&lt;=25,"15-25",B553&lt;=35,"26-35",B553&lt;=45,"36-45",B553&lt;=55,"46-55",B553&lt;=65,"56-65")</f>
        <v>36-45</v>
      </c>
      <c r="D553" t="s">
        <v>35</v>
      </c>
      <c r="E553" t="str">
        <f t="shared" si="16"/>
        <v>Current Employee</v>
      </c>
      <c r="F553" t="s">
        <v>36</v>
      </c>
      <c r="G553">
        <v>804</v>
      </c>
      <c r="H553" t="s">
        <v>45</v>
      </c>
      <c r="I553">
        <v>2</v>
      </c>
      <c r="J553">
        <v>1</v>
      </c>
      <c r="K553" t="s">
        <v>49</v>
      </c>
      <c r="L553">
        <v>1</v>
      </c>
      <c r="M553">
        <v>4</v>
      </c>
      <c r="N553" t="s">
        <v>39</v>
      </c>
      <c r="O553">
        <v>86</v>
      </c>
      <c r="P553">
        <v>2</v>
      </c>
      <c r="Q553">
        <v>1</v>
      </c>
      <c r="R553" t="s">
        <v>47</v>
      </c>
      <c r="S553">
        <v>4</v>
      </c>
      <c r="T553" t="str" cm="1">
        <f t="array" ref="T553">_xlfn.IFS(S553&lt;=2,"Poor",S553&lt;=3,"Fair",S553&gt;=4,"Good")</f>
        <v>Good</v>
      </c>
      <c r="U553" t="s">
        <v>41</v>
      </c>
      <c r="V553" s="1">
        <v>2342</v>
      </c>
      <c r="W553" t="str" cm="1">
        <f t="array" ref="W553">_xlfn.IFS(V553&lt;=5000,"Low Salary",V553&lt;=12000,"Good Salary",V553&gt;12000,"High Salary")</f>
        <v>Low Salary</v>
      </c>
      <c r="X553">
        <v>22929</v>
      </c>
      <c r="Y553">
        <v>0</v>
      </c>
      <c r="Z553" t="s">
        <v>42</v>
      </c>
      <c r="AA553" t="s">
        <v>43</v>
      </c>
      <c r="AB553">
        <v>20</v>
      </c>
      <c r="AC553">
        <v>4</v>
      </c>
      <c r="AD553" t="str">
        <f t="shared" si="17"/>
        <v>High Performance</v>
      </c>
      <c r="AE553">
        <v>4</v>
      </c>
      <c r="AF553">
        <v>80</v>
      </c>
      <c r="AG553">
        <v>0</v>
      </c>
      <c r="AH553">
        <v>5</v>
      </c>
      <c r="AI553">
        <v>2</v>
      </c>
      <c r="AJ553">
        <v>2</v>
      </c>
      <c r="AK553" t="str" cm="1">
        <f t="array" ref="AK553">_xlfn.IFS(AJ553&lt;=2,"Poor",AJ553&lt;=3,"Fair",AJ553&gt;3,"Good")</f>
        <v>Poor</v>
      </c>
      <c r="AL553">
        <v>4</v>
      </c>
      <c r="AM553">
        <v>2</v>
      </c>
      <c r="AN553">
        <v>2</v>
      </c>
      <c r="AO553">
        <v>3</v>
      </c>
    </row>
    <row r="554" spans="1:41" x14ac:dyDescent="0.2">
      <c r="A554">
        <v>1855799</v>
      </c>
      <c r="B554">
        <v>27</v>
      </c>
      <c r="C554" t="str" cm="1">
        <f t="array" ref="C554">_xlfn.IFS(B554&lt;=25,"15-25",B554&lt;=35,"26-35",B554&lt;=45,"36-45",B554&lt;=55,"46-55",B554&lt;=65,"56-65")</f>
        <v>26-35</v>
      </c>
      <c r="D554" t="s">
        <v>35</v>
      </c>
      <c r="E554" t="str">
        <f t="shared" si="16"/>
        <v>Current Employee</v>
      </c>
      <c r="F554" t="s">
        <v>36</v>
      </c>
      <c r="G554">
        <v>975</v>
      </c>
      <c r="H554" t="s">
        <v>45</v>
      </c>
      <c r="I554">
        <v>7</v>
      </c>
      <c r="J554">
        <v>3</v>
      </c>
      <c r="K554" t="s">
        <v>49</v>
      </c>
      <c r="L554">
        <v>1</v>
      </c>
      <c r="M554">
        <v>4</v>
      </c>
      <c r="N554" t="s">
        <v>39</v>
      </c>
      <c r="O554">
        <v>55</v>
      </c>
      <c r="P554">
        <v>2</v>
      </c>
      <c r="Q554">
        <v>2</v>
      </c>
      <c r="R554" t="s">
        <v>40</v>
      </c>
      <c r="S554">
        <v>1</v>
      </c>
      <c r="T554" t="str" cm="1">
        <f t="array" ref="T554">_xlfn.IFS(S554&lt;=2,"Poor",S554&lt;=3,"Fair",S554&gt;=4,"Good")</f>
        <v>Poor</v>
      </c>
      <c r="U554" t="s">
        <v>41</v>
      </c>
      <c r="V554" s="1">
        <v>6811</v>
      </c>
      <c r="W554" t="str" cm="1">
        <f t="array" ref="W554">_xlfn.IFS(V554&lt;=5000,"Low Salary",V554&lt;=12000,"Good Salary",V554&gt;12000,"High Salary")</f>
        <v>Good Salary</v>
      </c>
      <c r="X554">
        <v>23398</v>
      </c>
      <c r="Y554">
        <v>8</v>
      </c>
      <c r="Z554" t="s">
        <v>42</v>
      </c>
      <c r="AA554" t="s">
        <v>35</v>
      </c>
      <c r="AB554">
        <v>19</v>
      </c>
      <c r="AC554">
        <v>3</v>
      </c>
      <c r="AD554" t="str">
        <f t="shared" si="17"/>
        <v>Low Performance</v>
      </c>
      <c r="AE554">
        <v>1</v>
      </c>
      <c r="AF554">
        <v>80</v>
      </c>
      <c r="AG554">
        <v>0</v>
      </c>
      <c r="AH554">
        <v>9</v>
      </c>
      <c r="AI554">
        <v>2</v>
      </c>
      <c r="AJ554">
        <v>1</v>
      </c>
      <c r="AK554" t="str" cm="1">
        <f t="array" ref="AK554">_xlfn.IFS(AJ554&lt;=2,"Poor",AJ554&lt;=3,"Fair",AJ554&gt;3,"Good")</f>
        <v>Poor</v>
      </c>
      <c r="AL554">
        <v>7</v>
      </c>
      <c r="AM554">
        <v>6</v>
      </c>
      <c r="AN554">
        <v>0</v>
      </c>
      <c r="AO554">
        <v>7</v>
      </c>
    </row>
    <row r="555" spans="1:41" x14ac:dyDescent="0.2">
      <c r="A555">
        <v>1639147</v>
      </c>
      <c r="B555">
        <v>29</v>
      </c>
      <c r="C555" t="str" cm="1">
        <f t="array" ref="C555">_xlfn.IFS(B555&lt;=25,"15-25",B555&lt;=35,"26-35",B555&lt;=45,"36-45",B555&lt;=55,"46-55",B555&lt;=65,"56-65")</f>
        <v>26-35</v>
      </c>
      <c r="D555" t="s">
        <v>35</v>
      </c>
      <c r="E555" t="str">
        <f t="shared" si="16"/>
        <v>Current Employee</v>
      </c>
      <c r="F555" t="s">
        <v>36</v>
      </c>
      <c r="G555">
        <v>1090</v>
      </c>
      <c r="H555" t="s">
        <v>37</v>
      </c>
      <c r="I555">
        <v>10</v>
      </c>
      <c r="J555">
        <v>3</v>
      </c>
      <c r="K555" t="s">
        <v>55</v>
      </c>
      <c r="L555">
        <v>1</v>
      </c>
      <c r="M555">
        <v>4</v>
      </c>
      <c r="N555" t="s">
        <v>46</v>
      </c>
      <c r="O555">
        <v>83</v>
      </c>
      <c r="P555">
        <v>3</v>
      </c>
      <c r="Q555">
        <v>1</v>
      </c>
      <c r="R555" t="s">
        <v>47</v>
      </c>
      <c r="S555">
        <v>2</v>
      </c>
      <c r="T555" t="str" cm="1">
        <f t="array" ref="T555">_xlfn.IFS(S555&lt;=2,"Poor",S555&lt;=3,"Fair",S555&gt;=4,"Good")</f>
        <v>Poor</v>
      </c>
      <c r="U555" t="s">
        <v>50</v>
      </c>
      <c r="V555" s="1">
        <v>2297</v>
      </c>
      <c r="W555" t="str" cm="1">
        <f t="array" ref="W555">_xlfn.IFS(V555&lt;=5000,"Low Salary",V555&lt;=12000,"Good Salary",V555&gt;12000,"High Salary")</f>
        <v>Low Salary</v>
      </c>
      <c r="X555">
        <v>17967</v>
      </c>
      <c r="Y555">
        <v>1</v>
      </c>
      <c r="Z555" t="s">
        <v>42</v>
      </c>
      <c r="AA555" t="s">
        <v>35</v>
      </c>
      <c r="AB555">
        <v>14</v>
      </c>
      <c r="AC555">
        <v>3</v>
      </c>
      <c r="AD555" t="str">
        <f t="shared" si="17"/>
        <v>Low Performance</v>
      </c>
      <c r="AE555">
        <v>4</v>
      </c>
      <c r="AF555">
        <v>80</v>
      </c>
      <c r="AG555">
        <v>2</v>
      </c>
      <c r="AH555">
        <v>2</v>
      </c>
      <c r="AI555">
        <v>2</v>
      </c>
      <c r="AJ555">
        <v>3</v>
      </c>
      <c r="AK555" t="str" cm="1">
        <f t="array" ref="AK555">_xlfn.IFS(AJ555&lt;=2,"Poor",AJ555&lt;=3,"Fair",AJ555&gt;3,"Good")</f>
        <v>Fair</v>
      </c>
      <c r="AL555">
        <v>2</v>
      </c>
      <c r="AM555">
        <v>2</v>
      </c>
      <c r="AN555">
        <v>2</v>
      </c>
      <c r="AO555">
        <v>2</v>
      </c>
    </row>
    <row r="556" spans="1:41" x14ac:dyDescent="0.2">
      <c r="A556">
        <v>1446990</v>
      </c>
      <c r="B556">
        <v>53</v>
      </c>
      <c r="C556" t="str" cm="1">
        <f t="array" ref="C556">_xlfn.IFS(B556&lt;=25,"15-25",B556&lt;=35,"26-35",B556&lt;=45,"36-45",B556&lt;=55,"46-55",B556&lt;=65,"56-65")</f>
        <v>46-55</v>
      </c>
      <c r="D556" t="s">
        <v>35</v>
      </c>
      <c r="E556" t="str">
        <f t="shared" si="16"/>
        <v>Current Employee</v>
      </c>
      <c r="F556" t="s">
        <v>36</v>
      </c>
      <c r="G556">
        <v>346</v>
      </c>
      <c r="H556" t="s">
        <v>45</v>
      </c>
      <c r="I556">
        <v>6</v>
      </c>
      <c r="J556">
        <v>3</v>
      </c>
      <c r="K556" t="s">
        <v>38</v>
      </c>
      <c r="L556">
        <v>1</v>
      </c>
      <c r="M556">
        <v>4</v>
      </c>
      <c r="N556" t="s">
        <v>46</v>
      </c>
      <c r="O556">
        <v>86</v>
      </c>
      <c r="P556">
        <v>3</v>
      </c>
      <c r="Q556">
        <v>2</v>
      </c>
      <c r="R556" t="s">
        <v>40</v>
      </c>
      <c r="S556">
        <v>4</v>
      </c>
      <c r="T556" t="str" cm="1">
        <f t="array" ref="T556">_xlfn.IFS(S556&lt;=2,"Poor",S556&lt;=3,"Fair",S556&gt;=4,"Good")</f>
        <v>Good</v>
      </c>
      <c r="U556" t="s">
        <v>41</v>
      </c>
      <c r="V556" s="1">
        <v>2450</v>
      </c>
      <c r="W556" t="str" cm="1">
        <f t="array" ref="W556">_xlfn.IFS(V556&lt;=5000,"Low Salary",V556&lt;=12000,"Good Salary",V556&gt;12000,"High Salary")</f>
        <v>Low Salary</v>
      </c>
      <c r="X556">
        <v>10919</v>
      </c>
      <c r="Y556">
        <v>2</v>
      </c>
      <c r="Z556" t="s">
        <v>42</v>
      </c>
      <c r="AA556" t="s">
        <v>35</v>
      </c>
      <c r="AB556">
        <v>17</v>
      </c>
      <c r="AC556">
        <v>3</v>
      </c>
      <c r="AD556" t="str">
        <f t="shared" si="17"/>
        <v>Low Performance</v>
      </c>
      <c r="AE556">
        <v>4</v>
      </c>
      <c r="AF556">
        <v>80</v>
      </c>
      <c r="AG556">
        <v>0</v>
      </c>
      <c r="AH556">
        <v>19</v>
      </c>
      <c r="AI556">
        <v>4</v>
      </c>
      <c r="AJ556">
        <v>3</v>
      </c>
      <c r="AK556" t="str" cm="1">
        <f t="array" ref="AK556">_xlfn.IFS(AJ556&lt;=2,"Poor",AJ556&lt;=3,"Fair",AJ556&gt;3,"Good")</f>
        <v>Fair</v>
      </c>
      <c r="AL556">
        <v>2</v>
      </c>
      <c r="AM556">
        <v>2</v>
      </c>
      <c r="AN556">
        <v>2</v>
      </c>
      <c r="AO556">
        <v>2</v>
      </c>
    </row>
    <row r="557" spans="1:41" x14ac:dyDescent="0.2">
      <c r="A557">
        <v>1446447</v>
      </c>
      <c r="B557">
        <v>35</v>
      </c>
      <c r="C557" t="str" cm="1">
        <f t="array" ref="C557">_xlfn.IFS(B557&lt;=25,"15-25",B557&lt;=35,"26-35",B557&lt;=45,"36-45",B557&lt;=55,"46-55",B557&lt;=65,"56-65")</f>
        <v>26-35</v>
      </c>
      <c r="D557" t="s">
        <v>35</v>
      </c>
      <c r="E557" t="str">
        <f t="shared" si="16"/>
        <v>Current Employee</v>
      </c>
      <c r="F557" t="s">
        <v>52</v>
      </c>
      <c r="G557">
        <v>1225</v>
      </c>
      <c r="H557" t="s">
        <v>45</v>
      </c>
      <c r="I557">
        <v>2</v>
      </c>
      <c r="J557">
        <v>4</v>
      </c>
      <c r="K557" t="s">
        <v>38</v>
      </c>
      <c r="L557">
        <v>1</v>
      </c>
      <c r="M557">
        <v>4</v>
      </c>
      <c r="N557" t="s">
        <v>39</v>
      </c>
      <c r="O557">
        <v>61</v>
      </c>
      <c r="P557">
        <v>3</v>
      </c>
      <c r="Q557">
        <v>2</v>
      </c>
      <c r="R557" t="s">
        <v>40</v>
      </c>
      <c r="S557">
        <v>1</v>
      </c>
      <c r="T557" t="str" cm="1">
        <f t="array" ref="T557">_xlfn.IFS(S557&lt;=2,"Poor",S557&lt;=3,"Fair",S557&gt;=4,"Good")</f>
        <v>Poor</v>
      </c>
      <c r="U557" t="s">
        <v>50</v>
      </c>
      <c r="V557" s="1">
        <v>5093</v>
      </c>
      <c r="W557" t="str" cm="1">
        <f t="array" ref="W557">_xlfn.IFS(V557&lt;=5000,"Low Salary",V557&lt;=12000,"Good Salary",V557&gt;12000,"High Salary")</f>
        <v>Good Salary</v>
      </c>
      <c r="X557">
        <v>4761</v>
      </c>
      <c r="Y557">
        <v>2</v>
      </c>
      <c r="Z557" t="s">
        <v>42</v>
      </c>
      <c r="AA557" t="s">
        <v>35</v>
      </c>
      <c r="AB557">
        <v>11</v>
      </c>
      <c r="AC557">
        <v>3</v>
      </c>
      <c r="AD557" t="str">
        <f t="shared" si="17"/>
        <v>Low Performance</v>
      </c>
      <c r="AE557">
        <v>1</v>
      </c>
      <c r="AF557">
        <v>80</v>
      </c>
      <c r="AG557">
        <v>1</v>
      </c>
      <c r="AH557">
        <v>16</v>
      </c>
      <c r="AI557">
        <v>2</v>
      </c>
      <c r="AJ557">
        <v>4</v>
      </c>
      <c r="AK557" t="str" cm="1">
        <f t="array" ref="AK557">_xlfn.IFS(AJ557&lt;=2,"Poor",AJ557&lt;=3,"Fair",AJ557&gt;3,"Good")</f>
        <v>Good</v>
      </c>
      <c r="AL557">
        <v>1</v>
      </c>
      <c r="AM557">
        <v>0</v>
      </c>
      <c r="AN557">
        <v>0</v>
      </c>
      <c r="AO557">
        <v>0</v>
      </c>
    </row>
    <row r="558" spans="1:41" x14ac:dyDescent="0.2">
      <c r="A558">
        <v>1729159</v>
      </c>
      <c r="B558">
        <v>32</v>
      </c>
      <c r="C558" t="str" cm="1">
        <f t="array" ref="C558">_xlfn.IFS(B558&lt;=25,"15-25",B558&lt;=35,"26-35",B558&lt;=45,"36-45",B558&lt;=55,"46-55",B558&lt;=65,"56-65")</f>
        <v>26-35</v>
      </c>
      <c r="D558" t="s">
        <v>35</v>
      </c>
      <c r="E558" t="str">
        <f t="shared" si="16"/>
        <v>Current Employee</v>
      </c>
      <c r="F558" t="s">
        <v>44</v>
      </c>
      <c r="G558">
        <v>430</v>
      </c>
      <c r="H558" t="s">
        <v>45</v>
      </c>
      <c r="I558">
        <v>24</v>
      </c>
      <c r="J558">
        <v>4</v>
      </c>
      <c r="K558" t="s">
        <v>38</v>
      </c>
      <c r="L558">
        <v>1</v>
      </c>
      <c r="M558">
        <v>1</v>
      </c>
      <c r="N558" t="s">
        <v>46</v>
      </c>
      <c r="O558">
        <v>80</v>
      </c>
      <c r="P558">
        <v>3</v>
      </c>
      <c r="Q558">
        <v>2</v>
      </c>
      <c r="R558" t="s">
        <v>40</v>
      </c>
      <c r="S558">
        <v>4</v>
      </c>
      <c r="T558" t="str" cm="1">
        <f t="array" ref="T558">_xlfn.IFS(S558&lt;=2,"Poor",S558&lt;=3,"Fair",S558&gt;=4,"Good")</f>
        <v>Good</v>
      </c>
      <c r="U558" t="s">
        <v>48</v>
      </c>
      <c r="V558" s="1">
        <v>5309</v>
      </c>
      <c r="W558" t="str" cm="1">
        <f t="array" ref="W558">_xlfn.IFS(V558&lt;=5000,"Low Salary",V558&lt;=12000,"Good Salary",V558&gt;12000,"High Salary")</f>
        <v>Good Salary</v>
      </c>
      <c r="X558">
        <v>21146</v>
      </c>
      <c r="Y558">
        <v>1</v>
      </c>
      <c r="Z558" t="s">
        <v>42</v>
      </c>
      <c r="AA558" t="s">
        <v>35</v>
      </c>
      <c r="AB558">
        <v>15</v>
      </c>
      <c r="AC558">
        <v>3</v>
      </c>
      <c r="AD558" t="str">
        <f t="shared" si="17"/>
        <v>Low Performance</v>
      </c>
      <c r="AE558">
        <v>4</v>
      </c>
      <c r="AF558">
        <v>80</v>
      </c>
      <c r="AG558">
        <v>2</v>
      </c>
      <c r="AH558">
        <v>10</v>
      </c>
      <c r="AI558">
        <v>2</v>
      </c>
      <c r="AJ558">
        <v>3</v>
      </c>
      <c r="AK558" t="str" cm="1">
        <f t="array" ref="AK558">_xlfn.IFS(AJ558&lt;=2,"Poor",AJ558&lt;=3,"Fair",AJ558&gt;3,"Good")</f>
        <v>Fair</v>
      </c>
      <c r="AL558">
        <v>10</v>
      </c>
      <c r="AM558">
        <v>8</v>
      </c>
      <c r="AN558">
        <v>4</v>
      </c>
      <c r="AO558">
        <v>7</v>
      </c>
    </row>
    <row r="559" spans="1:41" x14ac:dyDescent="0.2">
      <c r="A559">
        <v>1808474</v>
      </c>
      <c r="B559">
        <v>38</v>
      </c>
      <c r="C559" t="str" cm="1">
        <f t="array" ref="C559">_xlfn.IFS(B559&lt;=25,"15-25",B559&lt;=35,"26-35",B559&lt;=45,"36-45",B559&lt;=55,"46-55",B559&lt;=65,"56-65")</f>
        <v>36-45</v>
      </c>
      <c r="D559" t="s">
        <v>35</v>
      </c>
      <c r="E559" t="str">
        <f t="shared" si="16"/>
        <v>Current Employee</v>
      </c>
      <c r="F559" t="s">
        <v>36</v>
      </c>
      <c r="G559">
        <v>268</v>
      </c>
      <c r="H559" t="s">
        <v>45</v>
      </c>
      <c r="I559">
        <v>2</v>
      </c>
      <c r="J559">
        <v>5</v>
      </c>
      <c r="K559" t="s">
        <v>49</v>
      </c>
      <c r="L559">
        <v>1</v>
      </c>
      <c r="M559">
        <v>4</v>
      </c>
      <c r="N559" t="s">
        <v>46</v>
      </c>
      <c r="O559">
        <v>92</v>
      </c>
      <c r="P559">
        <v>3</v>
      </c>
      <c r="Q559">
        <v>1</v>
      </c>
      <c r="R559" t="s">
        <v>47</v>
      </c>
      <c r="S559">
        <v>3</v>
      </c>
      <c r="T559" t="str" cm="1">
        <f t="array" ref="T559">_xlfn.IFS(S559&lt;=2,"Poor",S559&lt;=3,"Fair",S559&gt;=4,"Good")</f>
        <v>Fair</v>
      </c>
      <c r="U559" t="s">
        <v>48</v>
      </c>
      <c r="V559" s="1">
        <v>3057</v>
      </c>
      <c r="W559" t="str" cm="1">
        <f t="array" ref="W559">_xlfn.IFS(V559&lt;=5000,"Low Salary",V559&lt;=12000,"Good Salary",V559&gt;12000,"High Salary")</f>
        <v>Low Salary</v>
      </c>
      <c r="X559">
        <v>20471</v>
      </c>
      <c r="Y559">
        <v>6</v>
      </c>
      <c r="Z559" t="s">
        <v>42</v>
      </c>
      <c r="AA559" t="s">
        <v>43</v>
      </c>
      <c r="AB559">
        <v>13</v>
      </c>
      <c r="AC559">
        <v>3</v>
      </c>
      <c r="AD559" t="str">
        <f t="shared" si="17"/>
        <v>Low Performance</v>
      </c>
      <c r="AE559">
        <v>2</v>
      </c>
      <c r="AF559">
        <v>80</v>
      </c>
      <c r="AG559">
        <v>1</v>
      </c>
      <c r="AH559">
        <v>6</v>
      </c>
      <c r="AI559">
        <v>0</v>
      </c>
      <c r="AJ559">
        <v>1</v>
      </c>
      <c r="AK559" t="str" cm="1">
        <f t="array" ref="AK559">_xlfn.IFS(AJ559&lt;=2,"Poor",AJ559&lt;=3,"Fair",AJ559&gt;3,"Good")</f>
        <v>Poor</v>
      </c>
      <c r="AL559">
        <v>1</v>
      </c>
      <c r="AM559">
        <v>0</v>
      </c>
      <c r="AN559">
        <v>0</v>
      </c>
      <c r="AO559">
        <v>1</v>
      </c>
    </row>
    <row r="560" spans="1:41" x14ac:dyDescent="0.2">
      <c r="A560">
        <v>1254029</v>
      </c>
      <c r="B560">
        <v>34</v>
      </c>
      <c r="C560" t="str" cm="1">
        <f t="array" ref="C560">_xlfn.IFS(B560&lt;=25,"15-25",B560&lt;=35,"26-35",B560&lt;=45,"36-45",B560&lt;=55,"46-55",B560&lt;=65,"56-65")</f>
        <v>26-35</v>
      </c>
      <c r="D560" t="s">
        <v>35</v>
      </c>
      <c r="E560" t="str">
        <f t="shared" si="16"/>
        <v>Current Employee</v>
      </c>
      <c r="F560" t="s">
        <v>36</v>
      </c>
      <c r="G560">
        <v>167</v>
      </c>
      <c r="H560" t="s">
        <v>37</v>
      </c>
      <c r="I560">
        <v>8</v>
      </c>
      <c r="J560">
        <v>5</v>
      </c>
      <c r="K560" t="s">
        <v>38</v>
      </c>
      <c r="L560">
        <v>1</v>
      </c>
      <c r="M560">
        <v>2</v>
      </c>
      <c r="N560" t="s">
        <v>39</v>
      </c>
      <c r="O560">
        <v>32</v>
      </c>
      <c r="P560">
        <v>3</v>
      </c>
      <c r="Q560">
        <v>2</v>
      </c>
      <c r="R560" t="s">
        <v>51</v>
      </c>
      <c r="S560">
        <v>1</v>
      </c>
      <c r="T560" t="str" cm="1">
        <f t="array" ref="T560">_xlfn.IFS(S560&lt;=2,"Poor",S560&lt;=3,"Fair",S560&gt;=4,"Good")</f>
        <v>Poor</v>
      </c>
      <c r="U560" t="s">
        <v>50</v>
      </c>
      <c r="V560" s="1">
        <v>5121</v>
      </c>
      <c r="W560" t="str" cm="1">
        <f t="array" ref="W560">_xlfn.IFS(V560&lt;=5000,"Low Salary",V560&lt;=12000,"Good Salary",V560&gt;12000,"High Salary")</f>
        <v>Good Salary</v>
      </c>
      <c r="X560">
        <v>4187</v>
      </c>
      <c r="Y560">
        <v>3</v>
      </c>
      <c r="Z560" t="s">
        <v>42</v>
      </c>
      <c r="AA560" t="s">
        <v>35</v>
      </c>
      <c r="AB560">
        <v>14</v>
      </c>
      <c r="AC560">
        <v>3</v>
      </c>
      <c r="AD560" t="str">
        <f t="shared" si="17"/>
        <v>Low Performance</v>
      </c>
      <c r="AE560">
        <v>3</v>
      </c>
      <c r="AF560">
        <v>80</v>
      </c>
      <c r="AG560">
        <v>1</v>
      </c>
      <c r="AH560">
        <v>7</v>
      </c>
      <c r="AI560">
        <v>3</v>
      </c>
      <c r="AJ560">
        <v>3</v>
      </c>
      <c r="AK560" t="str" cm="1">
        <f t="array" ref="AK560">_xlfn.IFS(AJ560&lt;=2,"Poor",AJ560&lt;=3,"Fair",AJ560&gt;3,"Good")</f>
        <v>Fair</v>
      </c>
      <c r="AL560">
        <v>0</v>
      </c>
      <c r="AM560">
        <v>0</v>
      </c>
      <c r="AN560">
        <v>0</v>
      </c>
      <c r="AO560">
        <v>0</v>
      </c>
    </row>
    <row r="561" spans="1:41" x14ac:dyDescent="0.2">
      <c r="A561">
        <v>1581250</v>
      </c>
      <c r="B561">
        <v>52</v>
      </c>
      <c r="C561" t="str" cm="1">
        <f t="array" ref="C561">_xlfn.IFS(B561&lt;=25,"15-25",B561&lt;=35,"26-35",B561&lt;=45,"36-45",B561&lt;=55,"46-55",B561&lt;=65,"56-65")</f>
        <v>46-55</v>
      </c>
      <c r="D561" t="s">
        <v>35</v>
      </c>
      <c r="E561" t="str">
        <f t="shared" si="16"/>
        <v>Current Employee</v>
      </c>
      <c r="F561" t="s">
        <v>36</v>
      </c>
      <c r="G561">
        <v>621</v>
      </c>
      <c r="H561" t="s">
        <v>37</v>
      </c>
      <c r="I561">
        <v>3</v>
      </c>
      <c r="J561">
        <v>4</v>
      </c>
      <c r="K561" t="s">
        <v>55</v>
      </c>
      <c r="L561">
        <v>1</v>
      </c>
      <c r="M561">
        <v>3</v>
      </c>
      <c r="N561" t="s">
        <v>46</v>
      </c>
      <c r="O561">
        <v>31</v>
      </c>
      <c r="P561">
        <v>2</v>
      </c>
      <c r="Q561">
        <v>4</v>
      </c>
      <c r="R561" t="s">
        <v>53</v>
      </c>
      <c r="S561">
        <v>1</v>
      </c>
      <c r="T561" t="str" cm="1">
        <f t="array" ref="T561">_xlfn.IFS(S561&lt;=2,"Poor",S561&lt;=3,"Fair",S561&gt;=4,"Good")</f>
        <v>Poor</v>
      </c>
      <c r="U561" t="s">
        <v>48</v>
      </c>
      <c r="V561" s="1">
        <v>16856</v>
      </c>
      <c r="W561" t="str" cm="1">
        <f t="array" ref="W561">_xlfn.IFS(V561&lt;=5000,"Low Salary",V561&lt;=12000,"Good Salary",V561&gt;12000,"High Salary")</f>
        <v>High Salary</v>
      </c>
      <c r="X561">
        <v>10084</v>
      </c>
      <c r="Y561">
        <v>1</v>
      </c>
      <c r="Z561" t="s">
        <v>42</v>
      </c>
      <c r="AA561" t="s">
        <v>35</v>
      </c>
      <c r="AB561">
        <v>11</v>
      </c>
      <c r="AC561">
        <v>3</v>
      </c>
      <c r="AD561" t="str">
        <f t="shared" si="17"/>
        <v>Low Performance</v>
      </c>
      <c r="AE561">
        <v>1</v>
      </c>
      <c r="AF561">
        <v>80</v>
      </c>
      <c r="AG561">
        <v>0</v>
      </c>
      <c r="AH561">
        <v>34</v>
      </c>
      <c r="AI561">
        <v>3</v>
      </c>
      <c r="AJ561">
        <v>4</v>
      </c>
      <c r="AK561" t="str" cm="1">
        <f t="array" ref="AK561">_xlfn.IFS(AJ561&lt;=2,"Poor",AJ561&lt;=3,"Fair",AJ561&gt;3,"Good")</f>
        <v>Good</v>
      </c>
      <c r="AL561">
        <v>34</v>
      </c>
      <c r="AM561">
        <v>6</v>
      </c>
      <c r="AN561">
        <v>1</v>
      </c>
      <c r="AO561">
        <v>16</v>
      </c>
    </row>
    <row r="562" spans="1:41" x14ac:dyDescent="0.2">
      <c r="A562">
        <v>1269152</v>
      </c>
      <c r="B562">
        <v>33</v>
      </c>
      <c r="C562" t="str" cm="1">
        <f t="array" ref="C562">_xlfn.IFS(B562&lt;=25,"15-25",B562&lt;=35,"26-35",B562&lt;=45,"36-45",B562&lt;=55,"46-55",B562&lt;=65,"56-65")</f>
        <v>26-35</v>
      </c>
      <c r="D562" t="s">
        <v>43</v>
      </c>
      <c r="E562" t="str">
        <f t="shared" si="16"/>
        <v>Former Employee</v>
      </c>
      <c r="F562" t="s">
        <v>36</v>
      </c>
      <c r="G562">
        <v>527</v>
      </c>
      <c r="H562" t="s">
        <v>45</v>
      </c>
      <c r="I562">
        <v>1</v>
      </c>
      <c r="J562">
        <v>4</v>
      </c>
      <c r="K562" t="s">
        <v>47</v>
      </c>
      <c r="L562">
        <v>1</v>
      </c>
      <c r="M562">
        <v>4</v>
      </c>
      <c r="N562" t="s">
        <v>46</v>
      </c>
      <c r="O562">
        <v>63</v>
      </c>
      <c r="P562">
        <v>3</v>
      </c>
      <c r="Q562">
        <v>1</v>
      </c>
      <c r="R562" t="s">
        <v>47</v>
      </c>
      <c r="S562">
        <v>4</v>
      </c>
      <c r="T562" t="str" cm="1">
        <f t="array" ref="T562">_xlfn.IFS(S562&lt;=2,"Poor",S562&lt;=3,"Fair",S562&gt;=4,"Good")</f>
        <v>Good</v>
      </c>
      <c r="U562" t="s">
        <v>41</v>
      </c>
      <c r="V562" s="1">
        <v>2686</v>
      </c>
      <c r="W562" t="str" cm="1">
        <f t="array" ref="W562">_xlfn.IFS(V562&lt;=5000,"Low Salary",V562&lt;=12000,"Good Salary",V562&gt;12000,"High Salary")</f>
        <v>Low Salary</v>
      </c>
      <c r="X562">
        <v>5207</v>
      </c>
      <c r="Y562">
        <v>1</v>
      </c>
      <c r="Z562" t="s">
        <v>42</v>
      </c>
      <c r="AA562" t="s">
        <v>43</v>
      </c>
      <c r="AB562">
        <v>13</v>
      </c>
      <c r="AC562">
        <v>3</v>
      </c>
      <c r="AD562" t="str">
        <f t="shared" si="17"/>
        <v>Low Performance</v>
      </c>
      <c r="AE562">
        <v>3</v>
      </c>
      <c r="AF562">
        <v>80</v>
      </c>
      <c r="AG562">
        <v>0</v>
      </c>
      <c r="AH562">
        <v>10</v>
      </c>
      <c r="AI562">
        <v>2</v>
      </c>
      <c r="AJ562">
        <v>2</v>
      </c>
      <c r="AK562" t="str" cm="1">
        <f t="array" ref="AK562">_xlfn.IFS(AJ562&lt;=2,"Poor",AJ562&lt;=3,"Fair",AJ562&gt;3,"Good")</f>
        <v>Poor</v>
      </c>
      <c r="AL562">
        <v>10</v>
      </c>
      <c r="AM562">
        <v>9</v>
      </c>
      <c r="AN562">
        <v>7</v>
      </c>
      <c r="AO562">
        <v>8</v>
      </c>
    </row>
    <row r="563" spans="1:41" x14ac:dyDescent="0.2">
      <c r="A563">
        <v>1615430</v>
      </c>
      <c r="B563">
        <v>25</v>
      </c>
      <c r="C563" t="str" cm="1">
        <f t="array" ref="C563">_xlfn.IFS(B563&lt;=25,"15-25",B563&lt;=35,"26-35",B563&lt;=45,"36-45",B563&lt;=55,"46-55",B563&lt;=65,"56-65")</f>
        <v>15-25</v>
      </c>
      <c r="D563" t="s">
        <v>35</v>
      </c>
      <c r="E563" t="str">
        <f t="shared" si="16"/>
        <v>Current Employee</v>
      </c>
      <c r="F563" t="s">
        <v>36</v>
      </c>
      <c r="G563">
        <v>883</v>
      </c>
      <c r="H563" t="s">
        <v>37</v>
      </c>
      <c r="I563">
        <v>26</v>
      </c>
      <c r="J563">
        <v>1</v>
      </c>
      <c r="K563" t="s">
        <v>49</v>
      </c>
      <c r="L563">
        <v>1</v>
      </c>
      <c r="M563">
        <v>3</v>
      </c>
      <c r="N563" t="s">
        <v>39</v>
      </c>
      <c r="O563">
        <v>32</v>
      </c>
      <c r="P563">
        <v>3</v>
      </c>
      <c r="Q563">
        <v>2</v>
      </c>
      <c r="R563" t="s">
        <v>40</v>
      </c>
      <c r="S563">
        <v>4</v>
      </c>
      <c r="T563" t="str" cm="1">
        <f t="array" ref="T563">_xlfn.IFS(S563&lt;=2,"Poor",S563&lt;=3,"Fair",S563&gt;=4,"Good")</f>
        <v>Good</v>
      </c>
      <c r="U563" t="s">
        <v>41</v>
      </c>
      <c r="V563" s="1">
        <v>6180</v>
      </c>
      <c r="W563" t="str" cm="1">
        <f t="array" ref="W563">_xlfn.IFS(V563&lt;=5000,"Low Salary",V563&lt;=12000,"Good Salary",V563&gt;12000,"High Salary")</f>
        <v>Good Salary</v>
      </c>
      <c r="X563">
        <v>22807</v>
      </c>
      <c r="Y563">
        <v>1</v>
      </c>
      <c r="Z563" t="s">
        <v>42</v>
      </c>
      <c r="AA563" t="s">
        <v>35</v>
      </c>
      <c r="AB563">
        <v>23</v>
      </c>
      <c r="AC563">
        <v>4</v>
      </c>
      <c r="AD563" t="str">
        <f t="shared" si="17"/>
        <v>High Performance</v>
      </c>
      <c r="AE563">
        <v>2</v>
      </c>
      <c r="AF563">
        <v>80</v>
      </c>
      <c r="AG563">
        <v>0</v>
      </c>
      <c r="AH563">
        <v>6</v>
      </c>
      <c r="AI563">
        <v>5</v>
      </c>
      <c r="AJ563">
        <v>2</v>
      </c>
      <c r="AK563" t="str" cm="1">
        <f t="array" ref="AK563">_xlfn.IFS(AJ563&lt;=2,"Poor",AJ563&lt;=3,"Fair",AJ563&gt;3,"Good")</f>
        <v>Poor</v>
      </c>
      <c r="AL563">
        <v>6</v>
      </c>
      <c r="AM563">
        <v>5</v>
      </c>
      <c r="AN563">
        <v>1</v>
      </c>
      <c r="AO563">
        <v>4</v>
      </c>
    </row>
    <row r="564" spans="1:41" x14ac:dyDescent="0.2">
      <c r="A564">
        <v>1186983</v>
      </c>
      <c r="B564">
        <v>45</v>
      </c>
      <c r="C564" t="str" cm="1">
        <f t="array" ref="C564">_xlfn.IFS(B564&lt;=25,"15-25",B564&lt;=35,"26-35",B564&lt;=45,"36-45",B564&lt;=55,"46-55",B564&lt;=65,"56-65")</f>
        <v>36-45</v>
      </c>
      <c r="D564" t="s">
        <v>35</v>
      </c>
      <c r="E564" t="str">
        <f t="shared" si="16"/>
        <v>Current Employee</v>
      </c>
      <c r="F564" t="s">
        <v>36</v>
      </c>
      <c r="G564">
        <v>954</v>
      </c>
      <c r="H564" t="s">
        <v>37</v>
      </c>
      <c r="I564">
        <v>2</v>
      </c>
      <c r="J564">
        <v>2</v>
      </c>
      <c r="K564" t="s">
        <v>56</v>
      </c>
      <c r="L564">
        <v>1</v>
      </c>
      <c r="M564">
        <v>2</v>
      </c>
      <c r="N564" t="s">
        <v>46</v>
      </c>
      <c r="O564">
        <v>46</v>
      </c>
      <c r="P564">
        <v>1</v>
      </c>
      <c r="Q564">
        <v>2</v>
      </c>
      <c r="R564" t="s">
        <v>47</v>
      </c>
      <c r="S564">
        <v>3</v>
      </c>
      <c r="T564" t="str" cm="1">
        <f t="array" ref="T564">_xlfn.IFS(S564&lt;=2,"Poor",S564&lt;=3,"Fair",S564&gt;=4,"Good")</f>
        <v>Fair</v>
      </c>
      <c r="U564" t="s">
        <v>41</v>
      </c>
      <c r="V564" s="1">
        <v>6632</v>
      </c>
      <c r="W564" t="str" cm="1">
        <f t="array" ref="W564">_xlfn.IFS(V564&lt;=5000,"Low Salary",V564&lt;=12000,"Good Salary",V564&gt;12000,"High Salary")</f>
        <v>Good Salary</v>
      </c>
      <c r="X564">
        <v>12388</v>
      </c>
      <c r="Y564">
        <v>0</v>
      </c>
      <c r="Z564" t="s">
        <v>42</v>
      </c>
      <c r="AA564" t="s">
        <v>35</v>
      </c>
      <c r="AB564">
        <v>13</v>
      </c>
      <c r="AC564">
        <v>3</v>
      </c>
      <c r="AD564" t="str">
        <f t="shared" si="17"/>
        <v>Low Performance</v>
      </c>
      <c r="AE564">
        <v>1</v>
      </c>
      <c r="AF564">
        <v>80</v>
      </c>
      <c r="AG564">
        <v>0</v>
      </c>
      <c r="AH564">
        <v>9</v>
      </c>
      <c r="AI564">
        <v>3</v>
      </c>
      <c r="AJ564">
        <v>3</v>
      </c>
      <c r="AK564" t="str" cm="1">
        <f t="array" ref="AK564">_xlfn.IFS(AJ564&lt;=2,"Poor",AJ564&lt;=3,"Fair",AJ564&gt;3,"Good")</f>
        <v>Fair</v>
      </c>
      <c r="AL564">
        <v>8</v>
      </c>
      <c r="AM564">
        <v>7</v>
      </c>
      <c r="AN564">
        <v>3</v>
      </c>
      <c r="AO564">
        <v>1</v>
      </c>
    </row>
    <row r="565" spans="1:41" x14ac:dyDescent="0.2">
      <c r="A565">
        <v>1570791</v>
      </c>
      <c r="B565">
        <v>23</v>
      </c>
      <c r="C565" t="str" cm="1">
        <f t="array" ref="C565">_xlfn.IFS(B565&lt;=25,"15-25",B565&lt;=35,"26-35",B565&lt;=45,"36-45",B565&lt;=55,"46-55",B565&lt;=65,"56-65")</f>
        <v>15-25</v>
      </c>
      <c r="D565" t="s">
        <v>35</v>
      </c>
      <c r="E565" t="str">
        <f t="shared" si="16"/>
        <v>Current Employee</v>
      </c>
      <c r="F565" t="s">
        <v>36</v>
      </c>
      <c r="G565">
        <v>310</v>
      </c>
      <c r="H565" t="s">
        <v>45</v>
      </c>
      <c r="I565">
        <v>10</v>
      </c>
      <c r="J565">
        <v>1</v>
      </c>
      <c r="K565" t="s">
        <v>49</v>
      </c>
      <c r="L565">
        <v>1</v>
      </c>
      <c r="M565">
        <v>1</v>
      </c>
      <c r="N565" t="s">
        <v>46</v>
      </c>
      <c r="O565">
        <v>79</v>
      </c>
      <c r="P565">
        <v>4</v>
      </c>
      <c r="Q565">
        <v>1</v>
      </c>
      <c r="R565" t="s">
        <v>47</v>
      </c>
      <c r="S565">
        <v>3</v>
      </c>
      <c r="T565" t="str" cm="1">
        <f t="array" ref="T565">_xlfn.IFS(S565&lt;=2,"Poor",S565&lt;=3,"Fair",S565&gt;=4,"Good")</f>
        <v>Fair</v>
      </c>
      <c r="U565" t="s">
        <v>41</v>
      </c>
      <c r="V565" s="1">
        <v>3505</v>
      </c>
      <c r="W565" t="str" cm="1">
        <f t="array" ref="W565">_xlfn.IFS(V565&lt;=5000,"Low Salary",V565&lt;=12000,"Good Salary",V565&gt;12000,"High Salary")</f>
        <v>Low Salary</v>
      </c>
      <c r="X565">
        <v>19630</v>
      </c>
      <c r="Y565">
        <v>1</v>
      </c>
      <c r="Z565" t="s">
        <v>42</v>
      </c>
      <c r="AA565" t="s">
        <v>35</v>
      </c>
      <c r="AB565">
        <v>18</v>
      </c>
      <c r="AC565">
        <v>3</v>
      </c>
      <c r="AD565" t="str">
        <f t="shared" si="17"/>
        <v>Low Performance</v>
      </c>
      <c r="AE565">
        <v>4</v>
      </c>
      <c r="AF565">
        <v>80</v>
      </c>
      <c r="AG565">
        <v>0</v>
      </c>
      <c r="AH565">
        <v>2</v>
      </c>
      <c r="AI565">
        <v>3</v>
      </c>
      <c r="AJ565">
        <v>3</v>
      </c>
      <c r="AK565" t="str" cm="1">
        <f t="array" ref="AK565">_xlfn.IFS(AJ565&lt;=2,"Poor",AJ565&lt;=3,"Fair",AJ565&gt;3,"Good")</f>
        <v>Fair</v>
      </c>
      <c r="AL565">
        <v>2</v>
      </c>
      <c r="AM565">
        <v>2</v>
      </c>
      <c r="AN565">
        <v>0</v>
      </c>
      <c r="AO565">
        <v>2</v>
      </c>
    </row>
    <row r="566" spans="1:41" x14ac:dyDescent="0.2">
      <c r="A566">
        <v>1052229</v>
      </c>
      <c r="B566">
        <v>47</v>
      </c>
      <c r="C566" t="str" cm="1">
        <f t="array" ref="C566">_xlfn.IFS(B566&lt;=25,"15-25",B566&lt;=35,"26-35",B566&lt;=45,"36-45",B566&lt;=55,"46-55",B566&lt;=65,"56-65")</f>
        <v>46-55</v>
      </c>
      <c r="D566" t="s">
        <v>43</v>
      </c>
      <c r="E566" t="str">
        <f t="shared" si="16"/>
        <v>Former Employee</v>
      </c>
      <c r="F566" t="s">
        <v>44</v>
      </c>
      <c r="G566">
        <v>719</v>
      </c>
      <c r="H566" t="s">
        <v>37</v>
      </c>
      <c r="I566">
        <v>27</v>
      </c>
      <c r="J566">
        <v>2</v>
      </c>
      <c r="K566" t="s">
        <v>38</v>
      </c>
      <c r="L566">
        <v>1</v>
      </c>
      <c r="M566">
        <v>2</v>
      </c>
      <c r="N566" t="s">
        <v>39</v>
      </c>
      <c r="O566">
        <v>77</v>
      </c>
      <c r="P566">
        <v>4</v>
      </c>
      <c r="Q566">
        <v>2</v>
      </c>
      <c r="R566" t="s">
        <v>40</v>
      </c>
      <c r="S566">
        <v>3</v>
      </c>
      <c r="T566" t="str" cm="1">
        <f t="array" ref="T566">_xlfn.IFS(S566&lt;=2,"Poor",S566&lt;=3,"Fair",S566&gt;=4,"Good")</f>
        <v>Fair</v>
      </c>
      <c r="U566" t="s">
        <v>41</v>
      </c>
      <c r="V566" s="1">
        <v>6397</v>
      </c>
      <c r="W566" t="str" cm="1">
        <f t="array" ref="W566">_xlfn.IFS(V566&lt;=5000,"Low Salary",V566&lt;=12000,"Good Salary",V566&gt;12000,"High Salary")</f>
        <v>Good Salary</v>
      </c>
      <c r="X566">
        <v>10339</v>
      </c>
      <c r="Y566">
        <v>4</v>
      </c>
      <c r="Z566" t="s">
        <v>42</v>
      </c>
      <c r="AA566" t="s">
        <v>43</v>
      </c>
      <c r="AB566">
        <v>12</v>
      </c>
      <c r="AC566">
        <v>3</v>
      </c>
      <c r="AD566" t="str">
        <f t="shared" si="17"/>
        <v>Low Performance</v>
      </c>
      <c r="AE566">
        <v>4</v>
      </c>
      <c r="AF566">
        <v>80</v>
      </c>
      <c r="AG566">
        <v>0</v>
      </c>
      <c r="AH566">
        <v>8</v>
      </c>
      <c r="AI566">
        <v>2</v>
      </c>
      <c r="AJ566">
        <v>3</v>
      </c>
      <c r="AK566" t="str" cm="1">
        <f t="array" ref="AK566">_xlfn.IFS(AJ566&lt;=2,"Poor",AJ566&lt;=3,"Fair",AJ566&gt;3,"Good")</f>
        <v>Fair</v>
      </c>
      <c r="AL566">
        <v>5</v>
      </c>
      <c r="AM566">
        <v>4</v>
      </c>
      <c r="AN566">
        <v>1</v>
      </c>
      <c r="AO566">
        <v>3</v>
      </c>
    </row>
    <row r="567" spans="1:41" x14ac:dyDescent="0.2">
      <c r="A567">
        <v>1551168</v>
      </c>
      <c r="B567">
        <v>34</v>
      </c>
      <c r="C567" t="str" cm="1">
        <f t="array" ref="C567">_xlfn.IFS(B567&lt;=25,"15-25",B567&lt;=35,"26-35",B567&lt;=45,"36-45",B567&lt;=55,"46-55",B567&lt;=65,"56-65")</f>
        <v>26-35</v>
      </c>
      <c r="D567" t="s">
        <v>35</v>
      </c>
      <c r="E567" t="str">
        <f t="shared" si="16"/>
        <v>Current Employee</v>
      </c>
      <c r="F567" t="s">
        <v>36</v>
      </c>
      <c r="G567">
        <v>304</v>
      </c>
      <c r="H567" t="s">
        <v>37</v>
      </c>
      <c r="I567">
        <v>2</v>
      </c>
      <c r="J567">
        <v>3</v>
      </c>
      <c r="K567" t="s">
        <v>47</v>
      </c>
      <c r="L567">
        <v>1</v>
      </c>
      <c r="M567">
        <v>4</v>
      </c>
      <c r="N567" t="s">
        <v>46</v>
      </c>
      <c r="O567">
        <v>60</v>
      </c>
      <c r="P567">
        <v>3</v>
      </c>
      <c r="Q567">
        <v>2</v>
      </c>
      <c r="R567" t="s">
        <v>40</v>
      </c>
      <c r="S567">
        <v>4</v>
      </c>
      <c r="T567" t="str" cm="1">
        <f t="array" ref="T567">_xlfn.IFS(S567&lt;=2,"Poor",S567&lt;=3,"Fair",S567&gt;=4,"Good")</f>
        <v>Good</v>
      </c>
      <c r="U567" t="s">
        <v>41</v>
      </c>
      <c r="V567" s="1">
        <v>6274</v>
      </c>
      <c r="W567" t="str" cm="1">
        <f t="array" ref="W567">_xlfn.IFS(V567&lt;=5000,"Low Salary",V567&lt;=12000,"Good Salary",V567&gt;12000,"High Salary")</f>
        <v>Good Salary</v>
      </c>
      <c r="X567">
        <v>18686</v>
      </c>
      <c r="Y567">
        <v>1</v>
      </c>
      <c r="Z567" t="s">
        <v>42</v>
      </c>
      <c r="AA567" t="s">
        <v>35</v>
      </c>
      <c r="AB567">
        <v>22</v>
      </c>
      <c r="AC567">
        <v>4</v>
      </c>
      <c r="AD567" t="str">
        <f t="shared" si="17"/>
        <v>High Performance</v>
      </c>
      <c r="AE567">
        <v>3</v>
      </c>
      <c r="AF567">
        <v>80</v>
      </c>
      <c r="AG567">
        <v>0</v>
      </c>
      <c r="AH567">
        <v>6</v>
      </c>
      <c r="AI567">
        <v>5</v>
      </c>
      <c r="AJ567">
        <v>3</v>
      </c>
      <c r="AK567" t="str" cm="1">
        <f t="array" ref="AK567">_xlfn.IFS(AJ567&lt;=2,"Poor",AJ567&lt;=3,"Fair",AJ567&gt;3,"Good")</f>
        <v>Fair</v>
      </c>
      <c r="AL567">
        <v>6</v>
      </c>
      <c r="AM567">
        <v>5</v>
      </c>
      <c r="AN567">
        <v>1</v>
      </c>
      <c r="AO567">
        <v>4</v>
      </c>
    </row>
    <row r="568" spans="1:41" x14ac:dyDescent="0.2">
      <c r="A568">
        <v>1699666</v>
      </c>
      <c r="B568">
        <v>55</v>
      </c>
      <c r="C568" t="str" cm="1">
        <f t="array" ref="C568">_xlfn.IFS(B568&lt;=25,"15-25",B568&lt;=35,"26-35",B568&lt;=45,"36-45",B568&lt;=55,"46-55",B568&lt;=65,"56-65")</f>
        <v>46-55</v>
      </c>
      <c r="D568" t="s">
        <v>43</v>
      </c>
      <c r="E568" t="str">
        <f t="shared" si="16"/>
        <v>Former Employee</v>
      </c>
      <c r="F568" t="s">
        <v>36</v>
      </c>
      <c r="G568">
        <v>725</v>
      </c>
      <c r="H568" t="s">
        <v>54</v>
      </c>
      <c r="I568">
        <v>2</v>
      </c>
      <c r="J568">
        <v>3</v>
      </c>
      <c r="K568" t="s">
        <v>49</v>
      </c>
      <c r="L568">
        <v>1</v>
      </c>
      <c r="M568">
        <v>4</v>
      </c>
      <c r="N568" t="s">
        <v>46</v>
      </c>
      <c r="O568">
        <v>78</v>
      </c>
      <c r="P568">
        <v>3</v>
      </c>
      <c r="Q568">
        <v>5</v>
      </c>
      <c r="R568" t="s">
        <v>47</v>
      </c>
      <c r="S568">
        <v>1</v>
      </c>
      <c r="T568" t="str" cm="1">
        <f t="array" ref="T568">_xlfn.IFS(S568&lt;=2,"Poor",S568&lt;=3,"Fair",S568&gt;=4,"Good")</f>
        <v>Poor</v>
      </c>
      <c r="U568" t="s">
        <v>48</v>
      </c>
      <c r="V568" s="1">
        <v>19859</v>
      </c>
      <c r="W568" t="str" cm="1">
        <f t="array" ref="W568">_xlfn.IFS(V568&lt;=5000,"Low Salary",V568&lt;=12000,"Good Salary",V568&gt;12000,"High Salary")</f>
        <v>High Salary</v>
      </c>
      <c r="X568">
        <v>21199</v>
      </c>
      <c r="Y568">
        <v>5</v>
      </c>
      <c r="Z568" t="s">
        <v>42</v>
      </c>
      <c r="AA568" t="s">
        <v>43</v>
      </c>
      <c r="AB568">
        <v>13</v>
      </c>
      <c r="AC568">
        <v>3</v>
      </c>
      <c r="AD568" t="str">
        <f t="shared" si="17"/>
        <v>Low Performance</v>
      </c>
      <c r="AE568">
        <v>4</v>
      </c>
      <c r="AF568">
        <v>80</v>
      </c>
      <c r="AG568">
        <v>1</v>
      </c>
      <c r="AH568">
        <v>24</v>
      </c>
      <c r="AI568">
        <v>2</v>
      </c>
      <c r="AJ568">
        <v>3</v>
      </c>
      <c r="AK568" t="str" cm="1">
        <f t="array" ref="AK568">_xlfn.IFS(AJ568&lt;=2,"Poor",AJ568&lt;=3,"Fair",AJ568&gt;3,"Good")</f>
        <v>Fair</v>
      </c>
      <c r="AL568">
        <v>5</v>
      </c>
      <c r="AM568">
        <v>2</v>
      </c>
      <c r="AN568">
        <v>1</v>
      </c>
      <c r="AO568">
        <v>4</v>
      </c>
    </row>
    <row r="569" spans="1:41" x14ac:dyDescent="0.2">
      <c r="A569">
        <v>1521095</v>
      </c>
      <c r="B569">
        <v>36</v>
      </c>
      <c r="C569" t="str" cm="1">
        <f t="array" ref="C569">_xlfn.IFS(B569&lt;=25,"15-25",B569&lt;=35,"26-35",B569&lt;=45,"36-45",B569&lt;=55,"46-55",B569&lt;=65,"56-65")</f>
        <v>36-45</v>
      </c>
      <c r="D569" t="s">
        <v>35</v>
      </c>
      <c r="E569" t="str">
        <f t="shared" si="16"/>
        <v>Current Employee</v>
      </c>
      <c r="F569" t="s">
        <v>52</v>
      </c>
      <c r="G569">
        <v>1434</v>
      </c>
      <c r="H569" t="s">
        <v>37</v>
      </c>
      <c r="I569">
        <v>8</v>
      </c>
      <c r="J569">
        <v>4</v>
      </c>
      <c r="K569" t="s">
        <v>38</v>
      </c>
      <c r="L569">
        <v>1</v>
      </c>
      <c r="M569">
        <v>1</v>
      </c>
      <c r="N569" t="s">
        <v>46</v>
      </c>
      <c r="O569">
        <v>76</v>
      </c>
      <c r="P569">
        <v>2</v>
      </c>
      <c r="Q569">
        <v>3</v>
      </c>
      <c r="R569" t="s">
        <v>40</v>
      </c>
      <c r="S569">
        <v>1</v>
      </c>
      <c r="T569" t="str" cm="1">
        <f t="array" ref="T569">_xlfn.IFS(S569&lt;=2,"Poor",S569&lt;=3,"Fair",S569&gt;=4,"Good")</f>
        <v>Poor</v>
      </c>
      <c r="U569" t="s">
        <v>41</v>
      </c>
      <c r="V569" s="1">
        <v>7587</v>
      </c>
      <c r="W569" t="str" cm="1">
        <f t="array" ref="W569">_xlfn.IFS(V569&lt;=5000,"Low Salary",V569&lt;=12000,"Good Salary",V569&gt;12000,"High Salary")</f>
        <v>Good Salary</v>
      </c>
      <c r="X569">
        <v>14229</v>
      </c>
      <c r="Y569">
        <v>1</v>
      </c>
      <c r="Z569" t="s">
        <v>42</v>
      </c>
      <c r="AA569" t="s">
        <v>35</v>
      </c>
      <c r="AB569">
        <v>15</v>
      </c>
      <c r="AC569">
        <v>3</v>
      </c>
      <c r="AD569" t="str">
        <f t="shared" si="17"/>
        <v>Low Performance</v>
      </c>
      <c r="AE569">
        <v>2</v>
      </c>
      <c r="AF569">
        <v>80</v>
      </c>
      <c r="AG569">
        <v>0</v>
      </c>
      <c r="AH569">
        <v>10</v>
      </c>
      <c r="AI569">
        <v>1</v>
      </c>
      <c r="AJ569">
        <v>3</v>
      </c>
      <c r="AK569" t="str" cm="1">
        <f t="array" ref="AK569">_xlfn.IFS(AJ569&lt;=2,"Poor",AJ569&lt;=3,"Fair",AJ569&gt;3,"Good")</f>
        <v>Fair</v>
      </c>
      <c r="AL569">
        <v>10</v>
      </c>
      <c r="AM569">
        <v>7</v>
      </c>
      <c r="AN569">
        <v>0</v>
      </c>
      <c r="AO569">
        <v>9</v>
      </c>
    </row>
    <row r="570" spans="1:41" x14ac:dyDescent="0.2">
      <c r="A570">
        <v>1224712</v>
      </c>
      <c r="B570">
        <v>52</v>
      </c>
      <c r="C570" t="str" cm="1">
        <f t="array" ref="C570">_xlfn.IFS(B570&lt;=25,"15-25",B570&lt;=35,"26-35",B570&lt;=45,"36-45",B570&lt;=55,"46-55",B570&lt;=65,"56-65")</f>
        <v>46-55</v>
      </c>
      <c r="D570" t="s">
        <v>35</v>
      </c>
      <c r="E570" t="str">
        <f t="shared" si="16"/>
        <v>Current Employee</v>
      </c>
      <c r="F570" t="s">
        <v>52</v>
      </c>
      <c r="G570">
        <v>715</v>
      </c>
      <c r="H570" t="s">
        <v>45</v>
      </c>
      <c r="I570">
        <v>19</v>
      </c>
      <c r="J570">
        <v>4</v>
      </c>
      <c r="K570" t="s">
        <v>49</v>
      </c>
      <c r="L570">
        <v>1</v>
      </c>
      <c r="M570">
        <v>4</v>
      </c>
      <c r="N570" t="s">
        <v>46</v>
      </c>
      <c r="O570">
        <v>41</v>
      </c>
      <c r="P570">
        <v>3</v>
      </c>
      <c r="Q570">
        <v>1</v>
      </c>
      <c r="R570" t="s">
        <v>47</v>
      </c>
      <c r="S570">
        <v>4</v>
      </c>
      <c r="T570" t="str" cm="1">
        <f t="array" ref="T570">_xlfn.IFS(S570&lt;=2,"Poor",S570&lt;=3,"Fair",S570&gt;=4,"Good")</f>
        <v>Good</v>
      </c>
      <c r="U570" t="s">
        <v>48</v>
      </c>
      <c r="V570" s="1">
        <v>4258</v>
      </c>
      <c r="W570" t="str" cm="1">
        <f t="array" ref="W570">_xlfn.IFS(V570&lt;=5000,"Low Salary",V570&lt;=12000,"Good Salary",V570&gt;12000,"High Salary")</f>
        <v>Low Salary</v>
      </c>
      <c r="X570">
        <v>26589</v>
      </c>
      <c r="Y570">
        <v>0</v>
      </c>
      <c r="Z570" t="s">
        <v>42</v>
      </c>
      <c r="AA570" t="s">
        <v>35</v>
      </c>
      <c r="AB570">
        <v>18</v>
      </c>
      <c r="AC570">
        <v>3</v>
      </c>
      <c r="AD570" t="str">
        <f t="shared" si="17"/>
        <v>Low Performance</v>
      </c>
      <c r="AE570">
        <v>1</v>
      </c>
      <c r="AF570">
        <v>80</v>
      </c>
      <c r="AG570">
        <v>1</v>
      </c>
      <c r="AH570">
        <v>5</v>
      </c>
      <c r="AI570">
        <v>3</v>
      </c>
      <c r="AJ570">
        <v>3</v>
      </c>
      <c r="AK570" t="str" cm="1">
        <f t="array" ref="AK570">_xlfn.IFS(AJ570&lt;=2,"Poor",AJ570&lt;=3,"Fair",AJ570&gt;3,"Good")</f>
        <v>Fair</v>
      </c>
      <c r="AL570">
        <v>4</v>
      </c>
      <c r="AM570">
        <v>3</v>
      </c>
      <c r="AN570">
        <v>1</v>
      </c>
      <c r="AO570">
        <v>2</v>
      </c>
    </row>
    <row r="571" spans="1:41" x14ac:dyDescent="0.2">
      <c r="A571">
        <v>1238998</v>
      </c>
      <c r="B571">
        <v>26</v>
      </c>
      <c r="C571" t="str" cm="1">
        <f t="array" ref="C571">_xlfn.IFS(B571&lt;=25,"15-25",B571&lt;=35,"26-35",B571&lt;=45,"36-45",B571&lt;=55,"46-55",B571&lt;=65,"56-65")</f>
        <v>26-35</v>
      </c>
      <c r="D571" t="s">
        <v>35</v>
      </c>
      <c r="E571" t="str">
        <f t="shared" si="16"/>
        <v>Current Employee</v>
      </c>
      <c r="F571" t="s">
        <v>44</v>
      </c>
      <c r="G571">
        <v>575</v>
      </c>
      <c r="H571" t="s">
        <v>45</v>
      </c>
      <c r="I571">
        <v>1</v>
      </c>
      <c r="J571">
        <v>2</v>
      </c>
      <c r="K571" t="s">
        <v>38</v>
      </c>
      <c r="L571">
        <v>1</v>
      </c>
      <c r="M571">
        <v>1</v>
      </c>
      <c r="N571" t="s">
        <v>39</v>
      </c>
      <c r="O571">
        <v>71</v>
      </c>
      <c r="P571">
        <v>1</v>
      </c>
      <c r="Q571">
        <v>1</v>
      </c>
      <c r="R571" t="s">
        <v>40</v>
      </c>
      <c r="S571">
        <v>4</v>
      </c>
      <c r="T571" t="str" cm="1">
        <f t="array" ref="T571">_xlfn.IFS(S571&lt;=2,"Poor",S571&lt;=3,"Fair",S571&gt;=4,"Good")</f>
        <v>Good</v>
      </c>
      <c r="U571" t="s">
        <v>50</v>
      </c>
      <c r="V571" s="1">
        <v>4364</v>
      </c>
      <c r="W571" t="str" cm="1">
        <f t="array" ref="W571">_xlfn.IFS(V571&lt;=5000,"Low Salary",V571&lt;=12000,"Good Salary",V571&gt;12000,"High Salary")</f>
        <v>Low Salary</v>
      </c>
      <c r="X571">
        <v>5288</v>
      </c>
      <c r="Y571">
        <v>3</v>
      </c>
      <c r="Z571" t="s">
        <v>42</v>
      </c>
      <c r="AA571" t="s">
        <v>35</v>
      </c>
      <c r="AB571">
        <v>14</v>
      </c>
      <c r="AC571">
        <v>3</v>
      </c>
      <c r="AD571" t="str">
        <f t="shared" si="17"/>
        <v>Low Performance</v>
      </c>
      <c r="AE571">
        <v>1</v>
      </c>
      <c r="AF571">
        <v>80</v>
      </c>
      <c r="AG571">
        <v>1</v>
      </c>
      <c r="AH571">
        <v>5</v>
      </c>
      <c r="AI571">
        <v>2</v>
      </c>
      <c r="AJ571">
        <v>3</v>
      </c>
      <c r="AK571" t="str" cm="1">
        <f t="array" ref="AK571">_xlfn.IFS(AJ571&lt;=2,"Poor",AJ571&lt;=3,"Fair",AJ571&gt;3,"Good")</f>
        <v>Fair</v>
      </c>
      <c r="AL571">
        <v>2</v>
      </c>
      <c r="AM571">
        <v>2</v>
      </c>
      <c r="AN571">
        <v>2</v>
      </c>
      <c r="AO571">
        <v>0</v>
      </c>
    </row>
    <row r="572" spans="1:41" x14ac:dyDescent="0.2">
      <c r="A572">
        <v>1541532</v>
      </c>
      <c r="B572">
        <v>29</v>
      </c>
      <c r="C572" t="str" cm="1">
        <f t="array" ref="C572">_xlfn.IFS(B572&lt;=25,"15-25",B572&lt;=35,"26-35",B572&lt;=45,"36-45",B572&lt;=55,"46-55",B572&lt;=65,"56-65")</f>
        <v>26-35</v>
      </c>
      <c r="D572" t="s">
        <v>35</v>
      </c>
      <c r="E572" t="str">
        <f t="shared" si="16"/>
        <v>Current Employee</v>
      </c>
      <c r="F572" t="s">
        <v>36</v>
      </c>
      <c r="G572">
        <v>657</v>
      </c>
      <c r="H572" t="s">
        <v>45</v>
      </c>
      <c r="I572">
        <v>27</v>
      </c>
      <c r="J572">
        <v>3</v>
      </c>
      <c r="K572" t="s">
        <v>49</v>
      </c>
      <c r="L572">
        <v>1</v>
      </c>
      <c r="M572">
        <v>2</v>
      </c>
      <c r="N572" t="s">
        <v>39</v>
      </c>
      <c r="O572">
        <v>66</v>
      </c>
      <c r="P572">
        <v>3</v>
      </c>
      <c r="Q572">
        <v>2</v>
      </c>
      <c r="R572" t="s">
        <v>40</v>
      </c>
      <c r="S572">
        <v>3</v>
      </c>
      <c r="T572" t="str" cm="1">
        <f t="array" ref="T572">_xlfn.IFS(S572&lt;=2,"Poor",S572&lt;=3,"Fair",S572&gt;=4,"Good")</f>
        <v>Fair</v>
      </c>
      <c r="U572" t="s">
        <v>48</v>
      </c>
      <c r="V572" s="1">
        <v>4335</v>
      </c>
      <c r="W572" t="str" cm="1">
        <f t="array" ref="W572">_xlfn.IFS(V572&lt;=5000,"Low Salary",V572&lt;=12000,"Good Salary",V572&gt;12000,"High Salary")</f>
        <v>Low Salary</v>
      </c>
      <c r="X572">
        <v>25549</v>
      </c>
      <c r="Y572">
        <v>4</v>
      </c>
      <c r="Z572" t="s">
        <v>42</v>
      </c>
      <c r="AA572" t="s">
        <v>35</v>
      </c>
      <c r="AB572">
        <v>12</v>
      </c>
      <c r="AC572">
        <v>3</v>
      </c>
      <c r="AD572" t="str">
        <f t="shared" si="17"/>
        <v>Low Performance</v>
      </c>
      <c r="AE572">
        <v>1</v>
      </c>
      <c r="AF572">
        <v>80</v>
      </c>
      <c r="AG572">
        <v>1</v>
      </c>
      <c r="AH572">
        <v>11</v>
      </c>
      <c r="AI572">
        <v>3</v>
      </c>
      <c r="AJ572">
        <v>2</v>
      </c>
      <c r="AK572" t="str" cm="1">
        <f t="array" ref="AK572">_xlfn.IFS(AJ572&lt;=2,"Poor",AJ572&lt;=3,"Fair",AJ572&gt;3,"Good")</f>
        <v>Poor</v>
      </c>
      <c r="AL572">
        <v>8</v>
      </c>
      <c r="AM572">
        <v>7</v>
      </c>
      <c r="AN572">
        <v>1</v>
      </c>
      <c r="AO572">
        <v>1</v>
      </c>
    </row>
    <row r="573" spans="1:41" x14ac:dyDescent="0.2">
      <c r="A573">
        <v>1152345</v>
      </c>
      <c r="B573">
        <v>26</v>
      </c>
      <c r="C573" t="str" cm="1">
        <f t="array" ref="C573">_xlfn.IFS(B573&lt;=25,"15-25",B573&lt;=35,"26-35",B573&lt;=45,"36-45",B573&lt;=55,"46-55",B573&lt;=65,"56-65")</f>
        <v>26-35</v>
      </c>
      <c r="D573" t="s">
        <v>43</v>
      </c>
      <c r="E573" t="str">
        <f t="shared" si="16"/>
        <v>Former Employee</v>
      </c>
      <c r="F573" t="s">
        <v>36</v>
      </c>
      <c r="G573">
        <v>1146</v>
      </c>
      <c r="H573" t="s">
        <v>37</v>
      </c>
      <c r="I573">
        <v>8</v>
      </c>
      <c r="J573">
        <v>3</v>
      </c>
      <c r="K573" t="s">
        <v>56</v>
      </c>
      <c r="L573">
        <v>1</v>
      </c>
      <c r="M573">
        <v>4</v>
      </c>
      <c r="N573" t="s">
        <v>46</v>
      </c>
      <c r="O573">
        <v>38</v>
      </c>
      <c r="P573">
        <v>2</v>
      </c>
      <c r="Q573">
        <v>2</v>
      </c>
      <c r="R573" t="s">
        <v>40</v>
      </c>
      <c r="S573">
        <v>1</v>
      </c>
      <c r="T573" t="str" cm="1">
        <f t="array" ref="T573">_xlfn.IFS(S573&lt;=2,"Poor",S573&lt;=3,"Fair",S573&gt;=4,"Good")</f>
        <v>Poor</v>
      </c>
      <c r="U573" t="s">
        <v>41</v>
      </c>
      <c r="V573" s="1">
        <v>5326</v>
      </c>
      <c r="W573" t="str" cm="1">
        <f t="array" ref="W573">_xlfn.IFS(V573&lt;=5000,"Low Salary",V573&lt;=12000,"Good Salary",V573&gt;12000,"High Salary")</f>
        <v>Good Salary</v>
      </c>
      <c r="X573">
        <v>3064</v>
      </c>
      <c r="Y573">
        <v>6</v>
      </c>
      <c r="Z573" t="s">
        <v>42</v>
      </c>
      <c r="AA573" t="s">
        <v>35</v>
      </c>
      <c r="AB573">
        <v>17</v>
      </c>
      <c r="AC573">
        <v>3</v>
      </c>
      <c r="AD573" t="str">
        <f t="shared" si="17"/>
        <v>Low Performance</v>
      </c>
      <c r="AE573">
        <v>3</v>
      </c>
      <c r="AF573">
        <v>80</v>
      </c>
      <c r="AG573">
        <v>0</v>
      </c>
      <c r="AH573">
        <v>6</v>
      </c>
      <c r="AI573">
        <v>2</v>
      </c>
      <c r="AJ573">
        <v>2</v>
      </c>
      <c r="AK573" t="str" cm="1">
        <f t="array" ref="AK573">_xlfn.IFS(AJ573&lt;=2,"Poor",AJ573&lt;=3,"Fair",AJ573&gt;3,"Good")</f>
        <v>Poor</v>
      </c>
      <c r="AL573">
        <v>4</v>
      </c>
      <c r="AM573">
        <v>3</v>
      </c>
      <c r="AN573">
        <v>1</v>
      </c>
      <c r="AO573">
        <v>2</v>
      </c>
    </row>
    <row r="574" spans="1:41" x14ac:dyDescent="0.2">
      <c r="A574">
        <v>1830116</v>
      </c>
      <c r="B574">
        <v>34</v>
      </c>
      <c r="C574" t="str" cm="1">
        <f t="array" ref="C574">_xlfn.IFS(B574&lt;=25,"15-25",B574&lt;=35,"26-35",B574&lt;=45,"36-45",B574&lt;=55,"46-55",B574&lt;=65,"56-65")</f>
        <v>26-35</v>
      </c>
      <c r="D574" t="s">
        <v>35</v>
      </c>
      <c r="E574" t="str">
        <f t="shared" si="16"/>
        <v>Current Employee</v>
      </c>
      <c r="F574" t="s">
        <v>36</v>
      </c>
      <c r="G574">
        <v>182</v>
      </c>
      <c r="H574" t="s">
        <v>45</v>
      </c>
      <c r="I574">
        <v>1</v>
      </c>
      <c r="J574">
        <v>4</v>
      </c>
      <c r="K574" t="s">
        <v>38</v>
      </c>
      <c r="L574">
        <v>1</v>
      </c>
      <c r="M574">
        <v>2</v>
      </c>
      <c r="N574" t="s">
        <v>39</v>
      </c>
      <c r="O574">
        <v>72</v>
      </c>
      <c r="P574">
        <v>4</v>
      </c>
      <c r="Q574">
        <v>1</v>
      </c>
      <c r="R574" t="s">
        <v>47</v>
      </c>
      <c r="S574">
        <v>4</v>
      </c>
      <c r="T574" t="str" cm="1">
        <f t="array" ref="T574">_xlfn.IFS(S574&lt;=2,"Poor",S574&lt;=3,"Fair",S574&gt;=4,"Good")</f>
        <v>Good</v>
      </c>
      <c r="U574" t="s">
        <v>41</v>
      </c>
      <c r="V574" s="1">
        <v>3280</v>
      </c>
      <c r="W574" t="str" cm="1">
        <f t="array" ref="W574">_xlfn.IFS(V574&lt;=5000,"Low Salary",V574&lt;=12000,"Good Salary",V574&gt;12000,"High Salary")</f>
        <v>Low Salary</v>
      </c>
      <c r="X574">
        <v>13551</v>
      </c>
      <c r="Y574">
        <v>2</v>
      </c>
      <c r="Z574" t="s">
        <v>42</v>
      </c>
      <c r="AA574" t="s">
        <v>35</v>
      </c>
      <c r="AB574">
        <v>16</v>
      </c>
      <c r="AC574">
        <v>3</v>
      </c>
      <c r="AD574" t="str">
        <f t="shared" si="17"/>
        <v>Low Performance</v>
      </c>
      <c r="AE574">
        <v>3</v>
      </c>
      <c r="AF574">
        <v>80</v>
      </c>
      <c r="AG574">
        <v>0</v>
      </c>
      <c r="AH574">
        <v>10</v>
      </c>
      <c r="AI574">
        <v>2</v>
      </c>
      <c r="AJ574">
        <v>3</v>
      </c>
      <c r="AK574" t="str" cm="1">
        <f t="array" ref="AK574">_xlfn.IFS(AJ574&lt;=2,"Poor",AJ574&lt;=3,"Fair",AJ574&gt;3,"Good")</f>
        <v>Fair</v>
      </c>
      <c r="AL574">
        <v>4</v>
      </c>
      <c r="AM574">
        <v>2</v>
      </c>
      <c r="AN574">
        <v>1</v>
      </c>
      <c r="AO574">
        <v>3</v>
      </c>
    </row>
    <row r="575" spans="1:41" x14ac:dyDescent="0.2">
      <c r="A575">
        <v>1755563</v>
      </c>
      <c r="B575">
        <v>54</v>
      </c>
      <c r="C575" t="str" cm="1">
        <f t="array" ref="C575">_xlfn.IFS(B575&lt;=25,"15-25",B575&lt;=35,"26-35",B575&lt;=45,"36-45",B575&lt;=55,"46-55",B575&lt;=65,"56-65")</f>
        <v>46-55</v>
      </c>
      <c r="D575" t="s">
        <v>35</v>
      </c>
      <c r="E575" t="str">
        <f t="shared" si="16"/>
        <v>Current Employee</v>
      </c>
      <c r="F575" t="s">
        <v>36</v>
      </c>
      <c r="G575">
        <v>376</v>
      </c>
      <c r="H575" t="s">
        <v>45</v>
      </c>
      <c r="I575">
        <v>19</v>
      </c>
      <c r="J575">
        <v>4</v>
      </c>
      <c r="K575" t="s">
        <v>49</v>
      </c>
      <c r="L575">
        <v>1</v>
      </c>
      <c r="M575">
        <v>4</v>
      </c>
      <c r="N575" t="s">
        <v>39</v>
      </c>
      <c r="O575">
        <v>95</v>
      </c>
      <c r="P575">
        <v>3</v>
      </c>
      <c r="Q575">
        <v>2</v>
      </c>
      <c r="R575" t="s">
        <v>51</v>
      </c>
      <c r="S575">
        <v>1</v>
      </c>
      <c r="T575" t="str" cm="1">
        <f t="array" ref="T575">_xlfn.IFS(S575&lt;=2,"Poor",S575&lt;=3,"Fair",S575&gt;=4,"Good")</f>
        <v>Poor</v>
      </c>
      <c r="U575" t="s">
        <v>50</v>
      </c>
      <c r="V575" s="1">
        <v>5485</v>
      </c>
      <c r="W575" t="str" cm="1">
        <f t="array" ref="W575">_xlfn.IFS(V575&lt;=5000,"Low Salary",V575&lt;=12000,"Good Salary",V575&gt;12000,"High Salary")</f>
        <v>Good Salary</v>
      </c>
      <c r="X575">
        <v>22670</v>
      </c>
      <c r="Y575">
        <v>9</v>
      </c>
      <c r="Z575" t="s">
        <v>42</v>
      </c>
      <c r="AA575" t="s">
        <v>43</v>
      </c>
      <c r="AB575">
        <v>11</v>
      </c>
      <c r="AC575">
        <v>3</v>
      </c>
      <c r="AD575" t="str">
        <f t="shared" si="17"/>
        <v>Low Performance</v>
      </c>
      <c r="AE575">
        <v>2</v>
      </c>
      <c r="AF575">
        <v>80</v>
      </c>
      <c r="AG575">
        <v>2</v>
      </c>
      <c r="AH575">
        <v>9</v>
      </c>
      <c r="AI575">
        <v>4</v>
      </c>
      <c r="AJ575">
        <v>3</v>
      </c>
      <c r="AK575" t="str" cm="1">
        <f t="array" ref="AK575">_xlfn.IFS(AJ575&lt;=2,"Poor",AJ575&lt;=3,"Fair",AJ575&gt;3,"Good")</f>
        <v>Fair</v>
      </c>
      <c r="AL575">
        <v>5</v>
      </c>
      <c r="AM575">
        <v>3</v>
      </c>
      <c r="AN575">
        <v>1</v>
      </c>
      <c r="AO575">
        <v>4</v>
      </c>
    </row>
    <row r="576" spans="1:41" x14ac:dyDescent="0.2">
      <c r="A576">
        <v>1660820</v>
      </c>
      <c r="B576">
        <v>27</v>
      </c>
      <c r="C576" t="str" cm="1">
        <f t="array" ref="C576">_xlfn.IFS(B576&lt;=25,"15-25",B576&lt;=35,"26-35",B576&lt;=45,"36-45",B576&lt;=55,"46-55",B576&lt;=65,"56-65")</f>
        <v>26-35</v>
      </c>
      <c r="D576" t="s">
        <v>35</v>
      </c>
      <c r="E576" t="str">
        <f t="shared" si="16"/>
        <v>Current Employee</v>
      </c>
      <c r="F576" t="s">
        <v>44</v>
      </c>
      <c r="G576">
        <v>829</v>
      </c>
      <c r="H576" t="s">
        <v>37</v>
      </c>
      <c r="I576">
        <v>8</v>
      </c>
      <c r="J576">
        <v>1</v>
      </c>
      <c r="K576" t="s">
        <v>55</v>
      </c>
      <c r="L576">
        <v>1</v>
      </c>
      <c r="M576">
        <v>3</v>
      </c>
      <c r="N576" t="s">
        <v>46</v>
      </c>
      <c r="O576">
        <v>84</v>
      </c>
      <c r="P576">
        <v>3</v>
      </c>
      <c r="Q576">
        <v>2</v>
      </c>
      <c r="R576" t="s">
        <v>40</v>
      </c>
      <c r="S576">
        <v>4</v>
      </c>
      <c r="T576" t="str" cm="1">
        <f t="array" ref="T576">_xlfn.IFS(S576&lt;=2,"Poor",S576&lt;=3,"Fair",S576&gt;=4,"Good")</f>
        <v>Good</v>
      </c>
      <c r="U576" t="s">
        <v>48</v>
      </c>
      <c r="V576" s="1">
        <v>4342</v>
      </c>
      <c r="W576" t="str" cm="1">
        <f t="array" ref="W576">_xlfn.IFS(V576&lt;=5000,"Low Salary",V576&lt;=12000,"Good Salary",V576&gt;12000,"High Salary")</f>
        <v>Low Salary</v>
      </c>
      <c r="X576">
        <v>24008</v>
      </c>
      <c r="Y576">
        <v>0</v>
      </c>
      <c r="Z576" t="s">
        <v>42</v>
      </c>
      <c r="AA576" t="s">
        <v>35</v>
      </c>
      <c r="AB576">
        <v>19</v>
      </c>
      <c r="AC576">
        <v>3</v>
      </c>
      <c r="AD576" t="str">
        <f t="shared" si="17"/>
        <v>Low Performance</v>
      </c>
      <c r="AE576">
        <v>2</v>
      </c>
      <c r="AF576">
        <v>80</v>
      </c>
      <c r="AG576">
        <v>1</v>
      </c>
      <c r="AH576">
        <v>5</v>
      </c>
      <c r="AI576">
        <v>3</v>
      </c>
      <c r="AJ576">
        <v>3</v>
      </c>
      <c r="AK576" t="str" cm="1">
        <f t="array" ref="AK576">_xlfn.IFS(AJ576&lt;=2,"Poor",AJ576&lt;=3,"Fair",AJ576&gt;3,"Good")</f>
        <v>Fair</v>
      </c>
      <c r="AL576">
        <v>4</v>
      </c>
      <c r="AM576">
        <v>2</v>
      </c>
      <c r="AN576">
        <v>1</v>
      </c>
      <c r="AO576">
        <v>1</v>
      </c>
    </row>
    <row r="577" spans="1:41" x14ac:dyDescent="0.2">
      <c r="A577">
        <v>1150067</v>
      </c>
      <c r="B577">
        <v>37</v>
      </c>
      <c r="C577" t="str" cm="1">
        <f t="array" ref="C577">_xlfn.IFS(B577&lt;=25,"15-25",B577&lt;=35,"26-35",B577&lt;=45,"36-45",B577&lt;=55,"46-55",B577&lt;=65,"56-65")</f>
        <v>36-45</v>
      </c>
      <c r="D577" t="s">
        <v>35</v>
      </c>
      <c r="E577" t="str">
        <f t="shared" si="16"/>
        <v>Current Employee</v>
      </c>
      <c r="F577" t="s">
        <v>36</v>
      </c>
      <c r="G577">
        <v>571</v>
      </c>
      <c r="H577" t="s">
        <v>45</v>
      </c>
      <c r="I577">
        <v>10</v>
      </c>
      <c r="J577">
        <v>1</v>
      </c>
      <c r="K577" t="s">
        <v>38</v>
      </c>
      <c r="L577">
        <v>1</v>
      </c>
      <c r="M577">
        <v>4</v>
      </c>
      <c r="N577" t="s">
        <v>39</v>
      </c>
      <c r="O577">
        <v>82</v>
      </c>
      <c r="P577">
        <v>3</v>
      </c>
      <c r="Q577">
        <v>1</v>
      </c>
      <c r="R577" t="s">
        <v>47</v>
      </c>
      <c r="S577">
        <v>1</v>
      </c>
      <c r="T577" t="str" cm="1">
        <f t="array" ref="T577">_xlfn.IFS(S577&lt;=2,"Poor",S577&lt;=3,"Fair",S577&gt;=4,"Good")</f>
        <v>Poor</v>
      </c>
      <c r="U577" t="s">
        <v>50</v>
      </c>
      <c r="V577" s="1">
        <v>2782</v>
      </c>
      <c r="W577" t="str" cm="1">
        <f t="array" ref="W577">_xlfn.IFS(V577&lt;=5000,"Low Salary",V577&lt;=12000,"Good Salary",V577&gt;12000,"High Salary")</f>
        <v>Low Salary</v>
      </c>
      <c r="X577">
        <v>19905</v>
      </c>
      <c r="Y577">
        <v>0</v>
      </c>
      <c r="Z577" t="s">
        <v>42</v>
      </c>
      <c r="AA577" t="s">
        <v>43</v>
      </c>
      <c r="AB577">
        <v>13</v>
      </c>
      <c r="AC577">
        <v>3</v>
      </c>
      <c r="AD577" t="str">
        <f t="shared" si="17"/>
        <v>Low Performance</v>
      </c>
      <c r="AE577">
        <v>2</v>
      </c>
      <c r="AF577">
        <v>80</v>
      </c>
      <c r="AG577">
        <v>2</v>
      </c>
      <c r="AH577">
        <v>6</v>
      </c>
      <c r="AI577">
        <v>3</v>
      </c>
      <c r="AJ577">
        <v>2</v>
      </c>
      <c r="AK577" t="str" cm="1">
        <f t="array" ref="AK577">_xlfn.IFS(AJ577&lt;=2,"Poor",AJ577&lt;=3,"Fair",AJ577&gt;3,"Good")</f>
        <v>Poor</v>
      </c>
      <c r="AL577">
        <v>5</v>
      </c>
      <c r="AM577">
        <v>3</v>
      </c>
      <c r="AN577">
        <v>4</v>
      </c>
      <c r="AO577">
        <v>3</v>
      </c>
    </row>
    <row r="578" spans="1:41" x14ac:dyDescent="0.2">
      <c r="A578">
        <v>1862559</v>
      </c>
      <c r="B578">
        <v>38</v>
      </c>
      <c r="C578" t="str" cm="1">
        <f t="array" ref="C578">_xlfn.IFS(B578&lt;=25,"15-25",B578&lt;=35,"26-35",B578&lt;=45,"36-45",B578&lt;=55,"46-55",B578&lt;=65,"56-65")</f>
        <v>36-45</v>
      </c>
      <c r="D578" t="s">
        <v>35</v>
      </c>
      <c r="E578" t="str">
        <f t="shared" si="16"/>
        <v>Current Employee</v>
      </c>
      <c r="F578" t="s">
        <v>44</v>
      </c>
      <c r="G578">
        <v>240</v>
      </c>
      <c r="H578" t="s">
        <v>54</v>
      </c>
      <c r="I578">
        <v>2</v>
      </c>
      <c r="J578">
        <v>4</v>
      </c>
      <c r="K578" t="s">
        <v>38</v>
      </c>
      <c r="L578">
        <v>1</v>
      </c>
      <c r="M578">
        <v>1</v>
      </c>
      <c r="N578" t="s">
        <v>39</v>
      </c>
      <c r="O578">
        <v>75</v>
      </c>
      <c r="P578">
        <v>4</v>
      </c>
      <c r="Q578">
        <v>2</v>
      </c>
      <c r="R578" t="s">
        <v>51</v>
      </c>
      <c r="S578">
        <v>1</v>
      </c>
      <c r="T578" t="str" cm="1">
        <f t="array" ref="T578">_xlfn.IFS(S578&lt;=2,"Poor",S578&lt;=3,"Fair",S578&gt;=4,"Good")</f>
        <v>Poor</v>
      </c>
      <c r="U578" t="s">
        <v>41</v>
      </c>
      <c r="V578" s="1">
        <v>5980</v>
      </c>
      <c r="W578" t="str" cm="1">
        <f t="array" ref="W578">_xlfn.IFS(V578&lt;=5000,"Low Salary",V578&lt;=12000,"Good Salary",V578&gt;12000,"High Salary")</f>
        <v>Good Salary</v>
      </c>
      <c r="X578">
        <v>26085</v>
      </c>
      <c r="Y578">
        <v>6</v>
      </c>
      <c r="Z578" t="s">
        <v>42</v>
      </c>
      <c r="AA578" t="s">
        <v>43</v>
      </c>
      <c r="AB578">
        <v>12</v>
      </c>
      <c r="AC578">
        <v>3</v>
      </c>
      <c r="AD578" t="str">
        <f t="shared" si="17"/>
        <v>Low Performance</v>
      </c>
      <c r="AE578">
        <v>4</v>
      </c>
      <c r="AF578">
        <v>80</v>
      </c>
      <c r="AG578">
        <v>0</v>
      </c>
      <c r="AH578">
        <v>17</v>
      </c>
      <c r="AI578">
        <v>2</v>
      </c>
      <c r="AJ578">
        <v>3</v>
      </c>
      <c r="AK578" t="str" cm="1">
        <f t="array" ref="AK578">_xlfn.IFS(AJ578&lt;=2,"Poor",AJ578&lt;=3,"Fair",AJ578&gt;3,"Good")</f>
        <v>Fair</v>
      </c>
      <c r="AL578">
        <v>15</v>
      </c>
      <c r="AM578">
        <v>7</v>
      </c>
      <c r="AN578">
        <v>4</v>
      </c>
      <c r="AO578">
        <v>12</v>
      </c>
    </row>
    <row r="579" spans="1:41" x14ac:dyDescent="0.2">
      <c r="A579">
        <v>1107380</v>
      </c>
      <c r="B579">
        <v>34</v>
      </c>
      <c r="C579" t="str" cm="1">
        <f t="array" ref="C579">_xlfn.IFS(B579&lt;=25,"15-25",B579&lt;=35,"26-35",B579&lt;=45,"36-45",B579&lt;=55,"46-55",B579&lt;=65,"56-65")</f>
        <v>26-35</v>
      </c>
      <c r="D579" t="s">
        <v>35</v>
      </c>
      <c r="E579" t="str">
        <f t="shared" ref="E579:E642" si="18">IF(D579="No","Current Employee","Former Employee")</f>
        <v>Current Employee</v>
      </c>
      <c r="F579" t="s">
        <v>36</v>
      </c>
      <c r="G579">
        <v>121</v>
      </c>
      <c r="H579" t="s">
        <v>45</v>
      </c>
      <c r="I579">
        <v>2</v>
      </c>
      <c r="J579">
        <v>4</v>
      </c>
      <c r="K579" t="s">
        <v>49</v>
      </c>
      <c r="L579">
        <v>1</v>
      </c>
      <c r="M579">
        <v>3</v>
      </c>
      <c r="N579" t="s">
        <v>39</v>
      </c>
      <c r="O579">
        <v>86</v>
      </c>
      <c r="P579">
        <v>2</v>
      </c>
      <c r="Q579">
        <v>1</v>
      </c>
      <c r="R579" t="s">
        <v>47</v>
      </c>
      <c r="S579">
        <v>1</v>
      </c>
      <c r="T579" t="str" cm="1">
        <f t="array" ref="T579">_xlfn.IFS(S579&lt;=2,"Poor",S579&lt;=3,"Fair",S579&gt;=4,"Good")</f>
        <v>Poor</v>
      </c>
      <c r="U579" t="s">
        <v>41</v>
      </c>
      <c r="V579" s="1">
        <v>4381</v>
      </c>
      <c r="W579" t="str" cm="1">
        <f t="array" ref="W579">_xlfn.IFS(V579&lt;=5000,"Low Salary",V579&lt;=12000,"Good Salary",V579&gt;12000,"High Salary")</f>
        <v>Low Salary</v>
      </c>
      <c r="X579">
        <v>7530</v>
      </c>
      <c r="Y579">
        <v>1</v>
      </c>
      <c r="Z579" t="s">
        <v>42</v>
      </c>
      <c r="AA579" t="s">
        <v>35</v>
      </c>
      <c r="AB579">
        <v>11</v>
      </c>
      <c r="AC579">
        <v>3</v>
      </c>
      <c r="AD579" t="str">
        <f t="shared" ref="AD579:AD642" si="19">IF(AC579&lt;=3,"Low Performance","High Performance")</f>
        <v>Low Performance</v>
      </c>
      <c r="AE579">
        <v>3</v>
      </c>
      <c r="AF579">
        <v>80</v>
      </c>
      <c r="AG579">
        <v>0</v>
      </c>
      <c r="AH579">
        <v>6</v>
      </c>
      <c r="AI579">
        <v>3</v>
      </c>
      <c r="AJ579">
        <v>3</v>
      </c>
      <c r="AK579" t="str" cm="1">
        <f t="array" ref="AK579">_xlfn.IFS(AJ579&lt;=2,"Poor",AJ579&lt;=3,"Fair",AJ579&gt;3,"Good")</f>
        <v>Fair</v>
      </c>
      <c r="AL579">
        <v>6</v>
      </c>
      <c r="AM579">
        <v>5</v>
      </c>
      <c r="AN579">
        <v>1</v>
      </c>
      <c r="AO579">
        <v>3</v>
      </c>
    </row>
    <row r="580" spans="1:41" x14ac:dyDescent="0.2">
      <c r="A580">
        <v>1734641</v>
      </c>
      <c r="B580">
        <v>35</v>
      </c>
      <c r="C580" t="str" cm="1">
        <f t="array" ref="C580">_xlfn.IFS(B580&lt;=25,"15-25",B580&lt;=35,"26-35",B580&lt;=45,"36-45",B580&lt;=55,"46-55",B580&lt;=65,"56-65")</f>
        <v>26-35</v>
      </c>
      <c r="D580" t="s">
        <v>35</v>
      </c>
      <c r="E580" t="str">
        <f t="shared" si="18"/>
        <v>Current Employee</v>
      </c>
      <c r="F580" t="s">
        <v>36</v>
      </c>
      <c r="G580">
        <v>384</v>
      </c>
      <c r="H580" t="s">
        <v>37</v>
      </c>
      <c r="I580">
        <v>8</v>
      </c>
      <c r="J580">
        <v>4</v>
      </c>
      <c r="K580" t="s">
        <v>38</v>
      </c>
      <c r="L580">
        <v>1</v>
      </c>
      <c r="M580">
        <v>1</v>
      </c>
      <c r="N580" t="s">
        <v>39</v>
      </c>
      <c r="O580">
        <v>72</v>
      </c>
      <c r="P580">
        <v>3</v>
      </c>
      <c r="Q580">
        <v>1</v>
      </c>
      <c r="R580" t="s">
        <v>47</v>
      </c>
      <c r="S580">
        <v>4</v>
      </c>
      <c r="T580" t="str" cm="1">
        <f t="array" ref="T580">_xlfn.IFS(S580&lt;=2,"Poor",S580&lt;=3,"Fair",S580&gt;=4,"Good")</f>
        <v>Good</v>
      </c>
      <c r="U580" t="s">
        <v>48</v>
      </c>
      <c r="V580" s="1">
        <v>2572</v>
      </c>
      <c r="W580" t="str" cm="1">
        <f t="array" ref="W580">_xlfn.IFS(V580&lt;=5000,"Low Salary",V580&lt;=12000,"Good Salary",V580&gt;12000,"High Salary")</f>
        <v>Low Salary</v>
      </c>
      <c r="X580">
        <v>20317</v>
      </c>
      <c r="Y580">
        <v>1</v>
      </c>
      <c r="Z580" t="s">
        <v>42</v>
      </c>
      <c r="AA580" t="s">
        <v>35</v>
      </c>
      <c r="AB580">
        <v>16</v>
      </c>
      <c r="AC580">
        <v>3</v>
      </c>
      <c r="AD580" t="str">
        <f t="shared" si="19"/>
        <v>Low Performance</v>
      </c>
      <c r="AE580">
        <v>2</v>
      </c>
      <c r="AF580">
        <v>80</v>
      </c>
      <c r="AG580">
        <v>1</v>
      </c>
      <c r="AH580">
        <v>3</v>
      </c>
      <c r="AI580">
        <v>1</v>
      </c>
      <c r="AJ580">
        <v>2</v>
      </c>
      <c r="AK580" t="str" cm="1">
        <f t="array" ref="AK580">_xlfn.IFS(AJ580&lt;=2,"Poor",AJ580&lt;=3,"Fair",AJ580&gt;3,"Good")</f>
        <v>Poor</v>
      </c>
      <c r="AL580">
        <v>3</v>
      </c>
      <c r="AM580">
        <v>2</v>
      </c>
      <c r="AN580">
        <v>0</v>
      </c>
      <c r="AO580">
        <v>2</v>
      </c>
    </row>
    <row r="581" spans="1:41" x14ac:dyDescent="0.2">
      <c r="A581">
        <v>1298935</v>
      </c>
      <c r="B581">
        <v>30</v>
      </c>
      <c r="C581" t="str" cm="1">
        <f t="array" ref="C581">_xlfn.IFS(B581&lt;=25,"15-25",B581&lt;=35,"26-35",B581&lt;=45,"36-45",B581&lt;=55,"46-55",B581&lt;=65,"56-65")</f>
        <v>26-35</v>
      </c>
      <c r="D581" t="s">
        <v>35</v>
      </c>
      <c r="E581" t="str">
        <f t="shared" si="18"/>
        <v>Current Employee</v>
      </c>
      <c r="F581" t="s">
        <v>36</v>
      </c>
      <c r="G581">
        <v>921</v>
      </c>
      <c r="H581" t="s">
        <v>45</v>
      </c>
      <c r="I581">
        <v>1</v>
      </c>
      <c r="J581">
        <v>3</v>
      </c>
      <c r="K581" t="s">
        <v>38</v>
      </c>
      <c r="L581">
        <v>1</v>
      </c>
      <c r="M581">
        <v>4</v>
      </c>
      <c r="N581" t="s">
        <v>46</v>
      </c>
      <c r="O581">
        <v>38</v>
      </c>
      <c r="P581">
        <v>1</v>
      </c>
      <c r="Q581">
        <v>1</v>
      </c>
      <c r="R581" t="s">
        <v>40</v>
      </c>
      <c r="S581">
        <v>3</v>
      </c>
      <c r="T581" t="str" cm="1">
        <f t="array" ref="T581">_xlfn.IFS(S581&lt;=2,"Poor",S581&lt;=3,"Fair",S581&gt;=4,"Good")</f>
        <v>Fair</v>
      </c>
      <c r="U581" t="s">
        <v>48</v>
      </c>
      <c r="V581" s="1">
        <v>3833</v>
      </c>
      <c r="W581" t="str" cm="1">
        <f t="array" ref="W581">_xlfn.IFS(V581&lt;=5000,"Low Salary",V581&lt;=12000,"Good Salary",V581&gt;12000,"High Salary")</f>
        <v>Low Salary</v>
      </c>
      <c r="X581">
        <v>24375</v>
      </c>
      <c r="Y581">
        <v>3</v>
      </c>
      <c r="Z581" t="s">
        <v>42</v>
      </c>
      <c r="AA581" t="s">
        <v>35</v>
      </c>
      <c r="AB581">
        <v>21</v>
      </c>
      <c r="AC581">
        <v>4</v>
      </c>
      <c r="AD581" t="str">
        <f t="shared" si="19"/>
        <v>High Performance</v>
      </c>
      <c r="AE581">
        <v>3</v>
      </c>
      <c r="AF581">
        <v>80</v>
      </c>
      <c r="AG581">
        <v>2</v>
      </c>
      <c r="AH581">
        <v>7</v>
      </c>
      <c r="AI581">
        <v>2</v>
      </c>
      <c r="AJ581">
        <v>3</v>
      </c>
      <c r="AK581" t="str" cm="1">
        <f t="array" ref="AK581">_xlfn.IFS(AJ581&lt;=2,"Poor",AJ581&lt;=3,"Fair",AJ581&gt;3,"Good")</f>
        <v>Fair</v>
      </c>
      <c r="AL581">
        <v>2</v>
      </c>
      <c r="AM581">
        <v>2</v>
      </c>
      <c r="AN581">
        <v>0</v>
      </c>
      <c r="AO581">
        <v>2</v>
      </c>
    </row>
    <row r="582" spans="1:41" x14ac:dyDescent="0.2">
      <c r="A582">
        <v>1025177</v>
      </c>
      <c r="B582">
        <v>40</v>
      </c>
      <c r="C582" t="str" cm="1">
        <f t="array" ref="C582">_xlfn.IFS(B582&lt;=25,"15-25",B582&lt;=35,"26-35",B582&lt;=45,"36-45",B582&lt;=55,"46-55",B582&lt;=65,"56-65")</f>
        <v>36-45</v>
      </c>
      <c r="D582" t="s">
        <v>35</v>
      </c>
      <c r="E582" t="str">
        <f t="shared" si="18"/>
        <v>Current Employee</v>
      </c>
      <c r="F582" t="s">
        <v>44</v>
      </c>
      <c r="G582">
        <v>791</v>
      </c>
      <c r="H582" t="s">
        <v>45</v>
      </c>
      <c r="I582">
        <v>2</v>
      </c>
      <c r="J582">
        <v>2</v>
      </c>
      <c r="K582" t="s">
        <v>49</v>
      </c>
      <c r="L582">
        <v>1</v>
      </c>
      <c r="M582">
        <v>3</v>
      </c>
      <c r="N582" t="s">
        <v>39</v>
      </c>
      <c r="O582">
        <v>38</v>
      </c>
      <c r="P582">
        <v>4</v>
      </c>
      <c r="Q582">
        <v>2</v>
      </c>
      <c r="R582" t="s">
        <v>40</v>
      </c>
      <c r="S582">
        <v>2</v>
      </c>
      <c r="T582" t="str" cm="1">
        <f t="array" ref="T582">_xlfn.IFS(S582&lt;=2,"Poor",S582&lt;=3,"Fair",S582&gt;=4,"Good")</f>
        <v>Poor</v>
      </c>
      <c r="U582" t="s">
        <v>48</v>
      </c>
      <c r="V582" s="1">
        <v>4244</v>
      </c>
      <c r="W582" t="str" cm="1">
        <f t="array" ref="W582">_xlfn.IFS(V582&lt;=5000,"Low Salary",V582&lt;=12000,"Good Salary",V582&gt;12000,"High Salary")</f>
        <v>Low Salary</v>
      </c>
      <c r="X582">
        <v>9931</v>
      </c>
      <c r="Y582">
        <v>1</v>
      </c>
      <c r="Z582" t="s">
        <v>42</v>
      </c>
      <c r="AA582" t="s">
        <v>35</v>
      </c>
      <c r="AB582">
        <v>24</v>
      </c>
      <c r="AC582">
        <v>4</v>
      </c>
      <c r="AD582" t="str">
        <f t="shared" si="19"/>
        <v>High Performance</v>
      </c>
      <c r="AE582">
        <v>4</v>
      </c>
      <c r="AF582">
        <v>80</v>
      </c>
      <c r="AG582">
        <v>1</v>
      </c>
      <c r="AH582">
        <v>8</v>
      </c>
      <c r="AI582">
        <v>2</v>
      </c>
      <c r="AJ582">
        <v>3</v>
      </c>
      <c r="AK582" t="str" cm="1">
        <f t="array" ref="AK582">_xlfn.IFS(AJ582&lt;=2,"Poor",AJ582&lt;=3,"Fair",AJ582&gt;3,"Good")</f>
        <v>Fair</v>
      </c>
      <c r="AL582">
        <v>8</v>
      </c>
      <c r="AM582">
        <v>7</v>
      </c>
      <c r="AN582">
        <v>3</v>
      </c>
      <c r="AO582">
        <v>7</v>
      </c>
    </row>
    <row r="583" spans="1:41" x14ac:dyDescent="0.2">
      <c r="A583">
        <v>1546242</v>
      </c>
      <c r="B583">
        <v>34</v>
      </c>
      <c r="C583" t="str" cm="1">
        <f t="array" ref="C583">_xlfn.IFS(B583&lt;=25,"15-25",B583&lt;=35,"26-35",B583&lt;=45,"36-45",B583&lt;=55,"46-55",B583&lt;=65,"56-65")</f>
        <v>26-35</v>
      </c>
      <c r="D583" t="s">
        <v>35</v>
      </c>
      <c r="E583" t="str">
        <f t="shared" si="18"/>
        <v>Current Employee</v>
      </c>
      <c r="F583" t="s">
        <v>36</v>
      </c>
      <c r="G583">
        <v>1111</v>
      </c>
      <c r="H583" t="s">
        <v>37</v>
      </c>
      <c r="I583">
        <v>8</v>
      </c>
      <c r="J583">
        <v>2</v>
      </c>
      <c r="K583" t="s">
        <v>38</v>
      </c>
      <c r="L583">
        <v>1</v>
      </c>
      <c r="M583">
        <v>3</v>
      </c>
      <c r="N583" t="s">
        <v>39</v>
      </c>
      <c r="O583">
        <v>93</v>
      </c>
      <c r="P583">
        <v>3</v>
      </c>
      <c r="Q583">
        <v>2</v>
      </c>
      <c r="R583" t="s">
        <v>40</v>
      </c>
      <c r="S583">
        <v>1</v>
      </c>
      <c r="T583" t="str" cm="1">
        <f t="array" ref="T583">_xlfn.IFS(S583&lt;=2,"Poor",S583&lt;=3,"Fair",S583&gt;=4,"Good")</f>
        <v>Poor</v>
      </c>
      <c r="U583" t="s">
        <v>48</v>
      </c>
      <c r="V583" s="1">
        <v>6500</v>
      </c>
      <c r="W583" t="str" cm="1">
        <f t="array" ref="W583">_xlfn.IFS(V583&lt;=5000,"Low Salary",V583&lt;=12000,"Good Salary",V583&gt;12000,"High Salary")</f>
        <v>Good Salary</v>
      </c>
      <c r="X583">
        <v>13305</v>
      </c>
      <c r="Y583">
        <v>5</v>
      </c>
      <c r="Z583" t="s">
        <v>42</v>
      </c>
      <c r="AA583" t="s">
        <v>35</v>
      </c>
      <c r="AB583">
        <v>17</v>
      </c>
      <c r="AC583">
        <v>3</v>
      </c>
      <c r="AD583" t="str">
        <f t="shared" si="19"/>
        <v>Low Performance</v>
      </c>
      <c r="AE583">
        <v>2</v>
      </c>
      <c r="AF583">
        <v>80</v>
      </c>
      <c r="AG583">
        <v>1</v>
      </c>
      <c r="AH583">
        <v>6</v>
      </c>
      <c r="AI583">
        <v>1</v>
      </c>
      <c r="AJ583">
        <v>3</v>
      </c>
      <c r="AK583" t="str" cm="1">
        <f t="array" ref="AK583">_xlfn.IFS(AJ583&lt;=2,"Poor",AJ583&lt;=3,"Fair",AJ583&gt;3,"Good")</f>
        <v>Fair</v>
      </c>
      <c r="AL583">
        <v>3</v>
      </c>
      <c r="AM583">
        <v>2</v>
      </c>
      <c r="AN583">
        <v>1</v>
      </c>
      <c r="AO583">
        <v>2</v>
      </c>
    </row>
    <row r="584" spans="1:41" x14ac:dyDescent="0.2">
      <c r="A584">
        <v>1288565</v>
      </c>
      <c r="B584">
        <v>42</v>
      </c>
      <c r="C584" t="str" cm="1">
        <f t="array" ref="C584">_xlfn.IFS(B584&lt;=25,"15-25",B584&lt;=35,"26-35",B584&lt;=45,"36-45",B584&lt;=55,"46-55",B584&lt;=65,"56-65")</f>
        <v>36-45</v>
      </c>
      <c r="D584" t="s">
        <v>35</v>
      </c>
      <c r="E584" t="str">
        <f t="shared" si="18"/>
        <v>Current Employee</v>
      </c>
      <c r="F584" t="s">
        <v>44</v>
      </c>
      <c r="G584">
        <v>570</v>
      </c>
      <c r="H584" t="s">
        <v>54</v>
      </c>
      <c r="I584">
        <v>8</v>
      </c>
      <c r="J584">
        <v>3</v>
      </c>
      <c r="K584" t="s">
        <v>38</v>
      </c>
      <c r="L584">
        <v>1</v>
      </c>
      <c r="M584">
        <v>2</v>
      </c>
      <c r="N584" t="s">
        <v>46</v>
      </c>
      <c r="O584">
        <v>66</v>
      </c>
      <c r="P584">
        <v>3</v>
      </c>
      <c r="Q584">
        <v>5</v>
      </c>
      <c r="R584" t="s">
        <v>47</v>
      </c>
      <c r="S584">
        <v>4</v>
      </c>
      <c r="T584" t="str" cm="1">
        <f t="array" ref="T584">_xlfn.IFS(S584&lt;=2,"Poor",S584&lt;=3,"Fair",S584&gt;=4,"Good")</f>
        <v>Good</v>
      </c>
      <c r="U584" t="s">
        <v>50</v>
      </c>
      <c r="V584" s="1">
        <v>18430</v>
      </c>
      <c r="W584" t="str" cm="1">
        <f t="array" ref="W584">_xlfn.IFS(V584&lt;=5000,"Low Salary",V584&lt;=12000,"Good Salary",V584&gt;12000,"High Salary")</f>
        <v>High Salary</v>
      </c>
      <c r="X584">
        <v>16225</v>
      </c>
      <c r="Y584">
        <v>1</v>
      </c>
      <c r="Z584" t="s">
        <v>42</v>
      </c>
      <c r="AA584" t="s">
        <v>35</v>
      </c>
      <c r="AB584">
        <v>13</v>
      </c>
      <c r="AC584">
        <v>3</v>
      </c>
      <c r="AD584" t="str">
        <f t="shared" si="19"/>
        <v>Low Performance</v>
      </c>
      <c r="AE584">
        <v>2</v>
      </c>
      <c r="AF584">
        <v>80</v>
      </c>
      <c r="AG584">
        <v>1</v>
      </c>
      <c r="AH584">
        <v>24</v>
      </c>
      <c r="AI584">
        <v>4</v>
      </c>
      <c r="AJ584">
        <v>2</v>
      </c>
      <c r="AK584" t="str" cm="1">
        <f t="array" ref="AK584">_xlfn.IFS(AJ584&lt;=2,"Poor",AJ584&lt;=3,"Fair",AJ584&gt;3,"Good")</f>
        <v>Poor</v>
      </c>
      <c r="AL584">
        <v>24</v>
      </c>
      <c r="AM584">
        <v>7</v>
      </c>
      <c r="AN584">
        <v>14</v>
      </c>
      <c r="AO584">
        <v>9</v>
      </c>
    </row>
    <row r="585" spans="1:41" x14ac:dyDescent="0.2">
      <c r="A585">
        <v>1572087</v>
      </c>
      <c r="B585">
        <v>23</v>
      </c>
      <c r="C585" t="str" cm="1">
        <f t="array" ref="C585">_xlfn.IFS(B585&lt;=25,"15-25",B585&lt;=35,"26-35",B585&lt;=45,"36-45",B585&lt;=55,"46-55",B585&lt;=65,"56-65")</f>
        <v>15-25</v>
      </c>
      <c r="D585" t="s">
        <v>43</v>
      </c>
      <c r="E585" t="str">
        <f t="shared" si="18"/>
        <v>Former Employee</v>
      </c>
      <c r="F585" t="s">
        <v>36</v>
      </c>
      <c r="G585">
        <v>1243</v>
      </c>
      <c r="H585" t="s">
        <v>45</v>
      </c>
      <c r="I585">
        <v>6</v>
      </c>
      <c r="J585">
        <v>3</v>
      </c>
      <c r="K585" t="s">
        <v>38</v>
      </c>
      <c r="L585">
        <v>1</v>
      </c>
      <c r="M585">
        <v>3</v>
      </c>
      <c r="N585" t="s">
        <v>46</v>
      </c>
      <c r="O585">
        <v>63</v>
      </c>
      <c r="P585">
        <v>4</v>
      </c>
      <c r="Q585">
        <v>1</v>
      </c>
      <c r="R585" t="s">
        <v>40</v>
      </c>
      <c r="S585">
        <v>1</v>
      </c>
      <c r="T585" t="str" cm="1">
        <f t="array" ref="T585">_xlfn.IFS(S585&lt;=2,"Poor",S585&lt;=3,"Fair",S585&gt;=4,"Good")</f>
        <v>Poor</v>
      </c>
      <c r="U585" t="s">
        <v>48</v>
      </c>
      <c r="V585" s="1">
        <v>1601</v>
      </c>
      <c r="W585" t="str" cm="1">
        <f t="array" ref="W585">_xlfn.IFS(V585&lt;=5000,"Low Salary",V585&lt;=12000,"Good Salary",V585&gt;12000,"High Salary")</f>
        <v>Low Salary</v>
      </c>
      <c r="X585">
        <v>3445</v>
      </c>
      <c r="Y585">
        <v>1</v>
      </c>
      <c r="Z585" t="s">
        <v>42</v>
      </c>
      <c r="AA585" t="s">
        <v>43</v>
      </c>
      <c r="AB585">
        <v>21</v>
      </c>
      <c r="AC585">
        <v>4</v>
      </c>
      <c r="AD585" t="str">
        <f t="shared" si="19"/>
        <v>High Performance</v>
      </c>
      <c r="AE585">
        <v>3</v>
      </c>
      <c r="AF585">
        <v>80</v>
      </c>
      <c r="AG585">
        <v>2</v>
      </c>
      <c r="AH585">
        <v>1</v>
      </c>
      <c r="AI585">
        <v>2</v>
      </c>
      <c r="AJ585">
        <v>3</v>
      </c>
      <c r="AK585" t="str" cm="1">
        <f t="array" ref="AK585">_xlfn.IFS(AJ585&lt;=2,"Poor",AJ585&lt;=3,"Fair",AJ585&gt;3,"Good")</f>
        <v>Fair</v>
      </c>
      <c r="AL585">
        <v>0</v>
      </c>
      <c r="AM585">
        <v>0</v>
      </c>
      <c r="AN585">
        <v>0</v>
      </c>
      <c r="AO585">
        <v>0</v>
      </c>
    </row>
    <row r="586" spans="1:41" x14ac:dyDescent="0.2">
      <c r="A586">
        <v>1451315</v>
      </c>
      <c r="B586">
        <v>24</v>
      </c>
      <c r="C586" t="str" cm="1">
        <f t="array" ref="C586">_xlfn.IFS(B586&lt;=25,"15-25",B586&lt;=35,"26-35",B586&lt;=45,"36-45",B586&lt;=55,"46-55",B586&lt;=65,"56-65")</f>
        <v>15-25</v>
      </c>
      <c r="D586" t="s">
        <v>35</v>
      </c>
      <c r="E586" t="str">
        <f t="shared" si="18"/>
        <v>Current Employee</v>
      </c>
      <c r="F586" t="s">
        <v>52</v>
      </c>
      <c r="G586">
        <v>1092</v>
      </c>
      <c r="H586" t="s">
        <v>45</v>
      </c>
      <c r="I586">
        <v>9</v>
      </c>
      <c r="J586">
        <v>3</v>
      </c>
      <c r="K586" t="s">
        <v>38</v>
      </c>
      <c r="L586">
        <v>1</v>
      </c>
      <c r="M586">
        <v>3</v>
      </c>
      <c r="N586" t="s">
        <v>46</v>
      </c>
      <c r="O586">
        <v>60</v>
      </c>
      <c r="P586">
        <v>2</v>
      </c>
      <c r="Q586">
        <v>1</v>
      </c>
      <c r="R586" t="s">
        <v>40</v>
      </c>
      <c r="S586">
        <v>2</v>
      </c>
      <c r="T586" t="str" cm="1">
        <f t="array" ref="T586">_xlfn.IFS(S586&lt;=2,"Poor",S586&lt;=3,"Fair",S586&gt;=4,"Good")</f>
        <v>Poor</v>
      </c>
      <c r="U586" t="s">
        <v>50</v>
      </c>
      <c r="V586" s="1">
        <v>2694</v>
      </c>
      <c r="W586" t="str" cm="1">
        <f t="array" ref="W586">_xlfn.IFS(V586&lt;=5000,"Low Salary",V586&lt;=12000,"Good Salary",V586&gt;12000,"High Salary")</f>
        <v>Low Salary</v>
      </c>
      <c r="X586">
        <v>26551</v>
      </c>
      <c r="Y586">
        <v>1</v>
      </c>
      <c r="Z586" t="s">
        <v>42</v>
      </c>
      <c r="AA586" t="s">
        <v>35</v>
      </c>
      <c r="AB586">
        <v>11</v>
      </c>
      <c r="AC586">
        <v>3</v>
      </c>
      <c r="AD586" t="str">
        <f t="shared" si="19"/>
        <v>Low Performance</v>
      </c>
      <c r="AE586">
        <v>3</v>
      </c>
      <c r="AF586">
        <v>80</v>
      </c>
      <c r="AG586">
        <v>3</v>
      </c>
      <c r="AH586">
        <v>1</v>
      </c>
      <c r="AI586">
        <v>4</v>
      </c>
      <c r="AJ586">
        <v>3</v>
      </c>
      <c r="AK586" t="str" cm="1">
        <f t="array" ref="AK586">_xlfn.IFS(AJ586&lt;=2,"Poor",AJ586&lt;=3,"Fair",AJ586&gt;3,"Good")</f>
        <v>Fair</v>
      </c>
      <c r="AL586">
        <v>1</v>
      </c>
      <c r="AM586">
        <v>0</v>
      </c>
      <c r="AN586">
        <v>0</v>
      </c>
      <c r="AO586">
        <v>0</v>
      </c>
    </row>
    <row r="587" spans="1:41" x14ac:dyDescent="0.2">
      <c r="A587">
        <v>1755899</v>
      </c>
      <c r="B587">
        <v>52</v>
      </c>
      <c r="C587" t="str" cm="1">
        <f t="array" ref="C587">_xlfn.IFS(B587&lt;=25,"15-25",B587&lt;=35,"26-35",B587&lt;=45,"36-45",B587&lt;=55,"46-55",B587&lt;=65,"56-65")</f>
        <v>46-55</v>
      </c>
      <c r="D587" t="s">
        <v>35</v>
      </c>
      <c r="E587" t="str">
        <f t="shared" si="18"/>
        <v>Current Employee</v>
      </c>
      <c r="F587" t="s">
        <v>36</v>
      </c>
      <c r="G587">
        <v>1325</v>
      </c>
      <c r="H587" t="s">
        <v>45</v>
      </c>
      <c r="I587">
        <v>11</v>
      </c>
      <c r="J587">
        <v>4</v>
      </c>
      <c r="K587" t="s">
        <v>38</v>
      </c>
      <c r="L587">
        <v>1</v>
      </c>
      <c r="M587">
        <v>4</v>
      </c>
      <c r="N587" t="s">
        <v>39</v>
      </c>
      <c r="O587">
        <v>82</v>
      </c>
      <c r="P587">
        <v>3</v>
      </c>
      <c r="Q587">
        <v>2</v>
      </c>
      <c r="R587" t="s">
        <v>40</v>
      </c>
      <c r="S587">
        <v>3</v>
      </c>
      <c r="T587" t="str" cm="1">
        <f t="array" ref="T587">_xlfn.IFS(S587&lt;=2,"Poor",S587&lt;=3,"Fair",S587&gt;=4,"Good")</f>
        <v>Fair</v>
      </c>
      <c r="U587" t="s">
        <v>48</v>
      </c>
      <c r="V587" s="1">
        <v>3149</v>
      </c>
      <c r="W587" t="str" cm="1">
        <f t="array" ref="W587">_xlfn.IFS(V587&lt;=5000,"Low Salary",V587&lt;=12000,"Good Salary",V587&gt;12000,"High Salary")</f>
        <v>Low Salary</v>
      </c>
      <c r="X587">
        <v>21821</v>
      </c>
      <c r="Y587">
        <v>8</v>
      </c>
      <c r="Z587" t="s">
        <v>42</v>
      </c>
      <c r="AA587" t="s">
        <v>35</v>
      </c>
      <c r="AB587">
        <v>20</v>
      </c>
      <c r="AC587">
        <v>4</v>
      </c>
      <c r="AD587" t="str">
        <f t="shared" si="19"/>
        <v>High Performance</v>
      </c>
      <c r="AE587">
        <v>2</v>
      </c>
      <c r="AF587">
        <v>80</v>
      </c>
      <c r="AG587">
        <v>1</v>
      </c>
      <c r="AH587">
        <v>9</v>
      </c>
      <c r="AI587">
        <v>3</v>
      </c>
      <c r="AJ587">
        <v>3</v>
      </c>
      <c r="AK587" t="str" cm="1">
        <f t="array" ref="AK587">_xlfn.IFS(AJ587&lt;=2,"Poor",AJ587&lt;=3,"Fair",AJ587&gt;3,"Good")</f>
        <v>Fair</v>
      </c>
      <c r="AL587">
        <v>5</v>
      </c>
      <c r="AM587">
        <v>2</v>
      </c>
      <c r="AN587">
        <v>1</v>
      </c>
      <c r="AO587">
        <v>4</v>
      </c>
    </row>
    <row r="588" spans="1:41" x14ac:dyDescent="0.2">
      <c r="A588">
        <v>1330421</v>
      </c>
      <c r="B588">
        <v>50</v>
      </c>
      <c r="C588" t="str" cm="1">
        <f t="array" ref="C588">_xlfn.IFS(B588&lt;=25,"15-25",B588&lt;=35,"26-35",B588&lt;=45,"36-45",B588&lt;=55,"46-55",B588&lt;=65,"56-65")</f>
        <v>46-55</v>
      </c>
      <c r="D588" t="s">
        <v>35</v>
      </c>
      <c r="E588" t="str">
        <f t="shared" si="18"/>
        <v>Current Employee</v>
      </c>
      <c r="F588" t="s">
        <v>36</v>
      </c>
      <c r="G588">
        <v>691</v>
      </c>
      <c r="H588" t="s">
        <v>45</v>
      </c>
      <c r="I588">
        <v>2</v>
      </c>
      <c r="J588">
        <v>3</v>
      </c>
      <c r="K588" t="s">
        <v>49</v>
      </c>
      <c r="L588">
        <v>1</v>
      </c>
      <c r="M588">
        <v>3</v>
      </c>
      <c r="N588" t="s">
        <v>46</v>
      </c>
      <c r="O588">
        <v>64</v>
      </c>
      <c r="P588">
        <v>3</v>
      </c>
      <c r="Q588">
        <v>4</v>
      </c>
      <c r="R588" t="s">
        <v>53</v>
      </c>
      <c r="S588">
        <v>3</v>
      </c>
      <c r="T588" t="str" cm="1">
        <f t="array" ref="T588">_xlfn.IFS(S588&lt;=2,"Poor",S588&lt;=3,"Fair",S588&gt;=4,"Good")</f>
        <v>Fair</v>
      </c>
      <c r="U588" t="s">
        <v>48</v>
      </c>
      <c r="V588" s="1">
        <v>17639</v>
      </c>
      <c r="W588" t="str" cm="1">
        <f t="array" ref="W588">_xlfn.IFS(V588&lt;=5000,"Low Salary",V588&lt;=12000,"Good Salary",V588&gt;12000,"High Salary")</f>
        <v>High Salary</v>
      </c>
      <c r="X588">
        <v>6881</v>
      </c>
      <c r="Y588">
        <v>5</v>
      </c>
      <c r="Z588" t="s">
        <v>42</v>
      </c>
      <c r="AA588" t="s">
        <v>35</v>
      </c>
      <c r="AB588">
        <v>16</v>
      </c>
      <c r="AC588">
        <v>3</v>
      </c>
      <c r="AD588" t="str">
        <f t="shared" si="19"/>
        <v>Low Performance</v>
      </c>
      <c r="AE588">
        <v>4</v>
      </c>
      <c r="AF588">
        <v>80</v>
      </c>
      <c r="AG588">
        <v>0</v>
      </c>
      <c r="AH588">
        <v>30</v>
      </c>
      <c r="AI588">
        <v>3</v>
      </c>
      <c r="AJ588">
        <v>3</v>
      </c>
      <c r="AK588" t="str" cm="1">
        <f t="array" ref="AK588">_xlfn.IFS(AJ588&lt;=2,"Poor",AJ588&lt;=3,"Fair",AJ588&gt;3,"Good")</f>
        <v>Fair</v>
      </c>
      <c r="AL588">
        <v>4</v>
      </c>
      <c r="AM588">
        <v>3</v>
      </c>
      <c r="AN588">
        <v>0</v>
      </c>
      <c r="AO588">
        <v>3</v>
      </c>
    </row>
    <row r="589" spans="1:41" x14ac:dyDescent="0.2">
      <c r="A589">
        <v>1187355</v>
      </c>
      <c r="B589">
        <v>29</v>
      </c>
      <c r="C589" t="str" cm="1">
        <f t="array" ref="C589">_xlfn.IFS(B589&lt;=25,"15-25",B589&lt;=35,"26-35",B589&lt;=45,"36-45",B589&lt;=55,"46-55",B589&lt;=65,"56-65")</f>
        <v>26-35</v>
      </c>
      <c r="D589" t="s">
        <v>43</v>
      </c>
      <c r="E589" t="str">
        <f t="shared" si="18"/>
        <v>Former Employee</v>
      </c>
      <c r="F589" t="s">
        <v>36</v>
      </c>
      <c r="G589">
        <v>805</v>
      </c>
      <c r="H589" t="s">
        <v>45</v>
      </c>
      <c r="I589">
        <v>1</v>
      </c>
      <c r="J589">
        <v>2</v>
      </c>
      <c r="K589" t="s">
        <v>38</v>
      </c>
      <c r="L589">
        <v>1</v>
      </c>
      <c r="M589">
        <v>2</v>
      </c>
      <c r="N589" t="s">
        <v>39</v>
      </c>
      <c r="O589">
        <v>36</v>
      </c>
      <c r="P589">
        <v>2</v>
      </c>
      <c r="Q589">
        <v>1</v>
      </c>
      <c r="R589" t="s">
        <v>40</v>
      </c>
      <c r="S589">
        <v>1</v>
      </c>
      <c r="T589" t="str" cm="1">
        <f t="array" ref="T589">_xlfn.IFS(S589&lt;=2,"Poor",S589&lt;=3,"Fair",S589&gt;=4,"Good")</f>
        <v>Poor</v>
      </c>
      <c r="U589" t="s">
        <v>48</v>
      </c>
      <c r="V589" s="1">
        <v>2319</v>
      </c>
      <c r="W589" t="str" cm="1">
        <f t="array" ref="W589">_xlfn.IFS(V589&lt;=5000,"Low Salary",V589&lt;=12000,"Good Salary",V589&gt;12000,"High Salary")</f>
        <v>Low Salary</v>
      </c>
      <c r="X589">
        <v>6689</v>
      </c>
      <c r="Y589">
        <v>1</v>
      </c>
      <c r="Z589" t="s">
        <v>42</v>
      </c>
      <c r="AA589" t="s">
        <v>43</v>
      </c>
      <c r="AB589">
        <v>11</v>
      </c>
      <c r="AC589">
        <v>3</v>
      </c>
      <c r="AD589" t="str">
        <f t="shared" si="19"/>
        <v>Low Performance</v>
      </c>
      <c r="AE589">
        <v>4</v>
      </c>
      <c r="AF589">
        <v>80</v>
      </c>
      <c r="AG589">
        <v>1</v>
      </c>
      <c r="AH589">
        <v>1</v>
      </c>
      <c r="AI589">
        <v>1</v>
      </c>
      <c r="AJ589">
        <v>3</v>
      </c>
      <c r="AK589" t="str" cm="1">
        <f t="array" ref="AK589">_xlfn.IFS(AJ589&lt;=2,"Poor",AJ589&lt;=3,"Fair",AJ589&gt;3,"Good")</f>
        <v>Fair</v>
      </c>
      <c r="AL589">
        <v>1</v>
      </c>
      <c r="AM589">
        <v>0</v>
      </c>
      <c r="AN589">
        <v>0</v>
      </c>
      <c r="AO589">
        <v>0</v>
      </c>
    </row>
    <row r="590" spans="1:41" x14ac:dyDescent="0.2">
      <c r="A590">
        <v>1297416</v>
      </c>
      <c r="B590">
        <v>33</v>
      </c>
      <c r="C590" t="str" cm="1">
        <f t="array" ref="C590">_xlfn.IFS(B590&lt;=25,"15-25",B590&lt;=35,"26-35",B590&lt;=45,"36-45",B590&lt;=55,"46-55",B590&lt;=65,"56-65")</f>
        <v>26-35</v>
      </c>
      <c r="D590" t="s">
        <v>35</v>
      </c>
      <c r="E590" t="str">
        <f t="shared" si="18"/>
        <v>Current Employee</v>
      </c>
      <c r="F590" t="s">
        <v>36</v>
      </c>
      <c r="G590">
        <v>213</v>
      </c>
      <c r="H590" t="s">
        <v>45</v>
      </c>
      <c r="I590">
        <v>7</v>
      </c>
      <c r="J590">
        <v>3</v>
      </c>
      <c r="K590" t="s">
        <v>49</v>
      </c>
      <c r="L590">
        <v>1</v>
      </c>
      <c r="M590">
        <v>3</v>
      </c>
      <c r="N590" t="s">
        <v>46</v>
      </c>
      <c r="O590">
        <v>49</v>
      </c>
      <c r="P590">
        <v>3</v>
      </c>
      <c r="Q590">
        <v>3</v>
      </c>
      <c r="R590" t="s">
        <v>53</v>
      </c>
      <c r="S590">
        <v>3</v>
      </c>
      <c r="T590" t="str" cm="1">
        <f t="array" ref="T590">_xlfn.IFS(S590&lt;=2,"Poor",S590&lt;=3,"Fair",S590&gt;=4,"Good")</f>
        <v>Fair</v>
      </c>
      <c r="U590" t="s">
        <v>48</v>
      </c>
      <c r="V590" s="1">
        <v>11691</v>
      </c>
      <c r="W590" t="str" cm="1">
        <f t="array" ref="W590">_xlfn.IFS(V590&lt;=5000,"Low Salary",V590&lt;=12000,"Good Salary",V590&gt;12000,"High Salary")</f>
        <v>Good Salary</v>
      </c>
      <c r="X590">
        <v>25995</v>
      </c>
      <c r="Y590">
        <v>0</v>
      </c>
      <c r="Z590" t="s">
        <v>42</v>
      </c>
      <c r="AA590" t="s">
        <v>35</v>
      </c>
      <c r="AB590">
        <v>11</v>
      </c>
      <c r="AC590">
        <v>3</v>
      </c>
      <c r="AD590" t="str">
        <f t="shared" si="19"/>
        <v>Low Performance</v>
      </c>
      <c r="AE590">
        <v>4</v>
      </c>
      <c r="AF590">
        <v>80</v>
      </c>
      <c r="AG590">
        <v>0</v>
      </c>
      <c r="AH590">
        <v>14</v>
      </c>
      <c r="AI590">
        <v>3</v>
      </c>
      <c r="AJ590">
        <v>4</v>
      </c>
      <c r="AK590" t="str" cm="1">
        <f t="array" ref="AK590">_xlfn.IFS(AJ590&lt;=2,"Poor",AJ590&lt;=3,"Fair",AJ590&gt;3,"Good")</f>
        <v>Good</v>
      </c>
      <c r="AL590">
        <v>13</v>
      </c>
      <c r="AM590">
        <v>9</v>
      </c>
      <c r="AN590">
        <v>3</v>
      </c>
      <c r="AO590">
        <v>7</v>
      </c>
    </row>
    <row r="591" spans="1:41" x14ac:dyDescent="0.2">
      <c r="A591">
        <v>1161558</v>
      </c>
      <c r="B591">
        <v>33</v>
      </c>
      <c r="C591" t="str" cm="1">
        <f t="array" ref="C591">_xlfn.IFS(B591&lt;=25,"15-25",B591&lt;=35,"26-35",B591&lt;=45,"36-45",B591&lt;=55,"46-55",B591&lt;=65,"56-65")</f>
        <v>26-35</v>
      </c>
      <c r="D591" t="s">
        <v>43</v>
      </c>
      <c r="E591" t="str">
        <f t="shared" si="18"/>
        <v>Former Employee</v>
      </c>
      <c r="F591" t="s">
        <v>36</v>
      </c>
      <c r="G591">
        <v>118</v>
      </c>
      <c r="H591" t="s">
        <v>37</v>
      </c>
      <c r="I591">
        <v>16</v>
      </c>
      <c r="J591">
        <v>3</v>
      </c>
      <c r="K591" t="s">
        <v>55</v>
      </c>
      <c r="L591">
        <v>1</v>
      </c>
      <c r="M591">
        <v>1</v>
      </c>
      <c r="N591" t="s">
        <v>39</v>
      </c>
      <c r="O591">
        <v>69</v>
      </c>
      <c r="P591">
        <v>3</v>
      </c>
      <c r="Q591">
        <v>2</v>
      </c>
      <c r="R591" t="s">
        <v>40</v>
      </c>
      <c r="S591">
        <v>1</v>
      </c>
      <c r="T591" t="str" cm="1">
        <f t="array" ref="T591">_xlfn.IFS(S591&lt;=2,"Poor",S591&lt;=3,"Fair",S591&gt;=4,"Good")</f>
        <v>Poor</v>
      </c>
      <c r="U591" t="s">
        <v>41</v>
      </c>
      <c r="V591" s="1">
        <v>5324</v>
      </c>
      <c r="W591" t="str" cm="1">
        <f t="array" ref="W591">_xlfn.IFS(V591&lt;=5000,"Low Salary",V591&lt;=12000,"Good Salary",V591&gt;12000,"High Salary")</f>
        <v>Good Salary</v>
      </c>
      <c r="X591">
        <v>26507</v>
      </c>
      <c r="Y591">
        <v>5</v>
      </c>
      <c r="Z591" t="s">
        <v>42</v>
      </c>
      <c r="AA591" t="s">
        <v>35</v>
      </c>
      <c r="AB591">
        <v>15</v>
      </c>
      <c r="AC591">
        <v>3</v>
      </c>
      <c r="AD591" t="str">
        <f t="shared" si="19"/>
        <v>Low Performance</v>
      </c>
      <c r="AE591">
        <v>3</v>
      </c>
      <c r="AF591">
        <v>80</v>
      </c>
      <c r="AG591">
        <v>0</v>
      </c>
      <c r="AH591">
        <v>6</v>
      </c>
      <c r="AI591">
        <v>3</v>
      </c>
      <c r="AJ591">
        <v>3</v>
      </c>
      <c r="AK591" t="str" cm="1">
        <f t="array" ref="AK591">_xlfn.IFS(AJ591&lt;=2,"Poor",AJ591&lt;=3,"Fair",AJ591&gt;3,"Good")</f>
        <v>Fair</v>
      </c>
      <c r="AL591">
        <v>3</v>
      </c>
      <c r="AM591">
        <v>2</v>
      </c>
      <c r="AN591">
        <v>0</v>
      </c>
      <c r="AO591">
        <v>2</v>
      </c>
    </row>
    <row r="592" spans="1:41" x14ac:dyDescent="0.2">
      <c r="A592">
        <v>1069822</v>
      </c>
      <c r="B592">
        <v>47</v>
      </c>
      <c r="C592" t="str" cm="1">
        <f t="array" ref="C592">_xlfn.IFS(B592&lt;=25,"15-25",B592&lt;=35,"26-35",B592&lt;=45,"36-45",B592&lt;=55,"46-55",B592&lt;=65,"56-65")</f>
        <v>46-55</v>
      </c>
      <c r="D592" t="s">
        <v>35</v>
      </c>
      <c r="E592" t="str">
        <f t="shared" si="18"/>
        <v>Current Employee</v>
      </c>
      <c r="F592" t="s">
        <v>36</v>
      </c>
      <c r="G592">
        <v>202</v>
      </c>
      <c r="H592" t="s">
        <v>54</v>
      </c>
      <c r="I592">
        <v>2</v>
      </c>
      <c r="J592">
        <v>2</v>
      </c>
      <c r="K592" t="s">
        <v>47</v>
      </c>
      <c r="L592">
        <v>1</v>
      </c>
      <c r="M592">
        <v>3</v>
      </c>
      <c r="N592" t="s">
        <v>39</v>
      </c>
      <c r="O592">
        <v>33</v>
      </c>
      <c r="P592">
        <v>3</v>
      </c>
      <c r="Q592">
        <v>4</v>
      </c>
      <c r="R592" t="s">
        <v>47</v>
      </c>
      <c r="S592">
        <v>4</v>
      </c>
      <c r="T592" t="str" cm="1">
        <f t="array" ref="T592">_xlfn.IFS(S592&lt;=2,"Poor",S592&lt;=3,"Fair",S592&gt;=4,"Good")</f>
        <v>Good</v>
      </c>
      <c r="U592" t="s">
        <v>48</v>
      </c>
      <c r="V592" s="1">
        <v>16752</v>
      </c>
      <c r="W592" t="str" cm="1">
        <f t="array" ref="W592">_xlfn.IFS(V592&lt;=5000,"Low Salary",V592&lt;=12000,"Good Salary",V592&gt;12000,"High Salary")</f>
        <v>High Salary</v>
      </c>
      <c r="X592">
        <v>12982</v>
      </c>
      <c r="Y592">
        <v>1</v>
      </c>
      <c r="Z592" t="s">
        <v>42</v>
      </c>
      <c r="AA592" t="s">
        <v>43</v>
      </c>
      <c r="AB592">
        <v>11</v>
      </c>
      <c r="AC592">
        <v>3</v>
      </c>
      <c r="AD592" t="str">
        <f t="shared" si="19"/>
        <v>Low Performance</v>
      </c>
      <c r="AE592">
        <v>3</v>
      </c>
      <c r="AF592">
        <v>80</v>
      </c>
      <c r="AG592">
        <v>1</v>
      </c>
      <c r="AH592">
        <v>26</v>
      </c>
      <c r="AI592">
        <v>3</v>
      </c>
      <c r="AJ592">
        <v>2</v>
      </c>
      <c r="AK592" t="str" cm="1">
        <f t="array" ref="AK592">_xlfn.IFS(AJ592&lt;=2,"Poor",AJ592&lt;=3,"Fair",AJ592&gt;3,"Good")</f>
        <v>Poor</v>
      </c>
      <c r="AL592">
        <v>26</v>
      </c>
      <c r="AM592">
        <v>14</v>
      </c>
      <c r="AN592">
        <v>3</v>
      </c>
      <c r="AO592">
        <v>0</v>
      </c>
    </row>
    <row r="593" spans="1:41" x14ac:dyDescent="0.2">
      <c r="A593">
        <v>1418243</v>
      </c>
      <c r="B593">
        <v>36</v>
      </c>
      <c r="C593" t="str" cm="1">
        <f t="array" ref="C593">_xlfn.IFS(B593&lt;=25,"15-25",B593&lt;=35,"26-35",B593&lt;=45,"36-45",B593&lt;=55,"46-55",B593&lt;=65,"56-65")</f>
        <v>36-45</v>
      </c>
      <c r="D593" t="s">
        <v>35</v>
      </c>
      <c r="E593" t="str">
        <f t="shared" si="18"/>
        <v>Current Employee</v>
      </c>
      <c r="F593" t="s">
        <v>36</v>
      </c>
      <c r="G593">
        <v>676</v>
      </c>
      <c r="H593" t="s">
        <v>54</v>
      </c>
      <c r="I593">
        <v>1</v>
      </c>
      <c r="J593">
        <v>3</v>
      </c>
      <c r="K593" t="s">
        <v>47</v>
      </c>
      <c r="L593">
        <v>1</v>
      </c>
      <c r="M593">
        <v>3</v>
      </c>
      <c r="N593" t="s">
        <v>39</v>
      </c>
      <c r="O593">
        <v>35</v>
      </c>
      <c r="P593">
        <v>3</v>
      </c>
      <c r="Q593">
        <v>2</v>
      </c>
      <c r="R593" t="s">
        <v>51</v>
      </c>
      <c r="S593">
        <v>2</v>
      </c>
      <c r="T593" t="str" cm="1">
        <f t="array" ref="T593">_xlfn.IFS(S593&lt;=2,"Poor",S593&lt;=3,"Fair",S593&gt;=4,"Good")</f>
        <v>Poor</v>
      </c>
      <c r="U593" t="s">
        <v>48</v>
      </c>
      <c r="V593" s="1">
        <v>5228</v>
      </c>
      <c r="W593" t="str" cm="1">
        <f t="array" ref="W593">_xlfn.IFS(V593&lt;=5000,"Low Salary",V593&lt;=12000,"Good Salary",V593&gt;12000,"High Salary")</f>
        <v>Good Salary</v>
      </c>
      <c r="X593">
        <v>23361</v>
      </c>
      <c r="Y593">
        <v>0</v>
      </c>
      <c r="Z593" t="s">
        <v>42</v>
      </c>
      <c r="AA593" t="s">
        <v>35</v>
      </c>
      <c r="AB593">
        <v>15</v>
      </c>
      <c r="AC593">
        <v>3</v>
      </c>
      <c r="AD593" t="str">
        <f t="shared" si="19"/>
        <v>Low Performance</v>
      </c>
      <c r="AE593">
        <v>1</v>
      </c>
      <c r="AF593">
        <v>80</v>
      </c>
      <c r="AG593">
        <v>1</v>
      </c>
      <c r="AH593">
        <v>10</v>
      </c>
      <c r="AI593">
        <v>2</v>
      </c>
      <c r="AJ593">
        <v>3</v>
      </c>
      <c r="AK593" t="str" cm="1">
        <f t="array" ref="AK593">_xlfn.IFS(AJ593&lt;=2,"Poor",AJ593&lt;=3,"Fair",AJ593&gt;3,"Good")</f>
        <v>Fair</v>
      </c>
      <c r="AL593">
        <v>9</v>
      </c>
      <c r="AM593">
        <v>7</v>
      </c>
      <c r="AN593">
        <v>0</v>
      </c>
      <c r="AO593">
        <v>5</v>
      </c>
    </row>
    <row r="594" spans="1:41" x14ac:dyDescent="0.2">
      <c r="A594">
        <v>1312456</v>
      </c>
      <c r="B594">
        <v>29</v>
      </c>
      <c r="C594" t="str" cm="1">
        <f t="array" ref="C594">_xlfn.IFS(B594&lt;=25,"15-25",B594&lt;=35,"26-35",B594&lt;=45,"36-45",B594&lt;=55,"46-55",B594&lt;=65,"56-65")</f>
        <v>26-35</v>
      </c>
      <c r="D594" t="s">
        <v>35</v>
      </c>
      <c r="E594" t="str">
        <f t="shared" si="18"/>
        <v>Current Employee</v>
      </c>
      <c r="F594" t="s">
        <v>36</v>
      </c>
      <c r="G594">
        <v>1252</v>
      </c>
      <c r="H594" t="s">
        <v>45</v>
      </c>
      <c r="I594">
        <v>23</v>
      </c>
      <c r="J594">
        <v>2</v>
      </c>
      <c r="K594" t="s">
        <v>38</v>
      </c>
      <c r="L594">
        <v>1</v>
      </c>
      <c r="M594">
        <v>3</v>
      </c>
      <c r="N594" t="s">
        <v>46</v>
      </c>
      <c r="O594">
        <v>81</v>
      </c>
      <c r="P594">
        <v>4</v>
      </c>
      <c r="Q594">
        <v>1</v>
      </c>
      <c r="R594" t="s">
        <v>47</v>
      </c>
      <c r="S594">
        <v>3</v>
      </c>
      <c r="T594" t="str" cm="1">
        <f t="array" ref="T594">_xlfn.IFS(S594&lt;=2,"Poor",S594&lt;=3,"Fair",S594&gt;=4,"Good")</f>
        <v>Fair</v>
      </c>
      <c r="U594" t="s">
        <v>48</v>
      </c>
      <c r="V594" s="1">
        <v>2700</v>
      </c>
      <c r="W594" t="str" cm="1">
        <f t="array" ref="W594">_xlfn.IFS(V594&lt;=5000,"Low Salary",V594&lt;=12000,"Good Salary",V594&gt;12000,"High Salary")</f>
        <v>Low Salary</v>
      </c>
      <c r="X594">
        <v>23779</v>
      </c>
      <c r="Y594">
        <v>1</v>
      </c>
      <c r="Z594" t="s">
        <v>42</v>
      </c>
      <c r="AA594" t="s">
        <v>35</v>
      </c>
      <c r="AB594">
        <v>24</v>
      </c>
      <c r="AC594">
        <v>4</v>
      </c>
      <c r="AD594" t="str">
        <f t="shared" si="19"/>
        <v>High Performance</v>
      </c>
      <c r="AE594">
        <v>3</v>
      </c>
      <c r="AF594">
        <v>80</v>
      </c>
      <c r="AG594">
        <v>1</v>
      </c>
      <c r="AH594">
        <v>10</v>
      </c>
      <c r="AI594">
        <v>3</v>
      </c>
      <c r="AJ594">
        <v>3</v>
      </c>
      <c r="AK594" t="str" cm="1">
        <f t="array" ref="AK594">_xlfn.IFS(AJ594&lt;=2,"Poor",AJ594&lt;=3,"Fair",AJ594&gt;3,"Good")</f>
        <v>Fair</v>
      </c>
      <c r="AL594">
        <v>10</v>
      </c>
      <c r="AM594">
        <v>7</v>
      </c>
      <c r="AN594">
        <v>0</v>
      </c>
      <c r="AO594">
        <v>7</v>
      </c>
    </row>
    <row r="595" spans="1:41" x14ac:dyDescent="0.2">
      <c r="A595">
        <v>1294456</v>
      </c>
      <c r="B595">
        <v>58</v>
      </c>
      <c r="C595" t="str" cm="1">
        <f t="array" ref="C595">_xlfn.IFS(B595&lt;=25,"15-25",B595&lt;=35,"26-35",B595&lt;=45,"36-45",B595&lt;=55,"46-55",B595&lt;=65,"56-65")</f>
        <v>56-65</v>
      </c>
      <c r="D595" t="s">
        <v>43</v>
      </c>
      <c r="E595" t="str">
        <f t="shared" si="18"/>
        <v>Former Employee</v>
      </c>
      <c r="F595" t="s">
        <v>36</v>
      </c>
      <c r="G595">
        <v>286</v>
      </c>
      <c r="H595" t="s">
        <v>45</v>
      </c>
      <c r="I595">
        <v>2</v>
      </c>
      <c r="J595">
        <v>4</v>
      </c>
      <c r="K595" t="s">
        <v>38</v>
      </c>
      <c r="L595">
        <v>1</v>
      </c>
      <c r="M595">
        <v>4</v>
      </c>
      <c r="N595" t="s">
        <v>46</v>
      </c>
      <c r="O595">
        <v>31</v>
      </c>
      <c r="P595">
        <v>3</v>
      </c>
      <c r="Q595">
        <v>5</v>
      </c>
      <c r="R595" t="s">
        <v>53</v>
      </c>
      <c r="S595">
        <v>2</v>
      </c>
      <c r="T595" t="str" cm="1">
        <f t="array" ref="T595">_xlfn.IFS(S595&lt;=2,"Poor",S595&lt;=3,"Fair",S595&gt;=4,"Good")</f>
        <v>Poor</v>
      </c>
      <c r="U595" t="s">
        <v>41</v>
      </c>
      <c r="V595" s="1">
        <v>19246</v>
      </c>
      <c r="W595" t="str" cm="1">
        <f t="array" ref="W595">_xlfn.IFS(V595&lt;=5000,"Low Salary",V595&lt;=12000,"Good Salary",V595&gt;12000,"High Salary")</f>
        <v>High Salary</v>
      </c>
      <c r="X595">
        <v>25761</v>
      </c>
      <c r="Y595">
        <v>7</v>
      </c>
      <c r="Z595" t="s">
        <v>42</v>
      </c>
      <c r="AA595" t="s">
        <v>43</v>
      </c>
      <c r="AB595">
        <v>12</v>
      </c>
      <c r="AC595">
        <v>3</v>
      </c>
      <c r="AD595" t="str">
        <f t="shared" si="19"/>
        <v>Low Performance</v>
      </c>
      <c r="AE595">
        <v>4</v>
      </c>
      <c r="AF595">
        <v>80</v>
      </c>
      <c r="AG595">
        <v>0</v>
      </c>
      <c r="AH595">
        <v>40</v>
      </c>
      <c r="AI595">
        <v>2</v>
      </c>
      <c r="AJ595">
        <v>3</v>
      </c>
      <c r="AK595" t="str" cm="1">
        <f t="array" ref="AK595">_xlfn.IFS(AJ595&lt;=2,"Poor",AJ595&lt;=3,"Fair",AJ595&gt;3,"Good")</f>
        <v>Fair</v>
      </c>
      <c r="AL595">
        <v>31</v>
      </c>
      <c r="AM595">
        <v>15</v>
      </c>
      <c r="AN595">
        <v>13</v>
      </c>
      <c r="AO595">
        <v>8</v>
      </c>
    </row>
    <row r="596" spans="1:41" x14ac:dyDescent="0.2">
      <c r="A596">
        <v>1637745</v>
      </c>
      <c r="B596">
        <v>35</v>
      </c>
      <c r="C596" t="str" cm="1">
        <f t="array" ref="C596">_xlfn.IFS(B596&lt;=25,"15-25",B596&lt;=35,"26-35",B596&lt;=45,"36-45",B596&lt;=55,"46-55",B596&lt;=65,"56-65")</f>
        <v>26-35</v>
      </c>
      <c r="D596" t="s">
        <v>35</v>
      </c>
      <c r="E596" t="str">
        <f t="shared" si="18"/>
        <v>Current Employee</v>
      </c>
      <c r="F596" t="s">
        <v>36</v>
      </c>
      <c r="G596">
        <v>1258</v>
      </c>
      <c r="H596" t="s">
        <v>45</v>
      </c>
      <c r="I596">
        <v>1</v>
      </c>
      <c r="J596">
        <v>4</v>
      </c>
      <c r="K596" t="s">
        <v>38</v>
      </c>
      <c r="L596">
        <v>1</v>
      </c>
      <c r="M596">
        <v>4</v>
      </c>
      <c r="N596" t="s">
        <v>39</v>
      </c>
      <c r="O596">
        <v>40</v>
      </c>
      <c r="P596">
        <v>4</v>
      </c>
      <c r="Q596">
        <v>1</v>
      </c>
      <c r="R596" t="s">
        <v>47</v>
      </c>
      <c r="S596">
        <v>3</v>
      </c>
      <c r="T596" t="str" cm="1">
        <f t="array" ref="T596">_xlfn.IFS(S596&lt;=2,"Poor",S596&lt;=3,"Fair",S596&gt;=4,"Good")</f>
        <v>Fair</v>
      </c>
      <c r="U596" t="s">
        <v>41</v>
      </c>
      <c r="V596" s="1">
        <v>2506</v>
      </c>
      <c r="W596" t="str" cm="1">
        <f t="array" ref="W596">_xlfn.IFS(V596&lt;=5000,"Low Salary",V596&lt;=12000,"Good Salary",V596&gt;12000,"High Salary")</f>
        <v>Low Salary</v>
      </c>
      <c r="X596">
        <v>13301</v>
      </c>
      <c r="Y596">
        <v>3</v>
      </c>
      <c r="Z596" t="s">
        <v>42</v>
      </c>
      <c r="AA596" t="s">
        <v>35</v>
      </c>
      <c r="AB596">
        <v>13</v>
      </c>
      <c r="AC596">
        <v>3</v>
      </c>
      <c r="AD596" t="str">
        <f t="shared" si="19"/>
        <v>Low Performance</v>
      </c>
      <c r="AE596">
        <v>3</v>
      </c>
      <c r="AF596">
        <v>80</v>
      </c>
      <c r="AG596">
        <v>0</v>
      </c>
      <c r="AH596">
        <v>7</v>
      </c>
      <c r="AI596">
        <v>0</v>
      </c>
      <c r="AJ596">
        <v>3</v>
      </c>
      <c r="AK596" t="str" cm="1">
        <f t="array" ref="AK596">_xlfn.IFS(AJ596&lt;=2,"Poor",AJ596&lt;=3,"Fair",AJ596&gt;3,"Good")</f>
        <v>Fair</v>
      </c>
      <c r="AL596">
        <v>2</v>
      </c>
      <c r="AM596">
        <v>2</v>
      </c>
      <c r="AN596">
        <v>2</v>
      </c>
      <c r="AO596">
        <v>2</v>
      </c>
    </row>
    <row r="597" spans="1:41" x14ac:dyDescent="0.2">
      <c r="A597">
        <v>1307498</v>
      </c>
      <c r="B597">
        <v>42</v>
      </c>
      <c r="C597" t="str" cm="1">
        <f t="array" ref="C597">_xlfn.IFS(B597&lt;=25,"15-25",B597&lt;=35,"26-35",B597&lt;=45,"36-45",B597&lt;=55,"46-55",B597&lt;=65,"56-65")</f>
        <v>36-45</v>
      </c>
      <c r="D597" t="s">
        <v>35</v>
      </c>
      <c r="E597" t="str">
        <f t="shared" si="18"/>
        <v>Current Employee</v>
      </c>
      <c r="F597" t="s">
        <v>36</v>
      </c>
      <c r="G597">
        <v>932</v>
      </c>
      <c r="H597" t="s">
        <v>54</v>
      </c>
      <c r="I597">
        <v>1</v>
      </c>
      <c r="J597">
        <v>2</v>
      </c>
      <c r="K597" t="s">
        <v>38</v>
      </c>
      <c r="L597">
        <v>1</v>
      </c>
      <c r="M597">
        <v>4</v>
      </c>
      <c r="N597" t="s">
        <v>39</v>
      </c>
      <c r="O597">
        <v>43</v>
      </c>
      <c r="P597">
        <v>2</v>
      </c>
      <c r="Q597">
        <v>2</v>
      </c>
      <c r="R597" t="s">
        <v>51</v>
      </c>
      <c r="S597">
        <v>4</v>
      </c>
      <c r="T597" t="str" cm="1">
        <f t="array" ref="T597">_xlfn.IFS(S597&lt;=2,"Poor",S597&lt;=3,"Fair",S597&gt;=4,"Good")</f>
        <v>Good</v>
      </c>
      <c r="U597" t="s">
        <v>48</v>
      </c>
      <c r="V597" s="1">
        <v>6062</v>
      </c>
      <c r="W597" t="str" cm="1">
        <f t="array" ref="W597">_xlfn.IFS(V597&lt;=5000,"Low Salary",V597&lt;=12000,"Good Salary",V597&gt;12000,"High Salary")</f>
        <v>Good Salary</v>
      </c>
      <c r="X597">
        <v>4051</v>
      </c>
      <c r="Y597">
        <v>9</v>
      </c>
      <c r="Z597" t="s">
        <v>42</v>
      </c>
      <c r="AA597" t="s">
        <v>43</v>
      </c>
      <c r="AB597">
        <v>13</v>
      </c>
      <c r="AC597">
        <v>3</v>
      </c>
      <c r="AD597" t="str">
        <f t="shared" si="19"/>
        <v>Low Performance</v>
      </c>
      <c r="AE597">
        <v>4</v>
      </c>
      <c r="AF597">
        <v>80</v>
      </c>
      <c r="AG597">
        <v>1</v>
      </c>
      <c r="AH597">
        <v>8</v>
      </c>
      <c r="AI597">
        <v>4</v>
      </c>
      <c r="AJ597">
        <v>3</v>
      </c>
      <c r="AK597" t="str" cm="1">
        <f t="array" ref="AK597">_xlfn.IFS(AJ597&lt;=2,"Poor",AJ597&lt;=3,"Fair",AJ597&gt;3,"Good")</f>
        <v>Fair</v>
      </c>
      <c r="AL597">
        <v>4</v>
      </c>
      <c r="AM597">
        <v>3</v>
      </c>
      <c r="AN597">
        <v>0</v>
      </c>
      <c r="AO597">
        <v>2</v>
      </c>
    </row>
    <row r="598" spans="1:41" x14ac:dyDescent="0.2">
      <c r="A598">
        <v>1759857</v>
      </c>
      <c r="B598">
        <v>28</v>
      </c>
      <c r="C598" t="str" cm="1">
        <f t="array" ref="C598">_xlfn.IFS(B598&lt;=25,"15-25",B598&lt;=35,"26-35",B598&lt;=45,"36-45",B598&lt;=55,"46-55",B598&lt;=65,"56-65")</f>
        <v>26-35</v>
      </c>
      <c r="D598" t="s">
        <v>35</v>
      </c>
      <c r="E598" t="str">
        <f t="shared" si="18"/>
        <v>Current Employee</v>
      </c>
      <c r="F598" t="s">
        <v>36</v>
      </c>
      <c r="G598">
        <v>890</v>
      </c>
      <c r="H598" t="s">
        <v>45</v>
      </c>
      <c r="I598">
        <v>2</v>
      </c>
      <c r="J598">
        <v>4</v>
      </c>
      <c r="K598" t="s">
        <v>49</v>
      </c>
      <c r="L598">
        <v>1</v>
      </c>
      <c r="M598">
        <v>3</v>
      </c>
      <c r="N598" t="s">
        <v>46</v>
      </c>
      <c r="O598">
        <v>46</v>
      </c>
      <c r="P598">
        <v>3</v>
      </c>
      <c r="Q598">
        <v>1</v>
      </c>
      <c r="R598" t="s">
        <v>47</v>
      </c>
      <c r="S598">
        <v>3</v>
      </c>
      <c r="T598" t="str" cm="1">
        <f t="array" ref="T598">_xlfn.IFS(S598&lt;=2,"Poor",S598&lt;=3,"Fair",S598&gt;=4,"Good")</f>
        <v>Fair</v>
      </c>
      <c r="U598" t="s">
        <v>41</v>
      </c>
      <c r="V598" s="1">
        <v>4382</v>
      </c>
      <c r="W598" t="str" cm="1">
        <f t="array" ref="W598">_xlfn.IFS(V598&lt;=5000,"Low Salary",V598&lt;=12000,"Good Salary",V598&gt;12000,"High Salary")</f>
        <v>Low Salary</v>
      </c>
      <c r="X598">
        <v>16374</v>
      </c>
      <c r="Y598">
        <v>6</v>
      </c>
      <c r="Z598" t="s">
        <v>42</v>
      </c>
      <c r="AA598" t="s">
        <v>35</v>
      </c>
      <c r="AB598">
        <v>17</v>
      </c>
      <c r="AC598">
        <v>3</v>
      </c>
      <c r="AD598" t="str">
        <f t="shared" si="19"/>
        <v>Low Performance</v>
      </c>
      <c r="AE598">
        <v>4</v>
      </c>
      <c r="AF598">
        <v>80</v>
      </c>
      <c r="AG598">
        <v>0</v>
      </c>
      <c r="AH598">
        <v>5</v>
      </c>
      <c r="AI598">
        <v>3</v>
      </c>
      <c r="AJ598">
        <v>2</v>
      </c>
      <c r="AK598" t="str" cm="1">
        <f t="array" ref="AK598">_xlfn.IFS(AJ598&lt;=2,"Poor",AJ598&lt;=3,"Fair",AJ598&gt;3,"Good")</f>
        <v>Poor</v>
      </c>
      <c r="AL598">
        <v>2</v>
      </c>
      <c r="AM598">
        <v>2</v>
      </c>
      <c r="AN598">
        <v>2</v>
      </c>
      <c r="AO598">
        <v>1</v>
      </c>
    </row>
    <row r="599" spans="1:41" x14ac:dyDescent="0.2">
      <c r="A599">
        <v>1675215</v>
      </c>
      <c r="B599">
        <v>36</v>
      </c>
      <c r="C599" t="str" cm="1">
        <f t="array" ref="C599">_xlfn.IFS(B599&lt;=25,"15-25",B599&lt;=35,"26-35",B599&lt;=45,"36-45",B599&lt;=55,"46-55",B599&lt;=65,"56-65")</f>
        <v>36-45</v>
      </c>
      <c r="D599" t="s">
        <v>35</v>
      </c>
      <c r="E599" t="str">
        <f t="shared" si="18"/>
        <v>Current Employee</v>
      </c>
      <c r="F599" t="s">
        <v>36</v>
      </c>
      <c r="G599">
        <v>1041</v>
      </c>
      <c r="H599" t="s">
        <v>54</v>
      </c>
      <c r="I599">
        <v>13</v>
      </c>
      <c r="J599">
        <v>3</v>
      </c>
      <c r="K599" t="s">
        <v>57</v>
      </c>
      <c r="L599">
        <v>1</v>
      </c>
      <c r="M599">
        <v>3</v>
      </c>
      <c r="N599" t="s">
        <v>46</v>
      </c>
      <c r="O599">
        <v>36</v>
      </c>
      <c r="P599">
        <v>3</v>
      </c>
      <c r="Q599">
        <v>1</v>
      </c>
      <c r="R599" t="s">
        <v>47</v>
      </c>
      <c r="S599">
        <v>2</v>
      </c>
      <c r="T599" t="str" cm="1">
        <f t="array" ref="T599">_xlfn.IFS(S599&lt;=2,"Poor",S599&lt;=3,"Fair",S599&gt;=4,"Good")</f>
        <v>Poor</v>
      </c>
      <c r="U599" t="s">
        <v>48</v>
      </c>
      <c r="V599" s="1">
        <v>2143</v>
      </c>
      <c r="W599" t="str" cm="1">
        <f t="array" ref="W599">_xlfn.IFS(V599&lt;=5000,"Low Salary",V599&lt;=12000,"Good Salary",V599&gt;12000,"High Salary")</f>
        <v>Low Salary</v>
      </c>
      <c r="X599">
        <v>25527</v>
      </c>
      <c r="Y599">
        <v>4</v>
      </c>
      <c r="Z599" t="s">
        <v>42</v>
      </c>
      <c r="AA599" t="s">
        <v>35</v>
      </c>
      <c r="AB599">
        <v>13</v>
      </c>
      <c r="AC599">
        <v>3</v>
      </c>
      <c r="AD599" t="str">
        <f t="shared" si="19"/>
        <v>Low Performance</v>
      </c>
      <c r="AE599">
        <v>2</v>
      </c>
      <c r="AF599">
        <v>80</v>
      </c>
      <c r="AG599">
        <v>1</v>
      </c>
      <c r="AH599">
        <v>8</v>
      </c>
      <c r="AI599">
        <v>2</v>
      </c>
      <c r="AJ599">
        <v>3</v>
      </c>
      <c r="AK599" t="str" cm="1">
        <f t="array" ref="AK599">_xlfn.IFS(AJ599&lt;=2,"Poor",AJ599&lt;=3,"Fair",AJ599&gt;3,"Good")</f>
        <v>Fair</v>
      </c>
      <c r="AL599">
        <v>5</v>
      </c>
      <c r="AM599">
        <v>2</v>
      </c>
      <c r="AN599">
        <v>0</v>
      </c>
      <c r="AO599">
        <v>4</v>
      </c>
    </row>
    <row r="600" spans="1:41" x14ac:dyDescent="0.2">
      <c r="A600">
        <v>1845955</v>
      </c>
      <c r="B600">
        <v>32</v>
      </c>
      <c r="C600" t="str" cm="1">
        <f t="array" ref="C600">_xlfn.IFS(B600&lt;=25,"15-25",B600&lt;=35,"26-35",B600&lt;=45,"36-45",B600&lt;=55,"46-55",B600&lt;=65,"56-65")</f>
        <v>26-35</v>
      </c>
      <c r="D600" t="s">
        <v>35</v>
      </c>
      <c r="E600" t="str">
        <f t="shared" si="18"/>
        <v>Current Employee</v>
      </c>
      <c r="F600" t="s">
        <v>36</v>
      </c>
      <c r="G600">
        <v>859</v>
      </c>
      <c r="H600" t="s">
        <v>54</v>
      </c>
      <c r="I600">
        <v>4</v>
      </c>
      <c r="J600">
        <v>3</v>
      </c>
      <c r="K600" t="s">
        <v>38</v>
      </c>
      <c r="L600">
        <v>1</v>
      </c>
      <c r="M600">
        <v>3</v>
      </c>
      <c r="N600" t="s">
        <v>39</v>
      </c>
      <c r="O600">
        <v>98</v>
      </c>
      <c r="P600">
        <v>2</v>
      </c>
      <c r="Q600">
        <v>2</v>
      </c>
      <c r="R600" t="s">
        <v>51</v>
      </c>
      <c r="S600">
        <v>3</v>
      </c>
      <c r="T600" t="str" cm="1">
        <f t="array" ref="T600">_xlfn.IFS(S600&lt;=2,"Poor",S600&lt;=3,"Fair",S600&gt;=4,"Good")</f>
        <v>Fair</v>
      </c>
      <c r="U600" t="s">
        <v>48</v>
      </c>
      <c r="V600" s="1">
        <v>6162</v>
      </c>
      <c r="W600" t="str" cm="1">
        <f t="array" ref="W600">_xlfn.IFS(V600&lt;=5000,"Low Salary",V600&lt;=12000,"Good Salary",V600&gt;12000,"High Salary")</f>
        <v>Good Salary</v>
      </c>
      <c r="X600">
        <v>19124</v>
      </c>
      <c r="Y600">
        <v>1</v>
      </c>
      <c r="Z600" t="s">
        <v>42</v>
      </c>
      <c r="AA600" t="s">
        <v>35</v>
      </c>
      <c r="AB600">
        <v>12</v>
      </c>
      <c r="AC600">
        <v>3</v>
      </c>
      <c r="AD600" t="str">
        <f t="shared" si="19"/>
        <v>Low Performance</v>
      </c>
      <c r="AE600">
        <v>3</v>
      </c>
      <c r="AF600">
        <v>80</v>
      </c>
      <c r="AG600">
        <v>1</v>
      </c>
      <c r="AH600">
        <v>14</v>
      </c>
      <c r="AI600">
        <v>3</v>
      </c>
      <c r="AJ600">
        <v>3</v>
      </c>
      <c r="AK600" t="str" cm="1">
        <f t="array" ref="AK600">_xlfn.IFS(AJ600&lt;=2,"Poor",AJ600&lt;=3,"Fair",AJ600&gt;3,"Good")</f>
        <v>Fair</v>
      </c>
      <c r="AL600">
        <v>14</v>
      </c>
      <c r="AM600">
        <v>13</v>
      </c>
      <c r="AN600">
        <v>6</v>
      </c>
      <c r="AO600">
        <v>8</v>
      </c>
    </row>
    <row r="601" spans="1:41" x14ac:dyDescent="0.2">
      <c r="A601">
        <v>1178013</v>
      </c>
      <c r="B601">
        <v>40</v>
      </c>
      <c r="C601" t="str" cm="1">
        <f t="array" ref="C601">_xlfn.IFS(B601&lt;=25,"15-25",B601&lt;=35,"26-35",B601&lt;=45,"36-45",B601&lt;=55,"46-55",B601&lt;=65,"56-65")</f>
        <v>36-45</v>
      </c>
      <c r="D601" t="s">
        <v>35</v>
      </c>
      <c r="E601" t="str">
        <f t="shared" si="18"/>
        <v>Current Employee</v>
      </c>
      <c r="F601" t="s">
        <v>44</v>
      </c>
      <c r="G601">
        <v>720</v>
      </c>
      <c r="H601" t="s">
        <v>45</v>
      </c>
      <c r="I601">
        <v>16</v>
      </c>
      <c r="J601">
        <v>4</v>
      </c>
      <c r="K601" t="s">
        <v>49</v>
      </c>
      <c r="L601">
        <v>1</v>
      </c>
      <c r="M601">
        <v>1</v>
      </c>
      <c r="N601" t="s">
        <v>46</v>
      </c>
      <c r="O601">
        <v>51</v>
      </c>
      <c r="P601">
        <v>2</v>
      </c>
      <c r="Q601">
        <v>2</v>
      </c>
      <c r="R601" t="s">
        <v>40</v>
      </c>
      <c r="S601">
        <v>3</v>
      </c>
      <c r="T601" t="str" cm="1">
        <f t="array" ref="T601">_xlfn.IFS(S601&lt;=2,"Poor",S601&lt;=3,"Fair",S601&gt;=4,"Good")</f>
        <v>Fair</v>
      </c>
      <c r="U601" t="s">
        <v>41</v>
      </c>
      <c r="V601" s="1">
        <v>5094</v>
      </c>
      <c r="W601" t="str" cm="1">
        <f t="array" ref="W601">_xlfn.IFS(V601&lt;=5000,"Low Salary",V601&lt;=12000,"Good Salary",V601&gt;12000,"High Salary")</f>
        <v>Good Salary</v>
      </c>
      <c r="X601">
        <v>11983</v>
      </c>
      <c r="Y601">
        <v>6</v>
      </c>
      <c r="Z601" t="s">
        <v>42</v>
      </c>
      <c r="AA601" t="s">
        <v>35</v>
      </c>
      <c r="AB601">
        <v>14</v>
      </c>
      <c r="AC601">
        <v>3</v>
      </c>
      <c r="AD601" t="str">
        <f t="shared" si="19"/>
        <v>Low Performance</v>
      </c>
      <c r="AE601">
        <v>4</v>
      </c>
      <c r="AF601">
        <v>80</v>
      </c>
      <c r="AG601">
        <v>0</v>
      </c>
      <c r="AH601">
        <v>10</v>
      </c>
      <c r="AI601">
        <v>6</v>
      </c>
      <c r="AJ601">
        <v>3</v>
      </c>
      <c r="AK601" t="str" cm="1">
        <f t="array" ref="AK601">_xlfn.IFS(AJ601&lt;=2,"Poor",AJ601&lt;=3,"Fair",AJ601&gt;3,"Good")</f>
        <v>Fair</v>
      </c>
      <c r="AL601">
        <v>1</v>
      </c>
      <c r="AM601">
        <v>0</v>
      </c>
      <c r="AN601">
        <v>0</v>
      </c>
      <c r="AO601">
        <v>0</v>
      </c>
    </row>
    <row r="602" spans="1:41" x14ac:dyDescent="0.2">
      <c r="A602">
        <v>1266910</v>
      </c>
      <c r="B602">
        <v>30</v>
      </c>
      <c r="C602" t="str" cm="1">
        <f t="array" ref="C602">_xlfn.IFS(B602&lt;=25,"15-25",B602&lt;=35,"26-35",B602&lt;=45,"36-45",B602&lt;=55,"46-55",B602&lt;=65,"56-65")</f>
        <v>26-35</v>
      </c>
      <c r="D602" t="s">
        <v>35</v>
      </c>
      <c r="E602" t="str">
        <f t="shared" si="18"/>
        <v>Current Employee</v>
      </c>
      <c r="F602" t="s">
        <v>36</v>
      </c>
      <c r="G602">
        <v>946</v>
      </c>
      <c r="H602" t="s">
        <v>54</v>
      </c>
      <c r="I602">
        <v>2</v>
      </c>
      <c r="J602">
        <v>3</v>
      </c>
      <c r="K602" t="s">
        <v>49</v>
      </c>
      <c r="L602">
        <v>1</v>
      </c>
      <c r="M602">
        <v>3</v>
      </c>
      <c r="N602" t="s">
        <v>39</v>
      </c>
      <c r="O602">
        <v>52</v>
      </c>
      <c r="P602">
        <v>2</v>
      </c>
      <c r="Q602">
        <v>2</v>
      </c>
      <c r="R602" t="s">
        <v>51</v>
      </c>
      <c r="S602">
        <v>4</v>
      </c>
      <c r="T602" t="str" cm="1">
        <f t="array" ref="T602">_xlfn.IFS(S602&lt;=2,"Poor",S602&lt;=3,"Fair",S602&gt;=4,"Good")</f>
        <v>Good</v>
      </c>
      <c r="U602" t="s">
        <v>41</v>
      </c>
      <c r="V602" s="1">
        <v>6877</v>
      </c>
      <c r="W602" t="str" cm="1">
        <f t="array" ref="W602">_xlfn.IFS(V602&lt;=5000,"Low Salary",V602&lt;=12000,"Good Salary",V602&gt;12000,"High Salary")</f>
        <v>Good Salary</v>
      </c>
      <c r="X602">
        <v>20234</v>
      </c>
      <c r="Y602">
        <v>5</v>
      </c>
      <c r="Z602" t="s">
        <v>42</v>
      </c>
      <c r="AA602" t="s">
        <v>43</v>
      </c>
      <c r="AB602">
        <v>24</v>
      </c>
      <c r="AC602">
        <v>4</v>
      </c>
      <c r="AD602" t="str">
        <f t="shared" si="19"/>
        <v>High Performance</v>
      </c>
      <c r="AE602">
        <v>2</v>
      </c>
      <c r="AF602">
        <v>80</v>
      </c>
      <c r="AG602">
        <v>0</v>
      </c>
      <c r="AH602">
        <v>12</v>
      </c>
      <c r="AI602">
        <v>4</v>
      </c>
      <c r="AJ602">
        <v>2</v>
      </c>
      <c r="AK602" t="str" cm="1">
        <f t="array" ref="AK602">_xlfn.IFS(AJ602&lt;=2,"Poor",AJ602&lt;=3,"Fair",AJ602&gt;3,"Good")</f>
        <v>Poor</v>
      </c>
      <c r="AL602">
        <v>0</v>
      </c>
      <c r="AM602">
        <v>0</v>
      </c>
      <c r="AN602">
        <v>0</v>
      </c>
      <c r="AO602">
        <v>0</v>
      </c>
    </row>
    <row r="603" spans="1:41" x14ac:dyDescent="0.2">
      <c r="A603">
        <v>1643001</v>
      </c>
      <c r="B603">
        <v>45</v>
      </c>
      <c r="C603" t="str" cm="1">
        <f t="array" ref="C603">_xlfn.IFS(B603&lt;=25,"15-25",B603&lt;=35,"26-35",B603&lt;=45,"36-45",B603&lt;=55,"46-55",B603&lt;=65,"56-65")</f>
        <v>36-45</v>
      </c>
      <c r="D603" t="s">
        <v>35</v>
      </c>
      <c r="E603" t="str">
        <f t="shared" si="18"/>
        <v>Current Employee</v>
      </c>
      <c r="F603" t="s">
        <v>36</v>
      </c>
      <c r="G603">
        <v>252</v>
      </c>
      <c r="H603" t="s">
        <v>45</v>
      </c>
      <c r="I603">
        <v>2</v>
      </c>
      <c r="J603">
        <v>3</v>
      </c>
      <c r="K603" t="s">
        <v>38</v>
      </c>
      <c r="L603">
        <v>1</v>
      </c>
      <c r="M603">
        <v>2</v>
      </c>
      <c r="N603" t="s">
        <v>39</v>
      </c>
      <c r="O603">
        <v>95</v>
      </c>
      <c r="P603">
        <v>2</v>
      </c>
      <c r="Q603">
        <v>1</v>
      </c>
      <c r="R603" t="s">
        <v>47</v>
      </c>
      <c r="S603">
        <v>3</v>
      </c>
      <c r="T603" t="str" cm="1">
        <f t="array" ref="T603">_xlfn.IFS(S603&lt;=2,"Poor",S603&lt;=3,"Fair",S603&gt;=4,"Good")</f>
        <v>Fair</v>
      </c>
      <c r="U603" t="s">
        <v>41</v>
      </c>
      <c r="V603" s="1">
        <v>2274</v>
      </c>
      <c r="W603" t="str" cm="1">
        <f t="array" ref="W603">_xlfn.IFS(V603&lt;=5000,"Low Salary",V603&lt;=12000,"Good Salary",V603&gt;12000,"High Salary")</f>
        <v>Low Salary</v>
      </c>
      <c r="X603">
        <v>6153</v>
      </c>
      <c r="Y603">
        <v>1</v>
      </c>
      <c r="Z603" t="s">
        <v>42</v>
      </c>
      <c r="AA603" t="s">
        <v>35</v>
      </c>
      <c r="AB603">
        <v>14</v>
      </c>
      <c r="AC603">
        <v>3</v>
      </c>
      <c r="AD603" t="str">
        <f t="shared" si="19"/>
        <v>Low Performance</v>
      </c>
      <c r="AE603">
        <v>4</v>
      </c>
      <c r="AF603">
        <v>80</v>
      </c>
      <c r="AG603">
        <v>0</v>
      </c>
      <c r="AH603">
        <v>1</v>
      </c>
      <c r="AI603">
        <v>3</v>
      </c>
      <c r="AJ603">
        <v>3</v>
      </c>
      <c r="AK603" t="str" cm="1">
        <f t="array" ref="AK603">_xlfn.IFS(AJ603&lt;=2,"Poor",AJ603&lt;=3,"Fair",AJ603&gt;3,"Good")</f>
        <v>Fair</v>
      </c>
      <c r="AL603">
        <v>1</v>
      </c>
      <c r="AM603">
        <v>0</v>
      </c>
      <c r="AN603">
        <v>0</v>
      </c>
      <c r="AO603">
        <v>0</v>
      </c>
    </row>
    <row r="604" spans="1:41" x14ac:dyDescent="0.2">
      <c r="A604">
        <v>1804767</v>
      </c>
      <c r="B604">
        <v>42</v>
      </c>
      <c r="C604" t="str" cm="1">
        <f t="array" ref="C604">_xlfn.IFS(B604&lt;=25,"15-25",B604&lt;=35,"26-35",B604&lt;=45,"36-45",B604&lt;=55,"46-55",B604&lt;=65,"56-65")</f>
        <v>36-45</v>
      </c>
      <c r="D604" t="s">
        <v>35</v>
      </c>
      <c r="E604" t="str">
        <f t="shared" si="18"/>
        <v>Current Employee</v>
      </c>
      <c r="F604" t="s">
        <v>36</v>
      </c>
      <c r="G604">
        <v>933</v>
      </c>
      <c r="H604" t="s">
        <v>45</v>
      </c>
      <c r="I604">
        <v>29</v>
      </c>
      <c r="J604">
        <v>3</v>
      </c>
      <c r="K604" t="s">
        <v>38</v>
      </c>
      <c r="L604">
        <v>1</v>
      </c>
      <c r="M604">
        <v>2</v>
      </c>
      <c r="N604" t="s">
        <v>46</v>
      </c>
      <c r="O604">
        <v>98</v>
      </c>
      <c r="P604">
        <v>3</v>
      </c>
      <c r="Q604">
        <v>2</v>
      </c>
      <c r="R604" t="s">
        <v>51</v>
      </c>
      <c r="S604">
        <v>2</v>
      </c>
      <c r="T604" t="str" cm="1">
        <f t="array" ref="T604">_xlfn.IFS(S604&lt;=2,"Poor",S604&lt;=3,"Fair",S604&gt;=4,"Good")</f>
        <v>Poor</v>
      </c>
      <c r="U604" t="s">
        <v>48</v>
      </c>
      <c r="V604" s="1">
        <v>4434</v>
      </c>
      <c r="W604" t="str" cm="1">
        <f t="array" ref="W604">_xlfn.IFS(V604&lt;=5000,"Low Salary",V604&lt;=12000,"Good Salary",V604&gt;12000,"High Salary")</f>
        <v>Low Salary</v>
      </c>
      <c r="X604">
        <v>11806</v>
      </c>
      <c r="Y604">
        <v>1</v>
      </c>
      <c r="Z604" t="s">
        <v>42</v>
      </c>
      <c r="AA604" t="s">
        <v>35</v>
      </c>
      <c r="AB604">
        <v>13</v>
      </c>
      <c r="AC604">
        <v>3</v>
      </c>
      <c r="AD604" t="str">
        <f t="shared" si="19"/>
        <v>Low Performance</v>
      </c>
      <c r="AE604">
        <v>4</v>
      </c>
      <c r="AF604">
        <v>80</v>
      </c>
      <c r="AG604">
        <v>1</v>
      </c>
      <c r="AH604">
        <v>10</v>
      </c>
      <c r="AI604">
        <v>3</v>
      </c>
      <c r="AJ604">
        <v>2</v>
      </c>
      <c r="AK604" t="str" cm="1">
        <f t="array" ref="AK604">_xlfn.IFS(AJ604&lt;=2,"Poor",AJ604&lt;=3,"Fair",AJ604&gt;3,"Good")</f>
        <v>Poor</v>
      </c>
      <c r="AL604">
        <v>9</v>
      </c>
      <c r="AM604">
        <v>8</v>
      </c>
      <c r="AN604">
        <v>7</v>
      </c>
      <c r="AO604">
        <v>8</v>
      </c>
    </row>
    <row r="605" spans="1:41" x14ac:dyDescent="0.2">
      <c r="A605">
        <v>1686305</v>
      </c>
      <c r="B605">
        <v>38</v>
      </c>
      <c r="C605" t="str" cm="1">
        <f t="array" ref="C605">_xlfn.IFS(B605&lt;=25,"15-25",B605&lt;=35,"26-35",B605&lt;=45,"36-45",B605&lt;=55,"46-55",B605&lt;=65,"56-65")</f>
        <v>36-45</v>
      </c>
      <c r="D605" t="s">
        <v>35</v>
      </c>
      <c r="E605" t="str">
        <f t="shared" si="18"/>
        <v>Current Employee</v>
      </c>
      <c r="F605" t="s">
        <v>44</v>
      </c>
      <c r="G605">
        <v>471</v>
      </c>
      <c r="H605" t="s">
        <v>45</v>
      </c>
      <c r="I605">
        <v>12</v>
      </c>
      <c r="J605">
        <v>3</v>
      </c>
      <c r="K605" t="s">
        <v>38</v>
      </c>
      <c r="L605">
        <v>1</v>
      </c>
      <c r="M605">
        <v>1</v>
      </c>
      <c r="N605" t="s">
        <v>46</v>
      </c>
      <c r="O605">
        <v>45</v>
      </c>
      <c r="P605">
        <v>2</v>
      </c>
      <c r="Q605">
        <v>2</v>
      </c>
      <c r="R605" t="s">
        <v>40</v>
      </c>
      <c r="S605">
        <v>1</v>
      </c>
      <c r="T605" t="str" cm="1">
        <f t="array" ref="T605">_xlfn.IFS(S605&lt;=2,"Poor",S605&lt;=3,"Fair",S605&gt;=4,"Good")</f>
        <v>Poor</v>
      </c>
      <c r="U605" t="s">
        <v>50</v>
      </c>
      <c r="V605" s="1">
        <v>6288</v>
      </c>
      <c r="W605" t="str" cm="1">
        <f t="array" ref="W605">_xlfn.IFS(V605&lt;=5000,"Low Salary",V605&lt;=12000,"Good Salary",V605&gt;12000,"High Salary")</f>
        <v>Good Salary</v>
      </c>
      <c r="X605">
        <v>4284</v>
      </c>
      <c r="Y605">
        <v>2</v>
      </c>
      <c r="Z605" t="s">
        <v>42</v>
      </c>
      <c r="AA605" t="s">
        <v>35</v>
      </c>
      <c r="AB605">
        <v>15</v>
      </c>
      <c r="AC605">
        <v>3</v>
      </c>
      <c r="AD605" t="str">
        <f t="shared" si="19"/>
        <v>Low Performance</v>
      </c>
      <c r="AE605">
        <v>3</v>
      </c>
      <c r="AF605">
        <v>80</v>
      </c>
      <c r="AG605">
        <v>1</v>
      </c>
      <c r="AH605">
        <v>13</v>
      </c>
      <c r="AI605">
        <v>3</v>
      </c>
      <c r="AJ605">
        <v>2</v>
      </c>
      <c r="AK605" t="str" cm="1">
        <f t="array" ref="AK605">_xlfn.IFS(AJ605&lt;=2,"Poor",AJ605&lt;=3,"Fair",AJ605&gt;3,"Good")</f>
        <v>Poor</v>
      </c>
      <c r="AL605">
        <v>4</v>
      </c>
      <c r="AM605">
        <v>3</v>
      </c>
      <c r="AN605">
        <v>1</v>
      </c>
      <c r="AO605">
        <v>2</v>
      </c>
    </row>
    <row r="606" spans="1:41" x14ac:dyDescent="0.2">
      <c r="A606">
        <v>1375250</v>
      </c>
      <c r="B606">
        <v>34</v>
      </c>
      <c r="C606" t="str" cm="1">
        <f t="array" ref="C606">_xlfn.IFS(B606&lt;=25,"15-25",B606&lt;=35,"26-35",B606&lt;=45,"36-45",B606&lt;=55,"46-55",B606&lt;=65,"56-65")</f>
        <v>26-35</v>
      </c>
      <c r="D606" t="s">
        <v>35</v>
      </c>
      <c r="E606" t="str">
        <f t="shared" si="18"/>
        <v>Current Employee</v>
      </c>
      <c r="F606" t="s">
        <v>44</v>
      </c>
      <c r="G606">
        <v>702</v>
      </c>
      <c r="H606" t="s">
        <v>45</v>
      </c>
      <c r="I606">
        <v>16</v>
      </c>
      <c r="J606">
        <v>4</v>
      </c>
      <c r="K606" t="s">
        <v>38</v>
      </c>
      <c r="L606">
        <v>1</v>
      </c>
      <c r="M606">
        <v>3</v>
      </c>
      <c r="N606" t="s">
        <v>39</v>
      </c>
      <c r="O606">
        <v>100</v>
      </c>
      <c r="P606">
        <v>2</v>
      </c>
      <c r="Q606">
        <v>1</v>
      </c>
      <c r="R606" t="s">
        <v>47</v>
      </c>
      <c r="S606">
        <v>4</v>
      </c>
      <c r="T606" t="str" cm="1">
        <f t="array" ref="T606">_xlfn.IFS(S606&lt;=2,"Poor",S606&lt;=3,"Fair",S606&gt;=4,"Good")</f>
        <v>Good</v>
      </c>
      <c r="U606" t="s">
        <v>41</v>
      </c>
      <c r="V606" s="1">
        <v>2553</v>
      </c>
      <c r="W606" t="str" cm="1">
        <f t="array" ref="W606">_xlfn.IFS(V606&lt;=5000,"Low Salary",V606&lt;=12000,"Good Salary",V606&gt;12000,"High Salary")</f>
        <v>Low Salary</v>
      </c>
      <c r="X606">
        <v>8306</v>
      </c>
      <c r="Y606">
        <v>1</v>
      </c>
      <c r="Z606" t="s">
        <v>42</v>
      </c>
      <c r="AA606" t="s">
        <v>35</v>
      </c>
      <c r="AB606">
        <v>16</v>
      </c>
      <c r="AC606">
        <v>3</v>
      </c>
      <c r="AD606" t="str">
        <f t="shared" si="19"/>
        <v>Low Performance</v>
      </c>
      <c r="AE606">
        <v>3</v>
      </c>
      <c r="AF606">
        <v>80</v>
      </c>
      <c r="AG606">
        <v>0</v>
      </c>
      <c r="AH606">
        <v>6</v>
      </c>
      <c r="AI606">
        <v>3</v>
      </c>
      <c r="AJ606">
        <v>3</v>
      </c>
      <c r="AK606" t="str" cm="1">
        <f t="array" ref="AK606">_xlfn.IFS(AJ606&lt;=2,"Poor",AJ606&lt;=3,"Fair",AJ606&gt;3,"Good")</f>
        <v>Fair</v>
      </c>
      <c r="AL606">
        <v>5</v>
      </c>
      <c r="AM606">
        <v>2</v>
      </c>
      <c r="AN606">
        <v>1</v>
      </c>
      <c r="AO606">
        <v>3</v>
      </c>
    </row>
    <row r="607" spans="1:41" x14ac:dyDescent="0.2">
      <c r="A607">
        <v>1744940</v>
      </c>
      <c r="B607">
        <v>49</v>
      </c>
      <c r="C607" t="str" cm="1">
        <f t="array" ref="C607">_xlfn.IFS(B607&lt;=25,"15-25",B607&lt;=35,"26-35",B607&lt;=45,"36-45",B607&lt;=55,"46-55",B607&lt;=65,"56-65")</f>
        <v>46-55</v>
      </c>
      <c r="D607" t="s">
        <v>35</v>
      </c>
      <c r="E607" t="str">
        <f t="shared" si="18"/>
        <v>Current Employee</v>
      </c>
      <c r="F607" t="s">
        <v>36</v>
      </c>
      <c r="G607">
        <v>1184</v>
      </c>
      <c r="H607" t="s">
        <v>37</v>
      </c>
      <c r="I607">
        <v>11</v>
      </c>
      <c r="J607">
        <v>3</v>
      </c>
      <c r="K607" t="s">
        <v>55</v>
      </c>
      <c r="L607">
        <v>1</v>
      </c>
      <c r="M607">
        <v>3</v>
      </c>
      <c r="N607" t="s">
        <v>39</v>
      </c>
      <c r="O607">
        <v>43</v>
      </c>
      <c r="P607">
        <v>3</v>
      </c>
      <c r="Q607">
        <v>3</v>
      </c>
      <c r="R607" t="s">
        <v>40</v>
      </c>
      <c r="S607">
        <v>4</v>
      </c>
      <c r="T607" t="str" cm="1">
        <f t="array" ref="T607">_xlfn.IFS(S607&lt;=2,"Poor",S607&lt;=3,"Fair",S607&gt;=4,"Good")</f>
        <v>Good</v>
      </c>
      <c r="U607" t="s">
        <v>48</v>
      </c>
      <c r="V607" s="1">
        <v>7654</v>
      </c>
      <c r="W607" t="str" cm="1">
        <f t="array" ref="W607">_xlfn.IFS(V607&lt;=5000,"Low Salary",V607&lt;=12000,"Good Salary",V607&gt;12000,"High Salary")</f>
        <v>Good Salary</v>
      </c>
      <c r="X607">
        <v>5860</v>
      </c>
      <c r="Y607">
        <v>1</v>
      </c>
      <c r="Z607" t="s">
        <v>42</v>
      </c>
      <c r="AA607" t="s">
        <v>35</v>
      </c>
      <c r="AB607">
        <v>18</v>
      </c>
      <c r="AC607">
        <v>3</v>
      </c>
      <c r="AD607" t="str">
        <f t="shared" si="19"/>
        <v>Low Performance</v>
      </c>
      <c r="AE607">
        <v>1</v>
      </c>
      <c r="AF607">
        <v>80</v>
      </c>
      <c r="AG607">
        <v>2</v>
      </c>
      <c r="AH607">
        <v>9</v>
      </c>
      <c r="AI607">
        <v>3</v>
      </c>
      <c r="AJ607">
        <v>4</v>
      </c>
      <c r="AK607" t="str" cm="1">
        <f t="array" ref="AK607">_xlfn.IFS(AJ607&lt;=2,"Poor",AJ607&lt;=3,"Fair",AJ607&gt;3,"Good")</f>
        <v>Good</v>
      </c>
      <c r="AL607">
        <v>9</v>
      </c>
      <c r="AM607">
        <v>8</v>
      </c>
      <c r="AN607">
        <v>7</v>
      </c>
      <c r="AO607">
        <v>7</v>
      </c>
    </row>
    <row r="608" spans="1:41" x14ac:dyDescent="0.2">
      <c r="A608">
        <v>1545377</v>
      </c>
      <c r="B608">
        <v>55</v>
      </c>
      <c r="C608" t="str" cm="1">
        <f t="array" ref="C608">_xlfn.IFS(B608&lt;=25,"15-25",B608&lt;=35,"26-35",B608&lt;=45,"36-45",B608&lt;=55,"46-55",B608&lt;=65,"56-65")</f>
        <v>46-55</v>
      </c>
      <c r="D608" t="s">
        <v>35</v>
      </c>
      <c r="E608" t="str">
        <f t="shared" si="18"/>
        <v>Current Employee</v>
      </c>
      <c r="F608" t="s">
        <v>36</v>
      </c>
      <c r="G608">
        <v>436</v>
      </c>
      <c r="H608" t="s">
        <v>37</v>
      </c>
      <c r="I608">
        <v>2</v>
      </c>
      <c r="J608">
        <v>1</v>
      </c>
      <c r="K608" t="s">
        <v>49</v>
      </c>
      <c r="L608">
        <v>1</v>
      </c>
      <c r="M608">
        <v>3</v>
      </c>
      <c r="N608" t="s">
        <v>46</v>
      </c>
      <c r="O608">
        <v>37</v>
      </c>
      <c r="P608">
        <v>3</v>
      </c>
      <c r="Q608">
        <v>2</v>
      </c>
      <c r="R608" t="s">
        <v>40</v>
      </c>
      <c r="S608">
        <v>4</v>
      </c>
      <c r="T608" t="str" cm="1">
        <f t="array" ref="T608">_xlfn.IFS(S608&lt;=2,"Poor",S608&lt;=3,"Fair",S608&gt;=4,"Good")</f>
        <v>Good</v>
      </c>
      <c r="U608" t="s">
        <v>41</v>
      </c>
      <c r="V608" s="1">
        <v>5160</v>
      </c>
      <c r="W608" t="str" cm="1">
        <f t="array" ref="W608">_xlfn.IFS(V608&lt;=5000,"Low Salary",V608&lt;=12000,"Good Salary",V608&gt;12000,"High Salary")</f>
        <v>Good Salary</v>
      </c>
      <c r="X608">
        <v>21519</v>
      </c>
      <c r="Y608">
        <v>4</v>
      </c>
      <c r="Z608" t="s">
        <v>42</v>
      </c>
      <c r="AA608" t="s">
        <v>35</v>
      </c>
      <c r="AB608">
        <v>16</v>
      </c>
      <c r="AC608">
        <v>3</v>
      </c>
      <c r="AD608" t="str">
        <f t="shared" si="19"/>
        <v>Low Performance</v>
      </c>
      <c r="AE608">
        <v>3</v>
      </c>
      <c r="AF608">
        <v>80</v>
      </c>
      <c r="AG608">
        <v>0</v>
      </c>
      <c r="AH608">
        <v>12</v>
      </c>
      <c r="AI608">
        <v>3</v>
      </c>
      <c r="AJ608">
        <v>2</v>
      </c>
      <c r="AK608" t="str" cm="1">
        <f t="array" ref="AK608">_xlfn.IFS(AJ608&lt;=2,"Poor",AJ608&lt;=3,"Fair",AJ608&gt;3,"Good")</f>
        <v>Poor</v>
      </c>
      <c r="AL608">
        <v>9</v>
      </c>
      <c r="AM608">
        <v>7</v>
      </c>
      <c r="AN608">
        <v>7</v>
      </c>
      <c r="AO608">
        <v>3</v>
      </c>
    </row>
    <row r="609" spans="1:41" x14ac:dyDescent="0.2">
      <c r="A609">
        <v>1282527</v>
      </c>
      <c r="B609">
        <v>43</v>
      </c>
      <c r="C609" t="str" cm="1">
        <f t="array" ref="C609">_xlfn.IFS(B609&lt;=25,"15-25",B609&lt;=35,"26-35",B609&lt;=45,"36-45",B609&lt;=55,"46-55",B609&lt;=65,"56-65")</f>
        <v>36-45</v>
      </c>
      <c r="D609" t="s">
        <v>35</v>
      </c>
      <c r="E609" t="str">
        <f t="shared" si="18"/>
        <v>Current Employee</v>
      </c>
      <c r="F609" t="s">
        <v>36</v>
      </c>
      <c r="G609">
        <v>589</v>
      </c>
      <c r="H609" t="s">
        <v>45</v>
      </c>
      <c r="I609">
        <v>14</v>
      </c>
      <c r="J609">
        <v>2</v>
      </c>
      <c r="K609" t="s">
        <v>38</v>
      </c>
      <c r="L609">
        <v>1</v>
      </c>
      <c r="M609">
        <v>2</v>
      </c>
      <c r="N609" t="s">
        <v>46</v>
      </c>
      <c r="O609">
        <v>94</v>
      </c>
      <c r="P609">
        <v>3</v>
      </c>
      <c r="Q609">
        <v>4</v>
      </c>
      <c r="R609" t="s">
        <v>53</v>
      </c>
      <c r="S609">
        <v>1</v>
      </c>
      <c r="T609" t="str" cm="1">
        <f t="array" ref="T609">_xlfn.IFS(S609&lt;=2,"Poor",S609&lt;=3,"Fair",S609&gt;=4,"Good")</f>
        <v>Poor</v>
      </c>
      <c r="U609" t="s">
        <v>48</v>
      </c>
      <c r="V609" s="1">
        <v>17159</v>
      </c>
      <c r="W609" t="str" cm="1">
        <f t="array" ref="W609">_xlfn.IFS(V609&lt;=5000,"Low Salary",V609&lt;=12000,"Good Salary",V609&gt;12000,"High Salary")</f>
        <v>High Salary</v>
      </c>
      <c r="X609">
        <v>5200</v>
      </c>
      <c r="Y609">
        <v>6</v>
      </c>
      <c r="Z609" t="s">
        <v>42</v>
      </c>
      <c r="AA609" t="s">
        <v>35</v>
      </c>
      <c r="AB609">
        <v>24</v>
      </c>
      <c r="AC609">
        <v>4</v>
      </c>
      <c r="AD609" t="str">
        <f t="shared" si="19"/>
        <v>High Performance</v>
      </c>
      <c r="AE609">
        <v>3</v>
      </c>
      <c r="AF609">
        <v>80</v>
      </c>
      <c r="AG609">
        <v>1</v>
      </c>
      <c r="AH609">
        <v>22</v>
      </c>
      <c r="AI609">
        <v>3</v>
      </c>
      <c r="AJ609">
        <v>3</v>
      </c>
      <c r="AK609" t="str" cm="1">
        <f t="array" ref="AK609">_xlfn.IFS(AJ609&lt;=2,"Poor",AJ609&lt;=3,"Fair",AJ609&gt;3,"Good")</f>
        <v>Fair</v>
      </c>
      <c r="AL609">
        <v>4</v>
      </c>
      <c r="AM609">
        <v>1</v>
      </c>
      <c r="AN609">
        <v>1</v>
      </c>
      <c r="AO609">
        <v>0</v>
      </c>
    </row>
    <row r="610" spans="1:41" x14ac:dyDescent="0.2">
      <c r="A610">
        <v>1266242</v>
      </c>
      <c r="B610">
        <v>27</v>
      </c>
      <c r="C610" t="str" cm="1">
        <f t="array" ref="C610">_xlfn.IFS(B610&lt;=25,"15-25",B610&lt;=35,"26-35",B610&lt;=45,"36-45",B610&lt;=55,"46-55",B610&lt;=65,"56-65")</f>
        <v>26-35</v>
      </c>
      <c r="D610" t="s">
        <v>35</v>
      </c>
      <c r="E610" t="str">
        <f t="shared" si="18"/>
        <v>Current Employee</v>
      </c>
      <c r="F610" t="s">
        <v>36</v>
      </c>
      <c r="G610">
        <v>269</v>
      </c>
      <c r="H610" t="s">
        <v>45</v>
      </c>
      <c r="I610">
        <v>5</v>
      </c>
      <c r="J610">
        <v>1</v>
      </c>
      <c r="K610" t="s">
        <v>56</v>
      </c>
      <c r="L610">
        <v>1</v>
      </c>
      <c r="M610">
        <v>3</v>
      </c>
      <c r="N610" t="s">
        <v>46</v>
      </c>
      <c r="O610">
        <v>42</v>
      </c>
      <c r="P610">
        <v>2</v>
      </c>
      <c r="Q610">
        <v>3</v>
      </c>
      <c r="R610" t="s">
        <v>53</v>
      </c>
      <c r="S610">
        <v>4</v>
      </c>
      <c r="T610" t="str" cm="1">
        <f t="array" ref="T610">_xlfn.IFS(S610&lt;=2,"Poor",S610&lt;=3,"Fair",S610&gt;=4,"Good")</f>
        <v>Good</v>
      </c>
      <c r="U610" t="s">
        <v>50</v>
      </c>
      <c r="V610" s="1">
        <v>12808</v>
      </c>
      <c r="W610" t="str" cm="1">
        <f t="array" ref="W610">_xlfn.IFS(V610&lt;=5000,"Low Salary",V610&lt;=12000,"Good Salary",V610&gt;12000,"High Salary")</f>
        <v>High Salary</v>
      </c>
      <c r="X610">
        <v>8842</v>
      </c>
      <c r="Y610">
        <v>1</v>
      </c>
      <c r="Z610" t="s">
        <v>42</v>
      </c>
      <c r="AA610" t="s">
        <v>43</v>
      </c>
      <c r="AB610">
        <v>16</v>
      </c>
      <c r="AC610">
        <v>3</v>
      </c>
      <c r="AD610" t="str">
        <f t="shared" si="19"/>
        <v>Low Performance</v>
      </c>
      <c r="AE610">
        <v>2</v>
      </c>
      <c r="AF610">
        <v>80</v>
      </c>
      <c r="AG610">
        <v>1</v>
      </c>
      <c r="AH610">
        <v>9</v>
      </c>
      <c r="AI610">
        <v>3</v>
      </c>
      <c r="AJ610">
        <v>3</v>
      </c>
      <c r="AK610" t="str" cm="1">
        <f t="array" ref="AK610">_xlfn.IFS(AJ610&lt;=2,"Poor",AJ610&lt;=3,"Fair",AJ610&gt;3,"Good")</f>
        <v>Fair</v>
      </c>
      <c r="AL610">
        <v>9</v>
      </c>
      <c r="AM610">
        <v>8</v>
      </c>
      <c r="AN610">
        <v>0</v>
      </c>
      <c r="AO610">
        <v>8</v>
      </c>
    </row>
    <row r="611" spans="1:41" x14ac:dyDescent="0.2">
      <c r="A611">
        <v>1668361</v>
      </c>
      <c r="B611">
        <v>35</v>
      </c>
      <c r="C611" t="str" cm="1">
        <f t="array" ref="C611">_xlfn.IFS(B611&lt;=25,"15-25",B611&lt;=35,"26-35",B611&lt;=45,"36-45",B611&lt;=55,"46-55",B611&lt;=65,"56-65")</f>
        <v>26-35</v>
      </c>
      <c r="D611" t="s">
        <v>35</v>
      </c>
      <c r="E611" t="str">
        <f t="shared" si="18"/>
        <v>Current Employee</v>
      </c>
      <c r="F611" t="s">
        <v>36</v>
      </c>
      <c r="G611">
        <v>950</v>
      </c>
      <c r="H611" t="s">
        <v>54</v>
      </c>
      <c r="I611">
        <v>7</v>
      </c>
      <c r="J611">
        <v>3</v>
      </c>
      <c r="K611" t="s">
        <v>47</v>
      </c>
      <c r="L611">
        <v>1</v>
      </c>
      <c r="M611">
        <v>3</v>
      </c>
      <c r="N611" t="s">
        <v>46</v>
      </c>
      <c r="O611">
        <v>59</v>
      </c>
      <c r="P611">
        <v>3</v>
      </c>
      <c r="Q611">
        <v>3</v>
      </c>
      <c r="R611" t="s">
        <v>51</v>
      </c>
      <c r="S611">
        <v>3</v>
      </c>
      <c r="T611" t="str" cm="1">
        <f t="array" ref="T611">_xlfn.IFS(S611&lt;=2,"Poor",S611&lt;=3,"Fair",S611&gt;=4,"Good")</f>
        <v>Fair</v>
      </c>
      <c r="U611" t="s">
        <v>41</v>
      </c>
      <c r="V611" s="1">
        <v>10221</v>
      </c>
      <c r="W611" t="str" cm="1">
        <f t="array" ref="W611">_xlfn.IFS(V611&lt;=5000,"Low Salary",V611&lt;=12000,"Good Salary",V611&gt;12000,"High Salary")</f>
        <v>Good Salary</v>
      </c>
      <c r="X611">
        <v>18869</v>
      </c>
      <c r="Y611">
        <v>3</v>
      </c>
      <c r="Z611" t="s">
        <v>42</v>
      </c>
      <c r="AA611" t="s">
        <v>35</v>
      </c>
      <c r="AB611">
        <v>21</v>
      </c>
      <c r="AC611">
        <v>4</v>
      </c>
      <c r="AD611" t="str">
        <f t="shared" si="19"/>
        <v>High Performance</v>
      </c>
      <c r="AE611">
        <v>2</v>
      </c>
      <c r="AF611">
        <v>80</v>
      </c>
      <c r="AG611">
        <v>0</v>
      </c>
      <c r="AH611">
        <v>17</v>
      </c>
      <c r="AI611">
        <v>3</v>
      </c>
      <c r="AJ611">
        <v>4</v>
      </c>
      <c r="AK611" t="str" cm="1">
        <f t="array" ref="AK611">_xlfn.IFS(AJ611&lt;=2,"Poor",AJ611&lt;=3,"Fair",AJ611&gt;3,"Good")</f>
        <v>Good</v>
      </c>
      <c r="AL611">
        <v>8</v>
      </c>
      <c r="AM611">
        <v>5</v>
      </c>
      <c r="AN611">
        <v>1</v>
      </c>
      <c r="AO611">
        <v>6</v>
      </c>
    </row>
    <row r="612" spans="1:41" x14ac:dyDescent="0.2">
      <c r="A612">
        <v>1574775</v>
      </c>
      <c r="B612">
        <v>28</v>
      </c>
      <c r="C612" t="str" cm="1">
        <f t="array" ref="C612">_xlfn.IFS(B612&lt;=25,"15-25",B612&lt;=35,"26-35",B612&lt;=45,"36-45",B612&lt;=55,"46-55",B612&lt;=65,"56-65")</f>
        <v>26-35</v>
      </c>
      <c r="D612" t="s">
        <v>35</v>
      </c>
      <c r="E612" t="str">
        <f t="shared" si="18"/>
        <v>Current Employee</v>
      </c>
      <c r="F612" t="s">
        <v>36</v>
      </c>
      <c r="G612">
        <v>760</v>
      </c>
      <c r="H612" t="s">
        <v>37</v>
      </c>
      <c r="I612">
        <v>2</v>
      </c>
      <c r="J612">
        <v>4</v>
      </c>
      <c r="K612" t="s">
        <v>55</v>
      </c>
      <c r="L612">
        <v>1</v>
      </c>
      <c r="M612">
        <v>2</v>
      </c>
      <c r="N612" t="s">
        <v>39</v>
      </c>
      <c r="O612">
        <v>81</v>
      </c>
      <c r="P612">
        <v>3</v>
      </c>
      <c r="Q612">
        <v>2</v>
      </c>
      <c r="R612" t="s">
        <v>40</v>
      </c>
      <c r="S612">
        <v>2</v>
      </c>
      <c r="T612" t="str" cm="1">
        <f t="array" ref="T612">_xlfn.IFS(S612&lt;=2,"Poor",S612&lt;=3,"Fair",S612&gt;=4,"Good")</f>
        <v>Poor</v>
      </c>
      <c r="U612" t="s">
        <v>48</v>
      </c>
      <c r="V612" s="1">
        <v>4779</v>
      </c>
      <c r="W612" t="str" cm="1">
        <f t="array" ref="W612">_xlfn.IFS(V612&lt;=5000,"Low Salary",V612&lt;=12000,"Good Salary",V612&gt;12000,"High Salary")</f>
        <v>Low Salary</v>
      </c>
      <c r="X612">
        <v>3698</v>
      </c>
      <c r="Y612">
        <v>1</v>
      </c>
      <c r="Z612" t="s">
        <v>42</v>
      </c>
      <c r="AA612" t="s">
        <v>43</v>
      </c>
      <c r="AB612">
        <v>20</v>
      </c>
      <c r="AC612">
        <v>4</v>
      </c>
      <c r="AD612" t="str">
        <f t="shared" si="19"/>
        <v>High Performance</v>
      </c>
      <c r="AE612">
        <v>1</v>
      </c>
      <c r="AF612">
        <v>80</v>
      </c>
      <c r="AG612">
        <v>0</v>
      </c>
      <c r="AH612">
        <v>8</v>
      </c>
      <c r="AI612">
        <v>2</v>
      </c>
      <c r="AJ612">
        <v>3</v>
      </c>
      <c r="AK612" t="str" cm="1">
        <f t="array" ref="AK612">_xlfn.IFS(AJ612&lt;=2,"Poor",AJ612&lt;=3,"Fair",AJ612&gt;3,"Good")</f>
        <v>Fair</v>
      </c>
      <c r="AL612">
        <v>8</v>
      </c>
      <c r="AM612">
        <v>7</v>
      </c>
      <c r="AN612">
        <v>7</v>
      </c>
      <c r="AO612">
        <v>5</v>
      </c>
    </row>
    <row r="613" spans="1:41" x14ac:dyDescent="0.2">
      <c r="A613">
        <v>1822365</v>
      </c>
      <c r="B613">
        <v>34</v>
      </c>
      <c r="C613" t="str" cm="1">
        <f t="array" ref="C613">_xlfn.IFS(B613&lt;=25,"15-25",B613&lt;=35,"26-35",B613&lt;=45,"36-45",B613&lt;=55,"46-55",B613&lt;=65,"56-65")</f>
        <v>26-35</v>
      </c>
      <c r="D613" t="s">
        <v>35</v>
      </c>
      <c r="E613" t="str">
        <f t="shared" si="18"/>
        <v>Current Employee</v>
      </c>
      <c r="F613" t="s">
        <v>36</v>
      </c>
      <c r="G613">
        <v>829</v>
      </c>
      <c r="H613" t="s">
        <v>54</v>
      </c>
      <c r="I613">
        <v>3</v>
      </c>
      <c r="J613">
        <v>2</v>
      </c>
      <c r="K613" t="s">
        <v>57</v>
      </c>
      <c r="L613">
        <v>1</v>
      </c>
      <c r="M613">
        <v>3</v>
      </c>
      <c r="N613" t="s">
        <v>46</v>
      </c>
      <c r="O613">
        <v>88</v>
      </c>
      <c r="P613">
        <v>3</v>
      </c>
      <c r="Q613">
        <v>1</v>
      </c>
      <c r="R613" t="s">
        <v>47</v>
      </c>
      <c r="S613">
        <v>4</v>
      </c>
      <c r="T613" t="str" cm="1">
        <f t="array" ref="T613">_xlfn.IFS(S613&lt;=2,"Poor",S613&lt;=3,"Fair",S613&gt;=4,"Good")</f>
        <v>Good</v>
      </c>
      <c r="U613" t="s">
        <v>48</v>
      </c>
      <c r="V613" s="1">
        <v>3737</v>
      </c>
      <c r="W613" t="str" cm="1">
        <f t="array" ref="W613">_xlfn.IFS(V613&lt;=5000,"Low Salary",V613&lt;=12000,"Good Salary",V613&gt;12000,"High Salary")</f>
        <v>Low Salary</v>
      </c>
      <c r="X613">
        <v>2243</v>
      </c>
      <c r="Y613">
        <v>0</v>
      </c>
      <c r="Z613" t="s">
        <v>42</v>
      </c>
      <c r="AA613" t="s">
        <v>35</v>
      </c>
      <c r="AB613">
        <v>19</v>
      </c>
      <c r="AC613">
        <v>3</v>
      </c>
      <c r="AD613" t="str">
        <f t="shared" si="19"/>
        <v>Low Performance</v>
      </c>
      <c r="AE613">
        <v>3</v>
      </c>
      <c r="AF613">
        <v>80</v>
      </c>
      <c r="AG613">
        <v>1</v>
      </c>
      <c r="AH613">
        <v>4</v>
      </c>
      <c r="AI613">
        <v>1</v>
      </c>
      <c r="AJ613">
        <v>1</v>
      </c>
      <c r="AK613" t="str" cm="1">
        <f t="array" ref="AK613">_xlfn.IFS(AJ613&lt;=2,"Poor",AJ613&lt;=3,"Fair",AJ613&gt;3,"Good")</f>
        <v>Poor</v>
      </c>
      <c r="AL613">
        <v>3</v>
      </c>
      <c r="AM613">
        <v>2</v>
      </c>
      <c r="AN613">
        <v>0</v>
      </c>
      <c r="AO613">
        <v>2</v>
      </c>
    </row>
    <row r="614" spans="1:41" x14ac:dyDescent="0.2">
      <c r="A614">
        <v>1082176</v>
      </c>
      <c r="B614">
        <v>26</v>
      </c>
      <c r="C614" t="str" cm="1">
        <f t="array" ref="C614">_xlfn.IFS(B614&lt;=25,"15-25",B614&lt;=35,"26-35",B614&lt;=45,"36-45",B614&lt;=55,"46-55",B614&lt;=65,"56-65")</f>
        <v>26-35</v>
      </c>
      <c r="D614" t="s">
        <v>43</v>
      </c>
      <c r="E614" t="str">
        <f t="shared" si="18"/>
        <v>Former Employee</v>
      </c>
      <c r="F614" t="s">
        <v>44</v>
      </c>
      <c r="G614">
        <v>887</v>
      </c>
      <c r="H614" t="s">
        <v>45</v>
      </c>
      <c r="I614">
        <v>5</v>
      </c>
      <c r="J614">
        <v>2</v>
      </c>
      <c r="K614" t="s">
        <v>49</v>
      </c>
      <c r="L614">
        <v>1</v>
      </c>
      <c r="M614">
        <v>3</v>
      </c>
      <c r="N614" t="s">
        <v>39</v>
      </c>
      <c r="O614">
        <v>88</v>
      </c>
      <c r="P614">
        <v>2</v>
      </c>
      <c r="Q614">
        <v>1</v>
      </c>
      <c r="R614" t="s">
        <v>47</v>
      </c>
      <c r="S614">
        <v>3</v>
      </c>
      <c r="T614" t="str" cm="1">
        <f t="array" ref="T614">_xlfn.IFS(S614&lt;=2,"Poor",S614&lt;=3,"Fair",S614&gt;=4,"Good")</f>
        <v>Fair</v>
      </c>
      <c r="U614" t="s">
        <v>48</v>
      </c>
      <c r="V614" s="1">
        <v>2366</v>
      </c>
      <c r="W614" t="str" cm="1">
        <f t="array" ref="W614">_xlfn.IFS(V614&lt;=5000,"Low Salary",V614&lt;=12000,"Good Salary",V614&gt;12000,"High Salary")</f>
        <v>Low Salary</v>
      </c>
      <c r="X614">
        <v>20898</v>
      </c>
      <c r="Y614">
        <v>1</v>
      </c>
      <c r="Z614" t="s">
        <v>42</v>
      </c>
      <c r="AA614" t="s">
        <v>43</v>
      </c>
      <c r="AB614">
        <v>14</v>
      </c>
      <c r="AC614">
        <v>3</v>
      </c>
      <c r="AD614" t="str">
        <f t="shared" si="19"/>
        <v>Low Performance</v>
      </c>
      <c r="AE614">
        <v>1</v>
      </c>
      <c r="AF614">
        <v>80</v>
      </c>
      <c r="AG614">
        <v>1</v>
      </c>
      <c r="AH614">
        <v>8</v>
      </c>
      <c r="AI614">
        <v>2</v>
      </c>
      <c r="AJ614">
        <v>3</v>
      </c>
      <c r="AK614" t="str" cm="1">
        <f t="array" ref="AK614">_xlfn.IFS(AJ614&lt;=2,"Poor",AJ614&lt;=3,"Fair",AJ614&gt;3,"Good")</f>
        <v>Fair</v>
      </c>
      <c r="AL614">
        <v>8</v>
      </c>
      <c r="AM614">
        <v>7</v>
      </c>
      <c r="AN614">
        <v>1</v>
      </c>
      <c r="AO614">
        <v>7</v>
      </c>
    </row>
    <row r="615" spans="1:41" x14ac:dyDescent="0.2">
      <c r="A615">
        <v>1415673</v>
      </c>
      <c r="B615">
        <v>27</v>
      </c>
      <c r="C615" t="str" cm="1">
        <f t="array" ref="C615">_xlfn.IFS(B615&lt;=25,"15-25",B615&lt;=35,"26-35",B615&lt;=45,"36-45",B615&lt;=55,"46-55",B615&lt;=65,"56-65")</f>
        <v>26-35</v>
      </c>
      <c r="D615" t="s">
        <v>35</v>
      </c>
      <c r="E615" t="str">
        <f t="shared" si="18"/>
        <v>Current Employee</v>
      </c>
      <c r="F615" t="s">
        <v>52</v>
      </c>
      <c r="G615">
        <v>443</v>
      </c>
      <c r="H615" t="s">
        <v>45</v>
      </c>
      <c r="I615">
        <v>3</v>
      </c>
      <c r="J615">
        <v>3</v>
      </c>
      <c r="K615" t="s">
        <v>49</v>
      </c>
      <c r="L615">
        <v>1</v>
      </c>
      <c r="M615">
        <v>4</v>
      </c>
      <c r="N615" t="s">
        <v>46</v>
      </c>
      <c r="O615">
        <v>50</v>
      </c>
      <c r="P615">
        <v>3</v>
      </c>
      <c r="Q615">
        <v>1</v>
      </c>
      <c r="R615" t="s">
        <v>47</v>
      </c>
      <c r="S615">
        <v>4</v>
      </c>
      <c r="T615" t="str" cm="1">
        <f t="array" ref="T615">_xlfn.IFS(S615&lt;=2,"Poor",S615&lt;=3,"Fair",S615&gt;=4,"Good")</f>
        <v>Good</v>
      </c>
      <c r="U615" t="s">
        <v>48</v>
      </c>
      <c r="V615" s="1">
        <v>1706</v>
      </c>
      <c r="W615" t="str" cm="1">
        <f t="array" ref="W615">_xlfn.IFS(V615&lt;=5000,"Low Salary",V615&lt;=12000,"Good Salary",V615&gt;12000,"High Salary")</f>
        <v>Low Salary</v>
      </c>
      <c r="X615">
        <v>16571</v>
      </c>
      <c r="Y615">
        <v>1</v>
      </c>
      <c r="Z615" t="s">
        <v>42</v>
      </c>
      <c r="AA615" t="s">
        <v>35</v>
      </c>
      <c r="AB615">
        <v>11</v>
      </c>
      <c r="AC615">
        <v>3</v>
      </c>
      <c r="AD615" t="str">
        <f t="shared" si="19"/>
        <v>Low Performance</v>
      </c>
      <c r="AE615">
        <v>3</v>
      </c>
      <c r="AF615">
        <v>80</v>
      </c>
      <c r="AG615">
        <v>3</v>
      </c>
      <c r="AH615">
        <v>0</v>
      </c>
      <c r="AI615">
        <v>6</v>
      </c>
      <c r="AJ615">
        <v>2</v>
      </c>
      <c r="AK615" t="str" cm="1">
        <f t="array" ref="AK615">_xlfn.IFS(AJ615&lt;=2,"Poor",AJ615&lt;=3,"Fair",AJ615&gt;3,"Good")</f>
        <v>Poor</v>
      </c>
      <c r="AL615">
        <v>0</v>
      </c>
      <c r="AM615">
        <v>0</v>
      </c>
      <c r="AN615">
        <v>0</v>
      </c>
      <c r="AO615">
        <v>0</v>
      </c>
    </row>
    <row r="616" spans="1:41" x14ac:dyDescent="0.2">
      <c r="A616">
        <v>1455518</v>
      </c>
      <c r="B616">
        <v>51</v>
      </c>
      <c r="C616" t="str" cm="1">
        <f t="array" ref="C616">_xlfn.IFS(B616&lt;=25,"15-25",B616&lt;=35,"26-35",B616&lt;=45,"36-45",B616&lt;=55,"46-55",B616&lt;=65,"56-65")</f>
        <v>46-55</v>
      </c>
      <c r="D616" t="s">
        <v>35</v>
      </c>
      <c r="E616" t="str">
        <f t="shared" si="18"/>
        <v>Current Employee</v>
      </c>
      <c r="F616" t="s">
        <v>36</v>
      </c>
      <c r="G616">
        <v>1318</v>
      </c>
      <c r="H616" t="s">
        <v>37</v>
      </c>
      <c r="I616">
        <v>26</v>
      </c>
      <c r="J616">
        <v>4</v>
      </c>
      <c r="K616" t="s">
        <v>55</v>
      </c>
      <c r="L616">
        <v>1</v>
      </c>
      <c r="M616">
        <v>1</v>
      </c>
      <c r="N616" t="s">
        <v>39</v>
      </c>
      <c r="O616">
        <v>66</v>
      </c>
      <c r="P616">
        <v>3</v>
      </c>
      <c r="Q616">
        <v>4</v>
      </c>
      <c r="R616" t="s">
        <v>53</v>
      </c>
      <c r="S616">
        <v>3</v>
      </c>
      <c r="T616" t="str" cm="1">
        <f t="array" ref="T616">_xlfn.IFS(S616&lt;=2,"Poor",S616&lt;=3,"Fair",S616&gt;=4,"Good")</f>
        <v>Fair</v>
      </c>
      <c r="U616" t="s">
        <v>48</v>
      </c>
      <c r="V616" s="1">
        <v>16307</v>
      </c>
      <c r="W616" t="str" cm="1">
        <f t="array" ref="W616">_xlfn.IFS(V616&lt;=5000,"Low Salary",V616&lt;=12000,"Good Salary",V616&gt;12000,"High Salary")</f>
        <v>High Salary</v>
      </c>
      <c r="X616">
        <v>5594</v>
      </c>
      <c r="Y616">
        <v>2</v>
      </c>
      <c r="Z616" t="s">
        <v>42</v>
      </c>
      <c r="AA616" t="s">
        <v>35</v>
      </c>
      <c r="AB616">
        <v>14</v>
      </c>
      <c r="AC616">
        <v>3</v>
      </c>
      <c r="AD616" t="str">
        <f t="shared" si="19"/>
        <v>Low Performance</v>
      </c>
      <c r="AE616">
        <v>3</v>
      </c>
      <c r="AF616">
        <v>80</v>
      </c>
      <c r="AG616">
        <v>1</v>
      </c>
      <c r="AH616">
        <v>29</v>
      </c>
      <c r="AI616">
        <v>2</v>
      </c>
      <c r="AJ616">
        <v>2</v>
      </c>
      <c r="AK616" t="str" cm="1">
        <f t="array" ref="AK616">_xlfn.IFS(AJ616&lt;=2,"Poor",AJ616&lt;=3,"Fair",AJ616&gt;3,"Good")</f>
        <v>Poor</v>
      </c>
      <c r="AL616">
        <v>20</v>
      </c>
      <c r="AM616">
        <v>6</v>
      </c>
      <c r="AN616">
        <v>4</v>
      </c>
      <c r="AO616">
        <v>17</v>
      </c>
    </row>
    <row r="617" spans="1:41" x14ac:dyDescent="0.2">
      <c r="A617">
        <v>1117532</v>
      </c>
      <c r="B617">
        <v>44</v>
      </c>
      <c r="C617" t="str" cm="1">
        <f t="array" ref="C617">_xlfn.IFS(B617&lt;=25,"15-25",B617&lt;=35,"26-35",B617&lt;=45,"36-45",B617&lt;=55,"46-55",B617&lt;=65,"56-65")</f>
        <v>36-45</v>
      </c>
      <c r="D617" t="s">
        <v>35</v>
      </c>
      <c r="E617" t="str">
        <f t="shared" si="18"/>
        <v>Current Employee</v>
      </c>
      <c r="F617" t="s">
        <v>36</v>
      </c>
      <c r="G617">
        <v>625</v>
      </c>
      <c r="H617" t="s">
        <v>45</v>
      </c>
      <c r="I617">
        <v>4</v>
      </c>
      <c r="J617">
        <v>3</v>
      </c>
      <c r="K617" t="s">
        <v>49</v>
      </c>
      <c r="L617">
        <v>1</v>
      </c>
      <c r="M617">
        <v>4</v>
      </c>
      <c r="N617" t="s">
        <v>46</v>
      </c>
      <c r="O617">
        <v>50</v>
      </c>
      <c r="P617">
        <v>3</v>
      </c>
      <c r="Q617">
        <v>2</v>
      </c>
      <c r="R617" t="s">
        <v>40</v>
      </c>
      <c r="S617">
        <v>2</v>
      </c>
      <c r="T617" t="str" cm="1">
        <f t="array" ref="T617">_xlfn.IFS(S617&lt;=2,"Poor",S617&lt;=3,"Fair",S617&gt;=4,"Good")</f>
        <v>Poor</v>
      </c>
      <c r="U617" t="s">
        <v>41</v>
      </c>
      <c r="V617" s="1">
        <v>5933</v>
      </c>
      <c r="W617" t="str" cm="1">
        <f t="array" ref="W617">_xlfn.IFS(V617&lt;=5000,"Low Salary",V617&lt;=12000,"Good Salary",V617&gt;12000,"High Salary")</f>
        <v>Good Salary</v>
      </c>
      <c r="X617">
        <v>5197</v>
      </c>
      <c r="Y617">
        <v>9</v>
      </c>
      <c r="Z617" t="s">
        <v>42</v>
      </c>
      <c r="AA617" t="s">
        <v>35</v>
      </c>
      <c r="AB617">
        <v>12</v>
      </c>
      <c r="AC617">
        <v>3</v>
      </c>
      <c r="AD617" t="str">
        <f t="shared" si="19"/>
        <v>Low Performance</v>
      </c>
      <c r="AE617">
        <v>4</v>
      </c>
      <c r="AF617">
        <v>80</v>
      </c>
      <c r="AG617">
        <v>0</v>
      </c>
      <c r="AH617">
        <v>10</v>
      </c>
      <c r="AI617">
        <v>2</v>
      </c>
      <c r="AJ617">
        <v>2</v>
      </c>
      <c r="AK617" t="str" cm="1">
        <f t="array" ref="AK617">_xlfn.IFS(AJ617&lt;=2,"Poor",AJ617&lt;=3,"Fair",AJ617&gt;3,"Good")</f>
        <v>Poor</v>
      </c>
      <c r="AL617">
        <v>5</v>
      </c>
      <c r="AM617">
        <v>2</v>
      </c>
      <c r="AN617">
        <v>2</v>
      </c>
      <c r="AO617">
        <v>3</v>
      </c>
    </row>
    <row r="618" spans="1:41" x14ac:dyDescent="0.2">
      <c r="A618">
        <v>1450149</v>
      </c>
      <c r="B618">
        <v>25</v>
      </c>
      <c r="C618" t="str" cm="1">
        <f t="array" ref="C618">_xlfn.IFS(B618&lt;=25,"15-25",B618&lt;=35,"26-35",B618&lt;=45,"36-45",B618&lt;=55,"46-55",B618&lt;=65,"56-65")</f>
        <v>15-25</v>
      </c>
      <c r="D618" t="s">
        <v>35</v>
      </c>
      <c r="E618" t="str">
        <f t="shared" si="18"/>
        <v>Current Employee</v>
      </c>
      <c r="F618" t="s">
        <v>36</v>
      </c>
      <c r="G618">
        <v>180</v>
      </c>
      <c r="H618" t="s">
        <v>45</v>
      </c>
      <c r="I618">
        <v>2</v>
      </c>
      <c r="J618">
        <v>1</v>
      </c>
      <c r="K618" t="s">
        <v>49</v>
      </c>
      <c r="L618">
        <v>1</v>
      </c>
      <c r="M618">
        <v>1</v>
      </c>
      <c r="N618" t="s">
        <v>46</v>
      </c>
      <c r="O618">
        <v>65</v>
      </c>
      <c r="P618">
        <v>4</v>
      </c>
      <c r="Q618">
        <v>1</v>
      </c>
      <c r="R618" t="s">
        <v>47</v>
      </c>
      <c r="S618">
        <v>1</v>
      </c>
      <c r="T618" t="str" cm="1">
        <f t="array" ref="T618">_xlfn.IFS(S618&lt;=2,"Poor",S618&lt;=3,"Fair",S618&gt;=4,"Good")</f>
        <v>Poor</v>
      </c>
      <c r="U618" t="s">
        <v>41</v>
      </c>
      <c r="V618" s="1">
        <v>3424</v>
      </c>
      <c r="W618" t="str" cm="1">
        <f t="array" ref="W618">_xlfn.IFS(V618&lt;=5000,"Low Salary",V618&lt;=12000,"Good Salary",V618&gt;12000,"High Salary")</f>
        <v>Low Salary</v>
      </c>
      <c r="X618">
        <v>21632</v>
      </c>
      <c r="Y618">
        <v>7</v>
      </c>
      <c r="Z618" t="s">
        <v>42</v>
      </c>
      <c r="AA618" t="s">
        <v>35</v>
      </c>
      <c r="AB618">
        <v>13</v>
      </c>
      <c r="AC618">
        <v>3</v>
      </c>
      <c r="AD618" t="str">
        <f t="shared" si="19"/>
        <v>Low Performance</v>
      </c>
      <c r="AE618">
        <v>3</v>
      </c>
      <c r="AF618">
        <v>80</v>
      </c>
      <c r="AG618">
        <v>0</v>
      </c>
      <c r="AH618">
        <v>6</v>
      </c>
      <c r="AI618">
        <v>3</v>
      </c>
      <c r="AJ618">
        <v>2</v>
      </c>
      <c r="AK618" t="str" cm="1">
        <f t="array" ref="AK618">_xlfn.IFS(AJ618&lt;=2,"Poor",AJ618&lt;=3,"Fair",AJ618&gt;3,"Good")</f>
        <v>Poor</v>
      </c>
      <c r="AL618">
        <v>4</v>
      </c>
      <c r="AM618">
        <v>3</v>
      </c>
      <c r="AN618">
        <v>0</v>
      </c>
      <c r="AO618">
        <v>1</v>
      </c>
    </row>
    <row r="619" spans="1:41" x14ac:dyDescent="0.2">
      <c r="A619">
        <v>1826341</v>
      </c>
      <c r="B619">
        <v>33</v>
      </c>
      <c r="C619" t="str" cm="1">
        <f t="array" ref="C619">_xlfn.IFS(B619&lt;=25,"15-25",B619&lt;=35,"26-35",B619&lt;=45,"36-45",B619&lt;=55,"46-55",B619&lt;=65,"56-65")</f>
        <v>26-35</v>
      </c>
      <c r="D619" t="s">
        <v>35</v>
      </c>
      <c r="E619" t="str">
        <f t="shared" si="18"/>
        <v>Current Employee</v>
      </c>
      <c r="F619" t="s">
        <v>36</v>
      </c>
      <c r="G619">
        <v>586</v>
      </c>
      <c r="H619" t="s">
        <v>37</v>
      </c>
      <c r="I619">
        <v>1</v>
      </c>
      <c r="J619">
        <v>3</v>
      </c>
      <c r="K619" t="s">
        <v>49</v>
      </c>
      <c r="L619">
        <v>1</v>
      </c>
      <c r="M619">
        <v>1</v>
      </c>
      <c r="N619" t="s">
        <v>46</v>
      </c>
      <c r="O619">
        <v>48</v>
      </c>
      <c r="P619">
        <v>4</v>
      </c>
      <c r="Q619">
        <v>2</v>
      </c>
      <c r="R619" t="s">
        <v>40</v>
      </c>
      <c r="S619">
        <v>1</v>
      </c>
      <c r="T619" t="str" cm="1">
        <f t="array" ref="T619">_xlfn.IFS(S619&lt;=2,"Poor",S619&lt;=3,"Fair",S619&gt;=4,"Good")</f>
        <v>Poor</v>
      </c>
      <c r="U619" t="s">
        <v>50</v>
      </c>
      <c r="V619" s="1">
        <v>4037</v>
      </c>
      <c r="W619" t="str" cm="1">
        <f t="array" ref="W619">_xlfn.IFS(V619&lt;=5000,"Low Salary",V619&lt;=12000,"Good Salary",V619&gt;12000,"High Salary")</f>
        <v>Low Salary</v>
      </c>
      <c r="X619">
        <v>21816</v>
      </c>
      <c r="Y619">
        <v>1</v>
      </c>
      <c r="Z619" t="s">
        <v>42</v>
      </c>
      <c r="AA619" t="s">
        <v>35</v>
      </c>
      <c r="AB619">
        <v>22</v>
      </c>
      <c r="AC619">
        <v>4</v>
      </c>
      <c r="AD619" t="str">
        <f t="shared" si="19"/>
        <v>High Performance</v>
      </c>
      <c r="AE619">
        <v>1</v>
      </c>
      <c r="AF619">
        <v>80</v>
      </c>
      <c r="AG619">
        <v>1</v>
      </c>
      <c r="AH619">
        <v>9</v>
      </c>
      <c r="AI619">
        <v>5</v>
      </c>
      <c r="AJ619">
        <v>3</v>
      </c>
      <c r="AK619" t="str" cm="1">
        <f t="array" ref="AK619">_xlfn.IFS(AJ619&lt;=2,"Poor",AJ619&lt;=3,"Fair",AJ619&gt;3,"Good")</f>
        <v>Fair</v>
      </c>
      <c r="AL619">
        <v>9</v>
      </c>
      <c r="AM619">
        <v>8</v>
      </c>
      <c r="AN619">
        <v>0</v>
      </c>
      <c r="AO619">
        <v>8</v>
      </c>
    </row>
    <row r="620" spans="1:41" x14ac:dyDescent="0.2">
      <c r="A620">
        <v>1276016</v>
      </c>
      <c r="B620">
        <v>35</v>
      </c>
      <c r="C620" t="str" cm="1">
        <f t="array" ref="C620">_xlfn.IFS(B620&lt;=25,"15-25",B620&lt;=35,"26-35",B620&lt;=45,"36-45",B620&lt;=55,"46-55",B620&lt;=65,"56-65")</f>
        <v>26-35</v>
      </c>
      <c r="D620" t="s">
        <v>35</v>
      </c>
      <c r="E620" t="str">
        <f t="shared" si="18"/>
        <v>Current Employee</v>
      </c>
      <c r="F620" t="s">
        <v>36</v>
      </c>
      <c r="G620">
        <v>1343</v>
      </c>
      <c r="H620" t="s">
        <v>45</v>
      </c>
      <c r="I620">
        <v>27</v>
      </c>
      <c r="J620">
        <v>1</v>
      </c>
      <c r="K620" t="s">
        <v>49</v>
      </c>
      <c r="L620">
        <v>1</v>
      </c>
      <c r="M620">
        <v>3</v>
      </c>
      <c r="N620" t="s">
        <v>39</v>
      </c>
      <c r="O620">
        <v>53</v>
      </c>
      <c r="P620">
        <v>2</v>
      </c>
      <c r="Q620">
        <v>1</v>
      </c>
      <c r="R620" t="s">
        <v>47</v>
      </c>
      <c r="S620">
        <v>1</v>
      </c>
      <c r="T620" t="str" cm="1">
        <f t="array" ref="T620">_xlfn.IFS(S620&lt;=2,"Poor",S620&lt;=3,"Fair",S620&gt;=4,"Good")</f>
        <v>Poor</v>
      </c>
      <c r="U620" t="s">
        <v>41</v>
      </c>
      <c r="V620" s="1">
        <v>2559</v>
      </c>
      <c r="W620" t="str" cm="1">
        <f t="array" ref="W620">_xlfn.IFS(V620&lt;=5000,"Low Salary",V620&lt;=12000,"Good Salary",V620&gt;12000,"High Salary")</f>
        <v>Low Salary</v>
      </c>
      <c r="X620">
        <v>17852</v>
      </c>
      <c r="Y620">
        <v>1</v>
      </c>
      <c r="Z620" t="s">
        <v>42</v>
      </c>
      <c r="AA620" t="s">
        <v>35</v>
      </c>
      <c r="AB620">
        <v>11</v>
      </c>
      <c r="AC620">
        <v>3</v>
      </c>
      <c r="AD620" t="str">
        <f t="shared" si="19"/>
        <v>Low Performance</v>
      </c>
      <c r="AE620">
        <v>4</v>
      </c>
      <c r="AF620">
        <v>80</v>
      </c>
      <c r="AG620">
        <v>0</v>
      </c>
      <c r="AH620">
        <v>6</v>
      </c>
      <c r="AI620">
        <v>3</v>
      </c>
      <c r="AJ620">
        <v>2</v>
      </c>
      <c r="AK620" t="str" cm="1">
        <f t="array" ref="AK620">_xlfn.IFS(AJ620&lt;=2,"Poor",AJ620&lt;=3,"Fair",AJ620&gt;3,"Good")</f>
        <v>Poor</v>
      </c>
      <c r="AL620">
        <v>6</v>
      </c>
      <c r="AM620">
        <v>5</v>
      </c>
      <c r="AN620">
        <v>1</v>
      </c>
      <c r="AO620">
        <v>1</v>
      </c>
    </row>
    <row r="621" spans="1:41" x14ac:dyDescent="0.2">
      <c r="A621">
        <v>1193450</v>
      </c>
      <c r="B621">
        <v>36</v>
      </c>
      <c r="C621" t="str" cm="1">
        <f t="array" ref="C621">_xlfn.IFS(B621&lt;=25,"15-25",B621&lt;=35,"26-35",B621&lt;=45,"36-45",B621&lt;=55,"46-55",B621&lt;=65,"56-65")</f>
        <v>36-45</v>
      </c>
      <c r="D621" t="s">
        <v>35</v>
      </c>
      <c r="E621" t="str">
        <f t="shared" si="18"/>
        <v>Current Employee</v>
      </c>
      <c r="F621" t="s">
        <v>36</v>
      </c>
      <c r="G621">
        <v>928</v>
      </c>
      <c r="H621" t="s">
        <v>37</v>
      </c>
      <c r="I621">
        <v>1</v>
      </c>
      <c r="J621">
        <v>2</v>
      </c>
      <c r="K621" t="s">
        <v>38</v>
      </c>
      <c r="L621">
        <v>1</v>
      </c>
      <c r="M621">
        <v>2</v>
      </c>
      <c r="N621" t="s">
        <v>46</v>
      </c>
      <c r="O621">
        <v>56</v>
      </c>
      <c r="P621">
        <v>3</v>
      </c>
      <c r="Q621">
        <v>2</v>
      </c>
      <c r="R621" t="s">
        <v>40</v>
      </c>
      <c r="S621">
        <v>4</v>
      </c>
      <c r="T621" t="str" cm="1">
        <f t="array" ref="T621">_xlfn.IFS(S621&lt;=2,"Poor",S621&lt;=3,"Fair",S621&gt;=4,"Good")</f>
        <v>Good</v>
      </c>
      <c r="U621" t="s">
        <v>48</v>
      </c>
      <c r="V621" s="1">
        <v>6201</v>
      </c>
      <c r="W621" t="str" cm="1">
        <f t="array" ref="W621">_xlfn.IFS(V621&lt;=5000,"Low Salary",V621&lt;=12000,"Good Salary",V621&gt;12000,"High Salary")</f>
        <v>Good Salary</v>
      </c>
      <c r="X621">
        <v>2823</v>
      </c>
      <c r="Y621">
        <v>1</v>
      </c>
      <c r="Z621" t="s">
        <v>42</v>
      </c>
      <c r="AA621" t="s">
        <v>43</v>
      </c>
      <c r="AB621">
        <v>14</v>
      </c>
      <c r="AC621">
        <v>3</v>
      </c>
      <c r="AD621" t="str">
        <f t="shared" si="19"/>
        <v>Low Performance</v>
      </c>
      <c r="AE621">
        <v>4</v>
      </c>
      <c r="AF621">
        <v>80</v>
      </c>
      <c r="AG621">
        <v>1</v>
      </c>
      <c r="AH621">
        <v>18</v>
      </c>
      <c r="AI621">
        <v>1</v>
      </c>
      <c r="AJ621">
        <v>2</v>
      </c>
      <c r="AK621" t="str" cm="1">
        <f t="array" ref="AK621">_xlfn.IFS(AJ621&lt;=2,"Poor",AJ621&lt;=3,"Fair",AJ621&gt;3,"Good")</f>
        <v>Poor</v>
      </c>
      <c r="AL621">
        <v>18</v>
      </c>
      <c r="AM621">
        <v>14</v>
      </c>
      <c r="AN621">
        <v>4</v>
      </c>
      <c r="AO621">
        <v>11</v>
      </c>
    </row>
    <row r="622" spans="1:41" x14ac:dyDescent="0.2">
      <c r="A622">
        <v>1119237</v>
      </c>
      <c r="B622">
        <v>32</v>
      </c>
      <c r="C622" t="str" cm="1">
        <f t="array" ref="C622">_xlfn.IFS(B622&lt;=25,"15-25",B622&lt;=35,"26-35",B622&lt;=45,"36-45",B622&lt;=55,"46-55",B622&lt;=65,"56-65")</f>
        <v>26-35</v>
      </c>
      <c r="D622" t="s">
        <v>35</v>
      </c>
      <c r="E622" t="str">
        <f t="shared" si="18"/>
        <v>Current Employee</v>
      </c>
      <c r="F622" t="s">
        <v>36</v>
      </c>
      <c r="G622">
        <v>117</v>
      </c>
      <c r="H622" t="s">
        <v>37</v>
      </c>
      <c r="I622">
        <v>13</v>
      </c>
      <c r="J622">
        <v>4</v>
      </c>
      <c r="K622" t="s">
        <v>38</v>
      </c>
      <c r="L622">
        <v>1</v>
      </c>
      <c r="M622">
        <v>2</v>
      </c>
      <c r="N622" t="s">
        <v>46</v>
      </c>
      <c r="O622">
        <v>73</v>
      </c>
      <c r="P622">
        <v>3</v>
      </c>
      <c r="Q622">
        <v>2</v>
      </c>
      <c r="R622" t="s">
        <v>40</v>
      </c>
      <c r="S622">
        <v>4</v>
      </c>
      <c r="T622" t="str" cm="1">
        <f t="array" ref="T622">_xlfn.IFS(S622&lt;=2,"Poor",S622&lt;=3,"Fair",S622&gt;=4,"Good")</f>
        <v>Good</v>
      </c>
      <c r="U622" t="s">
        <v>50</v>
      </c>
      <c r="V622" s="1">
        <v>4403</v>
      </c>
      <c r="W622" t="str" cm="1">
        <f t="array" ref="W622">_xlfn.IFS(V622&lt;=5000,"Low Salary",V622&lt;=12000,"Good Salary",V622&gt;12000,"High Salary")</f>
        <v>Low Salary</v>
      </c>
      <c r="X622">
        <v>9250</v>
      </c>
      <c r="Y622">
        <v>2</v>
      </c>
      <c r="Z622" t="s">
        <v>42</v>
      </c>
      <c r="AA622" t="s">
        <v>35</v>
      </c>
      <c r="AB622">
        <v>11</v>
      </c>
      <c r="AC622">
        <v>3</v>
      </c>
      <c r="AD622" t="str">
        <f t="shared" si="19"/>
        <v>Low Performance</v>
      </c>
      <c r="AE622">
        <v>3</v>
      </c>
      <c r="AF622">
        <v>80</v>
      </c>
      <c r="AG622">
        <v>1</v>
      </c>
      <c r="AH622">
        <v>8</v>
      </c>
      <c r="AI622">
        <v>3</v>
      </c>
      <c r="AJ622">
        <v>2</v>
      </c>
      <c r="AK622" t="str" cm="1">
        <f t="array" ref="AK622">_xlfn.IFS(AJ622&lt;=2,"Poor",AJ622&lt;=3,"Fair",AJ622&gt;3,"Good")</f>
        <v>Poor</v>
      </c>
      <c r="AL622">
        <v>5</v>
      </c>
      <c r="AM622">
        <v>2</v>
      </c>
      <c r="AN622">
        <v>0</v>
      </c>
      <c r="AO622">
        <v>3</v>
      </c>
    </row>
    <row r="623" spans="1:41" x14ac:dyDescent="0.2">
      <c r="A623">
        <v>1077496</v>
      </c>
      <c r="B623">
        <v>30</v>
      </c>
      <c r="C623" t="str" cm="1">
        <f t="array" ref="C623">_xlfn.IFS(B623&lt;=25,"15-25",B623&lt;=35,"26-35",B623&lt;=45,"36-45",B623&lt;=55,"46-55",B623&lt;=65,"56-65")</f>
        <v>26-35</v>
      </c>
      <c r="D623" t="s">
        <v>35</v>
      </c>
      <c r="E623" t="str">
        <f t="shared" si="18"/>
        <v>Current Employee</v>
      </c>
      <c r="F623" t="s">
        <v>44</v>
      </c>
      <c r="G623">
        <v>1012</v>
      </c>
      <c r="H623" t="s">
        <v>45</v>
      </c>
      <c r="I623">
        <v>5</v>
      </c>
      <c r="J623">
        <v>4</v>
      </c>
      <c r="K623" t="s">
        <v>38</v>
      </c>
      <c r="L623">
        <v>1</v>
      </c>
      <c r="M623">
        <v>2</v>
      </c>
      <c r="N623" t="s">
        <v>46</v>
      </c>
      <c r="O623">
        <v>75</v>
      </c>
      <c r="P623">
        <v>2</v>
      </c>
      <c r="Q623">
        <v>1</v>
      </c>
      <c r="R623" t="s">
        <v>47</v>
      </c>
      <c r="S623">
        <v>4</v>
      </c>
      <c r="T623" t="str" cm="1">
        <f t="array" ref="T623">_xlfn.IFS(S623&lt;=2,"Poor",S623&lt;=3,"Fair",S623&gt;=4,"Good")</f>
        <v>Good</v>
      </c>
      <c r="U623" t="s">
        <v>50</v>
      </c>
      <c r="V623" s="1">
        <v>3761</v>
      </c>
      <c r="W623" t="str" cm="1">
        <f t="array" ref="W623">_xlfn.IFS(V623&lt;=5000,"Low Salary",V623&lt;=12000,"Good Salary",V623&gt;12000,"High Salary")</f>
        <v>Low Salary</v>
      </c>
      <c r="X623">
        <v>2373</v>
      </c>
      <c r="Y623">
        <v>9</v>
      </c>
      <c r="Z623" t="s">
        <v>42</v>
      </c>
      <c r="AA623" t="s">
        <v>35</v>
      </c>
      <c r="AB623">
        <v>12</v>
      </c>
      <c r="AC623">
        <v>3</v>
      </c>
      <c r="AD623" t="str">
        <f t="shared" si="19"/>
        <v>Low Performance</v>
      </c>
      <c r="AE623">
        <v>2</v>
      </c>
      <c r="AF623">
        <v>80</v>
      </c>
      <c r="AG623">
        <v>1</v>
      </c>
      <c r="AH623">
        <v>10</v>
      </c>
      <c r="AI623">
        <v>3</v>
      </c>
      <c r="AJ623">
        <v>2</v>
      </c>
      <c r="AK623" t="str" cm="1">
        <f t="array" ref="AK623">_xlfn.IFS(AJ623&lt;=2,"Poor",AJ623&lt;=3,"Fair",AJ623&gt;3,"Good")</f>
        <v>Poor</v>
      </c>
      <c r="AL623">
        <v>5</v>
      </c>
      <c r="AM623">
        <v>4</v>
      </c>
      <c r="AN623">
        <v>0</v>
      </c>
      <c r="AO623">
        <v>3</v>
      </c>
    </row>
    <row r="624" spans="1:41" x14ac:dyDescent="0.2">
      <c r="A624">
        <v>1689022</v>
      </c>
      <c r="B624">
        <v>53</v>
      </c>
      <c r="C624" t="str" cm="1">
        <f t="array" ref="C624">_xlfn.IFS(B624&lt;=25,"15-25",B624&lt;=35,"26-35",B624&lt;=45,"36-45",B624&lt;=55,"46-55",B624&lt;=65,"56-65")</f>
        <v>46-55</v>
      </c>
      <c r="D624" t="s">
        <v>35</v>
      </c>
      <c r="E624" t="str">
        <f t="shared" si="18"/>
        <v>Current Employee</v>
      </c>
      <c r="F624" t="s">
        <v>36</v>
      </c>
      <c r="G624">
        <v>661</v>
      </c>
      <c r="H624" t="s">
        <v>37</v>
      </c>
      <c r="I624">
        <v>7</v>
      </c>
      <c r="J624">
        <v>2</v>
      </c>
      <c r="K624" t="s">
        <v>55</v>
      </c>
      <c r="L624">
        <v>1</v>
      </c>
      <c r="M624">
        <v>1</v>
      </c>
      <c r="N624" t="s">
        <v>39</v>
      </c>
      <c r="O624">
        <v>78</v>
      </c>
      <c r="P624">
        <v>2</v>
      </c>
      <c r="Q624">
        <v>3</v>
      </c>
      <c r="R624" t="s">
        <v>40</v>
      </c>
      <c r="S624">
        <v>4</v>
      </c>
      <c r="T624" t="str" cm="1">
        <f t="array" ref="T624">_xlfn.IFS(S624&lt;=2,"Poor",S624&lt;=3,"Fair",S624&gt;=4,"Good")</f>
        <v>Good</v>
      </c>
      <c r="U624" t="s">
        <v>48</v>
      </c>
      <c r="V624" s="1">
        <v>10934</v>
      </c>
      <c r="W624" t="str" cm="1">
        <f t="array" ref="W624">_xlfn.IFS(V624&lt;=5000,"Low Salary",V624&lt;=12000,"Good Salary",V624&gt;12000,"High Salary")</f>
        <v>Good Salary</v>
      </c>
      <c r="X624">
        <v>20715</v>
      </c>
      <c r="Y624">
        <v>7</v>
      </c>
      <c r="Z624" t="s">
        <v>42</v>
      </c>
      <c r="AA624" t="s">
        <v>43</v>
      </c>
      <c r="AB624">
        <v>18</v>
      </c>
      <c r="AC624">
        <v>3</v>
      </c>
      <c r="AD624" t="str">
        <f t="shared" si="19"/>
        <v>Low Performance</v>
      </c>
      <c r="AE624">
        <v>4</v>
      </c>
      <c r="AF624">
        <v>80</v>
      </c>
      <c r="AG624">
        <v>1</v>
      </c>
      <c r="AH624">
        <v>35</v>
      </c>
      <c r="AI624">
        <v>3</v>
      </c>
      <c r="AJ624">
        <v>3</v>
      </c>
      <c r="AK624" t="str" cm="1">
        <f t="array" ref="AK624">_xlfn.IFS(AJ624&lt;=2,"Poor",AJ624&lt;=3,"Fair",AJ624&gt;3,"Good")</f>
        <v>Fair</v>
      </c>
      <c r="AL624">
        <v>5</v>
      </c>
      <c r="AM624">
        <v>2</v>
      </c>
      <c r="AN624">
        <v>0</v>
      </c>
      <c r="AO624">
        <v>4</v>
      </c>
    </row>
    <row r="625" spans="1:41" x14ac:dyDescent="0.2">
      <c r="A625">
        <v>1580740</v>
      </c>
      <c r="B625">
        <v>45</v>
      </c>
      <c r="C625" t="str" cm="1">
        <f t="array" ref="C625">_xlfn.IFS(B625&lt;=25,"15-25",B625&lt;=35,"26-35",B625&lt;=45,"36-45",B625&lt;=55,"46-55",B625&lt;=65,"56-65")</f>
        <v>36-45</v>
      </c>
      <c r="D625" t="s">
        <v>35</v>
      </c>
      <c r="E625" t="str">
        <f t="shared" si="18"/>
        <v>Current Employee</v>
      </c>
      <c r="F625" t="s">
        <v>36</v>
      </c>
      <c r="G625">
        <v>930</v>
      </c>
      <c r="H625" t="s">
        <v>37</v>
      </c>
      <c r="I625">
        <v>9</v>
      </c>
      <c r="J625">
        <v>3</v>
      </c>
      <c r="K625" t="s">
        <v>55</v>
      </c>
      <c r="L625">
        <v>1</v>
      </c>
      <c r="M625">
        <v>4</v>
      </c>
      <c r="N625" t="s">
        <v>46</v>
      </c>
      <c r="O625">
        <v>74</v>
      </c>
      <c r="P625">
        <v>3</v>
      </c>
      <c r="Q625">
        <v>3</v>
      </c>
      <c r="R625" t="s">
        <v>40</v>
      </c>
      <c r="S625">
        <v>1</v>
      </c>
      <c r="T625" t="str" cm="1">
        <f t="array" ref="T625">_xlfn.IFS(S625&lt;=2,"Poor",S625&lt;=3,"Fair",S625&gt;=4,"Good")</f>
        <v>Poor</v>
      </c>
      <c r="U625" t="s">
        <v>50</v>
      </c>
      <c r="V625" s="1">
        <v>10761</v>
      </c>
      <c r="W625" t="str" cm="1">
        <f t="array" ref="W625">_xlfn.IFS(V625&lt;=5000,"Low Salary",V625&lt;=12000,"Good Salary",V625&gt;12000,"High Salary")</f>
        <v>Good Salary</v>
      </c>
      <c r="X625">
        <v>19239</v>
      </c>
      <c r="Y625">
        <v>4</v>
      </c>
      <c r="Z625" t="s">
        <v>42</v>
      </c>
      <c r="AA625" t="s">
        <v>43</v>
      </c>
      <c r="AB625">
        <v>12</v>
      </c>
      <c r="AC625">
        <v>3</v>
      </c>
      <c r="AD625" t="str">
        <f t="shared" si="19"/>
        <v>Low Performance</v>
      </c>
      <c r="AE625">
        <v>3</v>
      </c>
      <c r="AF625">
        <v>80</v>
      </c>
      <c r="AG625">
        <v>1</v>
      </c>
      <c r="AH625">
        <v>18</v>
      </c>
      <c r="AI625">
        <v>2</v>
      </c>
      <c r="AJ625">
        <v>3</v>
      </c>
      <c r="AK625" t="str" cm="1">
        <f t="array" ref="AK625">_xlfn.IFS(AJ625&lt;=2,"Poor",AJ625&lt;=3,"Fair",AJ625&gt;3,"Good")</f>
        <v>Fair</v>
      </c>
      <c r="AL625">
        <v>5</v>
      </c>
      <c r="AM625">
        <v>4</v>
      </c>
      <c r="AN625">
        <v>0</v>
      </c>
      <c r="AO625">
        <v>2</v>
      </c>
    </row>
    <row r="626" spans="1:41" x14ac:dyDescent="0.2">
      <c r="A626">
        <v>1214731</v>
      </c>
      <c r="B626">
        <v>32</v>
      </c>
      <c r="C626" t="str" cm="1">
        <f t="array" ref="C626">_xlfn.IFS(B626&lt;=25,"15-25",B626&lt;=35,"26-35",B626&lt;=45,"36-45",B626&lt;=55,"46-55",B626&lt;=65,"56-65")</f>
        <v>26-35</v>
      </c>
      <c r="D626" t="s">
        <v>35</v>
      </c>
      <c r="E626" t="str">
        <f t="shared" si="18"/>
        <v>Current Employee</v>
      </c>
      <c r="F626" t="s">
        <v>36</v>
      </c>
      <c r="G626">
        <v>638</v>
      </c>
      <c r="H626" t="s">
        <v>45</v>
      </c>
      <c r="I626">
        <v>8</v>
      </c>
      <c r="J626">
        <v>2</v>
      </c>
      <c r="K626" t="s">
        <v>49</v>
      </c>
      <c r="L626">
        <v>1</v>
      </c>
      <c r="M626">
        <v>3</v>
      </c>
      <c r="N626" t="s">
        <v>39</v>
      </c>
      <c r="O626">
        <v>91</v>
      </c>
      <c r="P626">
        <v>4</v>
      </c>
      <c r="Q626">
        <v>2</v>
      </c>
      <c r="R626" t="s">
        <v>47</v>
      </c>
      <c r="S626">
        <v>3</v>
      </c>
      <c r="T626" t="str" cm="1">
        <f t="array" ref="T626">_xlfn.IFS(S626&lt;=2,"Poor",S626&lt;=3,"Fair",S626&gt;=4,"Good")</f>
        <v>Fair</v>
      </c>
      <c r="U626" t="s">
        <v>48</v>
      </c>
      <c r="V626" s="1">
        <v>5175</v>
      </c>
      <c r="W626" t="str" cm="1">
        <f t="array" ref="W626">_xlfn.IFS(V626&lt;=5000,"Low Salary",V626&lt;=12000,"Good Salary",V626&gt;12000,"High Salary")</f>
        <v>Good Salary</v>
      </c>
      <c r="X626">
        <v>22162</v>
      </c>
      <c r="Y626">
        <v>5</v>
      </c>
      <c r="Z626" t="s">
        <v>42</v>
      </c>
      <c r="AA626" t="s">
        <v>35</v>
      </c>
      <c r="AB626">
        <v>12</v>
      </c>
      <c r="AC626">
        <v>3</v>
      </c>
      <c r="AD626" t="str">
        <f t="shared" si="19"/>
        <v>Low Performance</v>
      </c>
      <c r="AE626">
        <v>3</v>
      </c>
      <c r="AF626">
        <v>80</v>
      </c>
      <c r="AG626">
        <v>1</v>
      </c>
      <c r="AH626">
        <v>9</v>
      </c>
      <c r="AI626">
        <v>3</v>
      </c>
      <c r="AJ626">
        <v>2</v>
      </c>
      <c r="AK626" t="str" cm="1">
        <f t="array" ref="AK626">_xlfn.IFS(AJ626&lt;=2,"Poor",AJ626&lt;=3,"Fair",AJ626&gt;3,"Good")</f>
        <v>Poor</v>
      </c>
      <c r="AL626">
        <v>5</v>
      </c>
      <c r="AM626">
        <v>3</v>
      </c>
      <c r="AN626">
        <v>1</v>
      </c>
      <c r="AO626">
        <v>3</v>
      </c>
    </row>
    <row r="627" spans="1:41" x14ac:dyDescent="0.2">
      <c r="A627">
        <v>1501967</v>
      </c>
      <c r="B627">
        <v>52</v>
      </c>
      <c r="C627" t="str" cm="1">
        <f t="array" ref="C627">_xlfn.IFS(B627&lt;=25,"15-25",B627&lt;=35,"26-35",B627&lt;=45,"36-45",B627&lt;=55,"46-55",B627&lt;=65,"56-65")</f>
        <v>46-55</v>
      </c>
      <c r="D627" t="s">
        <v>35</v>
      </c>
      <c r="E627" t="str">
        <f t="shared" si="18"/>
        <v>Current Employee</v>
      </c>
      <c r="F627" t="s">
        <v>44</v>
      </c>
      <c r="G627">
        <v>890</v>
      </c>
      <c r="H627" t="s">
        <v>45</v>
      </c>
      <c r="I627">
        <v>25</v>
      </c>
      <c r="J627">
        <v>4</v>
      </c>
      <c r="K627" t="s">
        <v>49</v>
      </c>
      <c r="L627">
        <v>1</v>
      </c>
      <c r="M627">
        <v>3</v>
      </c>
      <c r="N627" t="s">
        <v>39</v>
      </c>
      <c r="O627">
        <v>81</v>
      </c>
      <c r="P627">
        <v>2</v>
      </c>
      <c r="Q627">
        <v>4</v>
      </c>
      <c r="R627" t="s">
        <v>51</v>
      </c>
      <c r="S627">
        <v>4</v>
      </c>
      <c r="T627" t="str" cm="1">
        <f t="array" ref="T627">_xlfn.IFS(S627&lt;=2,"Poor",S627&lt;=3,"Fair",S627&gt;=4,"Good")</f>
        <v>Good</v>
      </c>
      <c r="U627" t="s">
        <v>48</v>
      </c>
      <c r="V627" s="1">
        <v>13826</v>
      </c>
      <c r="W627" t="str" cm="1">
        <f t="array" ref="W627">_xlfn.IFS(V627&lt;=5000,"Low Salary",V627&lt;=12000,"Good Salary",V627&gt;12000,"High Salary")</f>
        <v>High Salary</v>
      </c>
      <c r="X627">
        <v>19028</v>
      </c>
      <c r="Y627">
        <v>3</v>
      </c>
      <c r="Z627" t="s">
        <v>42</v>
      </c>
      <c r="AA627" t="s">
        <v>35</v>
      </c>
      <c r="AB627">
        <v>22</v>
      </c>
      <c r="AC627">
        <v>4</v>
      </c>
      <c r="AD627" t="str">
        <f t="shared" si="19"/>
        <v>High Performance</v>
      </c>
      <c r="AE627">
        <v>3</v>
      </c>
      <c r="AF627">
        <v>80</v>
      </c>
      <c r="AG627">
        <v>0</v>
      </c>
      <c r="AH627">
        <v>31</v>
      </c>
      <c r="AI627">
        <v>3</v>
      </c>
      <c r="AJ627">
        <v>3</v>
      </c>
      <c r="AK627" t="str" cm="1">
        <f t="array" ref="AK627">_xlfn.IFS(AJ627&lt;=2,"Poor",AJ627&lt;=3,"Fair",AJ627&gt;3,"Good")</f>
        <v>Fair</v>
      </c>
      <c r="AL627">
        <v>9</v>
      </c>
      <c r="AM627">
        <v>8</v>
      </c>
      <c r="AN627">
        <v>0</v>
      </c>
      <c r="AO627">
        <v>0</v>
      </c>
    </row>
    <row r="628" spans="1:41" x14ac:dyDescent="0.2">
      <c r="A628">
        <v>1659259</v>
      </c>
      <c r="B628">
        <v>37</v>
      </c>
      <c r="C628" t="str" cm="1">
        <f t="array" ref="C628">_xlfn.IFS(B628&lt;=25,"15-25",B628&lt;=35,"26-35",B628&lt;=45,"36-45",B628&lt;=55,"46-55",B628&lt;=65,"56-65")</f>
        <v>36-45</v>
      </c>
      <c r="D628" t="s">
        <v>35</v>
      </c>
      <c r="E628" t="str">
        <f t="shared" si="18"/>
        <v>Current Employee</v>
      </c>
      <c r="F628" t="s">
        <v>36</v>
      </c>
      <c r="G628">
        <v>342</v>
      </c>
      <c r="H628" t="s">
        <v>37</v>
      </c>
      <c r="I628">
        <v>16</v>
      </c>
      <c r="J628">
        <v>4</v>
      </c>
      <c r="K628" t="s">
        <v>55</v>
      </c>
      <c r="L628">
        <v>1</v>
      </c>
      <c r="M628">
        <v>4</v>
      </c>
      <c r="N628" t="s">
        <v>46</v>
      </c>
      <c r="O628">
        <v>66</v>
      </c>
      <c r="P628">
        <v>2</v>
      </c>
      <c r="Q628">
        <v>2</v>
      </c>
      <c r="R628" t="s">
        <v>40</v>
      </c>
      <c r="S628">
        <v>3</v>
      </c>
      <c r="T628" t="str" cm="1">
        <f t="array" ref="T628">_xlfn.IFS(S628&lt;=2,"Poor",S628&lt;=3,"Fair",S628&gt;=4,"Good")</f>
        <v>Fair</v>
      </c>
      <c r="U628" t="s">
        <v>50</v>
      </c>
      <c r="V628" s="1">
        <v>6334</v>
      </c>
      <c r="W628" t="str" cm="1">
        <f t="array" ref="W628">_xlfn.IFS(V628&lt;=5000,"Low Salary",V628&lt;=12000,"Good Salary",V628&gt;12000,"High Salary")</f>
        <v>Good Salary</v>
      </c>
      <c r="X628">
        <v>24558</v>
      </c>
      <c r="Y628">
        <v>4</v>
      </c>
      <c r="Z628" t="s">
        <v>42</v>
      </c>
      <c r="AA628" t="s">
        <v>35</v>
      </c>
      <c r="AB628">
        <v>19</v>
      </c>
      <c r="AC628">
        <v>3</v>
      </c>
      <c r="AD628" t="str">
        <f t="shared" si="19"/>
        <v>Low Performance</v>
      </c>
      <c r="AE628">
        <v>4</v>
      </c>
      <c r="AF628">
        <v>80</v>
      </c>
      <c r="AG628">
        <v>2</v>
      </c>
      <c r="AH628">
        <v>9</v>
      </c>
      <c r="AI628">
        <v>2</v>
      </c>
      <c r="AJ628">
        <v>3</v>
      </c>
      <c r="AK628" t="str" cm="1">
        <f t="array" ref="AK628">_xlfn.IFS(AJ628&lt;=2,"Poor",AJ628&lt;=3,"Fair",AJ628&gt;3,"Good")</f>
        <v>Fair</v>
      </c>
      <c r="AL628">
        <v>1</v>
      </c>
      <c r="AM628">
        <v>0</v>
      </c>
      <c r="AN628">
        <v>0</v>
      </c>
      <c r="AO628">
        <v>0</v>
      </c>
    </row>
    <row r="629" spans="1:41" x14ac:dyDescent="0.2">
      <c r="A629">
        <v>1851689</v>
      </c>
      <c r="B629">
        <v>28</v>
      </c>
      <c r="C629" t="str" cm="1">
        <f t="array" ref="C629">_xlfn.IFS(B629&lt;=25,"15-25",B629&lt;=35,"26-35",B629&lt;=45,"36-45",B629&lt;=55,"46-55",B629&lt;=65,"56-65")</f>
        <v>26-35</v>
      </c>
      <c r="D629" t="s">
        <v>35</v>
      </c>
      <c r="E629" t="str">
        <f t="shared" si="18"/>
        <v>Current Employee</v>
      </c>
      <c r="F629" t="s">
        <v>36</v>
      </c>
      <c r="G629">
        <v>1169</v>
      </c>
      <c r="H629" t="s">
        <v>54</v>
      </c>
      <c r="I629">
        <v>8</v>
      </c>
      <c r="J629">
        <v>2</v>
      </c>
      <c r="K629" t="s">
        <v>49</v>
      </c>
      <c r="L629">
        <v>1</v>
      </c>
      <c r="M629">
        <v>2</v>
      </c>
      <c r="N629" t="s">
        <v>46</v>
      </c>
      <c r="O629">
        <v>63</v>
      </c>
      <c r="P629">
        <v>2</v>
      </c>
      <c r="Q629">
        <v>1</v>
      </c>
      <c r="R629" t="s">
        <v>47</v>
      </c>
      <c r="S629">
        <v>4</v>
      </c>
      <c r="T629" t="str" cm="1">
        <f t="array" ref="T629">_xlfn.IFS(S629&lt;=2,"Poor",S629&lt;=3,"Fair",S629&gt;=4,"Good")</f>
        <v>Good</v>
      </c>
      <c r="U629" t="s">
        <v>50</v>
      </c>
      <c r="V629" s="1">
        <v>4936</v>
      </c>
      <c r="W629" t="str" cm="1">
        <f t="array" ref="W629">_xlfn.IFS(V629&lt;=5000,"Low Salary",V629&lt;=12000,"Good Salary",V629&gt;12000,"High Salary")</f>
        <v>Low Salary</v>
      </c>
      <c r="X629">
        <v>23965</v>
      </c>
      <c r="Y629">
        <v>1</v>
      </c>
      <c r="Z629" t="s">
        <v>42</v>
      </c>
      <c r="AA629" t="s">
        <v>35</v>
      </c>
      <c r="AB629">
        <v>13</v>
      </c>
      <c r="AC629">
        <v>3</v>
      </c>
      <c r="AD629" t="str">
        <f t="shared" si="19"/>
        <v>Low Performance</v>
      </c>
      <c r="AE629">
        <v>4</v>
      </c>
      <c r="AF629">
        <v>80</v>
      </c>
      <c r="AG629">
        <v>1</v>
      </c>
      <c r="AH629">
        <v>6</v>
      </c>
      <c r="AI629">
        <v>6</v>
      </c>
      <c r="AJ629">
        <v>3</v>
      </c>
      <c r="AK629" t="str" cm="1">
        <f t="array" ref="AK629">_xlfn.IFS(AJ629&lt;=2,"Poor",AJ629&lt;=3,"Fair",AJ629&gt;3,"Good")</f>
        <v>Fair</v>
      </c>
      <c r="AL629">
        <v>5</v>
      </c>
      <c r="AM629">
        <v>1</v>
      </c>
      <c r="AN629">
        <v>0</v>
      </c>
      <c r="AO629">
        <v>4</v>
      </c>
    </row>
    <row r="630" spans="1:41" x14ac:dyDescent="0.2">
      <c r="A630">
        <v>1578894</v>
      </c>
      <c r="B630">
        <v>22</v>
      </c>
      <c r="C630" t="str" cm="1">
        <f t="array" ref="C630">_xlfn.IFS(B630&lt;=25,"15-25",B630&lt;=35,"26-35",B630&lt;=45,"36-45",B630&lt;=55,"46-55",B630&lt;=65,"56-65")</f>
        <v>15-25</v>
      </c>
      <c r="D630" t="s">
        <v>35</v>
      </c>
      <c r="E630" t="str">
        <f t="shared" si="18"/>
        <v>Current Employee</v>
      </c>
      <c r="F630" t="s">
        <v>36</v>
      </c>
      <c r="G630">
        <v>1230</v>
      </c>
      <c r="H630" t="s">
        <v>54</v>
      </c>
      <c r="I630">
        <v>1</v>
      </c>
      <c r="J630">
        <v>2</v>
      </c>
      <c r="K630" t="s">
        <v>38</v>
      </c>
      <c r="L630">
        <v>1</v>
      </c>
      <c r="M630">
        <v>4</v>
      </c>
      <c r="N630" t="s">
        <v>46</v>
      </c>
      <c r="O630">
        <v>33</v>
      </c>
      <c r="P630">
        <v>2</v>
      </c>
      <c r="Q630">
        <v>2</v>
      </c>
      <c r="R630" t="s">
        <v>51</v>
      </c>
      <c r="S630">
        <v>4</v>
      </c>
      <c r="T630" t="str" cm="1">
        <f t="array" ref="T630">_xlfn.IFS(S630&lt;=2,"Poor",S630&lt;=3,"Fair",S630&gt;=4,"Good")</f>
        <v>Good</v>
      </c>
      <c r="U630" t="s">
        <v>48</v>
      </c>
      <c r="V630" s="1">
        <v>4775</v>
      </c>
      <c r="W630" t="str" cm="1">
        <f t="array" ref="W630">_xlfn.IFS(V630&lt;=5000,"Low Salary",V630&lt;=12000,"Good Salary",V630&gt;12000,"High Salary")</f>
        <v>Low Salary</v>
      </c>
      <c r="X630">
        <v>19146</v>
      </c>
      <c r="Y630">
        <v>6</v>
      </c>
      <c r="Z630" t="s">
        <v>42</v>
      </c>
      <c r="AA630" t="s">
        <v>35</v>
      </c>
      <c r="AB630">
        <v>22</v>
      </c>
      <c r="AC630">
        <v>4</v>
      </c>
      <c r="AD630" t="str">
        <f t="shared" si="19"/>
        <v>High Performance</v>
      </c>
      <c r="AE630">
        <v>1</v>
      </c>
      <c r="AF630">
        <v>80</v>
      </c>
      <c r="AG630">
        <v>2</v>
      </c>
      <c r="AH630">
        <v>4</v>
      </c>
      <c r="AI630">
        <v>2</v>
      </c>
      <c r="AJ630">
        <v>1</v>
      </c>
      <c r="AK630" t="str" cm="1">
        <f t="array" ref="AK630">_xlfn.IFS(AJ630&lt;=2,"Poor",AJ630&lt;=3,"Fair",AJ630&gt;3,"Good")</f>
        <v>Poor</v>
      </c>
      <c r="AL630">
        <v>2</v>
      </c>
      <c r="AM630">
        <v>2</v>
      </c>
      <c r="AN630">
        <v>2</v>
      </c>
      <c r="AO630">
        <v>2</v>
      </c>
    </row>
    <row r="631" spans="1:41" x14ac:dyDescent="0.2">
      <c r="A631">
        <v>1147768</v>
      </c>
      <c r="B631">
        <v>44</v>
      </c>
      <c r="C631" t="str" cm="1">
        <f t="array" ref="C631">_xlfn.IFS(B631&lt;=25,"15-25",B631&lt;=35,"26-35",B631&lt;=45,"36-45",B631&lt;=55,"46-55",B631&lt;=65,"56-65")</f>
        <v>36-45</v>
      </c>
      <c r="D631" t="s">
        <v>35</v>
      </c>
      <c r="E631" t="str">
        <f t="shared" si="18"/>
        <v>Current Employee</v>
      </c>
      <c r="F631" t="s">
        <v>36</v>
      </c>
      <c r="G631">
        <v>986</v>
      </c>
      <c r="H631" t="s">
        <v>45</v>
      </c>
      <c r="I631">
        <v>8</v>
      </c>
      <c r="J631">
        <v>4</v>
      </c>
      <c r="K631" t="s">
        <v>38</v>
      </c>
      <c r="L631">
        <v>1</v>
      </c>
      <c r="M631">
        <v>1</v>
      </c>
      <c r="N631" t="s">
        <v>46</v>
      </c>
      <c r="O631">
        <v>62</v>
      </c>
      <c r="P631">
        <v>4</v>
      </c>
      <c r="Q631">
        <v>1</v>
      </c>
      <c r="R631" t="s">
        <v>40</v>
      </c>
      <c r="S631">
        <v>4</v>
      </c>
      <c r="T631" t="str" cm="1">
        <f t="array" ref="T631">_xlfn.IFS(S631&lt;=2,"Poor",S631&lt;=3,"Fair",S631&gt;=4,"Good")</f>
        <v>Good</v>
      </c>
      <c r="U631" t="s">
        <v>48</v>
      </c>
      <c r="V631" s="1">
        <v>2818</v>
      </c>
      <c r="W631" t="str" cm="1">
        <f t="array" ref="W631">_xlfn.IFS(V631&lt;=5000,"Low Salary",V631&lt;=12000,"Good Salary",V631&gt;12000,"High Salary")</f>
        <v>Low Salary</v>
      </c>
      <c r="X631">
        <v>5044</v>
      </c>
      <c r="Y631">
        <v>2</v>
      </c>
      <c r="Z631" t="s">
        <v>42</v>
      </c>
      <c r="AA631" t="s">
        <v>43</v>
      </c>
      <c r="AB631">
        <v>24</v>
      </c>
      <c r="AC631">
        <v>4</v>
      </c>
      <c r="AD631" t="str">
        <f t="shared" si="19"/>
        <v>High Performance</v>
      </c>
      <c r="AE631">
        <v>3</v>
      </c>
      <c r="AF631">
        <v>80</v>
      </c>
      <c r="AG631">
        <v>1</v>
      </c>
      <c r="AH631">
        <v>10</v>
      </c>
      <c r="AI631">
        <v>2</v>
      </c>
      <c r="AJ631">
        <v>2</v>
      </c>
      <c r="AK631" t="str" cm="1">
        <f t="array" ref="AK631">_xlfn.IFS(AJ631&lt;=2,"Poor",AJ631&lt;=3,"Fair",AJ631&gt;3,"Good")</f>
        <v>Poor</v>
      </c>
      <c r="AL631">
        <v>3</v>
      </c>
      <c r="AM631">
        <v>2</v>
      </c>
      <c r="AN631">
        <v>0</v>
      </c>
      <c r="AO631">
        <v>2</v>
      </c>
    </row>
    <row r="632" spans="1:41" x14ac:dyDescent="0.2">
      <c r="A632">
        <v>1341422</v>
      </c>
      <c r="B632">
        <v>42</v>
      </c>
      <c r="C632" t="str" cm="1">
        <f t="array" ref="C632">_xlfn.IFS(B632&lt;=25,"15-25",B632&lt;=35,"26-35",B632&lt;=45,"36-45",B632&lt;=55,"46-55",B632&lt;=65,"56-65")</f>
        <v>36-45</v>
      </c>
      <c r="D632" t="s">
        <v>35</v>
      </c>
      <c r="E632" t="str">
        <f t="shared" si="18"/>
        <v>Current Employee</v>
      </c>
      <c r="F632" t="s">
        <v>44</v>
      </c>
      <c r="G632">
        <v>1271</v>
      </c>
      <c r="H632" t="s">
        <v>45</v>
      </c>
      <c r="I632">
        <v>2</v>
      </c>
      <c r="J632">
        <v>1</v>
      </c>
      <c r="K632" t="s">
        <v>49</v>
      </c>
      <c r="L632">
        <v>1</v>
      </c>
      <c r="M632">
        <v>2</v>
      </c>
      <c r="N632" t="s">
        <v>46</v>
      </c>
      <c r="O632">
        <v>35</v>
      </c>
      <c r="P632">
        <v>3</v>
      </c>
      <c r="Q632">
        <v>1</v>
      </c>
      <c r="R632" t="s">
        <v>47</v>
      </c>
      <c r="S632">
        <v>4</v>
      </c>
      <c r="T632" t="str" cm="1">
        <f t="array" ref="T632">_xlfn.IFS(S632&lt;=2,"Poor",S632&lt;=3,"Fair",S632&gt;=4,"Good")</f>
        <v>Good</v>
      </c>
      <c r="U632" t="s">
        <v>41</v>
      </c>
      <c r="V632" s="1">
        <v>2515</v>
      </c>
      <c r="W632" t="str" cm="1">
        <f t="array" ref="W632">_xlfn.IFS(V632&lt;=5000,"Low Salary",V632&lt;=12000,"Good Salary",V632&gt;12000,"High Salary")</f>
        <v>Low Salary</v>
      </c>
      <c r="X632">
        <v>9068</v>
      </c>
      <c r="Y632">
        <v>5</v>
      </c>
      <c r="Z632" t="s">
        <v>42</v>
      </c>
      <c r="AA632" t="s">
        <v>43</v>
      </c>
      <c r="AB632">
        <v>14</v>
      </c>
      <c r="AC632">
        <v>3</v>
      </c>
      <c r="AD632" t="str">
        <f t="shared" si="19"/>
        <v>Low Performance</v>
      </c>
      <c r="AE632">
        <v>4</v>
      </c>
      <c r="AF632">
        <v>80</v>
      </c>
      <c r="AG632">
        <v>0</v>
      </c>
      <c r="AH632">
        <v>8</v>
      </c>
      <c r="AI632">
        <v>2</v>
      </c>
      <c r="AJ632">
        <v>3</v>
      </c>
      <c r="AK632" t="str" cm="1">
        <f t="array" ref="AK632">_xlfn.IFS(AJ632&lt;=2,"Poor",AJ632&lt;=3,"Fair",AJ632&gt;3,"Good")</f>
        <v>Fair</v>
      </c>
      <c r="AL632">
        <v>2</v>
      </c>
      <c r="AM632">
        <v>1</v>
      </c>
      <c r="AN632">
        <v>2</v>
      </c>
      <c r="AO632">
        <v>2</v>
      </c>
    </row>
    <row r="633" spans="1:41" x14ac:dyDescent="0.2">
      <c r="A633">
        <v>1524503</v>
      </c>
      <c r="B633">
        <v>36</v>
      </c>
      <c r="C633" t="str" cm="1">
        <f t="array" ref="C633">_xlfn.IFS(B633&lt;=25,"15-25",B633&lt;=35,"26-35",B633&lt;=45,"36-45",B633&lt;=55,"46-55",B633&lt;=65,"56-65")</f>
        <v>36-45</v>
      </c>
      <c r="D633" t="s">
        <v>35</v>
      </c>
      <c r="E633" t="str">
        <f t="shared" si="18"/>
        <v>Current Employee</v>
      </c>
      <c r="F633" t="s">
        <v>36</v>
      </c>
      <c r="G633">
        <v>1278</v>
      </c>
      <c r="H633" t="s">
        <v>54</v>
      </c>
      <c r="I633">
        <v>8</v>
      </c>
      <c r="J633">
        <v>3</v>
      </c>
      <c r="K633" t="s">
        <v>38</v>
      </c>
      <c r="L633">
        <v>1</v>
      </c>
      <c r="M633">
        <v>1</v>
      </c>
      <c r="N633" t="s">
        <v>46</v>
      </c>
      <c r="O633">
        <v>77</v>
      </c>
      <c r="P633">
        <v>2</v>
      </c>
      <c r="Q633">
        <v>1</v>
      </c>
      <c r="R633" t="s">
        <v>47</v>
      </c>
      <c r="S633">
        <v>1</v>
      </c>
      <c r="T633" t="str" cm="1">
        <f t="array" ref="T633">_xlfn.IFS(S633&lt;=2,"Poor",S633&lt;=3,"Fair",S633&gt;=4,"Good")</f>
        <v>Poor</v>
      </c>
      <c r="U633" t="s">
        <v>48</v>
      </c>
      <c r="V633" s="1">
        <v>2342</v>
      </c>
      <c r="W633" t="str" cm="1">
        <f t="array" ref="W633">_xlfn.IFS(V633&lt;=5000,"Low Salary",V633&lt;=12000,"Good Salary",V633&gt;12000,"High Salary")</f>
        <v>Low Salary</v>
      </c>
      <c r="X633">
        <v>8635</v>
      </c>
      <c r="Y633">
        <v>0</v>
      </c>
      <c r="Z633" t="s">
        <v>42</v>
      </c>
      <c r="AA633" t="s">
        <v>35</v>
      </c>
      <c r="AB633">
        <v>21</v>
      </c>
      <c r="AC633">
        <v>4</v>
      </c>
      <c r="AD633" t="str">
        <f t="shared" si="19"/>
        <v>High Performance</v>
      </c>
      <c r="AE633">
        <v>3</v>
      </c>
      <c r="AF633">
        <v>80</v>
      </c>
      <c r="AG633">
        <v>0</v>
      </c>
      <c r="AH633">
        <v>6</v>
      </c>
      <c r="AI633">
        <v>3</v>
      </c>
      <c r="AJ633">
        <v>3</v>
      </c>
      <c r="AK633" t="str" cm="1">
        <f t="array" ref="AK633">_xlfn.IFS(AJ633&lt;=2,"Poor",AJ633&lt;=3,"Fair",AJ633&gt;3,"Good")</f>
        <v>Fair</v>
      </c>
      <c r="AL633">
        <v>5</v>
      </c>
      <c r="AM633">
        <v>4</v>
      </c>
      <c r="AN633">
        <v>0</v>
      </c>
      <c r="AO633">
        <v>3</v>
      </c>
    </row>
    <row r="634" spans="1:41" x14ac:dyDescent="0.2">
      <c r="A634">
        <v>1643524</v>
      </c>
      <c r="B634">
        <v>25</v>
      </c>
      <c r="C634" t="str" cm="1">
        <f t="array" ref="C634">_xlfn.IFS(B634&lt;=25,"15-25",B634&lt;=35,"26-35",B634&lt;=45,"36-45",B634&lt;=55,"46-55",B634&lt;=65,"56-65")</f>
        <v>15-25</v>
      </c>
      <c r="D634" t="s">
        <v>35</v>
      </c>
      <c r="E634" t="str">
        <f t="shared" si="18"/>
        <v>Current Employee</v>
      </c>
      <c r="F634" t="s">
        <v>36</v>
      </c>
      <c r="G634">
        <v>141</v>
      </c>
      <c r="H634" t="s">
        <v>37</v>
      </c>
      <c r="I634">
        <v>3</v>
      </c>
      <c r="J634">
        <v>1</v>
      </c>
      <c r="K634" t="s">
        <v>47</v>
      </c>
      <c r="L634">
        <v>1</v>
      </c>
      <c r="M634">
        <v>3</v>
      </c>
      <c r="N634" t="s">
        <v>46</v>
      </c>
      <c r="O634">
        <v>98</v>
      </c>
      <c r="P634">
        <v>3</v>
      </c>
      <c r="Q634">
        <v>2</v>
      </c>
      <c r="R634" t="s">
        <v>40</v>
      </c>
      <c r="S634">
        <v>1</v>
      </c>
      <c r="T634" t="str" cm="1">
        <f t="array" ref="T634">_xlfn.IFS(S634&lt;=2,"Poor",S634&lt;=3,"Fair",S634&gt;=4,"Good")</f>
        <v>Poor</v>
      </c>
      <c r="U634" t="s">
        <v>48</v>
      </c>
      <c r="V634" s="1">
        <v>4194</v>
      </c>
      <c r="W634" t="str" cm="1">
        <f t="array" ref="W634">_xlfn.IFS(V634&lt;=5000,"Low Salary",V634&lt;=12000,"Good Salary",V634&gt;12000,"High Salary")</f>
        <v>Low Salary</v>
      </c>
      <c r="X634">
        <v>14363</v>
      </c>
      <c r="Y634">
        <v>1</v>
      </c>
      <c r="Z634" t="s">
        <v>42</v>
      </c>
      <c r="AA634" t="s">
        <v>43</v>
      </c>
      <c r="AB634">
        <v>18</v>
      </c>
      <c r="AC634">
        <v>3</v>
      </c>
      <c r="AD634" t="str">
        <f t="shared" si="19"/>
        <v>Low Performance</v>
      </c>
      <c r="AE634">
        <v>4</v>
      </c>
      <c r="AF634">
        <v>80</v>
      </c>
      <c r="AG634">
        <v>0</v>
      </c>
      <c r="AH634">
        <v>5</v>
      </c>
      <c r="AI634">
        <v>3</v>
      </c>
      <c r="AJ634">
        <v>3</v>
      </c>
      <c r="AK634" t="str" cm="1">
        <f t="array" ref="AK634">_xlfn.IFS(AJ634&lt;=2,"Poor",AJ634&lt;=3,"Fair",AJ634&gt;3,"Good")</f>
        <v>Fair</v>
      </c>
      <c r="AL634">
        <v>5</v>
      </c>
      <c r="AM634">
        <v>3</v>
      </c>
      <c r="AN634">
        <v>0</v>
      </c>
      <c r="AO634">
        <v>3</v>
      </c>
    </row>
    <row r="635" spans="1:41" x14ac:dyDescent="0.2">
      <c r="A635">
        <v>1330630</v>
      </c>
      <c r="B635">
        <v>35</v>
      </c>
      <c r="C635" t="str" cm="1">
        <f t="array" ref="C635">_xlfn.IFS(B635&lt;=25,"15-25",B635&lt;=35,"26-35",B635&lt;=45,"36-45",B635&lt;=55,"46-55",B635&lt;=65,"56-65")</f>
        <v>26-35</v>
      </c>
      <c r="D635" t="s">
        <v>35</v>
      </c>
      <c r="E635" t="str">
        <f t="shared" si="18"/>
        <v>Current Employee</v>
      </c>
      <c r="F635" t="s">
        <v>36</v>
      </c>
      <c r="G635">
        <v>607</v>
      </c>
      <c r="H635" t="s">
        <v>45</v>
      </c>
      <c r="I635">
        <v>9</v>
      </c>
      <c r="J635">
        <v>3</v>
      </c>
      <c r="K635" t="s">
        <v>38</v>
      </c>
      <c r="L635">
        <v>1</v>
      </c>
      <c r="M635">
        <v>4</v>
      </c>
      <c r="N635" t="s">
        <v>39</v>
      </c>
      <c r="O635">
        <v>66</v>
      </c>
      <c r="P635">
        <v>2</v>
      </c>
      <c r="Q635">
        <v>3</v>
      </c>
      <c r="R635" t="s">
        <v>51</v>
      </c>
      <c r="S635">
        <v>3</v>
      </c>
      <c r="T635" t="str" cm="1">
        <f t="array" ref="T635">_xlfn.IFS(S635&lt;=2,"Poor",S635&lt;=3,"Fair",S635&gt;=4,"Good")</f>
        <v>Fair</v>
      </c>
      <c r="U635" t="s">
        <v>48</v>
      </c>
      <c r="V635" s="1">
        <v>10685</v>
      </c>
      <c r="W635" t="str" cm="1">
        <f t="array" ref="W635">_xlfn.IFS(V635&lt;=5000,"Low Salary",V635&lt;=12000,"Good Salary",V635&gt;12000,"High Salary")</f>
        <v>Good Salary</v>
      </c>
      <c r="X635">
        <v>23457</v>
      </c>
      <c r="Y635">
        <v>1</v>
      </c>
      <c r="Z635" t="s">
        <v>42</v>
      </c>
      <c r="AA635" t="s">
        <v>43</v>
      </c>
      <c r="AB635">
        <v>20</v>
      </c>
      <c r="AC635">
        <v>4</v>
      </c>
      <c r="AD635" t="str">
        <f t="shared" si="19"/>
        <v>High Performance</v>
      </c>
      <c r="AE635">
        <v>2</v>
      </c>
      <c r="AF635">
        <v>80</v>
      </c>
      <c r="AG635">
        <v>1</v>
      </c>
      <c r="AH635">
        <v>17</v>
      </c>
      <c r="AI635">
        <v>2</v>
      </c>
      <c r="AJ635">
        <v>3</v>
      </c>
      <c r="AK635" t="str" cm="1">
        <f t="array" ref="AK635">_xlfn.IFS(AJ635&lt;=2,"Poor",AJ635&lt;=3,"Fair",AJ635&gt;3,"Good")</f>
        <v>Fair</v>
      </c>
      <c r="AL635">
        <v>17</v>
      </c>
      <c r="AM635">
        <v>14</v>
      </c>
      <c r="AN635">
        <v>5</v>
      </c>
      <c r="AO635">
        <v>15</v>
      </c>
    </row>
    <row r="636" spans="1:41" x14ac:dyDescent="0.2">
      <c r="A636">
        <v>1050771</v>
      </c>
      <c r="B636">
        <v>35</v>
      </c>
      <c r="C636" t="str" cm="1">
        <f t="array" ref="C636">_xlfn.IFS(B636&lt;=25,"15-25",B636&lt;=35,"26-35",B636&lt;=45,"36-45",B636&lt;=55,"46-55",B636&lt;=65,"56-65")</f>
        <v>26-35</v>
      </c>
      <c r="D636" t="s">
        <v>43</v>
      </c>
      <c r="E636" t="str">
        <f t="shared" si="18"/>
        <v>Former Employee</v>
      </c>
      <c r="F636" t="s">
        <v>44</v>
      </c>
      <c r="G636">
        <v>130</v>
      </c>
      <c r="H636" t="s">
        <v>45</v>
      </c>
      <c r="I636">
        <v>25</v>
      </c>
      <c r="J636">
        <v>4</v>
      </c>
      <c r="K636" t="s">
        <v>38</v>
      </c>
      <c r="L636">
        <v>1</v>
      </c>
      <c r="M636">
        <v>4</v>
      </c>
      <c r="N636" t="s">
        <v>39</v>
      </c>
      <c r="O636">
        <v>96</v>
      </c>
      <c r="P636">
        <v>3</v>
      </c>
      <c r="Q636">
        <v>1</v>
      </c>
      <c r="R636" t="s">
        <v>47</v>
      </c>
      <c r="S636">
        <v>2</v>
      </c>
      <c r="T636" t="str" cm="1">
        <f t="array" ref="T636">_xlfn.IFS(S636&lt;=2,"Poor",S636&lt;=3,"Fair",S636&gt;=4,"Good")</f>
        <v>Poor</v>
      </c>
      <c r="U636" t="s">
        <v>50</v>
      </c>
      <c r="V636" s="1">
        <v>2022</v>
      </c>
      <c r="W636" t="str" cm="1">
        <f t="array" ref="W636">_xlfn.IFS(V636&lt;=5000,"Low Salary",V636&lt;=12000,"Good Salary",V636&gt;12000,"High Salary")</f>
        <v>Low Salary</v>
      </c>
      <c r="X636">
        <v>16612</v>
      </c>
      <c r="Y636">
        <v>1</v>
      </c>
      <c r="Z636" t="s">
        <v>42</v>
      </c>
      <c r="AA636" t="s">
        <v>43</v>
      </c>
      <c r="AB636">
        <v>19</v>
      </c>
      <c r="AC636">
        <v>3</v>
      </c>
      <c r="AD636" t="str">
        <f t="shared" si="19"/>
        <v>Low Performance</v>
      </c>
      <c r="AE636">
        <v>1</v>
      </c>
      <c r="AF636">
        <v>80</v>
      </c>
      <c r="AG636">
        <v>1</v>
      </c>
      <c r="AH636">
        <v>10</v>
      </c>
      <c r="AI636">
        <v>3</v>
      </c>
      <c r="AJ636">
        <v>2</v>
      </c>
      <c r="AK636" t="str" cm="1">
        <f t="array" ref="AK636">_xlfn.IFS(AJ636&lt;=2,"Poor",AJ636&lt;=3,"Fair",AJ636&gt;3,"Good")</f>
        <v>Poor</v>
      </c>
      <c r="AL636">
        <v>10</v>
      </c>
      <c r="AM636">
        <v>2</v>
      </c>
      <c r="AN636">
        <v>7</v>
      </c>
      <c r="AO636">
        <v>8</v>
      </c>
    </row>
    <row r="637" spans="1:41" x14ac:dyDescent="0.2">
      <c r="A637">
        <v>1864456</v>
      </c>
      <c r="B637">
        <v>32</v>
      </c>
      <c r="C637" t="str" cm="1">
        <f t="array" ref="C637">_xlfn.IFS(B637&lt;=25,"15-25",B637&lt;=35,"26-35",B637&lt;=45,"36-45",B637&lt;=55,"46-55",B637&lt;=65,"56-65")</f>
        <v>26-35</v>
      </c>
      <c r="D637" t="s">
        <v>35</v>
      </c>
      <c r="E637" t="str">
        <f t="shared" si="18"/>
        <v>Current Employee</v>
      </c>
      <c r="F637" t="s">
        <v>52</v>
      </c>
      <c r="G637">
        <v>300</v>
      </c>
      <c r="H637" t="s">
        <v>45</v>
      </c>
      <c r="I637">
        <v>1</v>
      </c>
      <c r="J637">
        <v>3</v>
      </c>
      <c r="K637" t="s">
        <v>38</v>
      </c>
      <c r="L637">
        <v>1</v>
      </c>
      <c r="M637">
        <v>4</v>
      </c>
      <c r="N637" t="s">
        <v>46</v>
      </c>
      <c r="O637">
        <v>61</v>
      </c>
      <c r="P637">
        <v>3</v>
      </c>
      <c r="Q637">
        <v>1</v>
      </c>
      <c r="R637" t="s">
        <v>40</v>
      </c>
      <c r="S637">
        <v>4</v>
      </c>
      <c r="T637" t="str" cm="1">
        <f t="array" ref="T637">_xlfn.IFS(S637&lt;=2,"Poor",S637&lt;=3,"Fair",S637&gt;=4,"Good")</f>
        <v>Good</v>
      </c>
      <c r="U637" t="s">
        <v>50</v>
      </c>
      <c r="V637" s="1">
        <v>2314</v>
      </c>
      <c r="W637" t="str" cm="1">
        <f t="array" ref="W637">_xlfn.IFS(V637&lt;=5000,"Low Salary",V637&lt;=12000,"Good Salary",V637&gt;12000,"High Salary")</f>
        <v>Low Salary</v>
      </c>
      <c r="X637">
        <v>9148</v>
      </c>
      <c r="Y637">
        <v>0</v>
      </c>
      <c r="Z637" t="s">
        <v>42</v>
      </c>
      <c r="AA637" t="s">
        <v>35</v>
      </c>
      <c r="AB637">
        <v>12</v>
      </c>
      <c r="AC637">
        <v>3</v>
      </c>
      <c r="AD637" t="str">
        <f t="shared" si="19"/>
        <v>Low Performance</v>
      </c>
      <c r="AE637">
        <v>2</v>
      </c>
      <c r="AF637">
        <v>80</v>
      </c>
      <c r="AG637">
        <v>1</v>
      </c>
      <c r="AH637">
        <v>4</v>
      </c>
      <c r="AI637">
        <v>2</v>
      </c>
      <c r="AJ637">
        <v>3</v>
      </c>
      <c r="AK637" t="str" cm="1">
        <f t="array" ref="AK637">_xlfn.IFS(AJ637&lt;=2,"Poor",AJ637&lt;=3,"Fair",AJ637&gt;3,"Good")</f>
        <v>Fair</v>
      </c>
      <c r="AL637">
        <v>3</v>
      </c>
      <c r="AM637">
        <v>0</v>
      </c>
      <c r="AN637">
        <v>0</v>
      </c>
      <c r="AO637">
        <v>2</v>
      </c>
    </row>
    <row r="638" spans="1:41" x14ac:dyDescent="0.2">
      <c r="A638">
        <v>1252375</v>
      </c>
      <c r="B638">
        <v>25</v>
      </c>
      <c r="C638" t="str" cm="1">
        <f t="array" ref="C638">_xlfn.IFS(B638&lt;=25,"15-25",B638&lt;=35,"26-35",B638&lt;=45,"36-45",B638&lt;=55,"46-55",B638&lt;=65,"56-65")</f>
        <v>15-25</v>
      </c>
      <c r="D638" t="s">
        <v>35</v>
      </c>
      <c r="E638" t="str">
        <f t="shared" si="18"/>
        <v>Current Employee</v>
      </c>
      <c r="F638" t="s">
        <v>36</v>
      </c>
      <c r="G638">
        <v>583</v>
      </c>
      <c r="H638" t="s">
        <v>37</v>
      </c>
      <c r="I638">
        <v>4</v>
      </c>
      <c r="J638">
        <v>1</v>
      </c>
      <c r="K638" t="s">
        <v>55</v>
      </c>
      <c r="L638">
        <v>1</v>
      </c>
      <c r="M638">
        <v>3</v>
      </c>
      <c r="N638" t="s">
        <v>46</v>
      </c>
      <c r="O638">
        <v>87</v>
      </c>
      <c r="P638">
        <v>2</v>
      </c>
      <c r="Q638">
        <v>2</v>
      </c>
      <c r="R638" t="s">
        <v>40</v>
      </c>
      <c r="S638">
        <v>1</v>
      </c>
      <c r="T638" t="str" cm="1">
        <f t="array" ref="T638">_xlfn.IFS(S638&lt;=2,"Poor",S638&lt;=3,"Fair",S638&gt;=4,"Good")</f>
        <v>Poor</v>
      </c>
      <c r="U638" t="s">
        <v>48</v>
      </c>
      <c r="V638" s="1">
        <v>4256</v>
      </c>
      <c r="W638" t="str" cm="1">
        <f t="array" ref="W638">_xlfn.IFS(V638&lt;=5000,"Low Salary",V638&lt;=12000,"Good Salary",V638&gt;12000,"High Salary")</f>
        <v>Low Salary</v>
      </c>
      <c r="X638">
        <v>18154</v>
      </c>
      <c r="Y638">
        <v>1</v>
      </c>
      <c r="Z638" t="s">
        <v>42</v>
      </c>
      <c r="AA638" t="s">
        <v>35</v>
      </c>
      <c r="AB638">
        <v>12</v>
      </c>
      <c r="AC638">
        <v>3</v>
      </c>
      <c r="AD638" t="str">
        <f t="shared" si="19"/>
        <v>Low Performance</v>
      </c>
      <c r="AE638">
        <v>1</v>
      </c>
      <c r="AF638">
        <v>80</v>
      </c>
      <c r="AG638">
        <v>0</v>
      </c>
      <c r="AH638">
        <v>5</v>
      </c>
      <c r="AI638">
        <v>1</v>
      </c>
      <c r="AJ638">
        <v>4</v>
      </c>
      <c r="AK638" t="str" cm="1">
        <f t="array" ref="AK638">_xlfn.IFS(AJ638&lt;=2,"Poor",AJ638&lt;=3,"Fair",AJ638&gt;3,"Good")</f>
        <v>Good</v>
      </c>
      <c r="AL638">
        <v>5</v>
      </c>
      <c r="AM638">
        <v>2</v>
      </c>
      <c r="AN638">
        <v>0</v>
      </c>
      <c r="AO638">
        <v>3</v>
      </c>
    </row>
    <row r="639" spans="1:41" x14ac:dyDescent="0.2">
      <c r="A639">
        <v>1127921</v>
      </c>
      <c r="B639">
        <v>49</v>
      </c>
      <c r="C639" t="str" cm="1">
        <f t="array" ref="C639">_xlfn.IFS(B639&lt;=25,"15-25",B639&lt;=35,"26-35",B639&lt;=45,"36-45",B639&lt;=55,"46-55",B639&lt;=65,"56-65")</f>
        <v>46-55</v>
      </c>
      <c r="D639" t="s">
        <v>35</v>
      </c>
      <c r="E639" t="str">
        <f t="shared" si="18"/>
        <v>Current Employee</v>
      </c>
      <c r="F639" t="s">
        <v>36</v>
      </c>
      <c r="G639">
        <v>1418</v>
      </c>
      <c r="H639" t="s">
        <v>45</v>
      </c>
      <c r="I639">
        <v>1</v>
      </c>
      <c r="J639">
        <v>3</v>
      </c>
      <c r="K639" t="s">
        <v>56</v>
      </c>
      <c r="L639">
        <v>1</v>
      </c>
      <c r="M639">
        <v>3</v>
      </c>
      <c r="N639" t="s">
        <v>39</v>
      </c>
      <c r="O639">
        <v>36</v>
      </c>
      <c r="P639">
        <v>3</v>
      </c>
      <c r="Q639">
        <v>1</v>
      </c>
      <c r="R639" t="s">
        <v>47</v>
      </c>
      <c r="S639">
        <v>1</v>
      </c>
      <c r="T639" t="str" cm="1">
        <f t="array" ref="T639">_xlfn.IFS(S639&lt;=2,"Poor",S639&lt;=3,"Fair",S639&gt;=4,"Good")</f>
        <v>Poor</v>
      </c>
      <c r="U639" t="s">
        <v>48</v>
      </c>
      <c r="V639" s="1">
        <v>3580</v>
      </c>
      <c r="W639" t="str" cm="1">
        <f t="array" ref="W639">_xlfn.IFS(V639&lt;=5000,"Low Salary",V639&lt;=12000,"Good Salary",V639&gt;12000,"High Salary")</f>
        <v>Low Salary</v>
      </c>
      <c r="X639">
        <v>10554</v>
      </c>
      <c r="Y639">
        <v>2</v>
      </c>
      <c r="Z639" t="s">
        <v>42</v>
      </c>
      <c r="AA639" t="s">
        <v>35</v>
      </c>
      <c r="AB639">
        <v>16</v>
      </c>
      <c r="AC639">
        <v>3</v>
      </c>
      <c r="AD639" t="str">
        <f t="shared" si="19"/>
        <v>Low Performance</v>
      </c>
      <c r="AE639">
        <v>2</v>
      </c>
      <c r="AF639">
        <v>80</v>
      </c>
      <c r="AG639">
        <v>1</v>
      </c>
      <c r="AH639">
        <v>7</v>
      </c>
      <c r="AI639">
        <v>2</v>
      </c>
      <c r="AJ639">
        <v>3</v>
      </c>
      <c r="AK639" t="str" cm="1">
        <f t="array" ref="AK639">_xlfn.IFS(AJ639&lt;=2,"Poor",AJ639&lt;=3,"Fair",AJ639&gt;3,"Good")</f>
        <v>Fair</v>
      </c>
      <c r="AL639">
        <v>4</v>
      </c>
      <c r="AM639">
        <v>2</v>
      </c>
      <c r="AN639">
        <v>0</v>
      </c>
      <c r="AO639">
        <v>2</v>
      </c>
    </row>
    <row r="640" spans="1:41" x14ac:dyDescent="0.2">
      <c r="A640">
        <v>1122784</v>
      </c>
      <c r="B640">
        <v>24</v>
      </c>
      <c r="C640" t="str" cm="1">
        <f t="array" ref="C640">_xlfn.IFS(B640&lt;=25,"15-25",B640&lt;=35,"26-35",B640&lt;=45,"36-45",B640&lt;=55,"46-55",B640&lt;=65,"56-65")</f>
        <v>15-25</v>
      </c>
      <c r="D640" t="s">
        <v>35</v>
      </c>
      <c r="E640" t="str">
        <f t="shared" si="18"/>
        <v>Current Employee</v>
      </c>
      <c r="F640" t="s">
        <v>52</v>
      </c>
      <c r="G640">
        <v>1269</v>
      </c>
      <c r="H640" t="s">
        <v>45</v>
      </c>
      <c r="I640">
        <v>4</v>
      </c>
      <c r="J640">
        <v>1</v>
      </c>
      <c r="K640" t="s">
        <v>38</v>
      </c>
      <c r="L640">
        <v>1</v>
      </c>
      <c r="M640">
        <v>1</v>
      </c>
      <c r="N640" t="s">
        <v>46</v>
      </c>
      <c r="O640">
        <v>46</v>
      </c>
      <c r="P640">
        <v>2</v>
      </c>
      <c r="Q640">
        <v>1</v>
      </c>
      <c r="R640" t="s">
        <v>40</v>
      </c>
      <c r="S640">
        <v>4</v>
      </c>
      <c r="T640" t="str" cm="1">
        <f t="array" ref="T640">_xlfn.IFS(S640&lt;=2,"Poor",S640&lt;=3,"Fair",S640&gt;=4,"Good")</f>
        <v>Good</v>
      </c>
      <c r="U640" t="s">
        <v>48</v>
      </c>
      <c r="V640" s="1">
        <v>3162</v>
      </c>
      <c r="W640" t="str" cm="1">
        <f t="array" ref="W640">_xlfn.IFS(V640&lt;=5000,"Low Salary",V640&lt;=12000,"Good Salary",V640&gt;12000,"High Salary")</f>
        <v>Low Salary</v>
      </c>
      <c r="X640">
        <v>10778</v>
      </c>
      <c r="Y640">
        <v>0</v>
      </c>
      <c r="Z640" t="s">
        <v>42</v>
      </c>
      <c r="AA640" t="s">
        <v>35</v>
      </c>
      <c r="AB640">
        <v>17</v>
      </c>
      <c r="AC640">
        <v>3</v>
      </c>
      <c r="AD640" t="str">
        <f t="shared" si="19"/>
        <v>Low Performance</v>
      </c>
      <c r="AE640">
        <v>4</v>
      </c>
      <c r="AF640">
        <v>80</v>
      </c>
      <c r="AG640">
        <v>0</v>
      </c>
      <c r="AH640">
        <v>6</v>
      </c>
      <c r="AI640">
        <v>2</v>
      </c>
      <c r="AJ640">
        <v>2</v>
      </c>
      <c r="AK640" t="str" cm="1">
        <f t="array" ref="AK640">_xlfn.IFS(AJ640&lt;=2,"Poor",AJ640&lt;=3,"Fair",AJ640&gt;3,"Good")</f>
        <v>Poor</v>
      </c>
      <c r="AL640">
        <v>5</v>
      </c>
      <c r="AM640">
        <v>2</v>
      </c>
      <c r="AN640">
        <v>3</v>
      </c>
      <c r="AO640">
        <v>4</v>
      </c>
    </row>
    <row r="641" spans="1:41" x14ac:dyDescent="0.2">
      <c r="A641">
        <v>1767740</v>
      </c>
      <c r="B641">
        <v>32</v>
      </c>
      <c r="C641" t="str" cm="1">
        <f t="array" ref="C641">_xlfn.IFS(B641&lt;=25,"15-25",B641&lt;=35,"26-35",B641&lt;=45,"36-45",B641&lt;=55,"46-55",B641&lt;=65,"56-65")</f>
        <v>26-35</v>
      </c>
      <c r="D641" t="s">
        <v>35</v>
      </c>
      <c r="E641" t="str">
        <f t="shared" si="18"/>
        <v>Current Employee</v>
      </c>
      <c r="F641" t="s">
        <v>44</v>
      </c>
      <c r="G641">
        <v>379</v>
      </c>
      <c r="H641" t="s">
        <v>37</v>
      </c>
      <c r="I641">
        <v>5</v>
      </c>
      <c r="J641">
        <v>2</v>
      </c>
      <c r="K641" t="s">
        <v>38</v>
      </c>
      <c r="L641">
        <v>1</v>
      </c>
      <c r="M641">
        <v>2</v>
      </c>
      <c r="N641" t="s">
        <v>46</v>
      </c>
      <c r="O641">
        <v>48</v>
      </c>
      <c r="P641">
        <v>3</v>
      </c>
      <c r="Q641">
        <v>2</v>
      </c>
      <c r="R641" t="s">
        <v>40</v>
      </c>
      <c r="S641">
        <v>2</v>
      </c>
      <c r="T641" t="str" cm="1">
        <f t="array" ref="T641">_xlfn.IFS(S641&lt;=2,"Poor",S641&lt;=3,"Fair",S641&gt;=4,"Good")</f>
        <v>Poor</v>
      </c>
      <c r="U641" t="s">
        <v>48</v>
      </c>
      <c r="V641" s="1">
        <v>6524</v>
      </c>
      <c r="W641" t="str" cm="1">
        <f t="array" ref="W641">_xlfn.IFS(V641&lt;=5000,"Low Salary",V641&lt;=12000,"Good Salary",V641&gt;12000,"High Salary")</f>
        <v>Good Salary</v>
      </c>
      <c r="X641">
        <v>8891</v>
      </c>
      <c r="Y641">
        <v>1</v>
      </c>
      <c r="Z641" t="s">
        <v>42</v>
      </c>
      <c r="AA641" t="s">
        <v>35</v>
      </c>
      <c r="AB641">
        <v>14</v>
      </c>
      <c r="AC641">
        <v>3</v>
      </c>
      <c r="AD641" t="str">
        <f t="shared" si="19"/>
        <v>Low Performance</v>
      </c>
      <c r="AE641">
        <v>4</v>
      </c>
      <c r="AF641">
        <v>80</v>
      </c>
      <c r="AG641">
        <v>1</v>
      </c>
      <c r="AH641">
        <v>10</v>
      </c>
      <c r="AI641">
        <v>3</v>
      </c>
      <c r="AJ641">
        <v>3</v>
      </c>
      <c r="AK641" t="str" cm="1">
        <f t="array" ref="AK641">_xlfn.IFS(AJ641&lt;=2,"Poor",AJ641&lt;=3,"Fair",AJ641&gt;3,"Good")</f>
        <v>Fair</v>
      </c>
      <c r="AL641">
        <v>10</v>
      </c>
      <c r="AM641">
        <v>8</v>
      </c>
      <c r="AN641">
        <v>5</v>
      </c>
      <c r="AO641">
        <v>3</v>
      </c>
    </row>
    <row r="642" spans="1:41" x14ac:dyDescent="0.2">
      <c r="A642">
        <v>1740909</v>
      </c>
      <c r="B642">
        <v>38</v>
      </c>
      <c r="C642" t="str" cm="1">
        <f t="array" ref="C642">_xlfn.IFS(B642&lt;=25,"15-25",B642&lt;=35,"26-35",B642&lt;=45,"36-45",B642&lt;=55,"46-55",B642&lt;=65,"56-65")</f>
        <v>36-45</v>
      </c>
      <c r="D642" t="s">
        <v>35</v>
      </c>
      <c r="E642" t="str">
        <f t="shared" si="18"/>
        <v>Current Employee</v>
      </c>
      <c r="F642" t="s">
        <v>36</v>
      </c>
      <c r="G642">
        <v>395</v>
      </c>
      <c r="H642" t="s">
        <v>37</v>
      </c>
      <c r="I642">
        <v>9</v>
      </c>
      <c r="J642">
        <v>3</v>
      </c>
      <c r="K642" t="s">
        <v>55</v>
      </c>
      <c r="L642">
        <v>1</v>
      </c>
      <c r="M642">
        <v>2</v>
      </c>
      <c r="N642" t="s">
        <v>46</v>
      </c>
      <c r="O642">
        <v>98</v>
      </c>
      <c r="P642">
        <v>2</v>
      </c>
      <c r="Q642">
        <v>1</v>
      </c>
      <c r="R642" t="s">
        <v>47</v>
      </c>
      <c r="S642">
        <v>2</v>
      </c>
      <c r="T642" t="str" cm="1">
        <f t="array" ref="T642">_xlfn.IFS(S642&lt;=2,"Poor",S642&lt;=3,"Fair",S642&gt;=4,"Good")</f>
        <v>Poor</v>
      </c>
      <c r="U642" t="s">
        <v>48</v>
      </c>
      <c r="V642" s="1">
        <v>2899</v>
      </c>
      <c r="W642" t="str" cm="1">
        <f t="array" ref="W642">_xlfn.IFS(V642&lt;=5000,"Low Salary",V642&lt;=12000,"Good Salary",V642&gt;12000,"High Salary")</f>
        <v>Low Salary</v>
      </c>
      <c r="X642">
        <v>12102</v>
      </c>
      <c r="Y642">
        <v>0</v>
      </c>
      <c r="Z642" t="s">
        <v>42</v>
      </c>
      <c r="AA642" t="s">
        <v>35</v>
      </c>
      <c r="AB642">
        <v>19</v>
      </c>
      <c r="AC642">
        <v>3</v>
      </c>
      <c r="AD642" t="str">
        <f t="shared" si="19"/>
        <v>Low Performance</v>
      </c>
      <c r="AE642">
        <v>4</v>
      </c>
      <c r="AF642">
        <v>80</v>
      </c>
      <c r="AG642">
        <v>1</v>
      </c>
      <c r="AH642">
        <v>3</v>
      </c>
      <c r="AI642">
        <v>3</v>
      </c>
      <c r="AJ642">
        <v>3</v>
      </c>
      <c r="AK642" t="str" cm="1">
        <f t="array" ref="AK642">_xlfn.IFS(AJ642&lt;=2,"Poor",AJ642&lt;=3,"Fair",AJ642&gt;3,"Good")</f>
        <v>Fair</v>
      </c>
      <c r="AL642">
        <v>2</v>
      </c>
      <c r="AM642">
        <v>2</v>
      </c>
      <c r="AN642">
        <v>1</v>
      </c>
      <c r="AO642">
        <v>2</v>
      </c>
    </row>
    <row r="643" spans="1:41" x14ac:dyDescent="0.2">
      <c r="A643">
        <v>1395500</v>
      </c>
      <c r="B643">
        <v>42</v>
      </c>
      <c r="C643" t="str" cm="1">
        <f t="array" ref="C643">_xlfn.IFS(B643&lt;=25,"15-25",B643&lt;=35,"26-35",B643&lt;=45,"36-45",B643&lt;=55,"46-55",B643&lt;=65,"56-65")</f>
        <v>36-45</v>
      </c>
      <c r="D643" t="s">
        <v>35</v>
      </c>
      <c r="E643" t="str">
        <f t="shared" ref="E643:E706" si="20">IF(D643="No","Current Employee","Former Employee")</f>
        <v>Current Employee</v>
      </c>
      <c r="F643" t="s">
        <v>36</v>
      </c>
      <c r="G643">
        <v>1265</v>
      </c>
      <c r="H643" t="s">
        <v>45</v>
      </c>
      <c r="I643">
        <v>3</v>
      </c>
      <c r="J643">
        <v>3</v>
      </c>
      <c r="K643" t="s">
        <v>38</v>
      </c>
      <c r="L643">
        <v>1</v>
      </c>
      <c r="M643">
        <v>3</v>
      </c>
      <c r="N643" t="s">
        <v>39</v>
      </c>
      <c r="O643">
        <v>95</v>
      </c>
      <c r="P643">
        <v>4</v>
      </c>
      <c r="Q643">
        <v>2</v>
      </c>
      <c r="R643" t="s">
        <v>40</v>
      </c>
      <c r="S643">
        <v>4</v>
      </c>
      <c r="T643" t="str" cm="1">
        <f t="array" ref="T643">_xlfn.IFS(S643&lt;=2,"Poor",S643&lt;=3,"Fair",S643&gt;=4,"Good")</f>
        <v>Good</v>
      </c>
      <c r="U643" t="s">
        <v>48</v>
      </c>
      <c r="V643" s="1">
        <v>5231</v>
      </c>
      <c r="W643" t="str" cm="1">
        <f t="array" ref="W643">_xlfn.IFS(V643&lt;=5000,"Low Salary",V643&lt;=12000,"Good Salary",V643&gt;12000,"High Salary")</f>
        <v>Good Salary</v>
      </c>
      <c r="X643">
        <v>23726</v>
      </c>
      <c r="Y643">
        <v>2</v>
      </c>
      <c r="Z643" t="s">
        <v>42</v>
      </c>
      <c r="AA643" t="s">
        <v>43</v>
      </c>
      <c r="AB643">
        <v>13</v>
      </c>
      <c r="AC643">
        <v>3</v>
      </c>
      <c r="AD643" t="str">
        <f t="shared" ref="AD643:AD706" si="21">IF(AC643&lt;=3,"Low Performance","High Performance")</f>
        <v>Low Performance</v>
      </c>
      <c r="AE643">
        <v>2</v>
      </c>
      <c r="AF643">
        <v>80</v>
      </c>
      <c r="AG643">
        <v>1</v>
      </c>
      <c r="AH643">
        <v>17</v>
      </c>
      <c r="AI643">
        <v>1</v>
      </c>
      <c r="AJ643">
        <v>2</v>
      </c>
      <c r="AK643" t="str" cm="1">
        <f t="array" ref="AK643">_xlfn.IFS(AJ643&lt;=2,"Poor",AJ643&lt;=3,"Fair",AJ643&gt;3,"Good")</f>
        <v>Poor</v>
      </c>
      <c r="AL643">
        <v>5</v>
      </c>
      <c r="AM643">
        <v>3</v>
      </c>
      <c r="AN643">
        <v>1</v>
      </c>
      <c r="AO643">
        <v>3</v>
      </c>
    </row>
    <row r="644" spans="1:41" x14ac:dyDescent="0.2">
      <c r="A644">
        <v>1253827</v>
      </c>
      <c r="B644">
        <v>31</v>
      </c>
      <c r="C644" t="str" cm="1">
        <f t="array" ref="C644">_xlfn.IFS(B644&lt;=25,"15-25",B644&lt;=35,"26-35",B644&lt;=45,"36-45",B644&lt;=55,"46-55",B644&lt;=65,"56-65")</f>
        <v>26-35</v>
      </c>
      <c r="D644" t="s">
        <v>35</v>
      </c>
      <c r="E644" t="str">
        <f t="shared" si="20"/>
        <v>Current Employee</v>
      </c>
      <c r="F644" t="s">
        <v>36</v>
      </c>
      <c r="G644">
        <v>1222</v>
      </c>
      <c r="H644" t="s">
        <v>45</v>
      </c>
      <c r="I644">
        <v>11</v>
      </c>
      <c r="J644">
        <v>4</v>
      </c>
      <c r="K644" t="s">
        <v>38</v>
      </c>
      <c r="L644">
        <v>1</v>
      </c>
      <c r="M644">
        <v>4</v>
      </c>
      <c r="N644" t="s">
        <v>46</v>
      </c>
      <c r="O644">
        <v>48</v>
      </c>
      <c r="P644">
        <v>3</v>
      </c>
      <c r="Q644">
        <v>1</v>
      </c>
      <c r="R644" t="s">
        <v>47</v>
      </c>
      <c r="S644">
        <v>4</v>
      </c>
      <c r="T644" t="str" cm="1">
        <f t="array" ref="T644">_xlfn.IFS(S644&lt;=2,"Poor",S644&lt;=3,"Fair",S644&gt;=4,"Good")</f>
        <v>Good</v>
      </c>
      <c r="U644" t="s">
        <v>48</v>
      </c>
      <c r="V644" s="1">
        <v>2356</v>
      </c>
      <c r="W644" t="str" cm="1">
        <f t="array" ref="W644">_xlfn.IFS(V644&lt;=5000,"Low Salary",V644&lt;=12000,"Good Salary",V644&gt;12000,"High Salary")</f>
        <v>Low Salary</v>
      </c>
      <c r="X644">
        <v>14871</v>
      </c>
      <c r="Y644">
        <v>3</v>
      </c>
      <c r="Z644" t="s">
        <v>42</v>
      </c>
      <c r="AA644" t="s">
        <v>43</v>
      </c>
      <c r="AB644">
        <v>19</v>
      </c>
      <c r="AC644">
        <v>3</v>
      </c>
      <c r="AD644" t="str">
        <f t="shared" si="21"/>
        <v>Low Performance</v>
      </c>
      <c r="AE644">
        <v>2</v>
      </c>
      <c r="AF644">
        <v>80</v>
      </c>
      <c r="AG644">
        <v>1</v>
      </c>
      <c r="AH644">
        <v>8</v>
      </c>
      <c r="AI644">
        <v>2</v>
      </c>
      <c r="AJ644">
        <v>3</v>
      </c>
      <c r="AK644" t="str" cm="1">
        <f t="array" ref="AK644">_xlfn.IFS(AJ644&lt;=2,"Poor",AJ644&lt;=3,"Fair",AJ644&gt;3,"Good")</f>
        <v>Fair</v>
      </c>
      <c r="AL644">
        <v>6</v>
      </c>
      <c r="AM644">
        <v>4</v>
      </c>
      <c r="AN644">
        <v>0</v>
      </c>
      <c r="AO644">
        <v>2</v>
      </c>
    </row>
    <row r="645" spans="1:41" x14ac:dyDescent="0.2">
      <c r="A645">
        <v>1329687</v>
      </c>
      <c r="B645">
        <v>29</v>
      </c>
      <c r="C645" t="str" cm="1">
        <f t="array" ref="C645">_xlfn.IFS(B645&lt;=25,"15-25",B645&lt;=35,"26-35",B645&lt;=45,"36-45",B645&lt;=55,"46-55",B645&lt;=65,"56-65")</f>
        <v>26-35</v>
      </c>
      <c r="D645" t="s">
        <v>43</v>
      </c>
      <c r="E645" t="str">
        <f t="shared" si="20"/>
        <v>Former Employee</v>
      </c>
      <c r="F645" t="s">
        <v>36</v>
      </c>
      <c r="G645">
        <v>341</v>
      </c>
      <c r="H645" t="s">
        <v>37</v>
      </c>
      <c r="I645">
        <v>1</v>
      </c>
      <c r="J645">
        <v>3</v>
      </c>
      <c r="K645" t="s">
        <v>49</v>
      </c>
      <c r="L645">
        <v>1</v>
      </c>
      <c r="M645">
        <v>2</v>
      </c>
      <c r="N645" t="s">
        <v>39</v>
      </c>
      <c r="O645">
        <v>48</v>
      </c>
      <c r="P645">
        <v>2</v>
      </c>
      <c r="Q645">
        <v>1</v>
      </c>
      <c r="R645" t="s">
        <v>47</v>
      </c>
      <c r="S645">
        <v>3</v>
      </c>
      <c r="T645" t="str" cm="1">
        <f t="array" ref="T645">_xlfn.IFS(S645&lt;=2,"Poor",S645&lt;=3,"Fair",S645&gt;=4,"Good")</f>
        <v>Fair</v>
      </c>
      <c r="U645" t="s">
        <v>50</v>
      </c>
      <c r="V645" s="1">
        <v>2800</v>
      </c>
      <c r="W645" t="str" cm="1">
        <f t="array" ref="W645">_xlfn.IFS(V645&lt;=5000,"Low Salary",V645&lt;=12000,"Good Salary",V645&gt;12000,"High Salary")</f>
        <v>Low Salary</v>
      </c>
      <c r="X645">
        <v>23522</v>
      </c>
      <c r="Y645">
        <v>6</v>
      </c>
      <c r="Z645" t="s">
        <v>42</v>
      </c>
      <c r="AA645" t="s">
        <v>43</v>
      </c>
      <c r="AB645">
        <v>19</v>
      </c>
      <c r="AC645">
        <v>3</v>
      </c>
      <c r="AD645" t="str">
        <f t="shared" si="21"/>
        <v>Low Performance</v>
      </c>
      <c r="AE645">
        <v>3</v>
      </c>
      <c r="AF645">
        <v>80</v>
      </c>
      <c r="AG645">
        <v>3</v>
      </c>
      <c r="AH645">
        <v>5</v>
      </c>
      <c r="AI645">
        <v>3</v>
      </c>
      <c r="AJ645">
        <v>3</v>
      </c>
      <c r="AK645" t="str" cm="1">
        <f t="array" ref="AK645">_xlfn.IFS(AJ645&lt;=2,"Poor",AJ645&lt;=3,"Fair",AJ645&gt;3,"Good")</f>
        <v>Fair</v>
      </c>
      <c r="AL645">
        <v>3</v>
      </c>
      <c r="AM645">
        <v>2</v>
      </c>
      <c r="AN645">
        <v>0</v>
      </c>
      <c r="AO645">
        <v>2</v>
      </c>
    </row>
    <row r="646" spans="1:41" x14ac:dyDescent="0.2">
      <c r="A646">
        <v>1221211</v>
      </c>
      <c r="B646">
        <v>53</v>
      </c>
      <c r="C646" t="str" cm="1">
        <f t="array" ref="C646">_xlfn.IFS(B646&lt;=25,"15-25",B646&lt;=35,"26-35",B646&lt;=45,"36-45",B646&lt;=55,"46-55",B646&lt;=65,"56-65")</f>
        <v>46-55</v>
      </c>
      <c r="D646" t="s">
        <v>35</v>
      </c>
      <c r="E646" t="str">
        <f t="shared" si="20"/>
        <v>Current Employee</v>
      </c>
      <c r="F646" t="s">
        <v>36</v>
      </c>
      <c r="G646">
        <v>868</v>
      </c>
      <c r="H646" t="s">
        <v>37</v>
      </c>
      <c r="I646">
        <v>8</v>
      </c>
      <c r="J646">
        <v>3</v>
      </c>
      <c r="K646" t="s">
        <v>55</v>
      </c>
      <c r="L646">
        <v>1</v>
      </c>
      <c r="M646">
        <v>1</v>
      </c>
      <c r="N646" t="s">
        <v>46</v>
      </c>
      <c r="O646">
        <v>73</v>
      </c>
      <c r="P646">
        <v>3</v>
      </c>
      <c r="Q646">
        <v>4</v>
      </c>
      <c r="R646" t="s">
        <v>40</v>
      </c>
      <c r="S646">
        <v>4</v>
      </c>
      <c r="T646" t="str" cm="1">
        <f t="array" ref="T646">_xlfn.IFS(S646&lt;=2,"Poor",S646&lt;=3,"Fair",S646&gt;=4,"Good")</f>
        <v>Good</v>
      </c>
      <c r="U646" t="s">
        <v>48</v>
      </c>
      <c r="V646" s="1">
        <v>11836</v>
      </c>
      <c r="W646" t="str" cm="1">
        <f t="array" ref="W646">_xlfn.IFS(V646&lt;=5000,"Low Salary",V646&lt;=12000,"Good Salary",V646&gt;12000,"High Salary")</f>
        <v>Good Salary</v>
      </c>
      <c r="X646">
        <v>22789</v>
      </c>
      <c r="Y646">
        <v>5</v>
      </c>
      <c r="Z646" t="s">
        <v>42</v>
      </c>
      <c r="AA646" t="s">
        <v>35</v>
      </c>
      <c r="AB646">
        <v>14</v>
      </c>
      <c r="AC646">
        <v>3</v>
      </c>
      <c r="AD646" t="str">
        <f t="shared" si="21"/>
        <v>Low Performance</v>
      </c>
      <c r="AE646">
        <v>3</v>
      </c>
      <c r="AF646">
        <v>80</v>
      </c>
      <c r="AG646">
        <v>1</v>
      </c>
      <c r="AH646">
        <v>28</v>
      </c>
      <c r="AI646">
        <v>3</v>
      </c>
      <c r="AJ646">
        <v>3</v>
      </c>
      <c r="AK646" t="str" cm="1">
        <f t="array" ref="AK646">_xlfn.IFS(AJ646&lt;=2,"Poor",AJ646&lt;=3,"Fair",AJ646&gt;3,"Good")</f>
        <v>Fair</v>
      </c>
      <c r="AL646">
        <v>2</v>
      </c>
      <c r="AM646">
        <v>0</v>
      </c>
      <c r="AN646">
        <v>2</v>
      </c>
      <c r="AO646">
        <v>2</v>
      </c>
    </row>
    <row r="647" spans="1:41" x14ac:dyDescent="0.2">
      <c r="A647">
        <v>1731227</v>
      </c>
      <c r="B647">
        <v>35</v>
      </c>
      <c r="C647" t="str" cm="1">
        <f t="array" ref="C647">_xlfn.IFS(B647&lt;=25,"15-25",B647&lt;=35,"26-35",B647&lt;=45,"36-45",B647&lt;=55,"46-55",B647&lt;=65,"56-65")</f>
        <v>26-35</v>
      </c>
      <c r="D647" t="s">
        <v>35</v>
      </c>
      <c r="E647" t="str">
        <f t="shared" si="20"/>
        <v>Current Employee</v>
      </c>
      <c r="F647" t="s">
        <v>36</v>
      </c>
      <c r="G647">
        <v>672</v>
      </c>
      <c r="H647" t="s">
        <v>45</v>
      </c>
      <c r="I647">
        <v>25</v>
      </c>
      <c r="J647">
        <v>3</v>
      </c>
      <c r="K647" t="s">
        <v>56</v>
      </c>
      <c r="L647">
        <v>1</v>
      </c>
      <c r="M647">
        <v>4</v>
      </c>
      <c r="N647" t="s">
        <v>46</v>
      </c>
      <c r="O647">
        <v>78</v>
      </c>
      <c r="P647">
        <v>2</v>
      </c>
      <c r="Q647">
        <v>3</v>
      </c>
      <c r="R647" t="s">
        <v>51</v>
      </c>
      <c r="S647">
        <v>2</v>
      </c>
      <c r="T647" t="str" cm="1">
        <f t="array" ref="T647">_xlfn.IFS(S647&lt;=2,"Poor",S647&lt;=3,"Fair",S647&gt;=4,"Good")</f>
        <v>Poor</v>
      </c>
      <c r="U647" t="s">
        <v>48</v>
      </c>
      <c r="V647" s="1">
        <v>10903</v>
      </c>
      <c r="W647" t="str" cm="1">
        <f t="array" ref="W647">_xlfn.IFS(V647&lt;=5000,"Low Salary",V647&lt;=12000,"Good Salary",V647&gt;12000,"High Salary")</f>
        <v>Good Salary</v>
      </c>
      <c r="X647">
        <v>9129</v>
      </c>
      <c r="Y647">
        <v>3</v>
      </c>
      <c r="Z647" t="s">
        <v>42</v>
      </c>
      <c r="AA647" t="s">
        <v>35</v>
      </c>
      <c r="AB647">
        <v>16</v>
      </c>
      <c r="AC647">
        <v>3</v>
      </c>
      <c r="AD647" t="str">
        <f t="shared" si="21"/>
        <v>Low Performance</v>
      </c>
      <c r="AE647">
        <v>1</v>
      </c>
      <c r="AF647">
        <v>80</v>
      </c>
      <c r="AG647">
        <v>0</v>
      </c>
      <c r="AH647">
        <v>16</v>
      </c>
      <c r="AI647">
        <v>2</v>
      </c>
      <c r="AJ647">
        <v>3</v>
      </c>
      <c r="AK647" t="str" cm="1">
        <f t="array" ref="AK647">_xlfn.IFS(AJ647&lt;=2,"Poor",AJ647&lt;=3,"Fair",AJ647&gt;3,"Good")</f>
        <v>Fair</v>
      </c>
      <c r="AL647">
        <v>13</v>
      </c>
      <c r="AM647">
        <v>10</v>
      </c>
      <c r="AN647">
        <v>4</v>
      </c>
      <c r="AO647">
        <v>8</v>
      </c>
    </row>
    <row r="648" spans="1:41" x14ac:dyDescent="0.2">
      <c r="A648">
        <v>1716658</v>
      </c>
      <c r="B648">
        <v>37</v>
      </c>
      <c r="C648" t="str" cm="1">
        <f t="array" ref="C648">_xlfn.IFS(B648&lt;=25,"15-25",B648&lt;=35,"26-35",B648&lt;=45,"36-45",B648&lt;=55,"46-55",B648&lt;=65,"56-65")</f>
        <v>36-45</v>
      </c>
      <c r="D648" t="s">
        <v>35</v>
      </c>
      <c r="E648" t="str">
        <f t="shared" si="20"/>
        <v>Current Employee</v>
      </c>
      <c r="F648" t="s">
        <v>44</v>
      </c>
      <c r="G648">
        <v>1231</v>
      </c>
      <c r="H648" t="s">
        <v>37</v>
      </c>
      <c r="I648">
        <v>21</v>
      </c>
      <c r="J648">
        <v>2</v>
      </c>
      <c r="K648" t="s">
        <v>49</v>
      </c>
      <c r="L648">
        <v>1</v>
      </c>
      <c r="M648">
        <v>3</v>
      </c>
      <c r="N648" t="s">
        <v>39</v>
      </c>
      <c r="O648">
        <v>54</v>
      </c>
      <c r="P648">
        <v>3</v>
      </c>
      <c r="Q648">
        <v>1</v>
      </c>
      <c r="R648" t="s">
        <v>47</v>
      </c>
      <c r="S648">
        <v>4</v>
      </c>
      <c r="T648" t="str" cm="1">
        <f t="array" ref="T648">_xlfn.IFS(S648&lt;=2,"Poor",S648&lt;=3,"Fair",S648&gt;=4,"Good")</f>
        <v>Good</v>
      </c>
      <c r="U648" t="s">
        <v>48</v>
      </c>
      <c r="V648" s="1">
        <v>2973</v>
      </c>
      <c r="W648" t="str" cm="1">
        <f t="array" ref="W648">_xlfn.IFS(V648&lt;=5000,"Low Salary",V648&lt;=12000,"Good Salary",V648&gt;12000,"High Salary")</f>
        <v>Low Salary</v>
      </c>
      <c r="X648">
        <v>21222</v>
      </c>
      <c r="Y648">
        <v>5</v>
      </c>
      <c r="Z648" t="s">
        <v>42</v>
      </c>
      <c r="AA648" t="s">
        <v>35</v>
      </c>
      <c r="AB648">
        <v>15</v>
      </c>
      <c r="AC648">
        <v>3</v>
      </c>
      <c r="AD648" t="str">
        <f t="shared" si="21"/>
        <v>Low Performance</v>
      </c>
      <c r="AE648">
        <v>2</v>
      </c>
      <c r="AF648">
        <v>80</v>
      </c>
      <c r="AG648">
        <v>1</v>
      </c>
      <c r="AH648">
        <v>10</v>
      </c>
      <c r="AI648">
        <v>3</v>
      </c>
      <c r="AJ648">
        <v>3</v>
      </c>
      <c r="AK648" t="str" cm="1">
        <f t="array" ref="AK648">_xlfn.IFS(AJ648&lt;=2,"Poor",AJ648&lt;=3,"Fair",AJ648&gt;3,"Good")</f>
        <v>Fair</v>
      </c>
      <c r="AL648">
        <v>5</v>
      </c>
      <c r="AM648">
        <v>4</v>
      </c>
      <c r="AN648">
        <v>0</v>
      </c>
      <c r="AO648">
        <v>0</v>
      </c>
    </row>
    <row r="649" spans="1:41" x14ac:dyDescent="0.2">
      <c r="A649">
        <v>1856275</v>
      </c>
      <c r="B649">
        <v>53</v>
      </c>
      <c r="C649" t="str" cm="1">
        <f t="array" ref="C649">_xlfn.IFS(B649&lt;=25,"15-25",B649&lt;=35,"26-35",B649&lt;=45,"36-45",B649&lt;=55,"46-55",B649&lt;=65,"56-65")</f>
        <v>46-55</v>
      </c>
      <c r="D649" t="s">
        <v>35</v>
      </c>
      <c r="E649" t="str">
        <f t="shared" si="20"/>
        <v>Current Employee</v>
      </c>
      <c r="F649" t="s">
        <v>36</v>
      </c>
      <c r="G649">
        <v>102</v>
      </c>
      <c r="H649" t="s">
        <v>45</v>
      </c>
      <c r="I649">
        <v>23</v>
      </c>
      <c r="J649">
        <v>4</v>
      </c>
      <c r="K649" t="s">
        <v>38</v>
      </c>
      <c r="L649">
        <v>1</v>
      </c>
      <c r="M649">
        <v>4</v>
      </c>
      <c r="N649" t="s">
        <v>39</v>
      </c>
      <c r="O649">
        <v>72</v>
      </c>
      <c r="P649">
        <v>3</v>
      </c>
      <c r="Q649">
        <v>4</v>
      </c>
      <c r="R649" t="s">
        <v>53</v>
      </c>
      <c r="S649">
        <v>4</v>
      </c>
      <c r="T649" t="str" cm="1">
        <f t="array" ref="T649">_xlfn.IFS(S649&lt;=2,"Poor",S649&lt;=3,"Fair",S649&gt;=4,"Good")</f>
        <v>Good</v>
      </c>
      <c r="U649" t="s">
        <v>41</v>
      </c>
      <c r="V649" s="1">
        <v>14275</v>
      </c>
      <c r="W649" t="str" cm="1">
        <f t="array" ref="W649">_xlfn.IFS(V649&lt;=5000,"Low Salary",V649&lt;=12000,"Good Salary",V649&gt;12000,"High Salary")</f>
        <v>High Salary</v>
      </c>
      <c r="X649">
        <v>20206</v>
      </c>
      <c r="Y649">
        <v>6</v>
      </c>
      <c r="Z649" t="s">
        <v>42</v>
      </c>
      <c r="AA649" t="s">
        <v>35</v>
      </c>
      <c r="AB649">
        <v>18</v>
      </c>
      <c r="AC649">
        <v>3</v>
      </c>
      <c r="AD649" t="str">
        <f t="shared" si="21"/>
        <v>Low Performance</v>
      </c>
      <c r="AE649">
        <v>3</v>
      </c>
      <c r="AF649">
        <v>80</v>
      </c>
      <c r="AG649">
        <v>0</v>
      </c>
      <c r="AH649">
        <v>33</v>
      </c>
      <c r="AI649">
        <v>0</v>
      </c>
      <c r="AJ649">
        <v>3</v>
      </c>
      <c r="AK649" t="str" cm="1">
        <f t="array" ref="AK649">_xlfn.IFS(AJ649&lt;=2,"Poor",AJ649&lt;=3,"Fair",AJ649&gt;3,"Good")</f>
        <v>Fair</v>
      </c>
      <c r="AL649">
        <v>12</v>
      </c>
      <c r="AM649">
        <v>9</v>
      </c>
      <c r="AN649">
        <v>3</v>
      </c>
      <c r="AO649">
        <v>8</v>
      </c>
    </row>
    <row r="650" spans="1:41" x14ac:dyDescent="0.2">
      <c r="A650">
        <v>1780189</v>
      </c>
      <c r="B650">
        <v>43</v>
      </c>
      <c r="C650" t="str" cm="1">
        <f t="array" ref="C650">_xlfn.IFS(B650&lt;=25,"15-25",B650&lt;=35,"26-35",B650&lt;=45,"36-45",B650&lt;=55,"46-55",B650&lt;=65,"56-65")</f>
        <v>36-45</v>
      </c>
      <c r="D650" t="s">
        <v>35</v>
      </c>
      <c r="E650" t="str">
        <f t="shared" si="20"/>
        <v>Current Employee</v>
      </c>
      <c r="F650" t="s">
        <v>44</v>
      </c>
      <c r="G650">
        <v>422</v>
      </c>
      <c r="H650" t="s">
        <v>45</v>
      </c>
      <c r="I650">
        <v>1</v>
      </c>
      <c r="J650">
        <v>3</v>
      </c>
      <c r="K650" t="s">
        <v>38</v>
      </c>
      <c r="L650">
        <v>1</v>
      </c>
      <c r="M650">
        <v>4</v>
      </c>
      <c r="N650" t="s">
        <v>39</v>
      </c>
      <c r="O650">
        <v>33</v>
      </c>
      <c r="P650">
        <v>3</v>
      </c>
      <c r="Q650">
        <v>2</v>
      </c>
      <c r="R650" t="s">
        <v>40</v>
      </c>
      <c r="S650">
        <v>4</v>
      </c>
      <c r="T650" t="str" cm="1">
        <f t="array" ref="T650">_xlfn.IFS(S650&lt;=2,"Poor",S650&lt;=3,"Fair",S650&gt;=4,"Good")</f>
        <v>Good</v>
      </c>
      <c r="U650" t="s">
        <v>48</v>
      </c>
      <c r="V650" s="1">
        <v>5562</v>
      </c>
      <c r="W650" t="str" cm="1">
        <f t="array" ref="W650">_xlfn.IFS(V650&lt;=5000,"Low Salary",V650&lt;=12000,"Good Salary",V650&gt;12000,"High Salary")</f>
        <v>Good Salary</v>
      </c>
      <c r="X650">
        <v>21782</v>
      </c>
      <c r="Y650">
        <v>4</v>
      </c>
      <c r="Z650" t="s">
        <v>42</v>
      </c>
      <c r="AA650" t="s">
        <v>35</v>
      </c>
      <c r="AB650">
        <v>13</v>
      </c>
      <c r="AC650">
        <v>3</v>
      </c>
      <c r="AD650" t="str">
        <f t="shared" si="21"/>
        <v>Low Performance</v>
      </c>
      <c r="AE650">
        <v>2</v>
      </c>
      <c r="AF650">
        <v>80</v>
      </c>
      <c r="AG650">
        <v>1</v>
      </c>
      <c r="AH650">
        <v>12</v>
      </c>
      <c r="AI650">
        <v>2</v>
      </c>
      <c r="AJ650">
        <v>2</v>
      </c>
      <c r="AK650" t="str" cm="1">
        <f t="array" ref="AK650">_xlfn.IFS(AJ650&lt;=2,"Poor",AJ650&lt;=3,"Fair",AJ650&gt;3,"Good")</f>
        <v>Poor</v>
      </c>
      <c r="AL650">
        <v>5</v>
      </c>
      <c r="AM650">
        <v>2</v>
      </c>
      <c r="AN650">
        <v>2</v>
      </c>
      <c r="AO650">
        <v>2</v>
      </c>
    </row>
    <row r="651" spans="1:41" x14ac:dyDescent="0.2">
      <c r="A651">
        <v>1662886</v>
      </c>
      <c r="B651">
        <v>47</v>
      </c>
      <c r="C651" t="str" cm="1">
        <f t="array" ref="C651">_xlfn.IFS(B651&lt;=25,"15-25",B651&lt;=35,"26-35",B651&lt;=45,"36-45",B651&lt;=55,"46-55",B651&lt;=65,"56-65")</f>
        <v>46-55</v>
      </c>
      <c r="D651" t="s">
        <v>35</v>
      </c>
      <c r="E651" t="str">
        <f t="shared" si="20"/>
        <v>Current Employee</v>
      </c>
      <c r="F651" t="s">
        <v>36</v>
      </c>
      <c r="G651">
        <v>249</v>
      </c>
      <c r="H651" t="s">
        <v>37</v>
      </c>
      <c r="I651">
        <v>2</v>
      </c>
      <c r="J651">
        <v>2</v>
      </c>
      <c r="K651" t="s">
        <v>55</v>
      </c>
      <c r="L651">
        <v>1</v>
      </c>
      <c r="M651">
        <v>3</v>
      </c>
      <c r="N651" t="s">
        <v>39</v>
      </c>
      <c r="O651">
        <v>35</v>
      </c>
      <c r="P651">
        <v>3</v>
      </c>
      <c r="Q651">
        <v>2</v>
      </c>
      <c r="R651" t="s">
        <v>40</v>
      </c>
      <c r="S651">
        <v>4</v>
      </c>
      <c r="T651" t="str" cm="1">
        <f t="array" ref="T651">_xlfn.IFS(S651&lt;=2,"Poor",S651&lt;=3,"Fair",S651&gt;=4,"Good")</f>
        <v>Good</v>
      </c>
      <c r="U651" t="s">
        <v>48</v>
      </c>
      <c r="V651" s="1">
        <v>4537</v>
      </c>
      <c r="W651" t="str" cm="1">
        <f t="array" ref="W651">_xlfn.IFS(V651&lt;=5000,"Low Salary",V651&lt;=12000,"Good Salary",V651&gt;12000,"High Salary")</f>
        <v>Low Salary</v>
      </c>
      <c r="X651">
        <v>17783</v>
      </c>
      <c r="Y651">
        <v>0</v>
      </c>
      <c r="Z651" t="s">
        <v>42</v>
      </c>
      <c r="AA651" t="s">
        <v>43</v>
      </c>
      <c r="AB651">
        <v>22</v>
      </c>
      <c r="AC651">
        <v>4</v>
      </c>
      <c r="AD651" t="str">
        <f t="shared" si="21"/>
        <v>High Performance</v>
      </c>
      <c r="AE651">
        <v>1</v>
      </c>
      <c r="AF651">
        <v>80</v>
      </c>
      <c r="AG651">
        <v>1</v>
      </c>
      <c r="AH651">
        <v>8</v>
      </c>
      <c r="AI651">
        <v>2</v>
      </c>
      <c r="AJ651">
        <v>3</v>
      </c>
      <c r="AK651" t="str" cm="1">
        <f t="array" ref="AK651">_xlfn.IFS(AJ651&lt;=2,"Poor",AJ651&lt;=3,"Fair",AJ651&gt;3,"Good")</f>
        <v>Fair</v>
      </c>
      <c r="AL651">
        <v>7</v>
      </c>
      <c r="AM651">
        <v>6</v>
      </c>
      <c r="AN651">
        <v>7</v>
      </c>
      <c r="AO651">
        <v>7</v>
      </c>
    </row>
    <row r="652" spans="1:41" x14ac:dyDescent="0.2">
      <c r="A652">
        <v>1455944</v>
      </c>
      <c r="B652">
        <v>37</v>
      </c>
      <c r="C652" t="str" cm="1">
        <f t="array" ref="C652">_xlfn.IFS(B652&lt;=25,"15-25",B652&lt;=35,"26-35",B652&lt;=45,"36-45",B652&lt;=55,"46-55",B652&lt;=65,"56-65")</f>
        <v>36-45</v>
      </c>
      <c r="D652" t="s">
        <v>35</v>
      </c>
      <c r="E652" t="str">
        <f t="shared" si="20"/>
        <v>Current Employee</v>
      </c>
      <c r="F652" t="s">
        <v>52</v>
      </c>
      <c r="G652">
        <v>1252</v>
      </c>
      <c r="H652" t="s">
        <v>37</v>
      </c>
      <c r="I652">
        <v>19</v>
      </c>
      <c r="J652">
        <v>2</v>
      </c>
      <c r="K652" t="s">
        <v>49</v>
      </c>
      <c r="L652">
        <v>1</v>
      </c>
      <c r="M652">
        <v>1</v>
      </c>
      <c r="N652" t="s">
        <v>46</v>
      </c>
      <c r="O652">
        <v>32</v>
      </c>
      <c r="P652">
        <v>3</v>
      </c>
      <c r="Q652">
        <v>3</v>
      </c>
      <c r="R652" t="s">
        <v>40</v>
      </c>
      <c r="S652">
        <v>2</v>
      </c>
      <c r="T652" t="str" cm="1">
        <f t="array" ref="T652">_xlfn.IFS(S652&lt;=2,"Poor",S652&lt;=3,"Fair",S652&gt;=4,"Good")</f>
        <v>Poor</v>
      </c>
      <c r="U652" t="s">
        <v>41</v>
      </c>
      <c r="V652" s="1">
        <v>7642</v>
      </c>
      <c r="W652" t="str" cm="1">
        <f t="array" ref="W652">_xlfn.IFS(V652&lt;=5000,"Low Salary",V652&lt;=12000,"Good Salary",V652&gt;12000,"High Salary")</f>
        <v>Good Salary</v>
      </c>
      <c r="X652">
        <v>4814</v>
      </c>
      <c r="Y652">
        <v>1</v>
      </c>
      <c r="Z652" t="s">
        <v>42</v>
      </c>
      <c r="AA652" t="s">
        <v>43</v>
      </c>
      <c r="AB652">
        <v>13</v>
      </c>
      <c r="AC652">
        <v>3</v>
      </c>
      <c r="AD652" t="str">
        <f t="shared" si="21"/>
        <v>Low Performance</v>
      </c>
      <c r="AE652">
        <v>4</v>
      </c>
      <c r="AF652">
        <v>80</v>
      </c>
      <c r="AG652">
        <v>0</v>
      </c>
      <c r="AH652">
        <v>10</v>
      </c>
      <c r="AI652">
        <v>2</v>
      </c>
      <c r="AJ652">
        <v>3</v>
      </c>
      <c r="AK652" t="str" cm="1">
        <f t="array" ref="AK652">_xlfn.IFS(AJ652&lt;=2,"Poor",AJ652&lt;=3,"Fair",AJ652&gt;3,"Good")</f>
        <v>Fair</v>
      </c>
      <c r="AL652">
        <v>10</v>
      </c>
      <c r="AM652">
        <v>0</v>
      </c>
      <c r="AN652">
        <v>0</v>
      </c>
      <c r="AO652">
        <v>9</v>
      </c>
    </row>
    <row r="653" spans="1:41" x14ac:dyDescent="0.2">
      <c r="A653">
        <v>1597875</v>
      </c>
      <c r="B653">
        <v>50</v>
      </c>
      <c r="C653" t="str" cm="1">
        <f t="array" ref="C653">_xlfn.IFS(B653&lt;=25,"15-25",B653&lt;=35,"26-35",B653&lt;=45,"36-45",B653&lt;=55,"46-55",B653&lt;=65,"56-65")</f>
        <v>46-55</v>
      </c>
      <c r="D653" t="s">
        <v>35</v>
      </c>
      <c r="E653" t="str">
        <f t="shared" si="20"/>
        <v>Current Employee</v>
      </c>
      <c r="F653" t="s">
        <v>52</v>
      </c>
      <c r="G653">
        <v>881</v>
      </c>
      <c r="H653" t="s">
        <v>54</v>
      </c>
      <c r="I653">
        <v>2</v>
      </c>
      <c r="J653">
        <v>4</v>
      </c>
      <c r="K653" t="s">
        <v>38</v>
      </c>
      <c r="L653">
        <v>1</v>
      </c>
      <c r="M653">
        <v>1</v>
      </c>
      <c r="N653" t="s">
        <v>46</v>
      </c>
      <c r="O653">
        <v>98</v>
      </c>
      <c r="P653">
        <v>3</v>
      </c>
      <c r="Q653">
        <v>4</v>
      </c>
      <c r="R653" t="s">
        <v>47</v>
      </c>
      <c r="S653">
        <v>1</v>
      </c>
      <c r="T653" t="str" cm="1">
        <f t="array" ref="T653">_xlfn.IFS(S653&lt;=2,"Poor",S653&lt;=3,"Fair",S653&gt;=4,"Good")</f>
        <v>Poor</v>
      </c>
      <c r="U653" t="s">
        <v>50</v>
      </c>
      <c r="V653" s="1">
        <v>17924</v>
      </c>
      <c r="W653" t="str" cm="1">
        <f t="array" ref="W653">_xlfn.IFS(V653&lt;=5000,"Low Salary",V653&lt;=12000,"Good Salary",V653&gt;12000,"High Salary")</f>
        <v>High Salary</v>
      </c>
      <c r="X653">
        <v>4544</v>
      </c>
      <c r="Y653">
        <v>1</v>
      </c>
      <c r="Z653" t="s">
        <v>42</v>
      </c>
      <c r="AA653" t="s">
        <v>35</v>
      </c>
      <c r="AB653">
        <v>11</v>
      </c>
      <c r="AC653">
        <v>3</v>
      </c>
      <c r="AD653" t="str">
        <f t="shared" si="21"/>
        <v>Low Performance</v>
      </c>
      <c r="AE653">
        <v>4</v>
      </c>
      <c r="AF653">
        <v>80</v>
      </c>
      <c r="AG653">
        <v>1</v>
      </c>
      <c r="AH653">
        <v>31</v>
      </c>
      <c r="AI653">
        <v>3</v>
      </c>
      <c r="AJ653">
        <v>3</v>
      </c>
      <c r="AK653" t="str" cm="1">
        <f t="array" ref="AK653">_xlfn.IFS(AJ653&lt;=2,"Poor",AJ653&lt;=3,"Fair",AJ653&gt;3,"Good")</f>
        <v>Fair</v>
      </c>
      <c r="AL653">
        <v>31</v>
      </c>
      <c r="AM653">
        <v>6</v>
      </c>
      <c r="AN653">
        <v>14</v>
      </c>
      <c r="AO653">
        <v>7</v>
      </c>
    </row>
    <row r="654" spans="1:41" x14ac:dyDescent="0.2">
      <c r="A654">
        <v>1514580</v>
      </c>
      <c r="B654">
        <v>39</v>
      </c>
      <c r="C654" t="str" cm="1">
        <f t="array" ref="C654">_xlfn.IFS(B654&lt;=25,"15-25",B654&lt;=35,"26-35",B654&lt;=45,"36-45",B654&lt;=55,"46-55",B654&lt;=65,"56-65")</f>
        <v>36-45</v>
      </c>
      <c r="D654" t="s">
        <v>35</v>
      </c>
      <c r="E654" t="str">
        <f t="shared" si="20"/>
        <v>Current Employee</v>
      </c>
      <c r="F654" t="s">
        <v>36</v>
      </c>
      <c r="G654">
        <v>1383</v>
      </c>
      <c r="H654" t="s">
        <v>54</v>
      </c>
      <c r="I654">
        <v>2</v>
      </c>
      <c r="J654">
        <v>3</v>
      </c>
      <c r="K654" t="s">
        <v>38</v>
      </c>
      <c r="L654">
        <v>1</v>
      </c>
      <c r="M654">
        <v>4</v>
      </c>
      <c r="N654" t="s">
        <v>39</v>
      </c>
      <c r="O654">
        <v>42</v>
      </c>
      <c r="P654">
        <v>2</v>
      </c>
      <c r="Q654">
        <v>2</v>
      </c>
      <c r="R654" t="s">
        <v>47</v>
      </c>
      <c r="S654">
        <v>4</v>
      </c>
      <c r="T654" t="str" cm="1">
        <f t="array" ref="T654">_xlfn.IFS(S654&lt;=2,"Poor",S654&lt;=3,"Fair",S654&gt;=4,"Good")</f>
        <v>Good</v>
      </c>
      <c r="U654" t="s">
        <v>48</v>
      </c>
      <c r="V654" s="1">
        <v>5204</v>
      </c>
      <c r="W654" t="str" cm="1">
        <f t="array" ref="W654">_xlfn.IFS(V654&lt;=5000,"Low Salary",V654&lt;=12000,"Good Salary",V654&gt;12000,"High Salary")</f>
        <v>Good Salary</v>
      </c>
      <c r="X654">
        <v>7790</v>
      </c>
      <c r="Y654">
        <v>8</v>
      </c>
      <c r="Z654" t="s">
        <v>42</v>
      </c>
      <c r="AA654" t="s">
        <v>35</v>
      </c>
      <c r="AB654">
        <v>11</v>
      </c>
      <c r="AC654">
        <v>3</v>
      </c>
      <c r="AD654" t="str">
        <f t="shared" si="21"/>
        <v>Low Performance</v>
      </c>
      <c r="AE654">
        <v>3</v>
      </c>
      <c r="AF654">
        <v>80</v>
      </c>
      <c r="AG654">
        <v>2</v>
      </c>
      <c r="AH654">
        <v>13</v>
      </c>
      <c r="AI654">
        <v>2</v>
      </c>
      <c r="AJ654">
        <v>3</v>
      </c>
      <c r="AK654" t="str" cm="1">
        <f t="array" ref="AK654">_xlfn.IFS(AJ654&lt;=2,"Poor",AJ654&lt;=3,"Fair",AJ654&gt;3,"Good")</f>
        <v>Fair</v>
      </c>
      <c r="AL654">
        <v>5</v>
      </c>
      <c r="AM654">
        <v>4</v>
      </c>
      <c r="AN654">
        <v>0</v>
      </c>
      <c r="AO654">
        <v>4</v>
      </c>
    </row>
    <row r="655" spans="1:41" x14ac:dyDescent="0.2">
      <c r="A655">
        <v>1457833</v>
      </c>
      <c r="B655">
        <v>33</v>
      </c>
      <c r="C655" t="str" cm="1">
        <f t="array" ref="C655">_xlfn.IFS(B655&lt;=25,"15-25",B655&lt;=35,"26-35",B655&lt;=45,"36-45",B655&lt;=55,"46-55",B655&lt;=65,"56-65")</f>
        <v>26-35</v>
      </c>
      <c r="D655" t="s">
        <v>35</v>
      </c>
      <c r="E655" t="str">
        <f t="shared" si="20"/>
        <v>Current Employee</v>
      </c>
      <c r="F655" t="s">
        <v>36</v>
      </c>
      <c r="G655">
        <v>1075</v>
      </c>
      <c r="H655" t="s">
        <v>54</v>
      </c>
      <c r="I655">
        <v>3</v>
      </c>
      <c r="J655">
        <v>2</v>
      </c>
      <c r="K655" t="s">
        <v>57</v>
      </c>
      <c r="L655">
        <v>1</v>
      </c>
      <c r="M655">
        <v>4</v>
      </c>
      <c r="N655" t="s">
        <v>46</v>
      </c>
      <c r="O655">
        <v>57</v>
      </c>
      <c r="P655">
        <v>3</v>
      </c>
      <c r="Q655">
        <v>1</v>
      </c>
      <c r="R655" t="s">
        <v>47</v>
      </c>
      <c r="S655">
        <v>2</v>
      </c>
      <c r="T655" t="str" cm="1">
        <f t="array" ref="T655">_xlfn.IFS(S655&lt;=2,"Poor",S655&lt;=3,"Fair",S655&gt;=4,"Good")</f>
        <v>Poor</v>
      </c>
      <c r="U655" t="s">
        <v>50</v>
      </c>
      <c r="V655" s="1">
        <v>2277</v>
      </c>
      <c r="W655" t="str" cm="1">
        <f t="array" ref="W655">_xlfn.IFS(V655&lt;=5000,"Low Salary",V655&lt;=12000,"Good Salary",V655&gt;12000,"High Salary")</f>
        <v>Low Salary</v>
      </c>
      <c r="X655">
        <v>22650</v>
      </c>
      <c r="Y655">
        <v>3</v>
      </c>
      <c r="Z655" t="s">
        <v>42</v>
      </c>
      <c r="AA655" t="s">
        <v>43</v>
      </c>
      <c r="AB655">
        <v>11</v>
      </c>
      <c r="AC655">
        <v>3</v>
      </c>
      <c r="AD655" t="str">
        <f t="shared" si="21"/>
        <v>Low Performance</v>
      </c>
      <c r="AE655">
        <v>3</v>
      </c>
      <c r="AF655">
        <v>80</v>
      </c>
      <c r="AG655">
        <v>1</v>
      </c>
      <c r="AH655">
        <v>7</v>
      </c>
      <c r="AI655">
        <v>4</v>
      </c>
      <c r="AJ655">
        <v>4</v>
      </c>
      <c r="AK655" t="str" cm="1">
        <f t="array" ref="AK655">_xlfn.IFS(AJ655&lt;=2,"Poor",AJ655&lt;=3,"Fair",AJ655&gt;3,"Good")</f>
        <v>Good</v>
      </c>
      <c r="AL655">
        <v>4</v>
      </c>
      <c r="AM655">
        <v>3</v>
      </c>
      <c r="AN655">
        <v>0</v>
      </c>
      <c r="AO655">
        <v>3</v>
      </c>
    </row>
    <row r="656" spans="1:41" x14ac:dyDescent="0.2">
      <c r="A656">
        <v>1406364</v>
      </c>
      <c r="B656">
        <v>32</v>
      </c>
      <c r="C656" t="str" cm="1">
        <f t="array" ref="C656">_xlfn.IFS(B656&lt;=25,"15-25",B656&lt;=35,"26-35",B656&lt;=45,"36-45",B656&lt;=55,"46-55",B656&lt;=65,"56-65")</f>
        <v>26-35</v>
      </c>
      <c r="D656" t="s">
        <v>43</v>
      </c>
      <c r="E656" t="str">
        <f t="shared" si="20"/>
        <v>Former Employee</v>
      </c>
      <c r="F656" t="s">
        <v>36</v>
      </c>
      <c r="G656">
        <v>374</v>
      </c>
      <c r="H656" t="s">
        <v>45</v>
      </c>
      <c r="I656">
        <v>25</v>
      </c>
      <c r="J656">
        <v>4</v>
      </c>
      <c r="K656" t="s">
        <v>38</v>
      </c>
      <c r="L656">
        <v>1</v>
      </c>
      <c r="M656">
        <v>1</v>
      </c>
      <c r="N656" t="s">
        <v>46</v>
      </c>
      <c r="O656">
        <v>87</v>
      </c>
      <c r="P656">
        <v>3</v>
      </c>
      <c r="Q656">
        <v>1</v>
      </c>
      <c r="R656" t="s">
        <v>40</v>
      </c>
      <c r="S656">
        <v>4</v>
      </c>
      <c r="T656" t="str" cm="1">
        <f t="array" ref="T656">_xlfn.IFS(S656&lt;=2,"Poor",S656&lt;=3,"Fair",S656&gt;=4,"Good")</f>
        <v>Good</v>
      </c>
      <c r="U656" t="s">
        <v>41</v>
      </c>
      <c r="V656" s="1">
        <v>2795</v>
      </c>
      <c r="W656" t="str" cm="1">
        <f t="array" ref="W656">_xlfn.IFS(V656&lt;=5000,"Low Salary",V656&lt;=12000,"Good Salary",V656&gt;12000,"High Salary")</f>
        <v>Low Salary</v>
      </c>
      <c r="X656">
        <v>18016</v>
      </c>
      <c r="Y656">
        <v>1</v>
      </c>
      <c r="Z656" t="s">
        <v>42</v>
      </c>
      <c r="AA656" t="s">
        <v>43</v>
      </c>
      <c r="AB656">
        <v>24</v>
      </c>
      <c r="AC656">
        <v>4</v>
      </c>
      <c r="AD656" t="str">
        <f t="shared" si="21"/>
        <v>High Performance</v>
      </c>
      <c r="AE656">
        <v>3</v>
      </c>
      <c r="AF656">
        <v>80</v>
      </c>
      <c r="AG656">
        <v>0</v>
      </c>
      <c r="AH656">
        <v>1</v>
      </c>
      <c r="AI656">
        <v>2</v>
      </c>
      <c r="AJ656">
        <v>1</v>
      </c>
      <c r="AK656" t="str" cm="1">
        <f t="array" ref="AK656">_xlfn.IFS(AJ656&lt;=2,"Poor",AJ656&lt;=3,"Fair",AJ656&gt;3,"Good")</f>
        <v>Poor</v>
      </c>
      <c r="AL656">
        <v>1</v>
      </c>
      <c r="AM656">
        <v>0</v>
      </c>
      <c r="AN656">
        <v>0</v>
      </c>
      <c r="AO656">
        <v>1</v>
      </c>
    </row>
    <row r="657" spans="1:41" x14ac:dyDescent="0.2">
      <c r="A657">
        <v>1574807</v>
      </c>
      <c r="B657">
        <v>29</v>
      </c>
      <c r="C657" t="str" cm="1">
        <f t="array" ref="C657">_xlfn.IFS(B657&lt;=25,"15-25",B657&lt;=35,"26-35",B657&lt;=45,"36-45",B657&lt;=55,"46-55",B657&lt;=65,"56-65")</f>
        <v>26-35</v>
      </c>
      <c r="D657" t="s">
        <v>35</v>
      </c>
      <c r="E657" t="str">
        <f t="shared" si="20"/>
        <v>Current Employee</v>
      </c>
      <c r="F657" t="s">
        <v>36</v>
      </c>
      <c r="G657">
        <v>1086</v>
      </c>
      <c r="H657" t="s">
        <v>45</v>
      </c>
      <c r="I657">
        <v>7</v>
      </c>
      <c r="J657">
        <v>1</v>
      </c>
      <c r="K657" t="s">
        <v>49</v>
      </c>
      <c r="L657">
        <v>1</v>
      </c>
      <c r="M657">
        <v>1</v>
      </c>
      <c r="N657" t="s">
        <v>39</v>
      </c>
      <c r="O657">
        <v>62</v>
      </c>
      <c r="P657">
        <v>2</v>
      </c>
      <c r="Q657">
        <v>1</v>
      </c>
      <c r="R657" t="s">
        <v>40</v>
      </c>
      <c r="S657">
        <v>4</v>
      </c>
      <c r="T657" t="str" cm="1">
        <f t="array" ref="T657">_xlfn.IFS(S657&lt;=2,"Poor",S657&lt;=3,"Fair",S657&gt;=4,"Good")</f>
        <v>Good</v>
      </c>
      <c r="U657" t="s">
        <v>50</v>
      </c>
      <c r="V657" s="1">
        <v>2532</v>
      </c>
      <c r="W657" t="str" cm="1">
        <f t="array" ref="W657">_xlfn.IFS(V657&lt;=5000,"Low Salary",V657&lt;=12000,"Good Salary",V657&gt;12000,"High Salary")</f>
        <v>Low Salary</v>
      </c>
      <c r="X657">
        <v>6054</v>
      </c>
      <c r="Y657">
        <v>6</v>
      </c>
      <c r="Z657" t="s">
        <v>42</v>
      </c>
      <c r="AA657" t="s">
        <v>35</v>
      </c>
      <c r="AB657">
        <v>14</v>
      </c>
      <c r="AC657">
        <v>3</v>
      </c>
      <c r="AD657" t="str">
        <f t="shared" si="21"/>
        <v>Low Performance</v>
      </c>
      <c r="AE657">
        <v>3</v>
      </c>
      <c r="AF657">
        <v>80</v>
      </c>
      <c r="AG657">
        <v>3</v>
      </c>
      <c r="AH657">
        <v>8</v>
      </c>
      <c r="AI657">
        <v>5</v>
      </c>
      <c r="AJ657">
        <v>3</v>
      </c>
      <c r="AK657" t="str" cm="1">
        <f t="array" ref="AK657">_xlfn.IFS(AJ657&lt;=2,"Poor",AJ657&lt;=3,"Fair",AJ657&gt;3,"Good")</f>
        <v>Fair</v>
      </c>
      <c r="AL657">
        <v>4</v>
      </c>
      <c r="AM657">
        <v>3</v>
      </c>
      <c r="AN657">
        <v>0</v>
      </c>
      <c r="AO657">
        <v>3</v>
      </c>
    </row>
    <row r="658" spans="1:41" x14ac:dyDescent="0.2">
      <c r="A658">
        <v>1423464</v>
      </c>
      <c r="B658">
        <v>44</v>
      </c>
      <c r="C658" t="str" cm="1">
        <f t="array" ref="C658">_xlfn.IFS(B658&lt;=25,"15-25",B658&lt;=35,"26-35",B658&lt;=45,"36-45",B658&lt;=55,"46-55",B658&lt;=65,"56-65")</f>
        <v>36-45</v>
      </c>
      <c r="D658" t="s">
        <v>35</v>
      </c>
      <c r="E658" t="str">
        <f t="shared" si="20"/>
        <v>Current Employee</v>
      </c>
      <c r="F658" t="s">
        <v>36</v>
      </c>
      <c r="G658">
        <v>661</v>
      </c>
      <c r="H658" t="s">
        <v>45</v>
      </c>
      <c r="I658">
        <v>9</v>
      </c>
      <c r="J658">
        <v>2</v>
      </c>
      <c r="K658" t="s">
        <v>38</v>
      </c>
      <c r="L658">
        <v>1</v>
      </c>
      <c r="M658">
        <v>2</v>
      </c>
      <c r="N658" t="s">
        <v>46</v>
      </c>
      <c r="O658">
        <v>61</v>
      </c>
      <c r="P658">
        <v>3</v>
      </c>
      <c r="Q658">
        <v>1</v>
      </c>
      <c r="R658" t="s">
        <v>47</v>
      </c>
      <c r="S658">
        <v>1</v>
      </c>
      <c r="T658" t="str" cm="1">
        <f t="array" ref="T658">_xlfn.IFS(S658&lt;=2,"Poor",S658&lt;=3,"Fair",S658&gt;=4,"Good")</f>
        <v>Poor</v>
      </c>
      <c r="U658" t="s">
        <v>48</v>
      </c>
      <c r="V658" s="1">
        <v>2559</v>
      </c>
      <c r="W658" t="str" cm="1">
        <f t="array" ref="W658">_xlfn.IFS(V658&lt;=5000,"Low Salary",V658&lt;=12000,"Good Salary",V658&gt;12000,"High Salary")</f>
        <v>Low Salary</v>
      </c>
      <c r="X658">
        <v>7508</v>
      </c>
      <c r="Y658">
        <v>1</v>
      </c>
      <c r="Z658" t="s">
        <v>42</v>
      </c>
      <c r="AA658" t="s">
        <v>43</v>
      </c>
      <c r="AB658">
        <v>13</v>
      </c>
      <c r="AC658">
        <v>3</v>
      </c>
      <c r="AD658" t="str">
        <f t="shared" si="21"/>
        <v>Low Performance</v>
      </c>
      <c r="AE658">
        <v>4</v>
      </c>
      <c r="AF658">
        <v>80</v>
      </c>
      <c r="AG658">
        <v>0</v>
      </c>
      <c r="AH658">
        <v>8</v>
      </c>
      <c r="AI658">
        <v>0</v>
      </c>
      <c r="AJ658">
        <v>3</v>
      </c>
      <c r="AK658" t="str" cm="1">
        <f t="array" ref="AK658">_xlfn.IFS(AJ658&lt;=2,"Poor",AJ658&lt;=3,"Fair",AJ658&gt;3,"Good")</f>
        <v>Fair</v>
      </c>
      <c r="AL658">
        <v>8</v>
      </c>
      <c r="AM658">
        <v>7</v>
      </c>
      <c r="AN658">
        <v>7</v>
      </c>
      <c r="AO658">
        <v>1</v>
      </c>
    </row>
    <row r="659" spans="1:41" x14ac:dyDescent="0.2">
      <c r="A659">
        <v>1592499</v>
      </c>
      <c r="B659">
        <v>28</v>
      </c>
      <c r="C659" t="str" cm="1">
        <f t="array" ref="C659">_xlfn.IFS(B659&lt;=25,"15-25",B659&lt;=35,"26-35",B659&lt;=45,"36-45",B659&lt;=55,"46-55",B659&lt;=65,"56-65")</f>
        <v>26-35</v>
      </c>
      <c r="D659" t="s">
        <v>35</v>
      </c>
      <c r="E659" t="str">
        <f t="shared" si="20"/>
        <v>Current Employee</v>
      </c>
      <c r="F659" t="s">
        <v>36</v>
      </c>
      <c r="G659">
        <v>821</v>
      </c>
      <c r="H659" t="s">
        <v>37</v>
      </c>
      <c r="I659">
        <v>5</v>
      </c>
      <c r="J659">
        <v>4</v>
      </c>
      <c r="K659" t="s">
        <v>49</v>
      </c>
      <c r="L659">
        <v>1</v>
      </c>
      <c r="M659">
        <v>1</v>
      </c>
      <c r="N659" t="s">
        <v>46</v>
      </c>
      <c r="O659">
        <v>98</v>
      </c>
      <c r="P659">
        <v>3</v>
      </c>
      <c r="Q659">
        <v>2</v>
      </c>
      <c r="R659" t="s">
        <v>40</v>
      </c>
      <c r="S659">
        <v>4</v>
      </c>
      <c r="T659" t="str" cm="1">
        <f t="array" ref="T659">_xlfn.IFS(S659&lt;=2,"Poor",S659&lt;=3,"Fair",S659&gt;=4,"Good")</f>
        <v>Good</v>
      </c>
      <c r="U659" t="s">
        <v>41</v>
      </c>
      <c r="V659" s="1">
        <v>4908</v>
      </c>
      <c r="W659" t="str" cm="1">
        <f t="array" ref="W659">_xlfn.IFS(V659&lt;=5000,"Low Salary",V659&lt;=12000,"Good Salary",V659&gt;12000,"High Salary")</f>
        <v>Low Salary</v>
      </c>
      <c r="X659">
        <v>24252</v>
      </c>
      <c r="Y659">
        <v>1</v>
      </c>
      <c r="Z659" t="s">
        <v>42</v>
      </c>
      <c r="AA659" t="s">
        <v>35</v>
      </c>
      <c r="AB659">
        <v>14</v>
      </c>
      <c r="AC659">
        <v>3</v>
      </c>
      <c r="AD659" t="str">
        <f t="shared" si="21"/>
        <v>Low Performance</v>
      </c>
      <c r="AE659">
        <v>2</v>
      </c>
      <c r="AF659">
        <v>80</v>
      </c>
      <c r="AG659">
        <v>0</v>
      </c>
      <c r="AH659">
        <v>4</v>
      </c>
      <c r="AI659">
        <v>3</v>
      </c>
      <c r="AJ659">
        <v>3</v>
      </c>
      <c r="AK659" t="str" cm="1">
        <f t="array" ref="AK659">_xlfn.IFS(AJ659&lt;=2,"Poor",AJ659&lt;=3,"Fair",AJ659&gt;3,"Good")</f>
        <v>Fair</v>
      </c>
      <c r="AL659">
        <v>4</v>
      </c>
      <c r="AM659">
        <v>2</v>
      </c>
      <c r="AN659">
        <v>0</v>
      </c>
      <c r="AO659">
        <v>2</v>
      </c>
    </row>
    <row r="660" spans="1:41" x14ac:dyDescent="0.2">
      <c r="A660">
        <v>1870106</v>
      </c>
      <c r="B660">
        <v>58</v>
      </c>
      <c r="C660" t="str" cm="1">
        <f t="array" ref="C660">_xlfn.IFS(B660&lt;=25,"15-25",B660&lt;=35,"26-35",B660&lt;=45,"36-45",B660&lt;=55,"46-55",B660&lt;=65,"56-65")</f>
        <v>56-65</v>
      </c>
      <c r="D660" t="s">
        <v>43</v>
      </c>
      <c r="E660" t="str">
        <f t="shared" si="20"/>
        <v>Former Employee</v>
      </c>
      <c r="F660" t="s">
        <v>44</v>
      </c>
      <c r="G660">
        <v>781</v>
      </c>
      <c r="H660" t="s">
        <v>45</v>
      </c>
      <c r="I660">
        <v>2</v>
      </c>
      <c r="J660">
        <v>1</v>
      </c>
      <c r="K660" t="s">
        <v>38</v>
      </c>
      <c r="L660">
        <v>1</v>
      </c>
      <c r="M660">
        <v>4</v>
      </c>
      <c r="N660" t="s">
        <v>46</v>
      </c>
      <c r="O660">
        <v>57</v>
      </c>
      <c r="P660">
        <v>2</v>
      </c>
      <c r="Q660">
        <v>1</v>
      </c>
      <c r="R660" t="s">
        <v>40</v>
      </c>
      <c r="S660">
        <v>4</v>
      </c>
      <c r="T660" t="str" cm="1">
        <f t="array" ref="T660">_xlfn.IFS(S660&lt;=2,"Poor",S660&lt;=3,"Fair",S660&gt;=4,"Good")</f>
        <v>Good</v>
      </c>
      <c r="U660" t="s">
        <v>50</v>
      </c>
      <c r="V660" s="1">
        <v>2380</v>
      </c>
      <c r="W660" t="str" cm="1">
        <f t="array" ref="W660">_xlfn.IFS(V660&lt;=5000,"Low Salary",V660&lt;=12000,"Good Salary",V660&gt;12000,"High Salary")</f>
        <v>Low Salary</v>
      </c>
      <c r="X660">
        <v>13384</v>
      </c>
      <c r="Y660">
        <v>9</v>
      </c>
      <c r="Z660" t="s">
        <v>42</v>
      </c>
      <c r="AA660" t="s">
        <v>43</v>
      </c>
      <c r="AB660">
        <v>14</v>
      </c>
      <c r="AC660">
        <v>3</v>
      </c>
      <c r="AD660" t="str">
        <f t="shared" si="21"/>
        <v>Low Performance</v>
      </c>
      <c r="AE660">
        <v>4</v>
      </c>
      <c r="AF660">
        <v>80</v>
      </c>
      <c r="AG660">
        <v>1</v>
      </c>
      <c r="AH660">
        <v>3</v>
      </c>
      <c r="AI660">
        <v>3</v>
      </c>
      <c r="AJ660">
        <v>2</v>
      </c>
      <c r="AK660" t="str" cm="1">
        <f t="array" ref="AK660">_xlfn.IFS(AJ660&lt;=2,"Poor",AJ660&lt;=3,"Fair",AJ660&gt;3,"Good")</f>
        <v>Poor</v>
      </c>
      <c r="AL660">
        <v>1</v>
      </c>
      <c r="AM660">
        <v>0</v>
      </c>
      <c r="AN660">
        <v>0</v>
      </c>
      <c r="AO660">
        <v>0</v>
      </c>
    </row>
    <row r="661" spans="1:41" x14ac:dyDescent="0.2">
      <c r="A661">
        <v>1860698</v>
      </c>
      <c r="B661">
        <v>43</v>
      </c>
      <c r="C661" t="str" cm="1">
        <f t="array" ref="C661">_xlfn.IFS(B661&lt;=25,"15-25",B661&lt;=35,"26-35",B661&lt;=45,"36-45",B661&lt;=55,"46-55",B661&lt;=65,"56-65")</f>
        <v>36-45</v>
      </c>
      <c r="D661" t="s">
        <v>35</v>
      </c>
      <c r="E661" t="str">
        <f t="shared" si="20"/>
        <v>Current Employee</v>
      </c>
      <c r="F661" t="s">
        <v>36</v>
      </c>
      <c r="G661">
        <v>177</v>
      </c>
      <c r="H661" t="s">
        <v>37</v>
      </c>
      <c r="I661">
        <v>8</v>
      </c>
      <c r="J661">
        <v>3</v>
      </c>
      <c r="K661" t="s">
        <v>38</v>
      </c>
      <c r="L661">
        <v>1</v>
      </c>
      <c r="M661">
        <v>1</v>
      </c>
      <c r="N661" t="s">
        <v>39</v>
      </c>
      <c r="O661">
        <v>55</v>
      </c>
      <c r="P661">
        <v>3</v>
      </c>
      <c r="Q661">
        <v>2</v>
      </c>
      <c r="R661" t="s">
        <v>51</v>
      </c>
      <c r="S661">
        <v>2</v>
      </c>
      <c r="T661" t="str" cm="1">
        <f t="array" ref="T661">_xlfn.IFS(S661&lt;=2,"Poor",S661&lt;=3,"Fair",S661&gt;=4,"Good")</f>
        <v>Poor</v>
      </c>
      <c r="U661" t="s">
        <v>50</v>
      </c>
      <c r="V661" s="1">
        <v>4765</v>
      </c>
      <c r="W661" t="str" cm="1">
        <f t="array" ref="W661">_xlfn.IFS(V661&lt;=5000,"Low Salary",V661&lt;=12000,"Good Salary",V661&gt;12000,"High Salary")</f>
        <v>Low Salary</v>
      </c>
      <c r="X661">
        <v>23814</v>
      </c>
      <c r="Y661">
        <v>4</v>
      </c>
      <c r="Z661" t="s">
        <v>42</v>
      </c>
      <c r="AA661" t="s">
        <v>35</v>
      </c>
      <c r="AB661">
        <v>21</v>
      </c>
      <c r="AC661">
        <v>4</v>
      </c>
      <c r="AD661" t="str">
        <f t="shared" si="21"/>
        <v>High Performance</v>
      </c>
      <c r="AE661">
        <v>3</v>
      </c>
      <c r="AF661">
        <v>80</v>
      </c>
      <c r="AG661">
        <v>1</v>
      </c>
      <c r="AH661">
        <v>4</v>
      </c>
      <c r="AI661">
        <v>2</v>
      </c>
      <c r="AJ661">
        <v>4</v>
      </c>
      <c r="AK661" t="str" cm="1">
        <f t="array" ref="AK661">_xlfn.IFS(AJ661&lt;=2,"Poor",AJ661&lt;=3,"Fair",AJ661&gt;3,"Good")</f>
        <v>Good</v>
      </c>
      <c r="AL661">
        <v>1</v>
      </c>
      <c r="AM661">
        <v>0</v>
      </c>
      <c r="AN661">
        <v>0</v>
      </c>
      <c r="AO661">
        <v>0</v>
      </c>
    </row>
    <row r="662" spans="1:41" x14ac:dyDescent="0.2">
      <c r="A662">
        <v>1334434</v>
      </c>
      <c r="B662">
        <v>20</v>
      </c>
      <c r="C662" t="str" cm="1">
        <f t="array" ref="C662">_xlfn.IFS(B662&lt;=25,"15-25",B662&lt;=35,"26-35",B662&lt;=45,"36-45",B662&lt;=55,"46-55",B662&lt;=65,"56-65")</f>
        <v>15-25</v>
      </c>
      <c r="D662" t="s">
        <v>43</v>
      </c>
      <c r="E662" t="str">
        <f t="shared" si="20"/>
        <v>Former Employee</v>
      </c>
      <c r="F662" t="s">
        <v>36</v>
      </c>
      <c r="G662">
        <v>500</v>
      </c>
      <c r="H662" t="s">
        <v>37</v>
      </c>
      <c r="I662">
        <v>2</v>
      </c>
      <c r="J662">
        <v>3</v>
      </c>
      <c r="K662" t="s">
        <v>49</v>
      </c>
      <c r="L662">
        <v>1</v>
      </c>
      <c r="M662">
        <v>3</v>
      </c>
      <c r="N662" t="s">
        <v>39</v>
      </c>
      <c r="O662">
        <v>49</v>
      </c>
      <c r="P662">
        <v>2</v>
      </c>
      <c r="Q662">
        <v>1</v>
      </c>
      <c r="R662" t="s">
        <v>47</v>
      </c>
      <c r="S662">
        <v>3</v>
      </c>
      <c r="T662" t="str" cm="1">
        <f t="array" ref="T662">_xlfn.IFS(S662&lt;=2,"Poor",S662&lt;=3,"Fair",S662&gt;=4,"Good")</f>
        <v>Fair</v>
      </c>
      <c r="U662" t="s">
        <v>41</v>
      </c>
      <c r="V662" s="1">
        <v>2044</v>
      </c>
      <c r="W662" t="str" cm="1">
        <f t="array" ref="W662">_xlfn.IFS(V662&lt;=5000,"Low Salary",V662&lt;=12000,"Good Salary",V662&gt;12000,"High Salary")</f>
        <v>Low Salary</v>
      </c>
      <c r="X662">
        <v>22052</v>
      </c>
      <c r="Y662">
        <v>1</v>
      </c>
      <c r="Z662" t="s">
        <v>42</v>
      </c>
      <c r="AA662" t="s">
        <v>35</v>
      </c>
      <c r="AB662">
        <v>13</v>
      </c>
      <c r="AC662">
        <v>3</v>
      </c>
      <c r="AD662" t="str">
        <f t="shared" si="21"/>
        <v>Low Performance</v>
      </c>
      <c r="AE662">
        <v>4</v>
      </c>
      <c r="AF662">
        <v>80</v>
      </c>
      <c r="AG662">
        <v>0</v>
      </c>
      <c r="AH662">
        <v>2</v>
      </c>
      <c r="AI662">
        <v>3</v>
      </c>
      <c r="AJ662">
        <v>2</v>
      </c>
      <c r="AK662" t="str" cm="1">
        <f t="array" ref="AK662">_xlfn.IFS(AJ662&lt;=2,"Poor",AJ662&lt;=3,"Fair",AJ662&gt;3,"Good")</f>
        <v>Poor</v>
      </c>
      <c r="AL662">
        <v>2</v>
      </c>
      <c r="AM662">
        <v>2</v>
      </c>
      <c r="AN662">
        <v>0</v>
      </c>
      <c r="AO662">
        <v>2</v>
      </c>
    </row>
    <row r="663" spans="1:41" x14ac:dyDescent="0.2">
      <c r="A663">
        <v>1657594</v>
      </c>
      <c r="B663">
        <v>21</v>
      </c>
      <c r="C663" t="str" cm="1">
        <f t="array" ref="C663">_xlfn.IFS(B663&lt;=25,"15-25",B663&lt;=35,"26-35",B663&lt;=45,"36-45",B663&lt;=55,"46-55",B663&lt;=65,"56-65")</f>
        <v>15-25</v>
      </c>
      <c r="D663" t="s">
        <v>43</v>
      </c>
      <c r="E663" t="str">
        <f t="shared" si="20"/>
        <v>Former Employee</v>
      </c>
      <c r="F663" t="s">
        <v>36</v>
      </c>
      <c r="G663">
        <v>1427</v>
      </c>
      <c r="H663" t="s">
        <v>45</v>
      </c>
      <c r="I663">
        <v>18</v>
      </c>
      <c r="J663">
        <v>1</v>
      </c>
      <c r="K663" t="s">
        <v>47</v>
      </c>
      <c r="L663">
        <v>1</v>
      </c>
      <c r="M663">
        <v>4</v>
      </c>
      <c r="N663" t="s">
        <v>39</v>
      </c>
      <c r="O663">
        <v>65</v>
      </c>
      <c r="P663">
        <v>3</v>
      </c>
      <c r="Q663">
        <v>1</v>
      </c>
      <c r="R663" t="s">
        <v>47</v>
      </c>
      <c r="S663">
        <v>4</v>
      </c>
      <c r="T663" t="str" cm="1">
        <f t="array" ref="T663">_xlfn.IFS(S663&lt;=2,"Poor",S663&lt;=3,"Fair",S663&gt;=4,"Good")</f>
        <v>Good</v>
      </c>
      <c r="U663" t="s">
        <v>41</v>
      </c>
      <c r="V663" s="1">
        <v>2693</v>
      </c>
      <c r="W663" t="str" cm="1">
        <f t="array" ref="W663">_xlfn.IFS(V663&lt;=5000,"Low Salary",V663&lt;=12000,"Good Salary",V663&gt;12000,"High Salary")</f>
        <v>Low Salary</v>
      </c>
      <c r="X663">
        <v>8870</v>
      </c>
      <c r="Y663">
        <v>1</v>
      </c>
      <c r="Z663" t="s">
        <v>42</v>
      </c>
      <c r="AA663" t="s">
        <v>35</v>
      </c>
      <c r="AB663">
        <v>19</v>
      </c>
      <c r="AC663">
        <v>3</v>
      </c>
      <c r="AD663" t="str">
        <f t="shared" si="21"/>
        <v>Low Performance</v>
      </c>
      <c r="AE663">
        <v>1</v>
      </c>
      <c r="AF663">
        <v>80</v>
      </c>
      <c r="AG663">
        <v>0</v>
      </c>
      <c r="AH663">
        <v>1</v>
      </c>
      <c r="AI663">
        <v>3</v>
      </c>
      <c r="AJ663">
        <v>2</v>
      </c>
      <c r="AK663" t="str" cm="1">
        <f t="array" ref="AK663">_xlfn.IFS(AJ663&lt;=2,"Poor",AJ663&lt;=3,"Fair",AJ663&gt;3,"Good")</f>
        <v>Poor</v>
      </c>
      <c r="AL663">
        <v>1</v>
      </c>
      <c r="AM663">
        <v>0</v>
      </c>
      <c r="AN663">
        <v>0</v>
      </c>
      <c r="AO663">
        <v>0</v>
      </c>
    </row>
    <row r="664" spans="1:41" x14ac:dyDescent="0.2">
      <c r="A664">
        <v>1497902</v>
      </c>
      <c r="B664">
        <v>36</v>
      </c>
      <c r="C664" t="str" cm="1">
        <f t="array" ref="C664">_xlfn.IFS(B664&lt;=25,"15-25",B664&lt;=35,"26-35",B664&lt;=45,"36-45",B664&lt;=55,"46-55",B664&lt;=65,"56-65")</f>
        <v>36-45</v>
      </c>
      <c r="D664" t="s">
        <v>35</v>
      </c>
      <c r="E664" t="str">
        <f t="shared" si="20"/>
        <v>Current Employee</v>
      </c>
      <c r="F664" t="s">
        <v>36</v>
      </c>
      <c r="G664">
        <v>1425</v>
      </c>
      <c r="H664" t="s">
        <v>45</v>
      </c>
      <c r="I664">
        <v>14</v>
      </c>
      <c r="J664">
        <v>1</v>
      </c>
      <c r="K664" t="s">
        <v>38</v>
      </c>
      <c r="L664">
        <v>1</v>
      </c>
      <c r="M664">
        <v>3</v>
      </c>
      <c r="N664" t="s">
        <v>46</v>
      </c>
      <c r="O664">
        <v>68</v>
      </c>
      <c r="P664">
        <v>3</v>
      </c>
      <c r="Q664">
        <v>2</v>
      </c>
      <c r="R664" t="s">
        <v>40</v>
      </c>
      <c r="S664">
        <v>4</v>
      </c>
      <c r="T664" t="str" cm="1">
        <f t="array" ref="T664">_xlfn.IFS(S664&lt;=2,"Poor",S664&lt;=3,"Fair",S664&gt;=4,"Good")</f>
        <v>Good</v>
      </c>
      <c r="U664" t="s">
        <v>48</v>
      </c>
      <c r="V664" s="1">
        <v>6586</v>
      </c>
      <c r="W664" t="str" cm="1">
        <f t="array" ref="W664">_xlfn.IFS(V664&lt;=5000,"Low Salary",V664&lt;=12000,"Good Salary",V664&gt;12000,"High Salary")</f>
        <v>Good Salary</v>
      </c>
      <c r="X664">
        <v>4821</v>
      </c>
      <c r="Y664">
        <v>0</v>
      </c>
      <c r="Z664" t="s">
        <v>42</v>
      </c>
      <c r="AA664" t="s">
        <v>43</v>
      </c>
      <c r="AB664">
        <v>17</v>
      </c>
      <c r="AC664">
        <v>3</v>
      </c>
      <c r="AD664" t="str">
        <f t="shared" si="21"/>
        <v>Low Performance</v>
      </c>
      <c r="AE664">
        <v>1</v>
      </c>
      <c r="AF664">
        <v>80</v>
      </c>
      <c r="AG664">
        <v>1</v>
      </c>
      <c r="AH664">
        <v>17</v>
      </c>
      <c r="AI664">
        <v>2</v>
      </c>
      <c r="AJ664">
        <v>2</v>
      </c>
      <c r="AK664" t="str" cm="1">
        <f t="array" ref="AK664">_xlfn.IFS(AJ664&lt;=2,"Poor",AJ664&lt;=3,"Fair",AJ664&gt;3,"Good")</f>
        <v>Poor</v>
      </c>
      <c r="AL664">
        <v>16</v>
      </c>
      <c r="AM664">
        <v>8</v>
      </c>
      <c r="AN664">
        <v>4</v>
      </c>
      <c r="AO664">
        <v>11</v>
      </c>
    </row>
    <row r="665" spans="1:41" x14ac:dyDescent="0.2">
      <c r="A665">
        <v>1289682</v>
      </c>
      <c r="B665">
        <v>47</v>
      </c>
      <c r="C665" t="str" cm="1">
        <f t="array" ref="C665">_xlfn.IFS(B665&lt;=25,"15-25",B665&lt;=35,"26-35",B665&lt;=45,"36-45",B665&lt;=55,"46-55",B665&lt;=65,"56-65")</f>
        <v>46-55</v>
      </c>
      <c r="D665" t="s">
        <v>35</v>
      </c>
      <c r="E665" t="str">
        <f t="shared" si="20"/>
        <v>Current Employee</v>
      </c>
      <c r="F665" t="s">
        <v>36</v>
      </c>
      <c r="G665">
        <v>1454</v>
      </c>
      <c r="H665" t="s">
        <v>37</v>
      </c>
      <c r="I665">
        <v>2</v>
      </c>
      <c r="J665">
        <v>4</v>
      </c>
      <c r="K665" t="s">
        <v>38</v>
      </c>
      <c r="L665">
        <v>1</v>
      </c>
      <c r="M665">
        <v>4</v>
      </c>
      <c r="N665" t="s">
        <v>39</v>
      </c>
      <c r="O665">
        <v>65</v>
      </c>
      <c r="P665">
        <v>2</v>
      </c>
      <c r="Q665">
        <v>1</v>
      </c>
      <c r="R665" t="s">
        <v>47</v>
      </c>
      <c r="S665">
        <v>4</v>
      </c>
      <c r="T665" t="str" cm="1">
        <f t="array" ref="T665">_xlfn.IFS(S665&lt;=2,"Poor",S665&lt;=3,"Fair",S665&gt;=4,"Good")</f>
        <v>Good</v>
      </c>
      <c r="U665" t="s">
        <v>41</v>
      </c>
      <c r="V665" s="1">
        <v>3294</v>
      </c>
      <c r="W665" t="str" cm="1">
        <f t="array" ref="W665">_xlfn.IFS(V665&lt;=5000,"Low Salary",V665&lt;=12000,"Good Salary",V665&gt;12000,"High Salary")</f>
        <v>Low Salary</v>
      </c>
      <c r="X665">
        <v>13137</v>
      </c>
      <c r="Y665">
        <v>1</v>
      </c>
      <c r="Z665" t="s">
        <v>42</v>
      </c>
      <c r="AA665" t="s">
        <v>43</v>
      </c>
      <c r="AB665">
        <v>18</v>
      </c>
      <c r="AC665">
        <v>3</v>
      </c>
      <c r="AD665" t="str">
        <f t="shared" si="21"/>
        <v>Low Performance</v>
      </c>
      <c r="AE665">
        <v>1</v>
      </c>
      <c r="AF665">
        <v>80</v>
      </c>
      <c r="AG665">
        <v>0</v>
      </c>
      <c r="AH665">
        <v>3</v>
      </c>
      <c r="AI665">
        <v>3</v>
      </c>
      <c r="AJ665">
        <v>2</v>
      </c>
      <c r="AK665" t="str" cm="1">
        <f t="array" ref="AK665">_xlfn.IFS(AJ665&lt;=2,"Poor",AJ665&lt;=3,"Fair",AJ665&gt;3,"Good")</f>
        <v>Poor</v>
      </c>
      <c r="AL665">
        <v>3</v>
      </c>
      <c r="AM665">
        <v>2</v>
      </c>
      <c r="AN665">
        <v>1</v>
      </c>
      <c r="AO665">
        <v>2</v>
      </c>
    </row>
    <row r="666" spans="1:41" x14ac:dyDescent="0.2">
      <c r="A666">
        <v>1185964</v>
      </c>
      <c r="B666">
        <v>22</v>
      </c>
      <c r="C666" t="str" cm="1">
        <f t="array" ref="C666">_xlfn.IFS(B666&lt;=25,"15-25",B666&lt;=35,"26-35",B666&lt;=45,"36-45",B666&lt;=55,"46-55",B666&lt;=65,"56-65")</f>
        <v>15-25</v>
      </c>
      <c r="D666" t="s">
        <v>35</v>
      </c>
      <c r="E666" t="str">
        <f t="shared" si="20"/>
        <v>Current Employee</v>
      </c>
      <c r="F666" t="s">
        <v>36</v>
      </c>
      <c r="G666">
        <v>617</v>
      </c>
      <c r="H666" t="s">
        <v>54</v>
      </c>
      <c r="I666">
        <v>3</v>
      </c>
      <c r="J666">
        <v>1</v>
      </c>
      <c r="K666" t="s">
        <v>38</v>
      </c>
      <c r="L666">
        <v>1</v>
      </c>
      <c r="M666">
        <v>2</v>
      </c>
      <c r="N666" t="s">
        <v>39</v>
      </c>
      <c r="O666">
        <v>34</v>
      </c>
      <c r="P666">
        <v>3</v>
      </c>
      <c r="Q666">
        <v>2</v>
      </c>
      <c r="R666" t="s">
        <v>51</v>
      </c>
      <c r="S666">
        <v>3</v>
      </c>
      <c r="T666" t="str" cm="1">
        <f t="array" ref="T666">_xlfn.IFS(S666&lt;=2,"Poor",S666&lt;=3,"Fair",S666&gt;=4,"Good")</f>
        <v>Fair</v>
      </c>
      <c r="U666" t="s">
        <v>48</v>
      </c>
      <c r="V666" s="1">
        <v>4171</v>
      </c>
      <c r="W666" t="str" cm="1">
        <f t="array" ref="W666">_xlfn.IFS(V666&lt;=5000,"Low Salary",V666&lt;=12000,"Good Salary",V666&gt;12000,"High Salary")</f>
        <v>Low Salary</v>
      </c>
      <c r="X666">
        <v>10022</v>
      </c>
      <c r="Y666">
        <v>0</v>
      </c>
      <c r="Z666" t="s">
        <v>42</v>
      </c>
      <c r="AA666" t="s">
        <v>43</v>
      </c>
      <c r="AB666">
        <v>19</v>
      </c>
      <c r="AC666">
        <v>3</v>
      </c>
      <c r="AD666" t="str">
        <f t="shared" si="21"/>
        <v>Low Performance</v>
      </c>
      <c r="AE666">
        <v>1</v>
      </c>
      <c r="AF666">
        <v>80</v>
      </c>
      <c r="AG666">
        <v>1</v>
      </c>
      <c r="AH666">
        <v>4</v>
      </c>
      <c r="AI666">
        <v>3</v>
      </c>
      <c r="AJ666">
        <v>4</v>
      </c>
      <c r="AK666" t="str" cm="1">
        <f t="array" ref="AK666">_xlfn.IFS(AJ666&lt;=2,"Poor",AJ666&lt;=3,"Fair",AJ666&gt;3,"Good")</f>
        <v>Good</v>
      </c>
      <c r="AL666">
        <v>3</v>
      </c>
      <c r="AM666">
        <v>2</v>
      </c>
      <c r="AN666">
        <v>0</v>
      </c>
      <c r="AO666">
        <v>2</v>
      </c>
    </row>
    <row r="667" spans="1:41" x14ac:dyDescent="0.2">
      <c r="A667">
        <v>1179676</v>
      </c>
      <c r="B667">
        <v>41</v>
      </c>
      <c r="C667" t="str" cm="1">
        <f t="array" ref="C667">_xlfn.IFS(B667&lt;=25,"15-25",B667&lt;=35,"26-35",B667&lt;=45,"36-45",B667&lt;=55,"46-55",B667&lt;=65,"56-65")</f>
        <v>36-45</v>
      </c>
      <c r="D667" t="s">
        <v>43</v>
      </c>
      <c r="E667" t="str">
        <f t="shared" si="20"/>
        <v>Former Employee</v>
      </c>
      <c r="F667" t="s">
        <v>36</v>
      </c>
      <c r="G667">
        <v>1085</v>
      </c>
      <c r="H667" t="s">
        <v>45</v>
      </c>
      <c r="I667">
        <v>2</v>
      </c>
      <c r="J667">
        <v>4</v>
      </c>
      <c r="K667" t="s">
        <v>38</v>
      </c>
      <c r="L667">
        <v>1</v>
      </c>
      <c r="M667">
        <v>2</v>
      </c>
      <c r="N667" t="s">
        <v>39</v>
      </c>
      <c r="O667">
        <v>57</v>
      </c>
      <c r="P667">
        <v>1</v>
      </c>
      <c r="Q667">
        <v>1</v>
      </c>
      <c r="R667" t="s">
        <v>40</v>
      </c>
      <c r="S667">
        <v>4</v>
      </c>
      <c r="T667" t="str" cm="1">
        <f t="array" ref="T667">_xlfn.IFS(S667&lt;=2,"Poor",S667&lt;=3,"Fair",S667&gt;=4,"Good")</f>
        <v>Good</v>
      </c>
      <c r="U667" t="s">
        <v>50</v>
      </c>
      <c r="V667" s="1">
        <v>2778</v>
      </c>
      <c r="W667" t="str" cm="1">
        <f t="array" ref="W667">_xlfn.IFS(V667&lt;=5000,"Low Salary",V667&lt;=12000,"Good Salary",V667&gt;12000,"High Salary")</f>
        <v>Low Salary</v>
      </c>
      <c r="X667">
        <v>17725</v>
      </c>
      <c r="Y667">
        <v>4</v>
      </c>
      <c r="Z667" t="s">
        <v>42</v>
      </c>
      <c r="AA667" t="s">
        <v>43</v>
      </c>
      <c r="AB667">
        <v>13</v>
      </c>
      <c r="AC667">
        <v>3</v>
      </c>
      <c r="AD667" t="str">
        <f t="shared" si="21"/>
        <v>Low Performance</v>
      </c>
      <c r="AE667">
        <v>3</v>
      </c>
      <c r="AF667">
        <v>80</v>
      </c>
      <c r="AG667">
        <v>1</v>
      </c>
      <c r="AH667">
        <v>10</v>
      </c>
      <c r="AI667">
        <v>1</v>
      </c>
      <c r="AJ667">
        <v>2</v>
      </c>
      <c r="AK667" t="str" cm="1">
        <f t="array" ref="AK667">_xlfn.IFS(AJ667&lt;=2,"Poor",AJ667&lt;=3,"Fair",AJ667&gt;3,"Good")</f>
        <v>Poor</v>
      </c>
      <c r="AL667">
        <v>7</v>
      </c>
      <c r="AM667">
        <v>7</v>
      </c>
      <c r="AN667">
        <v>1</v>
      </c>
      <c r="AO667">
        <v>0</v>
      </c>
    </row>
    <row r="668" spans="1:41" x14ac:dyDescent="0.2">
      <c r="A668">
        <v>1034373</v>
      </c>
      <c r="B668">
        <v>28</v>
      </c>
      <c r="C668" t="str" cm="1">
        <f t="array" ref="C668">_xlfn.IFS(B668&lt;=25,"15-25",B668&lt;=35,"26-35",B668&lt;=45,"36-45",B668&lt;=55,"46-55",B668&lt;=65,"56-65")</f>
        <v>26-35</v>
      </c>
      <c r="D668" t="s">
        <v>35</v>
      </c>
      <c r="E668" t="str">
        <f t="shared" si="20"/>
        <v>Current Employee</v>
      </c>
      <c r="F668" t="s">
        <v>36</v>
      </c>
      <c r="G668">
        <v>995</v>
      </c>
      <c r="H668" t="s">
        <v>45</v>
      </c>
      <c r="I668">
        <v>9</v>
      </c>
      <c r="J668">
        <v>3</v>
      </c>
      <c r="K668" t="s">
        <v>49</v>
      </c>
      <c r="L668">
        <v>1</v>
      </c>
      <c r="M668">
        <v>3</v>
      </c>
      <c r="N668" t="s">
        <v>39</v>
      </c>
      <c r="O668">
        <v>77</v>
      </c>
      <c r="P668">
        <v>3</v>
      </c>
      <c r="Q668">
        <v>1</v>
      </c>
      <c r="R668" t="s">
        <v>47</v>
      </c>
      <c r="S668">
        <v>3</v>
      </c>
      <c r="T668" t="str" cm="1">
        <f t="array" ref="T668">_xlfn.IFS(S668&lt;=2,"Poor",S668&lt;=3,"Fair",S668&gt;=4,"Good")</f>
        <v>Fair</v>
      </c>
      <c r="U668" t="s">
        <v>50</v>
      </c>
      <c r="V668" s="1">
        <v>2377</v>
      </c>
      <c r="W668" t="str" cm="1">
        <f t="array" ref="W668">_xlfn.IFS(V668&lt;=5000,"Low Salary",V668&lt;=12000,"Good Salary",V668&gt;12000,"High Salary")</f>
        <v>Low Salary</v>
      </c>
      <c r="X668">
        <v>9834</v>
      </c>
      <c r="Y668">
        <v>5</v>
      </c>
      <c r="Z668" t="s">
        <v>42</v>
      </c>
      <c r="AA668" t="s">
        <v>35</v>
      </c>
      <c r="AB668">
        <v>18</v>
      </c>
      <c r="AC668">
        <v>3</v>
      </c>
      <c r="AD668" t="str">
        <f t="shared" si="21"/>
        <v>Low Performance</v>
      </c>
      <c r="AE668">
        <v>2</v>
      </c>
      <c r="AF668">
        <v>80</v>
      </c>
      <c r="AG668">
        <v>1</v>
      </c>
      <c r="AH668">
        <v>6</v>
      </c>
      <c r="AI668">
        <v>2</v>
      </c>
      <c r="AJ668">
        <v>3</v>
      </c>
      <c r="AK668" t="str" cm="1">
        <f t="array" ref="AK668">_xlfn.IFS(AJ668&lt;=2,"Poor",AJ668&lt;=3,"Fair",AJ668&gt;3,"Good")</f>
        <v>Fair</v>
      </c>
      <c r="AL668">
        <v>2</v>
      </c>
      <c r="AM668">
        <v>2</v>
      </c>
      <c r="AN668">
        <v>2</v>
      </c>
      <c r="AO668">
        <v>2</v>
      </c>
    </row>
    <row r="669" spans="1:41" x14ac:dyDescent="0.2">
      <c r="A669">
        <v>1126499</v>
      </c>
      <c r="B669">
        <v>39</v>
      </c>
      <c r="C669" t="str" cm="1">
        <f t="array" ref="C669">_xlfn.IFS(B669&lt;=25,"15-25",B669&lt;=35,"26-35",B669&lt;=45,"36-45",B669&lt;=55,"46-55",B669&lt;=65,"56-65")</f>
        <v>36-45</v>
      </c>
      <c r="D669" t="s">
        <v>43</v>
      </c>
      <c r="E669" t="str">
        <f t="shared" si="20"/>
        <v>Former Employee</v>
      </c>
      <c r="F669" t="s">
        <v>36</v>
      </c>
      <c r="G669">
        <v>1122</v>
      </c>
      <c r="H669" t="s">
        <v>45</v>
      </c>
      <c r="I669">
        <v>6</v>
      </c>
      <c r="J669">
        <v>3</v>
      </c>
      <c r="K669" t="s">
        <v>49</v>
      </c>
      <c r="L669">
        <v>1</v>
      </c>
      <c r="M669">
        <v>4</v>
      </c>
      <c r="N669" t="s">
        <v>46</v>
      </c>
      <c r="O669">
        <v>70</v>
      </c>
      <c r="P669">
        <v>3</v>
      </c>
      <c r="Q669">
        <v>1</v>
      </c>
      <c r="R669" t="s">
        <v>40</v>
      </c>
      <c r="S669">
        <v>1</v>
      </c>
      <c r="T669" t="str" cm="1">
        <f t="array" ref="T669">_xlfn.IFS(S669&lt;=2,"Poor",S669&lt;=3,"Fair",S669&gt;=4,"Good")</f>
        <v>Poor</v>
      </c>
      <c r="U669" t="s">
        <v>48</v>
      </c>
      <c r="V669" s="1">
        <v>2404</v>
      </c>
      <c r="W669" t="str" cm="1">
        <f t="array" ref="W669">_xlfn.IFS(V669&lt;=5000,"Low Salary",V669&lt;=12000,"Good Salary",V669&gt;12000,"High Salary")</f>
        <v>Low Salary</v>
      </c>
      <c r="X669">
        <v>4303</v>
      </c>
      <c r="Y669">
        <v>7</v>
      </c>
      <c r="Z669" t="s">
        <v>42</v>
      </c>
      <c r="AA669" t="s">
        <v>43</v>
      </c>
      <c r="AB669">
        <v>21</v>
      </c>
      <c r="AC669">
        <v>4</v>
      </c>
      <c r="AD669" t="str">
        <f t="shared" si="21"/>
        <v>High Performance</v>
      </c>
      <c r="AE669">
        <v>4</v>
      </c>
      <c r="AF669">
        <v>80</v>
      </c>
      <c r="AG669">
        <v>0</v>
      </c>
      <c r="AH669">
        <v>8</v>
      </c>
      <c r="AI669">
        <v>2</v>
      </c>
      <c r="AJ669">
        <v>1</v>
      </c>
      <c r="AK669" t="str" cm="1">
        <f t="array" ref="AK669">_xlfn.IFS(AJ669&lt;=2,"Poor",AJ669&lt;=3,"Fair",AJ669&gt;3,"Good")</f>
        <v>Poor</v>
      </c>
      <c r="AL669">
        <v>2</v>
      </c>
      <c r="AM669">
        <v>2</v>
      </c>
      <c r="AN669">
        <v>2</v>
      </c>
      <c r="AO669">
        <v>2</v>
      </c>
    </row>
    <row r="670" spans="1:41" x14ac:dyDescent="0.2">
      <c r="A670">
        <v>1334359</v>
      </c>
      <c r="B670">
        <v>27</v>
      </c>
      <c r="C670" t="str" cm="1">
        <f t="array" ref="C670">_xlfn.IFS(B670&lt;=25,"15-25",B670&lt;=35,"26-35",B670&lt;=45,"36-45",B670&lt;=55,"46-55",B670&lt;=65,"56-65")</f>
        <v>26-35</v>
      </c>
      <c r="D670" t="s">
        <v>35</v>
      </c>
      <c r="E670" t="str">
        <f t="shared" si="20"/>
        <v>Current Employee</v>
      </c>
      <c r="F670" t="s">
        <v>36</v>
      </c>
      <c r="G670">
        <v>618</v>
      </c>
      <c r="H670" t="s">
        <v>45</v>
      </c>
      <c r="I670">
        <v>4</v>
      </c>
      <c r="J670">
        <v>3</v>
      </c>
      <c r="K670" t="s">
        <v>38</v>
      </c>
      <c r="L670">
        <v>1</v>
      </c>
      <c r="M670">
        <v>2</v>
      </c>
      <c r="N670" t="s">
        <v>39</v>
      </c>
      <c r="O670">
        <v>76</v>
      </c>
      <c r="P670">
        <v>3</v>
      </c>
      <c r="Q670">
        <v>1</v>
      </c>
      <c r="R670" t="s">
        <v>47</v>
      </c>
      <c r="S670">
        <v>3</v>
      </c>
      <c r="T670" t="str" cm="1">
        <f t="array" ref="T670">_xlfn.IFS(S670&lt;=2,"Poor",S670&lt;=3,"Fair",S670&gt;=4,"Good")</f>
        <v>Fair</v>
      </c>
      <c r="U670" t="s">
        <v>41</v>
      </c>
      <c r="V670" s="1">
        <v>2318</v>
      </c>
      <c r="W670" t="str" cm="1">
        <f t="array" ref="W670">_xlfn.IFS(V670&lt;=5000,"Low Salary",V670&lt;=12000,"Good Salary",V670&gt;12000,"High Salary")</f>
        <v>Low Salary</v>
      </c>
      <c r="X670">
        <v>17808</v>
      </c>
      <c r="Y670">
        <v>1</v>
      </c>
      <c r="Z670" t="s">
        <v>42</v>
      </c>
      <c r="AA670" t="s">
        <v>35</v>
      </c>
      <c r="AB670">
        <v>19</v>
      </c>
      <c r="AC670">
        <v>3</v>
      </c>
      <c r="AD670" t="str">
        <f t="shared" si="21"/>
        <v>Low Performance</v>
      </c>
      <c r="AE670">
        <v>3</v>
      </c>
      <c r="AF670">
        <v>80</v>
      </c>
      <c r="AG670">
        <v>0</v>
      </c>
      <c r="AH670">
        <v>1</v>
      </c>
      <c r="AI670">
        <v>2</v>
      </c>
      <c r="AJ670">
        <v>3</v>
      </c>
      <c r="AK670" t="str" cm="1">
        <f t="array" ref="AK670">_xlfn.IFS(AJ670&lt;=2,"Poor",AJ670&lt;=3,"Fair",AJ670&gt;3,"Good")</f>
        <v>Fair</v>
      </c>
      <c r="AL670">
        <v>1</v>
      </c>
      <c r="AM670">
        <v>1</v>
      </c>
      <c r="AN670">
        <v>0</v>
      </c>
      <c r="AO670">
        <v>0</v>
      </c>
    </row>
    <row r="671" spans="1:41" x14ac:dyDescent="0.2">
      <c r="A671">
        <v>1254150</v>
      </c>
      <c r="B671">
        <v>34</v>
      </c>
      <c r="C671" t="str" cm="1">
        <f t="array" ref="C671">_xlfn.IFS(B671&lt;=25,"15-25",B671&lt;=35,"26-35",B671&lt;=45,"36-45",B671&lt;=55,"46-55",B671&lt;=65,"56-65")</f>
        <v>26-35</v>
      </c>
      <c r="D671" t="s">
        <v>35</v>
      </c>
      <c r="E671" t="str">
        <f t="shared" si="20"/>
        <v>Current Employee</v>
      </c>
      <c r="F671" t="s">
        <v>36</v>
      </c>
      <c r="G671">
        <v>546</v>
      </c>
      <c r="H671" t="s">
        <v>45</v>
      </c>
      <c r="I671">
        <v>10</v>
      </c>
      <c r="J671">
        <v>3</v>
      </c>
      <c r="K671" t="s">
        <v>38</v>
      </c>
      <c r="L671">
        <v>1</v>
      </c>
      <c r="M671">
        <v>2</v>
      </c>
      <c r="N671" t="s">
        <v>46</v>
      </c>
      <c r="O671">
        <v>83</v>
      </c>
      <c r="P671">
        <v>3</v>
      </c>
      <c r="Q671">
        <v>1</v>
      </c>
      <c r="R671" t="s">
        <v>40</v>
      </c>
      <c r="S671">
        <v>2</v>
      </c>
      <c r="T671" t="str" cm="1">
        <f t="array" ref="T671">_xlfn.IFS(S671&lt;=2,"Poor",S671&lt;=3,"Fair",S671&gt;=4,"Good")</f>
        <v>Poor</v>
      </c>
      <c r="U671" t="s">
        <v>50</v>
      </c>
      <c r="V671" s="1">
        <v>2008</v>
      </c>
      <c r="W671" t="str" cm="1">
        <f t="array" ref="W671">_xlfn.IFS(V671&lt;=5000,"Low Salary",V671&lt;=12000,"Good Salary",V671&gt;12000,"High Salary")</f>
        <v>Low Salary</v>
      </c>
      <c r="X671">
        <v>6896</v>
      </c>
      <c r="Y671">
        <v>1</v>
      </c>
      <c r="Z671" t="s">
        <v>42</v>
      </c>
      <c r="AA671" t="s">
        <v>35</v>
      </c>
      <c r="AB671">
        <v>14</v>
      </c>
      <c r="AC671">
        <v>3</v>
      </c>
      <c r="AD671" t="str">
        <f t="shared" si="21"/>
        <v>Low Performance</v>
      </c>
      <c r="AE671">
        <v>2</v>
      </c>
      <c r="AF671">
        <v>80</v>
      </c>
      <c r="AG671">
        <v>2</v>
      </c>
      <c r="AH671">
        <v>1</v>
      </c>
      <c r="AI671">
        <v>3</v>
      </c>
      <c r="AJ671">
        <v>3</v>
      </c>
      <c r="AK671" t="str" cm="1">
        <f t="array" ref="AK671">_xlfn.IFS(AJ671&lt;=2,"Poor",AJ671&lt;=3,"Fair",AJ671&gt;3,"Good")</f>
        <v>Fair</v>
      </c>
      <c r="AL671">
        <v>1</v>
      </c>
      <c r="AM671">
        <v>0</v>
      </c>
      <c r="AN671">
        <v>1</v>
      </c>
      <c r="AO671">
        <v>0</v>
      </c>
    </row>
    <row r="672" spans="1:41" x14ac:dyDescent="0.2">
      <c r="A672">
        <v>1206644</v>
      </c>
      <c r="B672">
        <v>42</v>
      </c>
      <c r="C672" t="str" cm="1">
        <f t="array" ref="C672">_xlfn.IFS(B672&lt;=25,"15-25",B672&lt;=35,"26-35",B672&lt;=45,"36-45",B672&lt;=55,"46-55",B672&lt;=65,"56-65")</f>
        <v>36-45</v>
      </c>
      <c r="D672" t="s">
        <v>35</v>
      </c>
      <c r="E672" t="str">
        <f t="shared" si="20"/>
        <v>Current Employee</v>
      </c>
      <c r="F672" t="s">
        <v>36</v>
      </c>
      <c r="G672">
        <v>462</v>
      </c>
      <c r="H672" t="s">
        <v>37</v>
      </c>
      <c r="I672">
        <v>14</v>
      </c>
      <c r="J672">
        <v>2</v>
      </c>
      <c r="K672" t="s">
        <v>49</v>
      </c>
      <c r="L672">
        <v>1</v>
      </c>
      <c r="M672">
        <v>3</v>
      </c>
      <c r="N672" t="s">
        <v>39</v>
      </c>
      <c r="O672">
        <v>68</v>
      </c>
      <c r="P672">
        <v>2</v>
      </c>
      <c r="Q672">
        <v>2</v>
      </c>
      <c r="R672" t="s">
        <v>40</v>
      </c>
      <c r="S672">
        <v>3</v>
      </c>
      <c r="T672" t="str" cm="1">
        <f t="array" ref="T672">_xlfn.IFS(S672&lt;=2,"Poor",S672&lt;=3,"Fair",S672&gt;=4,"Good")</f>
        <v>Fair</v>
      </c>
      <c r="U672" t="s">
        <v>41</v>
      </c>
      <c r="V672" s="1">
        <v>6244</v>
      </c>
      <c r="W672" t="str" cm="1">
        <f t="array" ref="W672">_xlfn.IFS(V672&lt;=5000,"Low Salary",V672&lt;=12000,"Good Salary",V672&gt;12000,"High Salary")</f>
        <v>Good Salary</v>
      </c>
      <c r="X672">
        <v>7824</v>
      </c>
      <c r="Y672">
        <v>7</v>
      </c>
      <c r="Z672" t="s">
        <v>42</v>
      </c>
      <c r="AA672" t="s">
        <v>35</v>
      </c>
      <c r="AB672">
        <v>17</v>
      </c>
      <c r="AC672">
        <v>3</v>
      </c>
      <c r="AD672" t="str">
        <f t="shared" si="21"/>
        <v>Low Performance</v>
      </c>
      <c r="AE672">
        <v>1</v>
      </c>
      <c r="AF672">
        <v>80</v>
      </c>
      <c r="AG672">
        <v>0</v>
      </c>
      <c r="AH672">
        <v>10</v>
      </c>
      <c r="AI672">
        <v>6</v>
      </c>
      <c r="AJ672">
        <v>3</v>
      </c>
      <c r="AK672" t="str" cm="1">
        <f t="array" ref="AK672">_xlfn.IFS(AJ672&lt;=2,"Poor",AJ672&lt;=3,"Fair",AJ672&gt;3,"Good")</f>
        <v>Fair</v>
      </c>
      <c r="AL672">
        <v>5</v>
      </c>
      <c r="AM672">
        <v>4</v>
      </c>
      <c r="AN672">
        <v>0</v>
      </c>
      <c r="AO672">
        <v>3</v>
      </c>
    </row>
    <row r="673" spans="1:41" x14ac:dyDescent="0.2">
      <c r="A673">
        <v>1766963</v>
      </c>
      <c r="B673">
        <v>33</v>
      </c>
      <c r="C673" t="str" cm="1">
        <f t="array" ref="C673">_xlfn.IFS(B673&lt;=25,"15-25",B673&lt;=35,"26-35",B673&lt;=45,"36-45",B673&lt;=55,"46-55",B673&lt;=65,"56-65")</f>
        <v>26-35</v>
      </c>
      <c r="D673" t="s">
        <v>35</v>
      </c>
      <c r="E673" t="str">
        <f t="shared" si="20"/>
        <v>Current Employee</v>
      </c>
      <c r="F673" t="s">
        <v>36</v>
      </c>
      <c r="G673">
        <v>1198</v>
      </c>
      <c r="H673" t="s">
        <v>45</v>
      </c>
      <c r="I673">
        <v>1</v>
      </c>
      <c r="J673">
        <v>4</v>
      </c>
      <c r="K673" t="s">
        <v>47</v>
      </c>
      <c r="L673">
        <v>1</v>
      </c>
      <c r="M673">
        <v>3</v>
      </c>
      <c r="N673" t="s">
        <v>46</v>
      </c>
      <c r="O673">
        <v>100</v>
      </c>
      <c r="P673">
        <v>2</v>
      </c>
      <c r="Q673">
        <v>1</v>
      </c>
      <c r="R673" t="s">
        <v>47</v>
      </c>
      <c r="S673">
        <v>1</v>
      </c>
      <c r="T673" t="str" cm="1">
        <f t="array" ref="T673">_xlfn.IFS(S673&lt;=2,"Poor",S673&lt;=3,"Fair",S673&gt;=4,"Good")</f>
        <v>Poor</v>
      </c>
      <c r="U673" t="s">
        <v>41</v>
      </c>
      <c r="V673" s="1">
        <v>2799</v>
      </c>
      <c r="W673" t="str" cm="1">
        <f t="array" ref="W673">_xlfn.IFS(V673&lt;=5000,"Low Salary",V673&lt;=12000,"Good Salary",V673&gt;12000,"High Salary")</f>
        <v>Low Salary</v>
      </c>
      <c r="X673">
        <v>3339</v>
      </c>
      <c r="Y673">
        <v>3</v>
      </c>
      <c r="Z673" t="s">
        <v>42</v>
      </c>
      <c r="AA673" t="s">
        <v>43</v>
      </c>
      <c r="AB673">
        <v>11</v>
      </c>
      <c r="AC673">
        <v>3</v>
      </c>
      <c r="AD673" t="str">
        <f t="shared" si="21"/>
        <v>Low Performance</v>
      </c>
      <c r="AE673">
        <v>2</v>
      </c>
      <c r="AF673">
        <v>80</v>
      </c>
      <c r="AG673">
        <v>0</v>
      </c>
      <c r="AH673">
        <v>6</v>
      </c>
      <c r="AI673">
        <v>1</v>
      </c>
      <c r="AJ673">
        <v>3</v>
      </c>
      <c r="AK673" t="str" cm="1">
        <f t="array" ref="AK673">_xlfn.IFS(AJ673&lt;=2,"Poor",AJ673&lt;=3,"Fair",AJ673&gt;3,"Good")</f>
        <v>Fair</v>
      </c>
      <c r="AL673">
        <v>3</v>
      </c>
      <c r="AM673">
        <v>2</v>
      </c>
      <c r="AN673">
        <v>0</v>
      </c>
      <c r="AO673">
        <v>2</v>
      </c>
    </row>
    <row r="674" spans="1:41" x14ac:dyDescent="0.2">
      <c r="A674">
        <v>1795081</v>
      </c>
      <c r="B674">
        <v>58</v>
      </c>
      <c r="C674" t="str" cm="1">
        <f t="array" ref="C674">_xlfn.IFS(B674&lt;=25,"15-25",B674&lt;=35,"26-35",B674&lt;=45,"36-45",B674&lt;=55,"46-55",B674&lt;=65,"56-65")</f>
        <v>56-65</v>
      </c>
      <c r="D674" t="s">
        <v>35</v>
      </c>
      <c r="E674" t="str">
        <f t="shared" si="20"/>
        <v>Current Employee</v>
      </c>
      <c r="F674" t="s">
        <v>36</v>
      </c>
      <c r="G674">
        <v>1272</v>
      </c>
      <c r="H674" t="s">
        <v>45</v>
      </c>
      <c r="I674">
        <v>5</v>
      </c>
      <c r="J674">
        <v>3</v>
      </c>
      <c r="K674" t="s">
        <v>56</v>
      </c>
      <c r="L674">
        <v>1</v>
      </c>
      <c r="M674">
        <v>3</v>
      </c>
      <c r="N674" t="s">
        <v>39</v>
      </c>
      <c r="O674">
        <v>37</v>
      </c>
      <c r="P674">
        <v>2</v>
      </c>
      <c r="Q674">
        <v>3</v>
      </c>
      <c r="R674" t="s">
        <v>40</v>
      </c>
      <c r="S674">
        <v>2</v>
      </c>
      <c r="T674" t="str" cm="1">
        <f t="array" ref="T674">_xlfn.IFS(S674&lt;=2,"Poor",S674&lt;=3,"Fair",S674&gt;=4,"Good")</f>
        <v>Poor</v>
      </c>
      <c r="U674" t="s">
        <v>50</v>
      </c>
      <c r="V674" s="1">
        <v>10552</v>
      </c>
      <c r="W674" t="str" cm="1">
        <f t="array" ref="W674">_xlfn.IFS(V674&lt;=5000,"Low Salary",V674&lt;=12000,"Good Salary",V674&gt;12000,"High Salary")</f>
        <v>Good Salary</v>
      </c>
      <c r="X674">
        <v>9255</v>
      </c>
      <c r="Y674">
        <v>2</v>
      </c>
      <c r="Z674" t="s">
        <v>42</v>
      </c>
      <c r="AA674" t="s">
        <v>43</v>
      </c>
      <c r="AB674">
        <v>13</v>
      </c>
      <c r="AC674">
        <v>3</v>
      </c>
      <c r="AD674" t="str">
        <f t="shared" si="21"/>
        <v>Low Performance</v>
      </c>
      <c r="AE674">
        <v>4</v>
      </c>
      <c r="AF674">
        <v>80</v>
      </c>
      <c r="AG674">
        <v>1</v>
      </c>
      <c r="AH674">
        <v>24</v>
      </c>
      <c r="AI674">
        <v>3</v>
      </c>
      <c r="AJ674">
        <v>3</v>
      </c>
      <c r="AK674" t="str" cm="1">
        <f t="array" ref="AK674">_xlfn.IFS(AJ674&lt;=2,"Poor",AJ674&lt;=3,"Fair",AJ674&gt;3,"Good")</f>
        <v>Fair</v>
      </c>
      <c r="AL674">
        <v>6</v>
      </c>
      <c r="AM674">
        <v>0</v>
      </c>
      <c r="AN674">
        <v>0</v>
      </c>
      <c r="AO674">
        <v>4</v>
      </c>
    </row>
    <row r="675" spans="1:41" x14ac:dyDescent="0.2">
      <c r="A675">
        <v>1213565</v>
      </c>
      <c r="B675">
        <v>31</v>
      </c>
      <c r="C675" t="str" cm="1">
        <f t="array" ref="C675">_xlfn.IFS(B675&lt;=25,"15-25",B675&lt;=35,"26-35",B675&lt;=45,"36-45",B675&lt;=55,"46-55",B675&lt;=65,"56-65")</f>
        <v>26-35</v>
      </c>
      <c r="D675" t="s">
        <v>35</v>
      </c>
      <c r="E675" t="str">
        <f t="shared" si="20"/>
        <v>Current Employee</v>
      </c>
      <c r="F675" t="s">
        <v>36</v>
      </c>
      <c r="G675">
        <v>154</v>
      </c>
      <c r="H675" t="s">
        <v>37</v>
      </c>
      <c r="I675">
        <v>7</v>
      </c>
      <c r="J675">
        <v>4</v>
      </c>
      <c r="K675" t="s">
        <v>38</v>
      </c>
      <c r="L675">
        <v>1</v>
      </c>
      <c r="M675">
        <v>2</v>
      </c>
      <c r="N675" t="s">
        <v>46</v>
      </c>
      <c r="O675">
        <v>41</v>
      </c>
      <c r="P675">
        <v>2</v>
      </c>
      <c r="Q675">
        <v>1</v>
      </c>
      <c r="R675" t="s">
        <v>47</v>
      </c>
      <c r="S675">
        <v>3</v>
      </c>
      <c r="T675" t="str" cm="1">
        <f t="array" ref="T675">_xlfn.IFS(S675&lt;=2,"Poor",S675&lt;=3,"Fair",S675&gt;=4,"Good")</f>
        <v>Fair</v>
      </c>
      <c r="U675" t="s">
        <v>48</v>
      </c>
      <c r="V675" s="1">
        <v>2329</v>
      </c>
      <c r="W675" t="str" cm="1">
        <f t="array" ref="W675">_xlfn.IFS(V675&lt;=5000,"Low Salary",V675&lt;=12000,"Good Salary",V675&gt;12000,"High Salary")</f>
        <v>Low Salary</v>
      </c>
      <c r="X675">
        <v>11737</v>
      </c>
      <c r="Y675">
        <v>3</v>
      </c>
      <c r="Z675" t="s">
        <v>42</v>
      </c>
      <c r="AA675" t="s">
        <v>35</v>
      </c>
      <c r="AB675">
        <v>15</v>
      </c>
      <c r="AC675">
        <v>3</v>
      </c>
      <c r="AD675" t="str">
        <f t="shared" si="21"/>
        <v>Low Performance</v>
      </c>
      <c r="AE675">
        <v>2</v>
      </c>
      <c r="AF675">
        <v>80</v>
      </c>
      <c r="AG675">
        <v>0</v>
      </c>
      <c r="AH675">
        <v>13</v>
      </c>
      <c r="AI675">
        <v>2</v>
      </c>
      <c r="AJ675">
        <v>4</v>
      </c>
      <c r="AK675" t="str" cm="1">
        <f t="array" ref="AK675">_xlfn.IFS(AJ675&lt;=2,"Poor",AJ675&lt;=3,"Fair",AJ675&gt;3,"Good")</f>
        <v>Good</v>
      </c>
      <c r="AL675">
        <v>7</v>
      </c>
      <c r="AM675">
        <v>7</v>
      </c>
      <c r="AN675">
        <v>5</v>
      </c>
      <c r="AO675">
        <v>2</v>
      </c>
    </row>
    <row r="676" spans="1:41" x14ac:dyDescent="0.2">
      <c r="A676">
        <v>1416487</v>
      </c>
      <c r="B676">
        <v>35</v>
      </c>
      <c r="C676" t="str" cm="1">
        <f t="array" ref="C676">_xlfn.IFS(B676&lt;=25,"15-25",B676&lt;=35,"26-35",B676&lt;=45,"36-45",B676&lt;=55,"46-55",B676&lt;=65,"56-65")</f>
        <v>26-35</v>
      </c>
      <c r="D676" t="s">
        <v>35</v>
      </c>
      <c r="E676" t="str">
        <f t="shared" si="20"/>
        <v>Current Employee</v>
      </c>
      <c r="F676" t="s">
        <v>36</v>
      </c>
      <c r="G676">
        <v>1137</v>
      </c>
      <c r="H676" t="s">
        <v>45</v>
      </c>
      <c r="I676">
        <v>21</v>
      </c>
      <c r="J676">
        <v>1</v>
      </c>
      <c r="K676" t="s">
        <v>38</v>
      </c>
      <c r="L676">
        <v>1</v>
      </c>
      <c r="M676">
        <v>4</v>
      </c>
      <c r="N676" t="s">
        <v>39</v>
      </c>
      <c r="O676">
        <v>51</v>
      </c>
      <c r="P676">
        <v>3</v>
      </c>
      <c r="Q676">
        <v>2</v>
      </c>
      <c r="R676" t="s">
        <v>40</v>
      </c>
      <c r="S676">
        <v>4</v>
      </c>
      <c r="T676" t="str" cm="1">
        <f t="array" ref="T676">_xlfn.IFS(S676&lt;=2,"Poor",S676&lt;=3,"Fair",S676&gt;=4,"Good")</f>
        <v>Good</v>
      </c>
      <c r="U676" t="s">
        <v>48</v>
      </c>
      <c r="V676" s="1">
        <v>4014</v>
      </c>
      <c r="W676" t="str" cm="1">
        <f t="array" ref="W676">_xlfn.IFS(V676&lt;=5000,"Low Salary",V676&lt;=12000,"Good Salary",V676&gt;12000,"High Salary")</f>
        <v>Low Salary</v>
      </c>
      <c r="X676">
        <v>19170</v>
      </c>
      <c r="Y676">
        <v>1</v>
      </c>
      <c r="Z676" t="s">
        <v>42</v>
      </c>
      <c r="AA676" t="s">
        <v>43</v>
      </c>
      <c r="AB676">
        <v>25</v>
      </c>
      <c r="AC676">
        <v>4</v>
      </c>
      <c r="AD676" t="str">
        <f t="shared" si="21"/>
        <v>High Performance</v>
      </c>
      <c r="AE676">
        <v>4</v>
      </c>
      <c r="AF676">
        <v>80</v>
      </c>
      <c r="AG676">
        <v>1</v>
      </c>
      <c r="AH676">
        <v>10</v>
      </c>
      <c r="AI676">
        <v>2</v>
      </c>
      <c r="AJ676">
        <v>1</v>
      </c>
      <c r="AK676" t="str" cm="1">
        <f t="array" ref="AK676">_xlfn.IFS(AJ676&lt;=2,"Poor",AJ676&lt;=3,"Fair",AJ676&gt;3,"Good")</f>
        <v>Poor</v>
      </c>
      <c r="AL676">
        <v>10</v>
      </c>
      <c r="AM676">
        <v>6</v>
      </c>
      <c r="AN676">
        <v>0</v>
      </c>
      <c r="AO676">
        <v>7</v>
      </c>
    </row>
    <row r="677" spans="1:41" x14ac:dyDescent="0.2">
      <c r="A677">
        <v>1314640</v>
      </c>
      <c r="B677">
        <v>49</v>
      </c>
      <c r="C677" t="str" cm="1">
        <f t="array" ref="C677">_xlfn.IFS(B677&lt;=25,"15-25",B677&lt;=35,"26-35",B677&lt;=45,"36-45",B677&lt;=55,"46-55",B677&lt;=65,"56-65")</f>
        <v>46-55</v>
      </c>
      <c r="D677" t="s">
        <v>35</v>
      </c>
      <c r="E677" t="str">
        <f t="shared" si="20"/>
        <v>Current Employee</v>
      </c>
      <c r="F677" t="s">
        <v>36</v>
      </c>
      <c r="G677">
        <v>527</v>
      </c>
      <c r="H677" t="s">
        <v>45</v>
      </c>
      <c r="I677">
        <v>8</v>
      </c>
      <c r="J677">
        <v>2</v>
      </c>
      <c r="K677" t="s">
        <v>47</v>
      </c>
      <c r="L677">
        <v>1</v>
      </c>
      <c r="M677">
        <v>1</v>
      </c>
      <c r="N677" t="s">
        <v>39</v>
      </c>
      <c r="O677">
        <v>51</v>
      </c>
      <c r="P677">
        <v>3</v>
      </c>
      <c r="Q677">
        <v>3</v>
      </c>
      <c r="R677" t="s">
        <v>40</v>
      </c>
      <c r="S677">
        <v>2</v>
      </c>
      <c r="T677" t="str" cm="1">
        <f t="array" ref="T677">_xlfn.IFS(S677&lt;=2,"Poor",S677&lt;=3,"Fair",S677&gt;=4,"Good")</f>
        <v>Poor</v>
      </c>
      <c r="U677" t="s">
        <v>48</v>
      </c>
      <c r="V677" s="1">
        <v>7403</v>
      </c>
      <c r="W677" t="str" cm="1">
        <f t="array" ref="W677">_xlfn.IFS(V677&lt;=5000,"Low Salary",V677&lt;=12000,"Good Salary",V677&gt;12000,"High Salary")</f>
        <v>Good Salary</v>
      </c>
      <c r="X677">
        <v>22477</v>
      </c>
      <c r="Y677">
        <v>4</v>
      </c>
      <c r="Z677" t="s">
        <v>42</v>
      </c>
      <c r="AA677" t="s">
        <v>35</v>
      </c>
      <c r="AB677">
        <v>11</v>
      </c>
      <c r="AC677">
        <v>3</v>
      </c>
      <c r="AD677" t="str">
        <f t="shared" si="21"/>
        <v>Low Performance</v>
      </c>
      <c r="AE677">
        <v>3</v>
      </c>
      <c r="AF677">
        <v>80</v>
      </c>
      <c r="AG677">
        <v>1</v>
      </c>
      <c r="AH677">
        <v>29</v>
      </c>
      <c r="AI677">
        <v>3</v>
      </c>
      <c r="AJ677">
        <v>2</v>
      </c>
      <c r="AK677" t="str" cm="1">
        <f t="array" ref="AK677">_xlfn.IFS(AJ677&lt;=2,"Poor",AJ677&lt;=3,"Fair",AJ677&gt;3,"Good")</f>
        <v>Poor</v>
      </c>
      <c r="AL677">
        <v>26</v>
      </c>
      <c r="AM677">
        <v>9</v>
      </c>
      <c r="AN677">
        <v>1</v>
      </c>
      <c r="AO677">
        <v>7</v>
      </c>
    </row>
    <row r="678" spans="1:41" x14ac:dyDescent="0.2">
      <c r="A678">
        <v>1186466</v>
      </c>
      <c r="B678">
        <v>48</v>
      </c>
      <c r="C678" t="str" cm="1">
        <f t="array" ref="C678">_xlfn.IFS(B678&lt;=25,"15-25",B678&lt;=35,"26-35",B678&lt;=45,"36-45",B678&lt;=55,"46-55",B678&lt;=65,"56-65")</f>
        <v>46-55</v>
      </c>
      <c r="D678" t="s">
        <v>35</v>
      </c>
      <c r="E678" t="str">
        <f t="shared" si="20"/>
        <v>Current Employee</v>
      </c>
      <c r="F678" t="s">
        <v>36</v>
      </c>
      <c r="G678">
        <v>1469</v>
      </c>
      <c r="H678" t="s">
        <v>45</v>
      </c>
      <c r="I678">
        <v>20</v>
      </c>
      <c r="J678">
        <v>4</v>
      </c>
      <c r="K678" t="s">
        <v>49</v>
      </c>
      <c r="L678">
        <v>1</v>
      </c>
      <c r="M678">
        <v>4</v>
      </c>
      <c r="N678" t="s">
        <v>46</v>
      </c>
      <c r="O678">
        <v>51</v>
      </c>
      <c r="P678">
        <v>3</v>
      </c>
      <c r="Q678">
        <v>1</v>
      </c>
      <c r="R678" t="s">
        <v>47</v>
      </c>
      <c r="S678">
        <v>3</v>
      </c>
      <c r="T678" t="str" cm="1">
        <f t="array" ref="T678">_xlfn.IFS(S678&lt;=2,"Poor",S678&lt;=3,"Fair",S678&gt;=4,"Good")</f>
        <v>Fair</v>
      </c>
      <c r="U678" t="s">
        <v>48</v>
      </c>
      <c r="V678" s="1">
        <v>2259</v>
      </c>
      <c r="W678" t="str" cm="1">
        <f t="array" ref="W678">_xlfn.IFS(V678&lt;=5000,"Low Salary",V678&lt;=12000,"Good Salary",V678&gt;12000,"High Salary")</f>
        <v>Low Salary</v>
      </c>
      <c r="X678">
        <v>5543</v>
      </c>
      <c r="Y678">
        <v>4</v>
      </c>
      <c r="Z678" t="s">
        <v>42</v>
      </c>
      <c r="AA678" t="s">
        <v>35</v>
      </c>
      <c r="AB678">
        <v>17</v>
      </c>
      <c r="AC678">
        <v>3</v>
      </c>
      <c r="AD678" t="str">
        <f t="shared" si="21"/>
        <v>Low Performance</v>
      </c>
      <c r="AE678">
        <v>1</v>
      </c>
      <c r="AF678">
        <v>80</v>
      </c>
      <c r="AG678">
        <v>2</v>
      </c>
      <c r="AH678">
        <v>13</v>
      </c>
      <c r="AI678">
        <v>2</v>
      </c>
      <c r="AJ678">
        <v>2</v>
      </c>
      <c r="AK678" t="str" cm="1">
        <f t="array" ref="AK678">_xlfn.IFS(AJ678&lt;=2,"Poor",AJ678&lt;=3,"Fair",AJ678&gt;3,"Good")</f>
        <v>Poor</v>
      </c>
      <c r="AL678">
        <v>0</v>
      </c>
      <c r="AM678">
        <v>0</v>
      </c>
      <c r="AN678">
        <v>0</v>
      </c>
      <c r="AO678">
        <v>0</v>
      </c>
    </row>
    <row r="679" spans="1:41" x14ac:dyDescent="0.2">
      <c r="A679">
        <v>1749032</v>
      </c>
      <c r="B679">
        <v>31</v>
      </c>
      <c r="C679" t="str" cm="1">
        <f t="array" ref="C679">_xlfn.IFS(B679&lt;=25,"15-25",B679&lt;=35,"26-35",B679&lt;=45,"36-45",B679&lt;=55,"46-55",B679&lt;=65,"56-65")</f>
        <v>26-35</v>
      </c>
      <c r="D679" t="s">
        <v>35</v>
      </c>
      <c r="E679" t="str">
        <f t="shared" si="20"/>
        <v>Current Employee</v>
      </c>
      <c r="F679" t="s">
        <v>52</v>
      </c>
      <c r="G679">
        <v>1188</v>
      </c>
      <c r="H679" t="s">
        <v>37</v>
      </c>
      <c r="I679">
        <v>20</v>
      </c>
      <c r="J679">
        <v>2</v>
      </c>
      <c r="K679" t="s">
        <v>55</v>
      </c>
      <c r="L679">
        <v>1</v>
      </c>
      <c r="M679">
        <v>4</v>
      </c>
      <c r="N679" t="s">
        <v>39</v>
      </c>
      <c r="O679">
        <v>45</v>
      </c>
      <c r="P679">
        <v>3</v>
      </c>
      <c r="Q679">
        <v>2</v>
      </c>
      <c r="R679" t="s">
        <v>40</v>
      </c>
      <c r="S679">
        <v>3</v>
      </c>
      <c r="T679" t="str" cm="1">
        <f t="array" ref="T679">_xlfn.IFS(S679&lt;=2,"Poor",S679&lt;=3,"Fair",S679&gt;=4,"Good")</f>
        <v>Fair</v>
      </c>
      <c r="U679" t="s">
        <v>48</v>
      </c>
      <c r="V679" s="1">
        <v>6932</v>
      </c>
      <c r="W679" t="str" cm="1">
        <f t="array" ref="W679">_xlfn.IFS(V679&lt;=5000,"Low Salary",V679&lt;=12000,"Good Salary",V679&gt;12000,"High Salary")</f>
        <v>Good Salary</v>
      </c>
      <c r="X679">
        <v>24406</v>
      </c>
      <c r="Y679">
        <v>1</v>
      </c>
      <c r="Z679" t="s">
        <v>42</v>
      </c>
      <c r="AA679" t="s">
        <v>35</v>
      </c>
      <c r="AB679">
        <v>13</v>
      </c>
      <c r="AC679">
        <v>3</v>
      </c>
      <c r="AD679" t="str">
        <f t="shared" si="21"/>
        <v>Low Performance</v>
      </c>
      <c r="AE679">
        <v>4</v>
      </c>
      <c r="AF679">
        <v>80</v>
      </c>
      <c r="AG679">
        <v>1</v>
      </c>
      <c r="AH679">
        <v>9</v>
      </c>
      <c r="AI679">
        <v>2</v>
      </c>
      <c r="AJ679">
        <v>2</v>
      </c>
      <c r="AK679" t="str" cm="1">
        <f t="array" ref="AK679">_xlfn.IFS(AJ679&lt;=2,"Poor",AJ679&lt;=3,"Fair",AJ679&gt;3,"Good")</f>
        <v>Poor</v>
      </c>
      <c r="AL679">
        <v>9</v>
      </c>
      <c r="AM679">
        <v>8</v>
      </c>
      <c r="AN679">
        <v>0</v>
      </c>
      <c r="AO679">
        <v>0</v>
      </c>
    </row>
    <row r="680" spans="1:41" x14ac:dyDescent="0.2">
      <c r="A680">
        <v>1674536</v>
      </c>
      <c r="B680">
        <v>36</v>
      </c>
      <c r="C680" t="str" cm="1">
        <f t="array" ref="C680">_xlfn.IFS(B680&lt;=25,"15-25",B680&lt;=35,"26-35",B680&lt;=45,"36-45",B680&lt;=55,"46-55",B680&lt;=65,"56-65")</f>
        <v>36-45</v>
      </c>
      <c r="D680" t="s">
        <v>35</v>
      </c>
      <c r="E680" t="str">
        <f t="shared" si="20"/>
        <v>Current Employee</v>
      </c>
      <c r="F680" t="s">
        <v>36</v>
      </c>
      <c r="G680">
        <v>188</v>
      </c>
      <c r="H680" t="s">
        <v>45</v>
      </c>
      <c r="I680">
        <v>7</v>
      </c>
      <c r="J680">
        <v>4</v>
      </c>
      <c r="K680" t="s">
        <v>47</v>
      </c>
      <c r="L680">
        <v>1</v>
      </c>
      <c r="M680">
        <v>2</v>
      </c>
      <c r="N680" t="s">
        <v>46</v>
      </c>
      <c r="O680">
        <v>65</v>
      </c>
      <c r="P680">
        <v>3</v>
      </c>
      <c r="Q680">
        <v>1</v>
      </c>
      <c r="R680" t="s">
        <v>47</v>
      </c>
      <c r="S680">
        <v>4</v>
      </c>
      <c r="T680" t="str" cm="1">
        <f t="array" ref="T680">_xlfn.IFS(S680&lt;=2,"Poor",S680&lt;=3,"Fair",S680&gt;=4,"Good")</f>
        <v>Good</v>
      </c>
      <c r="U680" t="s">
        <v>41</v>
      </c>
      <c r="V680" s="1">
        <v>4678</v>
      </c>
      <c r="W680" t="str" cm="1">
        <f t="array" ref="W680">_xlfn.IFS(V680&lt;=5000,"Low Salary",V680&lt;=12000,"Good Salary",V680&gt;12000,"High Salary")</f>
        <v>Low Salary</v>
      </c>
      <c r="X680">
        <v>23293</v>
      </c>
      <c r="Y680">
        <v>2</v>
      </c>
      <c r="Z680" t="s">
        <v>42</v>
      </c>
      <c r="AA680" t="s">
        <v>35</v>
      </c>
      <c r="AB680">
        <v>18</v>
      </c>
      <c r="AC680">
        <v>3</v>
      </c>
      <c r="AD680" t="str">
        <f t="shared" si="21"/>
        <v>Low Performance</v>
      </c>
      <c r="AE680">
        <v>3</v>
      </c>
      <c r="AF680">
        <v>80</v>
      </c>
      <c r="AG680">
        <v>0</v>
      </c>
      <c r="AH680">
        <v>8</v>
      </c>
      <c r="AI680">
        <v>6</v>
      </c>
      <c r="AJ680">
        <v>3</v>
      </c>
      <c r="AK680" t="str" cm="1">
        <f t="array" ref="AK680">_xlfn.IFS(AJ680&lt;=2,"Poor",AJ680&lt;=3,"Fair",AJ680&gt;3,"Good")</f>
        <v>Fair</v>
      </c>
      <c r="AL680">
        <v>6</v>
      </c>
      <c r="AM680">
        <v>2</v>
      </c>
      <c r="AN680">
        <v>0</v>
      </c>
      <c r="AO680">
        <v>1</v>
      </c>
    </row>
    <row r="681" spans="1:41" x14ac:dyDescent="0.2">
      <c r="A681">
        <v>1327078</v>
      </c>
      <c r="B681">
        <v>38</v>
      </c>
      <c r="C681" t="str" cm="1">
        <f t="array" ref="C681">_xlfn.IFS(B681&lt;=25,"15-25",B681&lt;=35,"26-35",B681&lt;=45,"36-45",B681&lt;=55,"46-55",B681&lt;=65,"56-65")</f>
        <v>36-45</v>
      </c>
      <c r="D681" t="s">
        <v>35</v>
      </c>
      <c r="E681" t="str">
        <f t="shared" si="20"/>
        <v>Current Employee</v>
      </c>
      <c r="F681" t="s">
        <v>36</v>
      </c>
      <c r="G681">
        <v>1333</v>
      </c>
      <c r="H681" t="s">
        <v>45</v>
      </c>
      <c r="I681">
        <v>1</v>
      </c>
      <c r="J681">
        <v>3</v>
      </c>
      <c r="K681" t="s">
        <v>56</v>
      </c>
      <c r="L681">
        <v>1</v>
      </c>
      <c r="M681">
        <v>4</v>
      </c>
      <c r="N681" t="s">
        <v>39</v>
      </c>
      <c r="O681">
        <v>80</v>
      </c>
      <c r="P681">
        <v>3</v>
      </c>
      <c r="Q681">
        <v>3</v>
      </c>
      <c r="R681" t="s">
        <v>53</v>
      </c>
      <c r="S681">
        <v>1</v>
      </c>
      <c r="T681" t="str" cm="1">
        <f t="array" ref="T681">_xlfn.IFS(S681&lt;=2,"Poor",S681&lt;=3,"Fair",S681&gt;=4,"Good")</f>
        <v>Poor</v>
      </c>
      <c r="U681" t="s">
        <v>48</v>
      </c>
      <c r="V681" s="1">
        <v>13582</v>
      </c>
      <c r="W681" t="str" cm="1">
        <f t="array" ref="W681">_xlfn.IFS(V681&lt;=5000,"Low Salary",V681&lt;=12000,"Good Salary",V681&gt;12000,"High Salary")</f>
        <v>High Salary</v>
      </c>
      <c r="X681">
        <v>16292</v>
      </c>
      <c r="Y681">
        <v>1</v>
      </c>
      <c r="Z681" t="s">
        <v>42</v>
      </c>
      <c r="AA681" t="s">
        <v>35</v>
      </c>
      <c r="AB681">
        <v>13</v>
      </c>
      <c r="AC681">
        <v>3</v>
      </c>
      <c r="AD681" t="str">
        <f t="shared" si="21"/>
        <v>Low Performance</v>
      </c>
      <c r="AE681">
        <v>2</v>
      </c>
      <c r="AF681">
        <v>80</v>
      </c>
      <c r="AG681">
        <v>1</v>
      </c>
      <c r="AH681">
        <v>15</v>
      </c>
      <c r="AI681">
        <v>3</v>
      </c>
      <c r="AJ681">
        <v>3</v>
      </c>
      <c r="AK681" t="str" cm="1">
        <f t="array" ref="AK681">_xlfn.IFS(AJ681&lt;=2,"Poor",AJ681&lt;=3,"Fair",AJ681&gt;3,"Good")</f>
        <v>Fair</v>
      </c>
      <c r="AL681">
        <v>15</v>
      </c>
      <c r="AM681">
        <v>12</v>
      </c>
      <c r="AN681">
        <v>5</v>
      </c>
      <c r="AO681">
        <v>11</v>
      </c>
    </row>
    <row r="682" spans="1:41" x14ac:dyDescent="0.2">
      <c r="A682">
        <v>1738679</v>
      </c>
      <c r="B682">
        <v>32</v>
      </c>
      <c r="C682" t="str" cm="1">
        <f t="array" ref="C682">_xlfn.IFS(B682&lt;=25,"15-25",B682&lt;=35,"26-35",B682&lt;=45,"36-45",B682&lt;=55,"46-55",B682&lt;=65,"56-65")</f>
        <v>26-35</v>
      </c>
      <c r="D682" t="s">
        <v>35</v>
      </c>
      <c r="E682" t="str">
        <f t="shared" si="20"/>
        <v>Current Employee</v>
      </c>
      <c r="F682" t="s">
        <v>52</v>
      </c>
      <c r="G682">
        <v>1184</v>
      </c>
      <c r="H682" t="s">
        <v>45</v>
      </c>
      <c r="I682">
        <v>1</v>
      </c>
      <c r="J682">
        <v>3</v>
      </c>
      <c r="K682" t="s">
        <v>38</v>
      </c>
      <c r="L682">
        <v>1</v>
      </c>
      <c r="M682">
        <v>3</v>
      </c>
      <c r="N682" t="s">
        <v>39</v>
      </c>
      <c r="O682">
        <v>70</v>
      </c>
      <c r="P682">
        <v>2</v>
      </c>
      <c r="Q682">
        <v>1</v>
      </c>
      <c r="R682" t="s">
        <v>40</v>
      </c>
      <c r="S682">
        <v>2</v>
      </c>
      <c r="T682" t="str" cm="1">
        <f t="array" ref="T682">_xlfn.IFS(S682&lt;=2,"Poor",S682&lt;=3,"Fair",S682&gt;=4,"Good")</f>
        <v>Poor</v>
      </c>
      <c r="U682" t="s">
        <v>48</v>
      </c>
      <c r="V682" s="1">
        <v>2332</v>
      </c>
      <c r="W682" t="str" cm="1">
        <f t="array" ref="W682">_xlfn.IFS(V682&lt;=5000,"Low Salary",V682&lt;=12000,"Good Salary",V682&gt;12000,"High Salary")</f>
        <v>Low Salary</v>
      </c>
      <c r="X682">
        <v>3974</v>
      </c>
      <c r="Y682">
        <v>6</v>
      </c>
      <c r="Z682" t="s">
        <v>42</v>
      </c>
      <c r="AA682" t="s">
        <v>35</v>
      </c>
      <c r="AB682">
        <v>20</v>
      </c>
      <c r="AC682">
        <v>4</v>
      </c>
      <c r="AD682" t="str">
        <f t="shared" si="21"/>
        <v>High Performance</v>
      </c>
      <c r="AE682">
        <v>3</v>
      </c>
      <c r="AF682">
        <v>80</v>
      </c>
      <c r="AG682">
        <v>0</v>
      </c>
      <c r="AH682">
        <v>5</v>
      </c>
      <c r="AI682">
        <v>3</v>
      </c>
      <c r="AJ682">
        <v>3</v>
      </c>
      <c r="AK682" t="str" cm="1">
        <f t="array" ref="AK682">_xlfn.IFS(AJ682&lt;=2,"Poor",AJ682&lt;=3,"Fair",AJ682&gt;3,"Good")</f>
        <v>Fair</v>
      </c>
      <c r="AL682">
        <v>3</v>
      </c>
      <c r="AM682">
        <v>0</v>
      </c>
      <c r="AN682">
        <v>0</v>
      </c>
      <c r="AO682">
        <v>2</v>
      </c>
    </row>
    <row r="683" spans="1:41" x14ac:dyDescent="0.2">
      <c r="A683">
        <v>1117151</v>
      </c>
      <c r="B683">
        <v>25</v>
      </c>
      <c r="C683" t="str" cm="1">
        <f t="array" ref="C683">_xlfn.IFS(B683&lt;=25,"15-25",B683&lt;=35,"26-35",B683&lt;=45,"36-45",B683&lt;=55,"46-55",B683&lt;=65,"56-65")</f>
        <v>15-25</v>
      </c>
      <c r="D683" t="s">
        <v>43</v>
      </c>
      <c r="E683" t="str">
        <f t="shared" si="20"/>
        <v>Former Employee</v>
      </c>
      <c r="F683" t="s">
        <v>36</v>
      </c>
      <c r="G683">
        <v>867</v>
      </c>
      <c r="H683" t="s">
        <v>37</v>
      </c>
      <c r="I683">
        <v>19</v>
      </c>
      <c r="J683">
        <v>2</v>
      </c>
      <c r="K683" t="s">
        <v>55</v>
      </c>
      <c r="L683">
        <v>1</v>
      </c>
      <c r="M683">
        <v>3</v>
      </c>
      <c r="N683" t="s">
        <v>46</v>
      </c>
      <c r="O683">
        <v>36</v>
      </c>
      <c r="P683">
        <v>2</v>
      </c>
      <c r="Q683">
        <v>1</v>
      </c>
      <c r="R683" t="s">
        <v>47</v>
      </c>
      <c r="S683">
        <v>2</v>
      </c>
      <c r="T683" t="str" cm="1">
        <f t="array" ref="T683">_xlfn.IFS(S683&lt;=2,"Poor",S683&lt;=3,"Fair",S683&gt;=4,"Good")</f>
        <v>Poor</v>
      </c>
      <c r="U683" t="s">
        <v>48</v>
      </c>
      <c r="V683" s="1">
        <v>2413</v>
      </c>
      <c r="W683" t="str" cm="1">
        <f t="array" ref="W683">_xlfn.IFS(V683&lt;=5000,"Low Salary",V683&lt;=12000,"Good Salary",V683&gt;12000,"High Salary")</f>
        <v>Low Salary</v>
      </c>
      <c r="X683">
        <v>18798</v>
      </c>
      <c r="Y683">
        <v>1</v>
      </c>
      <c r="Z683" t="s">
        <v>42</v>
      </c>
      <c r="AA683" t="s">
        <v>43</v>
      </c>
      <c r="AB683">
        <v>18</v>
      </c>
      <c r="AC683">
        <v>3</v>
      </c>
      <c r="AD683" t="str">
        <f t="shared" si="21"/>
        <v>Low Performance</v>
      </c>
      <c r="AE683">
        <v>3</v>
      </c>
      <c r="AF683">
        <v>80</v>
      </c>
      <c r="AG683">
        <v>3</v>
      </c>
      <c r="AH683">
        <v>1</v>
      </c>
      <c r="AI683">
        <v>2</v>
      </c>
      <c r="AJ683">
        <v>3</v>
      </c>
      <c r="AK683" t="str" cm="1">
        <f t="array" ref="AK683">_xlfn.IFS(AJ683&lt;=2,"Poor",AJ683&lt;=3,"Fair",AJ683&gt;3,"Good")</f>
        <v>Fair</v>
      </c>
      <c r="AL683">
        <v>1</v>
      </c>
      <c r="AM683">
        <v>0</v>
      </c>
      <c r="AN683">
        <v>0</v>
      </c>
      <c r="AO683">
        <v>0</v>
      </c>
    </row>
    <row r="684" spans="1:41" x14ac:dyDescent="0.2">
      <c r="A684">
        <v>1732657</v>
      </c>
      <c r="B684">
        <v>40</v>
      </c>
      <c r="C684" t="str" cm="1">
        <f t="array" ref="C684">_xlfn.IFS(B684&lt;=25,"15-25",B684&lt;=35,"26-35",B684&lt;=45,"36-45",B684&lt;=55,"46-55",B684&lt;=65,"56-65")</f>
        <v>36-45</v>
      </c>
      <c r="D684" t="s">
        <v>35</v>
      </c>
      <c r="E684" t="str">
        <f t="shared" si="20"/>
        <v>Current Employee</v>
      </c>
      <c r="F684" t="s">
        <v>36</v>
      </c>
      <c r="G684">
        <v>658</v>
      </c>
      <c r="H684" t="s">
        <v>37</v>
      </c>
      <c r="I684">
        <v>10</v>
      </c>
      <c r="J684">
        <v>4</v>
      </c>
      <c r="K684" t="s">
        <v>55</v>
      </c>
      <c r="L684">
        <v>1</v>
      </c>
      <c r="M684">
        <v>1</v>
      </c>
      <c r="N684" t="s">
        <v>46</v>
      </c>
      <c r="O684">
        <v>67</v>
      </c>
      <c r="P684">
        <v>2</v>
      </c>
      <c r="Q684">
        <v>3</v>
      </c>
      <c r="R684" t="s">
        <v>40</v>
      </c>
      <c r="S684">
        <v>2</v>
      </c>
      <c r="T684" t="str" cm="1">
        <f t="array" ref="T684">_xlfn.IFS(S684&lt;=2,"Poor",S684&lt;=3,"Fair",S684&gt;=4,"Good")</f>
        <v>Poor</v>
      </c>
      <c r="U684" t="s">
        <v>50</v>
      </c>
      <c r="V684" s="1">
        <v>9705</v>
      </c>
      <c r="W684" t="str" cm="1">
        <f t="array" ref="W684">_xlfn.IFS(V684&lt;=5000,"Low Salary",V684&lt;=12000,"Good Salary",V684&gt;12000,"High Salary")</f>
        <v>Good Salary</v>
      </c>
      <c r="X684">
        <v>20652</v>
      </c>
      <c r="Y684">
        <v>2</v>
      </c>
      <c r="Z684" t="s">
        <v>42</v>
      </c>
      <c r="AA684" t="s">
        <v>35</v>
      </c>
      <c r="AB684">
        <v>12</v>
      </c>
      <c r="AC684">
        <v>3</v>
      </c>
      <c r="AD684" t="str">
        <f t="shared" si="21"/>
        <v>Low Performance</v>
      </c>
      <c r="AE684">
        <v>2</v>
      </c>
      <c r="AF684">
        <v>80</v>
      </c>
      <c r="AG684">
        <v>1</v>
      </c>
      <c r="AH684">
        <v>11</v>
      </c>
      <c r="AI684">
        <v>2</v>
      </c>
      <c r="AJ684">
        <v>2</v>
      </c>
      <c r="AK684" t="str" cm="1">
        <f t="array" ref="AK684">_xlfn.IFS(AJ684&lt;=2,"Poor",AJ684&lt;=3,"Fair",AJ684&gt;3,"Good")</f>
        <v>Poor</v>
      </c>
      <c r="AL684">
        <v>1</v>
      </c>
      <c r="AM684">
        <v>0</v>
      </c>
      <c r="AN684">
        <v>0</v>
      </c>
      <c r="AO684">
        <v>0</v>
      </c>
    </row>
    <row r="685" spans="1:41" x14ac:dyDescent="0.2">
      <c r="A685">
        <v>1840229</v>
      </c>
      <c r="B685">
        <v>26</v>
      </c>
      <c r="C685" t="str" cm="1">
        <f t="array" ref="C685">_xlfn.IFS(B685&lt;=25,"15-25",B685&lt;=35,"26-35",B685&lt;=45,"36-45",B685&lt;=55,"46-55",B685&lt;=65,"56-65")</f>
        <v>26-35</v>
      </c>
      <c r="D685" t="s">
        <v>35</v>
      </c>
      <c r="E685" t="str">
        <f t="shared" si="20"/>
        <v>Current Employee</v>
      </c>
      <c r="F685" t="s">
        <v>44</v>
      </c>
      <c r="G685">
        <v>1283</v>
      </c>
      <c r="H685" t="s">
        <v>37</v>
      </c>
      <c r="I685">
        <v>1</v>
      </c>
      <c r="J685">
        <v>3</v>
      </c>
      <c r="K685" t="s">
        <v>49</v>
      </c>
      <c r="L685">
        <v>1</v>
      </c>
      <c r="M685">
        <v>3</v>
      </c>
      <c r="N685" t="s">
        <v>46</v>
      </c>
      <c r="O685">
        <v>52</v>
      </c>
      <c r="P685">
        <v>2</v>
      </c>
      <c r="Q685">
        <v>2</v>
      </c>
      <c r="R685" t="s">
        <v>40</v>
      </c>
      <c r="S685">
        <v>1</v>
      </c>
      <c r="T685" t="str" cm="1">
        <f t="array" ref="T685">_xlfn.IFS(S685&lt;=2,"Poor",S685&lt;=3,"Fair",S685&gt;=4,"Good")</f>
        <v>Poor</v>
      </c>
      <c r="U685" t="s">
        <v>41</v>
      </c>
      <c r="V685" s="1">
        <v>4294</v>
      </c>
      <c r="W685" t="str" cm="1">
        <f t="array" ref="W685">_xlfn.IFS(V685&lt;=5000,"Low Salary",V685&lt;=12000,"Good Salary",V685&gt;12000,"High Salary")</f>
        <v>Low Salary</v>
      </c>
      <c r="X685">
        <v>11148</v>
      </c>
      <c r="Y685">
        <v>1</v>
      </c>
      <c r="Z685" t="s">
        <v>42</v>
      </c>
      <c r="AA685" t="s">
        <v>35</v>
      </c>
      <c r="AB685">
        <v>12</v>
      </c>
      <c r="AC685">
        <v>3</v>
      </c>
      <c r="AD685" t="str">
        <f t="shared" si="21"/>
        <v>Low Performance</v>
      </c>
      <c r="AE685">
        <v>2</v>
      </c>
      <c r="AF685">
        <v>80</v>
      </c>
      <c r="AG685">
        <v>0</v>
      </c>
      <c r="AH685">
        <v>7</v>
      </c>
      <c r="AI685">
        <v>2</v>
      </c>
      <c r="AJ685">
        <v>3</v>
      </c>
      <c r="AK685" t="str" cm="1">
        <f t="array" ref="AK685">_xlfn.IFS(AJ685&lt;=2,"Poor",AJ685&lt;=3,"Fair",AJ685&gt;3,"Good")</f>
        <v>Fair</v>
      </c>
      <c r="AL685">
        <v>7</v>
      </c>
      <c r="AM685">
        <v>7</v>
      </c>
      <c r="AN685">
        <v>0</v>
      </c>
      <c r="AO685">
        <v>7</v>
      </c>
    </row>
    <row r="686" spans="1:41" x14ac:dyDescent="0.2">
      <c r="A686">
        <v>1179217</v>
      </c>
      <c r="B686">
        <v>41</v>
      </c>
      <c r="C686" t="str" cm="1">
        <f t="array" ref="C686">_xlfn.IFS(B686&lt;=25,"15-25",B686&lt;=35,"26-35",B686&lt;=45,"36-45",B686&lt;=55,"46-55",B686&lt;=65,"56-65")</f>
        <v>36-45</v>
      </c>
      <c r="D686" t="s">
        <v>35</v>
      </c>
      <c r="E686" t="str">
        <f t="shared" si="20"/>
        <v>Current Employee</v>
      </c>
      <c r="F686" t="s">
        <v>36</v>
      </c>
      <c r="G686">
        <v>263</v>
      </c>
      <c r="H686" t="s">
        <v>45</v>
      </c>
      <c r="I686">
        <v>6</v>
      </c>
      <c r="J686">
        <v>3</v>
      </c>
      <c r="K686" t="s">
        <v>49</v>
      </c>
      <c r="L686">
        <v>1</v>
      </c>
      <c r="M686">
        <v>4</v>
      </c>
      <c r="N686" t="s">
        <v>46</v>
      </c>
      <c r="O686">
        <v>59</v>
      </c>
      <c r="P686">
        <v>3</v>
      </c>
      <c r="Q686">
        <v>1</v>
      </c>
      <c r="R686" t="s">
        <v>40</v>
      </c>
      <c r="S686">
        <v>1</v>
      </c>
      <c r="T686" t="str" cm="1">
        <f t="array" ref="T686">_xlfn.IFS(S686&lt;=2,"Poor",S686&lt;=3,"Fair",S686&gt;=4,"Good")</f>
        <v>Poor</v>
      </c>
      <c r="U686" t="s">
        <v>41</v>
      </c>
      <c r="V686" s="1">
        <v>4721</v>
      </c>
      <c r="W686" t="str" cm="1">
        <f t="array" ref="W686">_xlfn.IFS(V686&lt;=5000,"Low Salary",V686&lt;=12000,"Good Salary",V686&gt;12000,"High Salary")</f>
        <v>Low Salary</v>
      </c>
      <c r="X686">
        <v>3119</v>
      </c>
      <c r="Y686">
        <v>2</v>
      </c>
      <c r="Z686" t="s">
        <v>42</v>
      </c>
      <c r="AA686" t="s">
        <v>43</v>
      </c>
      <c r="AB686">
        <v>13</v>
      </c>
      <c r="AC686">
        <v>3</v>
      </c>
      <c r="AD686" t="str">
        <f t="shared" si="21"/>
        <v>Low Performance</v>
      </c>
      <c r="AE686">
        <v>3</v>
      </c>
      <c r="AF686">
        <v>80</v>
      </c>
      <c r="AG686">
        <v>0</v>
      </c>
      <c r="AH686">
        <v>20</v>
      </c>
      <c r="AI686">
        <v>3</v>
      </c>
      <c r="AJ686">
        <v>3</v>
      </c>
      <c r="AK686" t="str" cm="1">
        <f t="array" ref="AK686">_xlfn.IFS(AJ686&lt;=2,"Poor",AJ686&lt;=3,"Fair",AJ686&gt;3,"Good")</f>
        <v>Fair</v>
      </c>
      <c r="AL686">
        <v>18</v>
      </c>
      <c r="AM686">
        <v>13</v>
      </c>
      <c r="AN686">
        <v>2</v>
      </c>
      <c r="AO686">
        <v>17</v>
      </c>
    </row>
    <row r="687" spans="1:41" x14ac:dyDescent="0.2">
      <c r="A687">
        <v>1612583</v>
      </c>
      <c r="B687">
        <v>36</v>
      </c>
      <c r="C687" t="str" cm="1">
        <f t="array" ref="C687">_xlfn.IFS(B687&lt;=25,"15-25",B687&lt;=35,"26-35",B687&lt;=45,"36-45",B687&lt;=55,"46-55",B687&lt;=65,"56-65")</f>
        <v>36-45</v>
      </c>
      <c r="D687" t="s">
        <v>35</v>
      </c>
      <c r="E687" t="str">
        <f t="shared" si="20"/>
        <v>Current Employee</v>
      </c>
      <c r="F687" t="s">
        <v>36</v>
      </c>
      <c r="G687">
        <v>938</v>
      </c>
      <c r="H687" t="s">
        <v>45</v>
      </c>
      <c r="I687">
        <v>2</v>
      </c>
      <c r="J687">
        <v>4</v>
      </c>
      <c r="K687" t="s">
        <v>49</v>
      </c>
      <c r="L687">
        <v>1</v>
      </c>
      <c r="M687">
        <v>3</v>
      </c>
      <c r="N687" t="s">
        <v>46</v>
      </c>
      <c r="O687">
        <v>79</v>
      </c>
      <c r="P687">
        <v>3</v>
      </c>
      <c r="Q687">
        <v>1</v>
      </c>
      <c r="R687" t="s">
        <v>40</v>
      </c>
      <c r="S687">
        <v>3</v>
      </c>
      <c r="T687" t="str" cm="1">
        <f t="array" ref="T687">_xlfn.IFS(S687&lt;=2,"Poor",S687&lt;=3,"Fair",S687&gt;=4,"Good")</f>
        <v>Fair</v>
      </c>
      <c r="U687" t="s">
        <v>41</v>
      </c>
      <c r="V687" s="1">
        <v>2519</v>
      </c>
      <c r="W687" t="str" cm="1">
        <f t="array" ref="W687">_xlfn.IFS(V687&lt;=5000,"Low Salary",V687&lt;=12000,"Good Salary",V687&gt;12000,"High Salary")</f>
        <v>Low Salary</v>
      </c>
      <c r="X687">
        <v>12287</v>
      </c>
      <c r="Y687">
        <v>4</v>
      </c>
      <c r="Z687" t="s">
        <v>42</v>
      </c>
      <c r="AA687" t="s">
        <v>35</v>
      </c>
      <c r="AB687">
        <v>21</v>
      </c>
      <c r="AC687">
        <v>4</v>
      </c>
      <c r="AD687" t="str">
        <f t="shared" si="21"/>
        <v>High Performance</v>
      </c>
      <c r="AE687">
        <v>3</v>
      </c>
      <c r="AF687">
        <v>80</v>
      </c>
      <c r="AG687">
        <v>0</v>
      </c>
      <c r="AH687">
        <v>16</v>
      </c>
      <c r="AI687">
        <v>6</v>
      </c>
      <c r="AJ687">
        <v>3</v>
      </c>
      <c r="AK687" t="str" cm="1">
        <f t="array" ref="AK687">_xlfn.IFS(AJ687&lt;=2,"Poor",AJ687&lt;=3,"Fair",AJ687&gt;3,"Good")</f>
        <v>Fair</v>
      </c>
      <c r="AL687">
        <v>11</v>
      </c>
      <c r="AM687">
        <v>8</v>
      </c>
      <c r="AN687">
        <v>3</v>
      </c>
      <c r="AO687">
        <v>9</v>
      </c>
    </row>
    <row r="688" spans="1:41" x14ac:dyDescent="0.2">
      <c r="A688">
        <v>1115854</v>
      </c>
      <c r="B688">
        <v>19</v>
      </c>
      <c r="C688" t="str" cm="1">
        <f t="array" ref="C688">_xlfn.IFS(B688&lt;=25,"15-25",B688&lt;=35,"26-35",B688&lt;=45,"36-45",B688&lt;=55,"46-55",B688&lt;=65,"56-65")</f>
        <v>15-25</v>
      </c>
      <c r="D688" t="s">
        <v>43</v>
      </c>
      <c r="E688" t="str">
        <f t="shared" si="20"/>
        <v>Former Employee</v>
      </c>
      <c r="F688" t="s">
        <v>36</v>
      </c>
      <c r="G688">
        <v>419</v>
      </c>
      <c r="H688" t="s">
        <v>37</v>
      </c>
      <c r="I688">
        <v>21</v>
      </c>
      <c r="J688">
        <v>3</v>
      </c>
      <c r="K688" t="s">
        <v>47</v>
      </c>
      <c r="L688">
        <v>1</v>
      </c>
      <c r="M688">
        <v>4</v>
      </c>
      <c r="N688" t="s">
        <v>46</v>
      </c>
      <c r="O688">
        <v>37</v>
      </c>
      <c r="P688">
        <v>2</v>
      </c>
      <c r="Q688">
        <v>1</v>
      </c>
      <c r="R688" t="s">
        <v>47</v>
      </c>
      <c r="S688">
        <v>2</v>
      </c>
      <c r="T688" t="str" cm="1">
        <f t="array" ref="T688">_xlfn.IFS(S688&lt;=2,"Poor",S688&lt;=3,"Fair",S688&gt;=4,"Good")</f>
        <v>Poor</v>
      </c>
      <c r="U688" t="s">
        <v>41</v>
      </c>
      <c r="V688" s="1">
        <v>2121</v>
      </c>
      <c r="W688" t="str" cm="1">
        <f t="array" ref="W688">_xlfn.IFS(V688&lt;=5000,"Low Salary",V688&lt;=12000,"Good Salary",V688&gt;12000,"High Salary")</f>
        <v>Low Salary</v>
      </c>
      <c r="X688">
        <v>9947</v>
      </c>
      <c r="Y688">
        <v>1</v>
      </c>
      <c r="Z688" t="s">
        <v>42</v>
      </c>
      <c r="AA688" t="s">
        <v>43</v>
      </c>
      <c r="AB688">
        <v>13</v>
      </c>
      <c r="AC688">
        <v>3</v>
      </c>
      <c r="AD688" t="str">
        <f t="shared" si="21"/>
        <v>Low Performance</v>
      </c>
      <c r="AE688">
        <v>2</v>
      </c>
      <c r="AF688">
        <v>80</v>
      </c>
      <c r="AG688">
        <v>0</v>
      </c>
      <c r="AH688">
        <v>1</v>
      </c>
      <c r="AI688">
        <v>3</v>
      </c>
      <c r="AJ688">
        <v>4</v>
      </c>
      <c r="AK688" t="str" cm="1">
        <f t="array" ref="AK688">_xlfn.IFS(AJ688&lt;=2,"Poor",AJ688&lt;=3,"Fair",AJ688&gt;3,"Good")</f>
        <v>Good</v>
      </c>
      <c r="AL688">
        <v>1</v>
      </c>
      <c r="AM688">
        <v>0</v>
      </c>
      <c r="AN688">
        <v>0</v>
      </c>
      <c r="AO688">
        <v>0</v>
      </c>
    </row>
    <row r="689" spans="1:41" x14ac:dyDescent="0.2">
      <c r="A689">
        <v>1306693</v>
      </c>
      <c r="B689">
        <v>20</v>
      </c>
      <c r="C689" t="str" cm="1">
        <f t="array" ref="C689">_xlfn.IFS(B689&lt;=25,"15-25",B689&lt;=35,"26-35",B689&lt;=45,"36-45",B689&lt;=55,"46-55",B689&lt;=65,"56-65")</f>
        <v>15-25</v>
      </c>
      <c r="D689" t="s">
        <v>43</v>
      </c>
      <c r="E689" t="str">
        <f t="shared" si="20"/>
        <v>Former Employee</v>
      </c>
      <c r="F689" t="s">
        <v>36</v>
      </c>
      <c r="G689">
        <v>129</v>
      </c>
      <c r="H689" t="s">
        <v>45</v>
      </c>
      <c r="I689">
        <v>4</v>
      </c>
      <c r="J689">
        <v>3</v>
      </c>
      <c r="K689" t="s">
        <v>56</v>
      </c>
      <c r="L689">
        <v>1</v>
      </c>
      <c r="M689">
        <v>1</v>
      </c>
      <c r="N689" t="s">
        <v>46</v>
      </c>
      <c r="O689">
        <v>84</v>
      </c>
      <c r="P689">
        <v>3</v>
      </c>
      <c r="Q689">
        <v>1</v>
      </c>
      <c r="R689" t="s">
        <v>40</v>
      </c>
      <c r="S689">
        <v>1</v>
      </c>
      <c r="T689" t="str" cm="1">
        <f t="array" ref="T689">_xlfn.IFS(S689&lt;=2,"Poor",S689&lt;=3,"Fair",S689&gt;=4,"Good")</f>
        <v>Poor</v>
      </c>
      <c r="U689" t="s">
        <v>41</v>
      </c>
      <c r="V689" s="1">
        <v>2973</v>
      </c>
      <c r="W689" t="str" cm="1">
        <f t="array" ref="W689">_xlfn.IFS(V689&lt;=5000,"Low Salary",V689&lt;=12000,"Good Salary",V689&gt;12000,"High Salary")</f>
        <v>Low Salary</v>
      </c>
      <c r="X689">
        <v>13008</v>
      </c>
      <c r="Y689">
        <v>1</v>
      </c>
      <c r="Z689" t="s">
        <v>42</v>
      </c>
      <c r="AA689" t="s">
        <v>35</v>
      </c>
      <c r="AB689">
        <v>19</v>
      </c>
      <c r="AC689">
        <v>3</v>
      </c>
      <c r="AD689" t="str">
        <f t="shared" si="21"/>
        <v>Low Performance</v>
      </c>
      <c r="AE689">
        <v>2</v>
      </c>
      <c r="AF689">
        <v>80</v>
      </c>
      <c r="AG689">
        <v>0</v>
      </c>
      <c r="AH689">
        <v>1</v>
      </c>
      <c r="AI689">
        <v>2</v>
      </c>
      <c r="AJ689">
        <v>3</v>
      </c>
      <c r="AK689" t="str" cm="1">
        <f t="array" ref="AK689">_xlfn.IFS(AJ689&lt;=2,"Poor",AJ689&lt;=3,"Fair",AJ689&gt;3,"Good")</f>
        <v>Fair</v>
      </c>
      <c r="AL689">
        <v>1</v>
      </c>
      <c r="AM689">
        <v>0</v>
      </c>
      <c r="AN689">
        <v>0</v>
      </c>
      <c r="AO689">
        <v>0</v>
      </c>
    </row>
    <row r="690" spans="1:41" x14ac:dyDescent="0.2">
      <c r="A690">
        <v>1142961</v>
      </c>
      <c r="B690">
        <v>31</v>
      </c>
      <c r="C690" t="str" cm="1">
        <f t="array" ref="C690">_xlfn.IFS(B690&lt;=25,"15-25",B690&lt;=35,"26-35",B690&lt;=45,"36-45",B690&lt;=55,"46-55",B690&lt;=65,"56-65")</f>
        <v>26-35</v>
      </c>
      <c r="D690" t="s">
        <v>35</v>
      </c>
      <c r="E690" t="str">
        <f t="shared" si="20"/>
        <v>Current Employee</v>
      </c>
      <c r="F690" t="s">
        <v>36</v>
      </c>
      <c r="G690">
        <v>616</v>
      </c>
      <c r="H690" t="s">
        <v>45</v>
      </c>
      <c r="I690">
        <v>12</v>
      </c>
      <c r="J690">
        <v>3</v>
      </c>
      <c r="K690" t="s">
        <v>49</v>
      </c>
      <c r="L690">
        <v>1</v>
      </c>
      <c r="M690">
        <v>4</v>
      </c>
      <c r="N690" t="s">
        <v>39</v>
      </c>
      <c r="O690">
        <v>41</v>
      </c>
      <c r="P690">
        <v>3</v>
      </c>
      <c r="Q690">
        <v>2</v>
      </c>
      <c r="R690" t="s">
        <v>40</v>
      </c>
      <c r="S690">
        <v>4</v>
      </c>
      <c r="T690" t="str" cm="1">
        <f t="array" ref="T690">_xlfn.IFS(S690&lt;=2,"Poor",S690&lt;=3,"Fair",S690&gt;=4,"Good")</f>
        <v>Good</v>
      </c>
      <c r="U690" t="s">
        <v>48</v>
      </c>
      <c r="V690" s="1">
        <v>5855</v>
      </c>
      <c r="W690" t="str" cm="1">
        <f t="array" ref="W690">_xlfn.IFS(V690&lt;=5000,"Low Salary",V690&lt;=12000,"Good Salary",V690&gt;12000,"High Salary")</f>
        <v>Good Salary</v>
      </c>
      <c r="X690">
        <v>17369</v>
      </c>
      <c r="Y690">
        <v>0</v>
      </c>
      <c r="Z690" t="s">
        <v>42</v>
      </c>
      <c r="AA690" t="s">
        <v>43</v>
      </c>
      <c r="AB690">
        <v>11</v>
      </c>
      <c r="AC690">
        <v>3</v>
      </c>
      <c r="AD690" t="str">
        <f t="shared" si="21"/>
        <v>Low Performance</v>
      </c>
      <c r="AE690">
        <v>3</v>
      </c>
      <c r="AF690">
        <v>80</v>
      </c>
      <c r="AG690">
        <v>2</v>
      </c>
      <c r="AH690">
        <v>10</v>
      </c>
      <c r="AI690">
        <v>2</v>
      </c>
      <c r="AJ690">
        <v>1</v>
      </c>
      <c r="AK690" t="str" cm="1">
        <f t="array" ref="AK690">_xlfn.IFS(AJ690&lt;=2,"Poor",AJ690&lt;=3,"Fair",AJ690&gt;3,"Good")</f>
        <v>Poor</v>
      </c>
      <c r="AL690">
        <v>9</v>
      </c>
      <c r="AM690">
        <v>7</v>
      </c>
      <c r="AN690">
        <v>8</v>
      </c>
      <c r="AO690">
        <v>5</v>
      </c>
    </row>
    <row r="691" spans="1:41" x14ac:dyDescent="0.2">
      <c r="A691">
        <v>1578228</v>
      </c>
      <c r="B691">
        <v>40</v>
      </c>
      <c r="C691" t="str" cm="1">
        <f t="array" ref="C691">_xlfn.IFS(B691&lt;=25,"15-25",B691&lt;=35,"26-35",B691&lt;=45,"36-45",B691&lt;=55,"46-55",B691&lt;=65,"56-65")</f>
        <v>36-45</v>
      </c>
      <c r="D691" t="s">
        <v>35</v>
      </c>
      <c r="E691" t="str">
        <f t="shared" si="20"/>
        <v>Current Employee</v>
      </c>
      <c r="F691" t="s">
        <v>44</v>
      </c>
      <c r="G691">
        <v>1469</v>
      </c>
      <c r="H691" t="s">
        <v>45</v>
      </c>
      <c r="I691">
        <v>9</v>
      </c>
      <c r="J691">
        <v>4</v>
      </c>
      <c r="K691" t="s">
        <v>49</v>
      </c>
      <c r="L691">
        <v>1</v>
      </c>
      <c r="M691">
        <v>4</v>
      </c>
      <c r="N691" t="s">
        <v>46</v>
      </c>
      <c r="O691">
        <v>35</v>
      </c>
      <c r="P691">
        <v>3</v>
      </c>
      <c r="Q691">
        <v>1</v>
      </c>
      <c r="R691" t="s">
        <v>47</v>
      </c>
      <c r="S691">
        <v>2</v>
      </c>
      <c r="T691" t="str" cm="1">
        <f t="array" ref="T691">_xlfn.IFS(S691&lt;=2,"Poor",S691&lt;=3,"Fair",S691&gt;=4,"Good")</f>
        <v>Poor</v>
      </c>
      <c r="U691" t="s">
        <v>50</v>
      </c>
      <c r="V691" s="1">
        <v>3617</v>
      </c>
      <c r="W691" t="str" cm="1">
        <f t="array" ref="W691">_xlfn.IFS(V691&lt;=5000,"Low Salary",V691&lt;=12000,"Good Salary",V691&gt;12000,"High Salary")</f>
        <v>Low Salary</v>
      </c>
      <c r="X691">
        <v>25063</v>
      </c>
      <c r="Y691">
        <v>8</v>
      </c>
      <c r="Z691" t="s">
        <v>42</v>
      </c>
      <c r="AA691" t="s">
        <v>43</v>
      </c>
      <c r="AB691">
        <v>14</v>
      </c>
      <c r="AC691">
        <v>3</v>
      </c>
      <c r="AD691" t="str">
        <f t="shared" si="21"/>
        <v>Low Performance</v>
      </c>
      <c r="AE691">
        <v>4</v>
      </c>
      <c r="AF691">
        <v>80</v>
      </c>
      <c r="AG691">
        <v>1</v>
      </c>
      <c r="AH691">
        <v>3</v>
      </c>
      <c r="AI691">
        <v>2</v>
      </c>
      <c r="AJ691">
        <v>3</v>
      </c>
      <c r="AK691" t="str" cm="1">
        <f t="array" ref="AK691">_xlfn.IFS(AJ691&lt;=2,"Poor",AJ691&lt;=3,"Fair",AJ691&gt;3,"Good")</f>
        <v>Fair</v>
      </c>
      <c r="AL691">
        <v>1</v>
      </c>
      <c r="AM691">
        <v>1</v>
      </c>
      <c r="AN691">
        <v>0</v>
      </c>
      <c r="AO691">
        <v>0</v>
      </c>
    </row>
    <row r="692" spans="1:41" x14ac:dyDescent="0.2">
      <c r="A692">
        <v>1607811</v>
      </c>
      <c r="B692">
        <v>32</v>
      </c>
      <c r="C692" t="str" cm="1">
        <f t="array" ref="C692">_xlfn.IFS(B692&lt;=25,"15-25",B692&lt;=35,"26-35",B692&lt;=45,"36-45",B692&lt;=55,"46-55",B692&lt;=65,"56-65")</f>
        <v>26-35</v>
      </c>
      <c r="D692" t="s">
        <v>35</v>
      </c>
      <c r="E692" t="str">
        <f t="shared" si="20"/>
        <v>Current Employee</v>
      </c>
      <c r="F692" t="s">
        <v>36</v>
      </c>
      <c r="G692">
        <v>498</v>
      </c>
      <c r="H692" t="s">
        <v>54</v>
      </c>
      <c r="I692">
        <v>3</v>
      </c>
      <c r="J692">
        <v>4</v>
      </c>
      <c r="K692" t="s">
        <v>49</v>
      </c>
      <c r="L692">
        <v>1</v>
      </c>
      <c r="M692">
        <v>3</v>
      </c>
      <c r="N692" t="s">
        <v>39</v>
      </c>
      <c r="O692">
        <v>93</v>
      </c>
      <c r="P692">
        <v>3</v>
      </c>
      <c r="Q692">
        <v>2</v>
      </c>
      <c r="R692" t="s">
        <v>51</v>
      </c>
      <c r="S692">
        <v>1</v>
      </c>
      <c r="T692" t="str" cm="1">
        <f t="array" ref="T692">_xlfn.IFS(S692&lt;=2,"Poor",S692&lt;=3,"Fair",S692&gt;=4,"Good")</f>
        <v>Poor</v>
      </c>
      <c r="U692" t="s">
        <v>48</v>
      </c>
      <c r="V692" s="1">
        <v>6725</v>
      </c>
      <c r="W692" t="str" cm="1">
        <f t="array" ref="W692">_xlfn.IFS(V692&lt;=5000,"Low Salary",V692&lt;=12000,"Good Salary",V692&gt;12000,"High Salary")</f>
        <v>Good Salary</v>
      </c>
      <c r="X692">
        <v>13554</v>
      </c>
      <c r="Y692">
        <v>1</v>
      </c>
      <c r="Z692" t="s">
        <v>42</v>
      </c>
      <c r="AA692" t="s">
        <v>35</v>
      </c>
      <c r="AB692">
        <v>12</v>
      </c>
      <c r="AC692">
        <v>3</v>
      </c>
      <c r="AD692" t="str">
        <f t="shared" si="21"/>
        <v>Low Performance</v>
      </c>
      <c r="AE692">
        <v>3</v>
      </c>
      <c r="AF692">
        <v>80</v>
      </c>
      <c r="AG692">
        <v>1</v>
      </c>
      <c r="AH692">
        <v>8</v>
      </c>
      <c r="AI692">
        <v>2</v>
      </c>
      <c r="AJ692">
        <v>4</v>
      </c>
      <c r="AK692" t="str" cm="1">
        <f t="array" ref="AK692">_xlfn.IFS(AJ692&lt;=2,"Poor",AJ692&lt;=3,"Fair",AJ692&gt;3,"Good")</f>
        <v>Good</v>
      </c>
      <c r="AL692">
        <v>8</v>
      </c>
      <c r="AM692">
        <v>7</v>
      </c>
      <c r="AN692">
        <v>6</v>
      </c>
      <c r="AO692">
        <v>3</v>
      </c>
    </row>
    <row r="693" spans="1:41" x14ac:dyDescent="0.2">
      <c r="A693">
        <v>1157826</v>
      </c>
      <c r="B693">
        <v>36</v>
      </c>
      <c r="C693" t="str" cm="1">
        <f t="array" ref="C693">_xlfn.IFS(B693&lt;=25,"15-25",B693&lt;=35,"26-35",B693&lt;=45,"36-45",B693&lt;=55,"46-55",B693&lt;=65,"56-65")</f>
        <v>36-45</v>
      </c>
      <c r="D693" t="s">
        <v>35</v>
      </c>
      <c r="E693" t="str">
        <f t="shared" si="20"/>
        <v>Current Employee</v>
      </c>
      <c r="F693" t="s">
        <v>36</v>
      </c>
      <c r="G693">
        <v>530</v>
      </c>
      <c r="H693" t="s">
        <v>37</v>
      </c>
      <c r="I693">
        <v>3</v>
      </c>
      <c r="J693">
        <v>1</v>
      </c>
      <c r="K693" t="s">
        <v>38</v>
      </c>
      <c r="L693">
        <v>1</v>
      </c>
      <c r="M693">
        <v>3</v>
      </c>
      <c r="N693" t="s">
        <v>46</v>
      </c>
      <c r="O693">
        <v>51</v>
      </c>
      <c r="P693">
        <v>2</v>
      </c>
      <c r="Q693">
        <v>3</v>
      </c>
      <c r="R693" t="s">
        <v>40</v>
      </c>
      <c r="S693">
        <v>4</v>
      </c>
      <c r="T693" t="str" cm="1">
        <f t="array" ref="T693">_xlfn.IFS(S693&lt;=2,"Poor",S693&lt;=3,"Fair",S693&gt;=4,"Good")</f>
        <v>Good</v>
      </c>
      <c r="U693" t="s">
        <v>48</v>
      </c>
      <c r="V693" s="1">
        <v>10325</v>
      </c>
      <c r="W693" t="str" cm="1">
        <f t="array" ref="W693">_xlfn.IFS(V693&lt;=5000,"Low Salary",V693&lt;=12000,"Good Salary",V693&gt;12000,"High Salary")</f>
        <v>Good Salary</v>
      </c>
      <c r="X693">
        <v>5518</v>
      </c>
      <c r="Y693">
        <v>1</v>
      </c>
      <c r="Z693" t="s">
        <v>42</v>
      </c>
      <c r="AA693" t="s">
        <v>43</v>
      </c>
      <c r="AB693">
        <v>11</v>
      </c>
      <c r="AC693">
        <v>3</v>
      </c>
      <c r="AD693" t="str">
        <f t="shared" si="21"/>
        <v>Low Performance</v>
      </c>
      <c r="AE693">
        <v>1</v>
      </c>
      <c r="AF693">
        <v>80</v>
      </c>
      <c r="AG693">
        <v>1</v>
      </c>
      <c r="AH693">
        <v>16</v>
      </c>
      <c r="AI693">
        <v>6</v>
      </c>
      <c r="AJ693">
        <v>3</v>
      </c>
      <c r="AK693" t="str" cm="1">
        <f t="array" ref="AK693">_xlfn.IFS(AJ693&lt;=2,"Poor",AJ693&lt;=3,"Fair",AJ693&gt;3,"Good")</f>
        <v>Fair</v>
      </c>
      <c r="AL693">
        <v>16</v>
      </c>
      <c r="AM693">
        <v>7</v>
      </c>
      <c r="AN693">
        <v>3</v>
      </c>
      <c r="AO693">
        <v>7</v>
      </c>
    </row>
    <row r="694" spans="1:41" x14ac:dyDescent="0.2">
      <c r="A694">
        <v>1863388</v>
      </c>
      <c r="B694">
        <v>33</v>
      </c>
      <c r="C694" t="str" cm="1">
        <f t="array" ref="C694">_xlfn.IFS(B694&lt;=25,"15-25",B694&lt;=35,"26-35",B694&lt;=45,"36-45",B694&lt;=55,"46-55",B694&lt;=65,"56-65")</f>
        <v>26-35</v>
      </c>
      <c r="D694" t="s">
        <v>35</v>
      </c>
      <c r="E694" t="str">
        <f t="shared" si="20"/>
        <v>Current Employee</v>
      </c>
      <c r="F694" t="s">
        <v>36</v>
      </c>
      <c r="G694">
        <v>1069</v>
      </c>
      <c r="H694" t="s">
        <v>45</v>
      </c>
      <c r="I694">
        <v>1</v>
      </c>
      <c r="J694">
        <v>3</v>
      </c>
      <c r="K694" t="s">
        <v>38</v>
      </c>
      <c r="L694">
        <v>1</v>
      </c>
      <c r="M694">
        <v>2</v>
      </c>
      <c r="N694" t="s">
        <v>39</v>
      </c>
      <c r="O694">
        <v>42</v>
      </c>
      <c r="P694">
        <v>2</v>
      </c>
      <c r="Q694">
        <v>2</v>
      </c>
      <c r="R694" t="s">
        <v>40</v>
      </c>
      <c r="S694">
        <v>4</v>
      </c>
      <c r="T694" t="str" cm="1">
        <f t="array" ref="T694">_xlfn.IFS(S694&lt;=2,"Poor",S694&lt;=3,"Fair",S694&gt;=4,"Good")</f>
        <v>Good</v>
      </c>
      <c r="U694" t="s">
        <v>41</v>
      </c>
      <c r="V694" s="1">
        <v>6949</v>
      </c>
      <c r="W694" t="str" cm="1">
        <f t="array" ref="W694">_xlfn.IFS(V694&lt;=5000,"Low Salary",V694&lt;=12000,"Good Salary",V694&gt;12000,"High Salary")</f>
        <v>Good Salary</v>
      </c>
      <c r="X694">
        <v>12291</v>
      </c>
      <c r="Y694">
        <v>0</v>
      </c>
      <c r="Z694" t="s">
        <v>42</v>
      </c>
      <c r="AA694" t="s">
        <v>35</v>
      </c>
      <c r="AB694">
        <v>14</v>
      </c>
      <c r="AC694">
        <v>3</v>
      </c>
      <c r="AD694" t="str">
        <f t="shared" si="21"/>
        <v>Low Performance</v>
      </c>
      <c r="AE694">
        <v>1</v>
      </c>
      <c r="AF694">
        <v>80</v>
      </c>
      <c r="AG694">
        <v>0</v>
      </c>
      <c r="AH694">
        <v>6</v>
      </c>
      <c r="AI694">
        <v>3</v>
      </c>
      <c r="AJ694">
        <v>3</v>
      </c>
      <c r="AK694" t="str" cm="1">
        <f t="array" ref="AK694">_xlfn.IFS(AJ694&lt;=2,"Poor",AJ694&lt;=3,"Fair",AJ694&gt;3,"Good")</f>
        <v>Fair</v>
      </c>
      <c r="AL694">
        <v>5</v>
      </c>
      <c r="AM694">
        <v>0</v>
      </c>
      <c r="AN694">
        <v>1</v>
      </c>
      <c r="AO694">
        <v>4</v>
      </c>
    </row>
    <row r="695" spans="1:41" x14ac:dyDescent="0.2">
      <c r="A695">
        <v>1818424</v>
      </c>
      <c r="B695">
        <v>37</v>
      </c>
      <c r="C695" t="str" cm="1">
        <f t="array" ref="C695">_xlfn.IFS(B695&lt;=25,"15-25",B695&lt;=35,"26-35",B695&lt;=45,"36-45",B695&lt;=55,"46-55",B695&lt;=65,"56-65")</f>
        <v>36-45</v>
      </c>
      <c r="D695" t="s">
        <v>43</v>
      </c>
      <c r="E695" t="str">
        <f t="shared" si="20"/>
        <v>Former Employee</v>
      </c>
      <c r="F695" t="s">
        <v>36</v>
      </c>
      <c r="G695">
        <v>625</v>
      </c>
      <c r="H695" t="s">
        <v>37</v>
      </c>
      <c r="I695">
        <v>1</v>
      </c>
      <c r="J695">
        <v>4</v>
      </c>
      <c r="K695" t="s">
        <v>38</v>
      </c>
      <c r="L695">
        <v>1</v>
      </c>
      <c r="M695">
        <v>1</v>
      </c>
      <c r="N695" t="s">
        <v>46</v>
      </c>
      <c r="O695">
        <v>46</v>
      </c>
      <c r="P695">
        <v>2</v>
      </c>
      <c r="Q695">
        <v>3</v>
      </c>
      <c r="R695" t="s">
        <v>40</v>
      </c>
      <c r="S695">
        <v>3</v>
      </c>
      <c r="T695" t="str" cm="1">
        <f t="array" ref="T695">_xlfn.IFS(S695&lt;=2,"Poor",S695&lt;=3,"Fair",S695&gt;=4,"Good")</f>
        <v>Fair</v>
      </c>
      <c r="U695" t="s">
        <v>48</v>
      </c>
      <c r="V695" s="1">
        <v>10609</v>
      </c>
      <c r="W695" t="str" cm="1">
        <f t="array" ref="W695">_xlfn.IFS(V695&lt;=5000,"Low Salary",V695&lt;=12000,"Good Salary",V695&gt;12000,"High Salary")</f>
        <v>Good Salary</v>
      </c>
      <c r="X695">
        <v>14922</v>
      </c>
      <c r="Y695">
        <v>5</v>
      </c>
      <c r="Z695" t="s">
        <v>42</v>
      </c>
      <c r="AA695" t="s">
        <v>35</v>
      </c>
      <c r="AB695">
        <v>11</v>
      </c>
      <c r="AC695">
        <v>3</v>
      </c>
      <c r="AD695" t="str">
        <f t="shared" si="21"/>
        <v>Low Performance</v>
      </c>
      <c r="AE695">
        <v>3</v>
      </c>
      <c r="AF695">
        <v>80</v>
      </c>
      <c r="AG695">
        <v>0</v>
      </c>
      <c r="AH695">
        <v>17</v>
      </c>
      <c r="AI695">
        <v>2</v>
      </c>
      <c r="AJ695">
        <v>1</v>
      </c>
      <c r="AK695" t="str" cm="1">
        <f t="array" ref="AK695">_xlfn.IFS(AJ695&lt;=2,"Poor",AJ695&lt;=3,"Fair",AJ695&gt;3,"Good")</f>
        <v>Poor</v>
      </c>
      <c r="AL695">
        <v>14</v>
      </c>
      <c r="AM695">
        <v>1</v>
      </c>
      <c r="AN695">
        <v>11</v>
      </c>
      <c r="AO695">
        <v>7</v>
      </c>
    </row>
    <row r="696" spans="1:41" x14ac:dyDescent="0.2">
      <c r="A696">
        <v>1707397</v>
      </c>
      <c r="B696">
        <v>45</v>
      </c>
      <c r="C696" t="str" cm="1">
        <f t="array" ref="C696">_xlfn.IFS(B696&lt;=25,"15-25",B696&lt;=35,"26-35",B696&lt;=45,"36-45",B696&lt;=55,"46-55",B696&lt;=65,"56-65")</f>
        <v>36-45</v>
      </c>
      <c r="D696" t="s">
        <v>35</v>
      </c>
      <c r="E696" t="str">
        <f t="shared" si="20"/>
        <v>Current Employee</v>
      </c>
      <c r="F696" t="s">
        <v>52</v>
      </c>
      <c r="G696">
        <v>805</v>
      </c>
      <c r="H696" t="s">
        <v>45</v>
      </c>
      <c r="I696">
        <v>4</v>
      </c>
      <c r="J696">
        <v>2</v>
      </c>
      <c r="K696" t="s">
        <v>38</v>
      </c>
      <c r="L696">
        <v>1</v>
      </c>
      <c r="M696">
        <v>3</v>
      </c>
      <c r="N696" t="s">
        <v>46</v>
      </c>
      <c r="O696">
        <v>57</v>
      </c>
      <c r="P696">
        <v>3</v>
      </c>
      <c r="Q696">
        <v>2</v>
      </c>
      <c r="R696" t="s">
        <v>40</v>
      </c>
      <c r="S696">
        <v>2</v>
      </c>
      <c r="T696" t="str" cm="1">
        <f t="array" ref="T696">_xlfn.IFS(S696&lt;=2,"Poor",S696&lt;=3,"Fair",S696&gt;=4,"Good")</f>
        <v>Poor</v>
      </c>
      <c r="U696" t="s">
        <v>48</v>
      </c>
      <c r="V696" s="1">
        <v>4447</v>
      </c>
      <c r="W696" t="str" cm="1">
        <f t="array" ref="W696">_xlfn.IFS(V696&lt;=5000,"Low Salary",V696&lt;=12000,"Good Salary",V696&gt;12000,"High Salary")</f>
        <v>Low Salary</v>
      </c>
      <c r="X696">
        <v>23163</v>
      </c>
      <c r="Y696">
        <v>1</v>
      </c>
      <c r="Z696" t="s">
        <v>42</v>
      </c>
      <c r="AA696" t="s">
        <v>35</v>
      </c>
      <c r="AB696">
        <v>12</v>
      </c>
      <c r="AC696">
        <v>3</v>
      </c>
      <c r="AD696" t="str">
        <f t="shared" si="21"/>
        <v>Low Performance</v>
      </c>
      <c r="AE696">
        <v>2</v>
      </c>
      <c r="AF696">
        <v>80</v>
      </c>
      <c r="AG696">
        <v>0</v>
      </c>
      <c r="AH696">
        <v>9</v>
      </c>
      <c r="AI696">
        <v>5</v>
      </c>
      <c r="AJ696">
        <v>2</v>
      </c>
      <c r="AK696" t="str" cm="1">
        <f t="array" ref="AK696">_xlfn.IFS(AJ696&lt;=2,"Poor",AJ696&lt;=3,"Fair",AJ696&gt;3,"Good")</f>
        <v>Poor</v>
      </c>
      <c r="AL696">
        <v>9</v>
      </c>
      <c r="AM696">
        <v>7</v>
      </c>
      <c r="AN696">
        <v>0</v>
      </c>
      <c r="AO696">
        <v>8</v>
      </c>
    </row>
    <row r="697" spans="1:41" x14ac:dyDescent="0.2">
      <c r="A697">
        <v>1742953</v>
      </c>
      <c r="B697">
        <v>29</v>
      </c>
      <c r="C697" t="str" cm="1">
        <f t="array" ref="C697">_xlfn.IFS(B697&lt;=25,"15-25",B697&lt;=35,"26-35",B697&lt;=45,"36-45",B697&lt;=55,"46-55",B697&lt;=65,"56-65")</f>
        <v>26-35</v>
      </c>
      <c r="D697" t="s">
        <v>35</v>
      </c>
      <c r="E697" t="str">
        <f t="shared" si="20"/>
        <v>Current Employee</v>
      </c>
      <c r="F697" t="s">
        <v>44</v>
      </c>
      <c r="G697">
        <v>1404</v>
      </c>
      <c r="H697" t="s">
        <v>37</v>
      </c>
      <c r="I697">
        <v>20</v>
      </c>
      <c r="J697">
        <v>3</v>
      </c>
      <c r="K697" t="s">
        <v>56</v>
      </c>
      <c r="L697">
        <v>1</v>
      </c>
      <c r="M697">
        <v>3</v>
      </c>
      <c r="N697" t="s">
        <v>39</v>
      </c>
      <c r="O697">
        <v>84</v>
      </c>
      <c r="P697">
        <v>3</v>
      </c>
      <c r="Q697">
        <v>1</v>
      </c>
      <c r="R697" t="s">
        <v>47</v>
      </c>
      <c r="S697">
        <v>4</v>
      </c>
      <c r="T697" t="str" cm="1">
        <f t="array" ref="T697">_xlfn.IFS(S697&lt;=2,"Poor",S697&lt;=3,"Fair",S697&gt;=4,"Good")</f>
        <v>Good</v>
      </c>
      <c r="U697" t="s">
        <v>48</v>
      </c>
      <c r="V697" s="1">
        <v>2157</v>
      </c>
      <c r="W697" t="str" cm="1">
        <f t="array" ref="W697">_xlfn.IFS(V697&lt;=5000,"Low Salary",V697&lt;=12000,"Good Salary",V697&gt;12000,"High Salary")</f>
        <v>Low Salary</v>
      </c>
      <c r="X697">
        <v>18203</v>
      </c>
      <c r="Y697">
        <v>1</v>
      </c>
      <c r="Z697" t="s">
        <v>42</v>
      </c>
      <c r="AA697" t="s">
        <v>35</v>
      </c>
      <c r="AB697">
        <v>15</v>
      </c>
      <c r="AC697">
        <v>3</v>
      </c>
      <c r="AD697" t="str">
        <f t="shared" si="21"/>
        <v>Low Performance</v>
      </c>
      <c r="AE697">
        <v>2</v>
      </c>
      <c r="AF697">
        <v>80</v>
      </c>
      <c r="AG697">
        <v>1</v>
      </c>
      <c r="AH697">
        <v>3</v>
      </c>
      <c r="AI697">
        <v>5</v>
      </c>
      <c r="AJ697">
        <v>3</v>
      </c>
      <c r="AK697" t="str" cm="1">
        <f t="array" ref="AK697">_xlfn.IFS(AJ697&lt;=2,"Poor",AJ697&lt;=3,"Fair",AJ697&gt;3,"Good")</f>
        <v>Fair</v>
      </c>
      <c r="AL697">
        <v>3</v>
      </c>
      <c r="AM697">
        <v>1</v>
      </c>
      <c r="AN697">
        <v>0</v>
      </c>
      <c r="AO697">
        <v>2</v>
      </c>
    </row>
    <row r="698" spans="1:41" x14ac:dyDescent="0.2">
      <c r="A698">
        <v>1416528</v>
      </c>
      <c r="B698">
        <v>35</v>
      </c>
      <c r="C698" t="str" cm="1">
        <f t="array" ref="C698">_xlfn.IFS(B698&lt;=25,"15-25",B698&lt;=35,"26-35",B698&lt;=45,"36-45",B698&lt;=55,"46-55",B698&lt;=65,"56-65")</f>
        <v>26-35</v>
      </c>
      <c r="D698" t="s">
        <v>35</v>
      </c>
      <c r="E698" t="str">
        <f t="shared" si="20"/>
        <v>Current Employee</v>
      </c>
      <c r="F698" t="s">
        <v>36</v>
      </c>
      <c r="G698">
        <v>1219</v>
      </c>
      <c r="H698" t="s">
        <v>37</v>
      </c>
      <c r="I698">
        <v>18</v>
      </c>
      <c r="J698">
        <v>3</v>
      </c>
      <c r="K698" t="s">
        <v>49</v>
      </c>
      <c r="L698">
        <v>1</v>
      </c>
      <c r="M698">
        <v>3</v>
      </c>
      <c r="N698" t="s">
        <v>39</v>
      </c>
      <c r="O698">
        <v>86</v>
      </c>
      <c r="P698">
        <v>3</v>
      </c>
      <c r="Q698">
        <v>2</v>
      </c>
      <c r="R698" t="s">
        <v>40</v>
      </c>
      <c r="S698">
        <v>3</v>
      </c>
      <c r="T698" t="str" cm="1">
        <f t="array" ref="T698">_xlfn.IFS(S698&lt;=2,"Poor",S698&lt;=3,"Fair",S698&gt;=4,"Good")</f>
        <v>Fair</v>
      </c>
      <c r="U698" t="s">
        <v>48</v>
      </c>
      <c r="V698" s="1">
        <v>4601</v>
      </c>
      <c r="W698" t="str" cm="1">
        <f t="array" ref="W698">_xlfn.IFS(V698&lt;=5000,"Low Salary",V698&lt;=12000,"Good Salary",V698&gt;12000,"High Salary")</f>
        <v>Low Salary</v>
      </c>
      <c r="X698">
        <v>6179</v>
      </c>
      <c r="Y698">
        <v>1</v>
      </c>
      <c r="Z698" t="s">
        <v>42</v>
      </c>
      <c r="AA698" t="s">
        <v>35</v>
      </c>
      <c r="AB698">
        <v>16</v>
      </c>
      <c r="AC698">
        <v>3</v>
      </c>
      <c r="AD698" t="str">
        <f t="shared" si="21"/>
        <v>Low Performance</v>
      </c>
      <c r="AE698">
        <v>2</v>
      </c>
      <c r="AF698">
        <v>80</v>
      </c>
      <c r="AG698">
        <v>0</v>
      </c>
      <c r="AH698">
        <v>5</v>
      </c>
      <c r="AI698">
        <v>3</v>
      </c>
      <c r="AJ698">
        <v>3</v>
      </c>
      <c r="AK698" t="str" cm="1">
        <f t="array" ref="AK698">_xlfn.IFS(AJ698&lt;=2,"Poor",AJ698&lt;=3,"Fair",AJ698&gt;3,"Good")</f>
        <v>Fair</v>
      </c>
      <c r="AL698">
        <v>5</v>
      </c>
      <c r="AM698">
        <v>2</v>
      </c>
      <c r="AN698">
        <v>1</v>
      </c>
      <c r="AO698">
        <v>0</v>
      </c>
    </row>
    <row r="699" spans="1:41" x14ac:dyDescent="0.2">
      <c r="A699">
        <v>1376209</v>
      </c>
      <c r="B699">
        <v>52</v>
      </c>
      <c r="C699" t="str" cm="1">
        <f t="array" ref="C699">_xlfn.IFS(B699&lt;=25,"15-25",B699&lt;=35,"26-35",B699&lt;=45,"36-45",B699&lt;=55,"46-55",B699&lt;=65,"56-65")</f>
        <v>46-55</v>
      </c>
      <c r="D699" t="s">
        <v>35</v>
      </c>
      <c r="E699" t="str">
        <f t="shared" si="20"/>
        <v>Current Employee</v>
      </c>
      <c r="F699" t="s">
        <v>36</v>
      </c>
      <c r="G699">
        <v>1053</v>
      </c>
      <c r="H699" t="s">
        <v>54</v>
      </c>
      <c r="I699">
        <v>1</v>
      </c>
      <c r="J699">
        <v>2</v>
      </c>
      <c r="K699" t="s">
        <v>38</v>
      </c>
      <c r="L699">
        <v>1</v>
      </c>
      <c r="M699">
        <v>4</v>
      </c>
      <c r="N699" t="s">
        <v>46</v>
      </c>
      <c r="O699">
        <v>70</v>
      </c>
      <c r="P699">
        <v>3</v>
      </c>
      <c r="Q699">
        <v>4</v>
      </c>
      <c r="R699" t="s">
        <v>47</v>
      </c>
      <c r="S699">
        <v>4</v>
      </c>
      <c r="T699" t="str" cm="1">
        <f t="array" ref="T699">_xlfn.IFS(S699&lt;=2,"Poor",S699&lt;=3,"Fair",S699&gt;=4,"Good")</f>
        <v>Good</v>
      </c>
      <c r="U699" t="s">
        <v>48</v>
      </c>
      <c r="V699" s="1">
        <v>17099</v>
      </c>
      <c r="W699" t="str" cm="1">
        <f t="array" ref="W699">_xlfn.IFS(V699&lt;=5000,"Low Salary",V699&lt;=12000,"Good Salary",V699&gt;12000,"High Salary")</f>
        <v>High Salary</v>
      </c>
      <c r="X699">
        <v>13829</v>
      </c>
      <c r="Y699">
        <v>2</v>
      </c>
      <c r="Z699" t="s">
        <v>42</v>
      </c>
      <c r="AA699" t="s">
        <v>35</v>
      </c>
      <c r="AB699">
        <v>15</v>
      </c>
      <c r="AC699">
        <v>3</v>
      </c>
      <c r="AD699" t="str">
        <f t="shared" si="21"/>
        <v>Low Performance</v>
      </c>
      <c r="AE699">
        <v>2</v>
      </c>
      <c r="AF699">
        <v>80</v>
      </c>
      <c r="AG699">
        <v>1</v>
      </c>
      <c r="AH699">
        <v>26</v>
      </c>
      <c r="AI699">
        <v>2</v>
      </c>
      <c r="AJ699">
        <v>2</v>
      </c>
      <c r="AK699" t="str" cm="1">
        <f t="array" ref="AK699">_xlfn.IFS(AJ699&lt;=2,"Poor",AJ699&lt;=3,"Fair",AJ699&gt;3,"Good")</f>
        <v>Poor</v>
      </c>
      <c r="AL699">
        <v>9</v>
      </c>
      <c r="AM699">
        <v>8</v>
      </c>
      <c r="AN699">
        <v>7</v>
      </c>
      <c r="AO699">
        <v>8</v>
      </c>
    </row>
    <row r="700" spans="1:41" x14ac:dyDescent="0.2">
      <c r="A700">
        <v>1238813</v>
      </c>
      <c r="B700">
        <v>58</v>
      </c>
      <c r="C700" t="str" cm="1">
        <f t="array" ref="C700">_xlfn.IFS(B700&lt;=25,"15-25",B700&lt;=35,"26-35",B700&lt;=45,"36-45",B700&lt;=55,"46-55",B700&lt;=65,"56-65")</f>
        <v>56-65</v>
      </c>
      <c r="D700" t="s">
        <v>35</v>
      </c>
      <c r="E700" t="str">
        <f t="shared" si="20"/>
        <v>Current Employee</v>
      </c>
      <c r="F700" t="s">
        <v>36</v>
      </c>
      <c r="G700">
        <v>289</v>
      </c>
      <c r="H700" t="s">
        <v>45</v>
      </c>
      <c r="I700">
        <v>2</v>
      </c>
      <c r="J700">
        <v>3</v>
      </c>
      <c r="K700" t="s">
        <v>56</v>
      </c>
      <c r="L700">
        <v>1</v>
      </c>
      <c r="M700">
        <v>4</v>
      </c>
      <c r="N700" t="s">
        <v>46</v>
      </c>
      <c r="O700">
        <v>51</v>
      </c>
      <c r="P700">
        <v>3</v>
      </c>
      <c r="Q700">
        <v>1</v>
      </c>
      <c r="R700" t="s">
        <v>47</v>
      </c>
      <c r="S700">
        <v>3</v>
      </c>
      <c r="T700" t="str" cm="1">
        <f t="array" ref="T700">_xlfn.IFS(S700&lt;=2,"Poor",S700&lt;=3,"Fair",S700&gt;=4,"Good")</f>
        <v>Fair</v>
      </c>
      <c r="U700" t="s">
        <v>41</v>
      </c>
      <c r="V700" s="1">
        <v>2479</v>
      </c>
      <c r="W700" t="str" cm="1">
        <f t="array" ref="W700">_xlfn.IFS(V700&lt;=5000,"Low Salary",V700&lt;=12000,"Good Salary",V700&gt;12000,"High Salary")</f>
        <v>Low Salary</v>
      </c>
      <c r="X700">
        <v>26227</v>
      </c>
      <c r="Y700">
        <v>4</v>
      </c>
      <c r="Z700" t="s">
        <v>42</v>
      </c>
      <c r="AA700" t="s">
        <v>35</v>
      </c>
      <c r="AB700">
        <v>24</v>
      </c>
      <c r="AC700">
        <v>4</v>
      </c>
      <c r="AD700" t="str">
        <f t="shared" si="21"/>
        <v>High Performance</v>
      </c>
      <c r="AE700">
        <v>1</v>
      </c>
      <c r="AF700">
        <v>80</v>
      </c>
      <c r="AG700">
        <v>0</v>
      </c>
      <c r="AH700">
        <v>7</v>
      </c>
      <c r="AI700">
        <v>4</v>
      </c>
      <c r="AJ700">
        <v>3</v>
      </c>
      <c r="AK700" t="str" cm="1">
        <f t="array" ref="AK700">_xlfn.IFS(AJ700&lt;=2,"Poor",AJ700&lt;=3,"Fair",AJ700&gt;3,"Good")</f>
        <v>Fair</v>
      </c>
      <c r="AL700">
        <v>1</v>
      </c>
      <c r="AM700">
        <v>0</v>
      </c>
      <c r="AN700">
        <v>0</v>
      </c>
      <c r="AO700">
        <v>0</v>
      </c>
    </row>
    <row r="701" spans="1:41" x14ac:dyDescent="0.2">
      <c r="A701">
        <v>1715239</v>
      </c>
      <c r="B701">
        <v>53</v>
      </c>
      <c r="C701" t="str" cm="1">
        <f t="array" ref="C701">_xlfn.IFS(B701&lt;=25,"15-25",B701&lt;=35,"26-35",B701&lt;=45,"36-45",B701&lt;=55,"46-55",B701&lt;=65,"56-65")</f>
        <v>46-55</v>
      </c>
      <c r="D701" t="s">
        <v>35</v>
      </c>
      <c r="E701" t="str">
        <f t="shared" si="20"/>
        <v>Current Employee</v>
      </c>
      <c r="F701" t="s">
        <v>36</v>
      </c>
      <c r="G701">
        <v>1376</v>
      </c>
      <c r="H701" t="s">
        <v>37</v>
      </c>
      <c r="I701">
        <v>2</v>
      </c>
      <c r="J701">
        <v>2</v>
      </c>
      <c r="K701" t="s">
        <v>49</v>
      </c>
      <c r="L701">
        <v>1</v>
      </c>
      <c r="M701">
        <v>3</v>
      </c>
      <c r="N701" t="s">
        <v>46</v>
      </c>
      <c r="O701">
        <v>45</v>
      </c>
      <c r="P701">
        <v>3</v>
      </c>
      <c r="Q701">
        <v>4</v>
      </c>
      <c r="R701" t="s">
        <v>53</v>
      </c>
      <c r="S701">
        <v>3</v>
      </c>
      <c r="T701" t="str" cm="1">
        <f t="array" ref="T701">_xlfn.IFS(S701&lt;=2,"Poor",S701&lt;=3,"Fair",S701&gt;=4,"Good")</f>
        <v>Fair</v>
      </c>
      <c r="U701" t="s">
        <v>50</v>
      </c>
      <c r="V701" s="1">
        <v>14852</v>
      </c>
      <c r="W701" t="str" cm="1">
        <f t="array" ref="W701">_xlfn.IFS(V701&lt;=5000,"Low Salary",V701&lt;=12000,"Good Salary",V701&gt;12000,"High Salary")</f>
        <v>High Salary</v>
      </c>
      <c r="X701">
        <v>13938</v>
      </c>
      <c r="Y701">
        <v>6</v>
      </c>
      <c r="Z701" t="s">
        <v>42</v>
      </c>
      <c r="AA701" t="s">
        <v>35</v>
      </c>
      <c r="AB701">
        <v>13</v>
      </c>
      <c r="AC701">
        <v>3</v>
      </c>
      <c r="AD701" t="str">
        <f t="shared" si="21"/>
        <v>Low Performance</v>
      </c>
      <c r="AE701">
        <v>3</v>
      </c>
      <c r="AF701">
        <v>80</v>
      </c>
      <c r="AG701">
        <v>1</v>
      </c>
      <c r="AH701">
        <v>22</v>
      </c>
      <c r="AI701">
        <v>3</v>
      </c>
      <c r="AJ701">
        <v>4</v>
      </c>
      <c r="AK701" t="str" cm="1">
        <f t="array" ref="AK701">_xlfn.IFS(AJ701&lt;=2,"Poor",AJ701&lt;=3,"Fair",AJ701&gt;3,"Good")</f>
        <v>Good</v>
      </c>
      <c r="AL701">
        <v>17</v>
      </c>
      <c r="AM701">
        <v>13</v>
      </c>
      <c r="AN701">
        <v>15</v>
      </c>
      <c r="AO701">
        <v>2</v>
      </c>
    </row>
    <row r="702" spans="1:41" x14ac:dyDescent="0.2">
      <c r="A702">
        <v>1688979</v>
      </c>
      <c r="B702">
        <v>30</v>
      </c>
      <c r="C702" t="str" cm="1">
        <f t="array" ref="C702">_xlfn.IFS(B702&lt;=25,"15-25",B702&lt;=35,"26-35",B702&lt;=45,"36-45",B702&lt;=55,"46-55",B702&lt;=65,"56-65")</f>
        <v>26-35</v>
      </c>
      <c r="D702" t="s">
        <v>35</v>
      </c>
      <c r="E702" t="str">
        <f t="shared" si="20"/>
        <v>Current Employee</v>
      </c>
      <c r="F702" t="s">
        <v>36</v>
      </c>
      <c r="G702">
        <v>231</v>
      </c>
      <c r="H702" t="s">
        <v>37</v>
      </c>
      <c r="I702">
        <v>8</v>
      </c>
      <c r="J702">
        <v>2</v>
      </c>
      <c r="K702" t="s">
        <v>47</v>
      </c>
      <c r="L702">
        <v>1</v>
      </c>
      <c r="M702">
        <v>3</v>
      </c>
      <c r="N702" t="s">
        <v>46</v>
      </c>
      <c r="O702">
        <v>62</v>
      </c>
      <c r="P702">
        <v>3</v>
      </c>
      <c r="Q702">
        <v>3</v>
      </c>
      <c r="R702" t="s">
        <v>40</v>
      </c>
      <c r="S702">
        <v>3</v>
      </c>
      <c r="T702" t="str" cm="1">
        <f t="array" ref="T702">_xlfn.IFS(S702&lt;=2,"Poor",S702&lt;=3,"Fair",S702&gt;=4,"Good")</f>
        <v>Fair</v>
      </c>
      <c r="U702" t="s">
        <v>50</v>
      </c>
      <c r="V702" s="1">
        <v>7264</v>
      </c>
      <c r="W702" t="str" cm="1">
        <f t="array" ref="W702">_xlfn.IFS(V702&lt;=5000,"Low Salary",V702&lt;=12000,"Good Salary",V702&gt;12000,"High Salary")</f>
        <v>Good Salary</v>
      </c>
      <c r="X702">
        <v>9977</v>
      </c>
      <c r="Y702">
        <v>5</v>
      </c>
      <c r="Z702" t="s">
        <v>42</v>
      </c>
      <c r="AA702" t="s">
        <v>35</v>
      </c>
      <c r="AB702">
        <v>11</v>
      </c>
      <c r="AC702">
        <v>3</v>
      </c>
      <c r="AD702" t="str">
        <f t="shared" si="21"/>
        <v>Low Performance</v>
      </c>
      <c r="AE702">
        <v>1</v>
      </c>
      <c r="AF702">
        <v>80</v>
      </c>
      <c r="AG702">
        <v>1</v>
      </c>
      <c r="AH702">
        <v>10</v>
      </c>
      <c r="AI702">
        <v>2</v>
      </c>
      <c r="AJ702">
        <v>4</v>
      </c>
      <c r="AK702" t="str" cm="1">
        <f t="array" ref="AK702">_xlfn.IFS(AJ702&lt;=2,"Poor",AJ702&lt;=3,"Fair",AJ702&gt;3,"Good")</f>
        <v>Good</v>
      </c>
      <c r="AL702">
        <v>8</v>
      </c>
      <c r="AM702">
        <v>4</v>
      </c>
      <c r="AN702">
        <v>7</v>
      </c>
      <c r="AO702">
        <v>7</v>
      </c>
    </row>
    <row r="703" spans="1:41" x14ac:dyDescent="0.2">
      <c r="A703">
        <v>1297623</v>
      </c>
      <c r="B703">
        <v>38</v>
      </c>
      <c r="C703" t="str" cm="1">
        <f t="array" ref="C703">_xlfn.IFS(B703&lt;=25,"15-25",B703&lt;=35,"26-35",B703&lt;=45,"36-45",B703&lt;=55,"46-55",B703&lt;=65,"56-65")</f>
        <v>36-45</v>
      </c>
      <c r="D703" t="s">
        <v>35</v>
      </c>
      <c r="E703" t="str">
        <f t="shared" si="20"/>
        <v>Current Employee</v>
      </c>
      <c r="F703" t="s">
        <v>52</v>
      </c>
      <c r="G703">
        <v>152</v>
      </c>
      <c r="H703" t="s">
        <v>37</v>
      </c>
      <c r="I703">
        <v>10</v>
      </c>
      <c r="J703">
        <v>3</v>
      </c>
      <c r="K703" t="s">
        <v>56</v>
      </c>
      <c r="L703">
        <v>1</v>
      </c>
      <c r="M703">
        <v>3</v>
      </c>
      <c r="N703" t="s">
        <v>39</v>
      </c>
      <c r="O703">
        <v>85</v>
      </c>
      <c r="P703">
        <v>3</v>
      </c>
      <c r="Q703">
        <v>2</v>
      </c>
      <c r="R703" t="s">
        <v>40</v>
      </c>
      <c r="S703">
        <v>4</v>
      </c>
      <c r="T703" t="str" cm="1">
        <f t="array" ref="T703">_xlfn.IFS(S703&lt;=2,"Poor",S703&lt;=3,"Fair",S703&gt;=4,"Good")</f>
        <v>Good</v>
      </c>
      <c r="U703" t="s">
        <v>41</v>
      </c>
      <c r="V703" s="1">
        <v>5666</v>
      </c>
      <c r="W703" t="str" cm="1">
        <f t="array" ref="W703">_xlfn.IFS(V703&lt;=5000,"Low Salary",V703&lt;=12000,"Good Salary",V703&gt;12000,"High Salary")</f>
        <v>Good Salary</v>
      </c>
      <c r="X703">
        <v>19899</v>
      </c>
      <c r="Y703">
        <v>1</v>
      </c>
      <c r="Z703" t="s">
        <v>42</v>
      </c>
      <c r="AA703" t="s">
        <v>43</v>
      </c>
      <c r="AB703">
        <v>13</v>
      </c>
      <c r="AC703">
        <v>3</v>
      </c>
      <c r="AD703" t="str">
        <f t="shared" si="21"/>
        <v>Low Performance</v>
      </c>
      <c r="AE703">
        <v>2</v>
      </c>
      <c r="AF703">
        <v>80</v>
      </c>
      <c r="AG703">
        <v>0</v>
      </c>
      <c r="AH703">
        <v>6</v>
      </c>
      <c r="AI703">
        <v>1</v>
      </c>
      <c r="AJ703">
        <v>3</v>
      </c>
      <c r="AK703" t="str" cm="1">
        <f t="array" ref="AK703">_xlfn.IFS(AJ703&lt;=2,"Poor",AJ703&lt;=3,"Fair",AJ703&gt;3,"Good")</f>
        <v>Fair</v>
      </c>
      <c r="AL703">
        <v>5</v>
      </c>
      <c r="AM703">
        <v>3</v>
      </c>
      <c r="AN703">
        <v>1</v>
      </c>
      <c r="AO703">
        <v>3</v>
      </c>
    </row>
    <row r="704" spans="1:41" x14ac:dyDescent="0.2">
      <c r="A704">
        <v>1685947</v>
      </c>
      <c r="B704">
        <v>35</v>
      </c>
      <c r="C704" t="str" cm="1">
        <f t="array" ref="C704">_xlfn.IFS(B704&lt;=25,"15-25",B704&lt;=35,"26-35",B704&lt;=45,"36-45",B704&lt;=55,"46-55",B704&lt;=65,"56-65")</f>
        <v>26-35</v>
      </c>
      <c r="D704" t="s">
        <v>35</v>
      </c>
      <c r="E704" t="str">
        <f t="shared" si="20"/>
        <v>Current Employee</v>
      </c>
      <c r="F704" t="s">
        <v>36</v>
      </c>
      <c r="G704">
        <v>882</v>
      </c>
      <c r="H704" t="s">
        <v>37</v>
      </c>
      <c r="I704">
        <v>3</v>
      </c>
      <c r="J704">
        <v>4</v>
      </c>
      <c r="K704" t="s">
        <v>38</v>
      </c>
      <c r="L704">
        <v>1</v>
      </c>
      <c r="M704">
        <v>4</v>
      </c>
      <c r="N704" t="s">
        <v>46</v>
      </c>
      <c r="O704">
        <v>92</v>
      </c>
      <c r="P704">
        <v>3</v>
      </c>
      <c r="Q704">
        <v>3</v>
      </c>
      <c r="R704" t="s">
        <v>40</v>
      </c>
      <c r="S704">
        <v>4</v>
      </c>
      <c r="T704" t="str" cm="1">
        <f t="array" ref="T704">_xlfn.IFS(S704&lt;=2,"Poor",S704&lt;=3,"Fair",S704&gt;=4,"Good")</f>
        <v>Good</v>
      </c>
      <c r="U704" t="s">
        <v>50</v>
      </c>
      <c r="V704" s="1">
        <v>7823</v>
      </c>
      <c r="W704" t="str" cm="1">
        <f t="array" ref="W704">_xlfn.IFS(V704&lt;=5000,"Low Salary",V704&lt;=12000,"Good Salary",V704&gt;12000,"High Salary")</f>
        <v>Good Salary</v>
      </c>
      <c r="X704">
        <v>6812</v>
      </c>
      <c r="Y704">
        <v>6</v>
      </c>
      <c r="Z704" t="s">
        <v>42</v>
      </c>
      <c r="AA704" t="s">
        <v>35</v>
      </c>
      <c r="AB704">
        <v>13</v>
      </c>
      <c r="AC704">
        <v>3</v>
      </c>
      <c r="AD704" t="str">
        <f t="shared" si="21"/>
        <v>Low Performance</v>
      </c>
      <c r="AE704">
        <v>2</v>
      </c>
      <c r="AF704">
        <v>80</v>
      </c>
      <c r="AG704">
        <v>1</v>
      </c>
      <c r="AH704">
        <v>12</v>
      </c>
      <c r="AI704">
        <v>2</v>
      </c>
      <c r="AJ704">
        <v>3</v>
      </c>
      <c r="AK704" t="str" cm="1">
        <f t="array" ref="AK704">_xlfn.IFS(AJ704&lt;=2,"Poor",AJ704&lt;=3,"Fair",AJ704&gt;3,"Good")</f>
        <v>Fair</v>
      </c>
      <c r="AL704">
        <v>10</v>
      </c>
      <c r="AM704">
        <v>9</v>
      </c>
      <c r="AN704">
        <v>0</v>
      </c>
      <c r="AO704">
        <v>8</v>
      </c>
    </row>
    <row r="705" spans="1:41" x14ac:dyDescent="0.2">
      <c r="A705">
        <v>1785279</v>
      </c>
      <c r="B705">
        <v>39</v>
      </c>
      <c r="C705" t="str" cm="1">
        <f t="array" ref="C705">_xlfn.IFS(B705&lt;=25,"15-25",B705&lt;=35,"26-35",B705&lt;=45,"36-45",B705&lt;=55,"46-55",B705&lt;=65,"56-65")</f>
        <v>36-45</v>
      </c>
      <c r="D705" t="s">
        <v>35</v>
      </c>
      <c r="E705" t="str">
        <f t="shared" si="20"/>
        <v>Current Employee</v>
      </c>
      <c r="F705" t="s">
        <v>36</v>
      </c>
      <c r="G705">
        <v>903</v>
      </c>
      <c r="H705" t="s">
        <v>37</v>
      </c>
      <c r="I705">
        <v>2</v>
      </c>
      <c r="J705">
        <v>5</v>
      </c>
      <c r="K705" t="s">
        <v>38</v>
      </c>
      <c r="L705">
        <v>1</v>
      </c>
      <c r="M705">
        <v>1</v>
      </c>
      <c r="N705" t="s">
        <v>46</v>
      </c>
      <c r="O705">
        <v>41</v>
      </c>
      <c r="P705">
        <v>4</v>
      </c>
      <c r="Q705">
        <v>3</v>
      </c>
      <c r="R705" t="s">
        <v>40</v>
      </c>
      <c r="S705">
        <v>3</v>
      </c>
      <c r="T705" t="str" cm="1">
        <f t="array" ref="T705">_xlfn.IFS(S705&lt;=2,"Poor",S705&lt;=3,"Fair",S705&gt;=4,"Good")</f>
        <v>Fair</v>
      </c>
      <c r="U705" t="s">
        <v>41</v>
      </c>
      <c r="V705" s="1">
        <v>7880</v>
      </c>
      <c r="W705" t="str" cm="1">
        <f t="array" ref="W705">_xlfn.IFS(V705&lt;=5000,"Low Salary",V705&lt;=12000,"Good Salary",V705&gt;12000,"High Salary")</f>
        <v>Good Salary</v>
      </c>
      <c r="X705">
        <v>2560</v>
      </c>
      <c r="Y705">
        <v>0</v>
      </c>
      <c r="Z705" t="s">
        <v>42</v>
      </c>
      <c r="AA705" t="s">
        <v>35</v>
      </c>
      <c r="AB705">
        <v>18</v>
      </c>
      <c r="AC705">
        <v>3</v>
      </c>
      <c r="AD705" t="str">
        <f t="shared" si="21"/>
        <v>Low Performance</v>
      </c>
      <c r="AE705">
        <v>4</v>
      </c>
      <c r="AF705">
        <v>80</v>
      </c>
      <c r="AG705">
        <v>0</v>
      </c>
      <c r="AH705">
        <v>9</v>
      </c>
      <c r="AI705">
        <v>3</v>
      </c>
      <c r="AJ705">
        <v>3</v>
      </c>
      <c r="AK705" t="str" cm="1">
        <f t="array" ref="AK705">_xlfn.IFS(AJ705&lt;=2,"Poor",AJ705&lt;=3,"Fair",AJ705&gt;3,"Good")</f>
        <v>Fair</v>
      </c>
      <c r="AL705">
        <v>8</v>
      </c>
      <c r="AM705">
        <v>7</v>
      </c>
      <c r="AN705">
        <v>0</v>
      </c>
      <c r="AO705">
        <v>7</v>
      </c>
    </row>
    <row r="706" spans="1:41" x14ac:dyDescent="0.2">
      <c r="A706">
        <v>1378606</v>
      </c>
      <c r="B706">
        <v>40</v>
      </c>
      <c r="C706" t="str" cm="1">
        <f t="array" ref="C706">_xlfn.IFS(B706&lt;=25,"15-25",B706&lt;=35,"26-35",B706&lt;=45,"36-45",B706&lt;=55,"46-55",B706&lt;=65,"56-65")</f>
        <v>36-45</v>
      </c>
      <c r="D706" t="s">
        <v>43</v>
      </c>
      <c r="E706" t="str">
        <f t="shared" si="20"/>
        <v>Former Employee</v>
      </c>
      <c r="F706" t="s">
        <v>52</v>
      </c>
      <c r="G706">
        <v>1479</v>
      </c>
      <c r="H706" t="s">
        <v>37</v>
      </c>
      <c r="I706">
        <v>24</v>
      </c>
      <c r="J706">
        <v>3</v>
      </c>
      <c r="K706" t="s">
        <v>38</v>
      </c>
      <c r="L706">
        <v>1</v>
      </c>
      <c r="M706">
        <v>2</v>
      </c>
      <c r="N706" t="s">
        <v>39</v>
      </c>
      <c r="O706">
        <v>100</v>
      </c>
      <c r="P706">
        <v>4</v>
      </c>
      <c r="Q706">
        <v>4</v>
      </c>
      <c r="R706" t="s">
        <v>40</v>
      </c>
      <c r="S706">
        <v>2</v>
      </c>
      <c r="T706" t="str" cm="1">
        <f t="array" ref="T706">_xlfn.IFS(S706&lt;=2,"Poor",S706&lt;=3,"Fair",S706&gt;=4,"Good")</f>
        <v>Poor</v>
      </c>
      <c r="U706" t="s">
        <v>41</v>
      </c>
      <c r="V706" s="1">
        <v>13194</v>
      </c>
      <c r="W706" t="str" cm="1">
        <f t="array" ref="W706">_xlfn.IFS(V706&lt;=5000,"Low Salary",V706&lt;=12000,"Good Salary",V706&gt;12000,"High Salary")</f>
        <v>High Salary</v>
      </c>
      <c r="X706">
        <v>17071</v>
      </c>
      <c r="Y706">
        <v>4</v>
      </c>
      <c r="Z706" t="s">
        <v>42</v>
      </c>
      <c r="AA706" t="s">
        <v>43</v>
      </c>
      <c r="AB706">
        <v>16</v>
      </c>
      <c r="AC706">
        <v>3</v>
      </c>
      <c r="AD706" t="str">
        <f t="shared" si="21"/>
        <v>Low Performance</v>
      </c>
      <c r="AE706">
        <v>4</v>
      </c>
      <c r="AF706">
        <v>80</v>
      </c>
      <c r="AG706">
        <v>0</v>
      </c>
      <c r="AH706">
        <v>22</v>
      </c>
      <c r="AI706">
        <v>2</v>
      </c>
      <c r="AJ706">
        <v>2</v>
      </c>
      <c r="AK706" t="str" cm="1">
        <f t="array" ref="AK706">_xlfn.IFS(AJ706&lt;=2,"Poor",AJ706&lt;=3,"Fair",AJ706&gt;3,"Good")</f>
        <v>Poor</v>
      </c>
      <c r="AL706">
        <v>1</v>
      </c>
      <c r="AM706">
        <v>0</v>
      </c>
      <c r="AN706">
        <v>0</v>
      </c>
      <c r="AO706">
        <v>0</v>
      </c>
    </row>
    <row r="707" spans="1:41" x14ac:dyDescent="0.2">
      <c r="A707">
        <v>1118201</v>
      </c>
      <c r="B707">
        <v>47</v>
      </c>
      <c r="C707" t="str" cm="1">
        <f t="array" ref="C707">_xlfn.IFS(B707&lt;=25,"15-25",B707&lt;=35,"26-35",B707&lt;=45,"36-45",B707&lt;=55,"46-55",B707&lt;=65,"56-65")</f>
        <v>46-55</v>
      </c>
      <c r="D707" t="s">
        <v>35</v>
      </c>
      <c r="E707" t="str">
        <f t="shared" ref="E707:E770" si="22">IF(D707="No","Current Employee","Former Employee")</f>
        <v>Current Employee</v>
      </c>
      <c r="F707" t="s">
        <v>44</v>
      </c>
      <c r="G707">
        <v>1379</v>
      </c>
      <c r="H707" t="s">
        <v>45</v>
      </c>
      <c r="I707">
        <v>16</v>
      </c>
      <c r="J707">
        <v>4</v>
      </c>
      <c r="K707" t="s">
        <v>49</v>
      </c>
      <c r="L707">
        <v>1</v>
      </c>
      <c r="M707">
        <v>3</v>
      </c>
      <c r="N707" t="s">
        <v>46</v>
      </c>
      <c r="O707">
        <v>64</v>
      </c>
      <c r="P707">
        <v>4</v>
      </c>
      <c r="Q707">
        <v>2</v>
      </c>
      <c r="R707" t="s">
        <v>51</v>
      </c>
      <c r="S707">
        <v>3</v>
      </c>
      <c r="T707" t="str" cm="1">
        <f t="array" ref="T707">_xlfn.IFS(S707&lt;=2,"Poor",S707&lt;=3,"Fair",S707&gt;=4,"Good")</f>
        <v>Fair</v>
      </c>
      <c r="U707" t="s">
        <v>50</v>
      </c>
      <c r="V707" s="1">
        <v>5067</v>
      </c>
      <c r="W707" t="str" cm="1">
        <f t="array" ref="W707">_xlfn.IFS(V707&lt;=5000,"Low Salary",V707&lt;=12000,"Good Salary",V707&gt;12000,"High Salary")</f>
        <v>Good Salary</v>
      </c>
      <c r="X707">
        <v>6759</v>
      </c>
      <c r="Y707">
        <v>1</v>
      </c>
      <c r="Z707" t="s">
        <v>42</v>
      </c>
      <c r="AA707" t="s">
        <v>43</v>
      </c>
      <c r="AB707">
        <v>19</v>
      </c>
      <c r="AC707">
        <v>3</v>
      </c>
      <c r="AD707" t="str">
        <f t="shared" ref="AD707:AD770" si="23">IF(AC707&lt;=3,"Low Performance","High Performance")</f>
        <v>Low Performance</v>
      </c>
      <c r="AE707">
        <v>3</v>
      </c>
      <c r="AF707">
        <v>80</v>
      </c>
      <c r="AG707">
        <v>0</v>
      </c>
      <c r="AH707">
        <v>20</v>
      </c>
      <c r="AI707">
        <v>3</v>
      </c>
      <c r="AJ707">
        <v>4</v>
      </c>
      <c r="AK707" t="str" cm="1">
        <f t="array" ref="AK707">_xlfn.IFS(AJ707&lt;=2,"Poor",AJ707&lt;=3,"Fair",AJ707&gt;3,"Good")</f>
        <v>Good</v>
      </c>
      <c r="AL707">
        <v>19</v>
      </c>
      <c r="AM707">
        <v>10</v>
      </c>
      <c r="AN707">
        <v>2</v>
      </c>
      <c r="AO707">
        <v>7</v>
      </c>
    </row>
    <row r="708" spans="1:41" x14ac:dyDescent="0.2">
      <c r="A708">
        <v>1866341</v>
      </c>
      <c r="B708">
        <v>36</v>
      </c>
      <c r="C708" t="str" cm="1">
        <f t="array" ref="C708">_xlfn.IFS(B708&lt;=25,"15-25",B708&lt;=35,"26-35",B708&lt;=45,"36-45",B708&lt;=55,"46-55",B708&lt;=65,"56-65")</f>
        <v>36-45</v>
      </c>
      <c r="D708" t="s">
        <v>35</v>
      </c>
      <c r="E708" t="str">
        <f t="shared" si="22"/>
        <v>Current Employee</v>
      </c>
      <c r="F708" t="s">
        <v>52</v>
      </c>
      <c r="G708">
        <v>1229</v>
      </c>
      <c r="H708" t="s">
        <v>37</v>
      </c>
      <c r="I708">
        <v>8</v>
      </c>
      <c r="J708">
        <v>4</v>
      </c>
      <c r="K708" t="s">
        <v>56</v>
      </c>
      <c r="L708">
        <v>1</v>
      </c>
      <c r="M708">
        <v>1</v>
      </c>
      <c r="N708" t="s">
        <v>46</v>
      </c>
      <c r="O708">
        <v>84</v>
      </c>
      <c r="P708">
        <v>3</v>
      </c>
      <c r="Q708">
        <v>2</v>
      </c>
      <c r="R708" t="s">
        <v>40</v>
      </c>
      <c r="S708">
        <v>4</v>
      </c>
      <c r="T708" t="str" cm="1">
        <f t="array" ref="T708">_xlfn.IFS(S708&lt;=2,"Poor",S708&lt;=3,"Fair",S708&gt;=4,"Good")</f>
        <v>Good</v>
      </c>
      <c r="U708" t="s">
        <v>50</v>
      </c>
      <c r="V708" s="1">
        <v>5079</v>
      </c>
      <c r="W708" t="str" cm="1">
        <f t="array" ref="W708">_xlfn.IFS(V708&lt;=5000,"Low Salary",V708&lt;=12000,"Good Salary",V708&gt;12000,"High Salary")</f>
        <v>Good Salary</v>
      </c>
      <c r="X708">
        <v>25952</v>
      </c>
      <c r="Y708">
        <v>4</v>
      </c>
      <c r="Z708" t="s">
        <v>42</v>
      </c>
      <c r="AA708" t="s">
        <v>35</v>
      </c>
      <c r="AB708">
        <v>13</v>
      </c>
      <c r="AC708">
        <v>3</v>
      </c>
      <c r="AD708" t="str">
        <f t="shared" si="23"/>
        <v>Low Performance</v>
      </c>
      <c r="AE708">
        <v>4</v>
      </c>
      <c r="AF708">
        <v>80</v>
      </c>
      <c r="AG708">
        <v>2</v>
      </c>
      <c r="AH708">
        <v>12</v>
      </c>
      <c r="AI708">
        <v>3</v>
      </c>
      <c r="AJ708">
        <v>3</v>
      </c>
      <c r="AK708" t="str" cm="1">
        <f t="array" ref="AK708">_xlfn.IFS(AJ708&lt;=2,"Poor",AJ708&lt;=3,"Fair",AJ708&gt;3,"Good")</f>
        <v>Fair</v>
      </c>
      <c r="AL708">
        <v>7</v>
      </c>
      <c r="AM708">
        <v>7</v>
      </c>
      <c r="AN708">
        <v>0</v>
      </c>
      <c r="AO708">
        <v>7</v>
      </c>
    </row>
    <row r="709" spans="1:41" x14ac:dyDescent="0.2">
      <c r="A709">
        <v>1649317</v>
      </c>
      <c r="B709">
        <v>31</v>
      </c>
      <c r="C709" t="str" cm="1">
        <f t="array" ref="C709">_xlfn.IFS(B709&lt;=25,"15-25",B709&lt;=35,"26-35",B709&lt;=45,"36-45",B709&lt;=55,"46-55",B709&lt;=65,"56-65")</f>
        <v>26-35</v>
      </c>
      <c r="D709" t="s">
        <v>43</v>
      </c>
      <c r="E709" t="str">
        <f t="shared" si="22"/>
        <v>Former Employee</v>
      </c>
      <c r="F709" t="s">
        <v>52</v>
      </c>
      <c r="G709">
        <v>335</v>
      </c>
      <c r="H709" t="s">
        <v>45</v>
      </c>
      <c r="I709">
        <v>9</v>
      </c>
      <c r="J709">
        <v>2</v>
      </c>
      <c r="K709" t="s">
        <v>49</v>
      </c>
      <c r="L709">
        <v>1</v>
      </c>
      <c r="M709">
        <v>3</v>
      </c>
      <c r="N709" t="s">
        <v>46</v>
      </c>
      <c r="O709">
        <v>46</v>
      </c>
      <c r="P709">
        <v>2</v>
      </c>
      <c r="Q709">
        <v>1</v>
      </c>
      <c r="R709" t="s">
        <v>47</v>
      </c>
      <c r="S709">
        <v>1</v>
      </c>
      <c r="T709" t="str" cm="1">
        <f t="array" ref="T709">_xlfn.IFS(S709&lt;=2,"Poor",S709&lt;=3,"Fair",S709&gt;=4,"Good")</f>
        <v>Poor</v>
      </c>
      <c r="U709" t="s">
        <v>41</v>
      </c>
      <c r="V709" s="1">
        <v>2321</v>
      </c>
      <c r="W709" t="str" cm="1">
        <f t="array" ref="W709">_xlfn.IFS(V709&lt;=5000,"Low Salary",V709&lt;=12000,"Good Salary",V709&gt;12000,"High Salary")</f>
        <v>Low Salary</v>
      </c>
      <c r="X709">
        <v>10322</v>
      </c>
      <c r="Y709">
        <v>0</v>
      </c>
      <c r="Z709" t="s">
        <v>42</v>
      </c>
      <c r="AA709" t="s">
        <v>43</v>
      </c>
      <c r="AB709">
        <v>22</v>
      </c>
      <c r="AC709">
        <v>4</v>
      </c>
      <c r="AD709" t="str">
        <f t="shared" si="23"/>
        <v>High Performance</v>
      </c>
      <c r="AE709">
        <v>1</v>
      </c>
      <c r="AF709">
        <v>80</v>
      </c>
      <c r="AG709">
        <v>0</v>
      </c>
      <c r="AH709">
        <v>4</v>
      </c>
      <c r="AI709">
        <v>0</v>
      </c>
      <c r="AJ709">
        <v>3</v>
      </c>
      <c r="AK709" t="str" cm="1">
        <f t="array" ref="AK709">_xlfn.IFS(AJ709&lt;=2,"Poor",AJ709&lt;=3,"Fair",AJ709&gt;3,"Good")</f>
        <v>Fair</v>
      </c>
      <c r="AL709">
        <v>3</v>
      </c>
      <c r="AM709">
        <v>2</v>
      </c>
      <c r="AN709">
        <v>1</v>
      </c>
      <c r="AO709">
        <v>2</v>
      </c>
    </row>
    <row r="710" spans="1:41" x14ac:dyDescent="0.2">
      <c r="A710">
        <v>1281310</v>
      </c>
      <c r="B710">
        <v>33</v>
      </c>
      <c r="C710" t="str" cm="1">
        <f t="array" ref="C710">_xlfn.IFS(B710&lt;=25,"15-25",B710&lt;=35,"26-35",B710&lt;=45,"36-45",B710&lt;=55,"46-55",B710&lt;=65,"56-65")</f>
        <v>26-35</v>
      </c>
      <c r="D710" t="s">
        <v>35</v>
      </c>
      <c r="E710" t="str">
        <f t="shared" si="22"/>
        <v>Current Employee</v>
      </c>
      <c r="F710" t="s">
        <v>52</v>
      </c>
      <c r="G710">
        <v>722</v>
      </c>
      <c r="H710" t="s">
        <v>37</v>
      </c>
      <c r="I710">
        <v>17</v>
      </c>
      <c r="J710">
        <v>3</v>
      </c>
      <c r="K710" t="s">
        <v>38</v>
      </c>
      <c r="L710">
        <v>1</v>
      </c>
      <c r="M710">
        <v>4</v>
      </c>
      <c r="N710" t="s">
        <v>46</v>
      </c>
      <c r="O710">
        <v>38</v>
      </c>
      <c r="P710">
        <v>3</v>
      </c>
      <c r="Q710">
        <v>4</v>
      </c>
      <c r="R710" t="s">
        <v>53</v>
      </c>
      <c r="S710">
        <v>3</v>
      </c>
      <c r="T710" t="str" cm="1">
        <f t="array" ref="T710">_xlfn.IFS(S710&lt;=2,"Poor",S710&lt;=3,"Fair",S710&gt;=4,"Good")</f>
        <v>Fair</v>
      </c>
      <c r="U710" t="s">
        <v>41</v>
      </c>
      <c r="V710" s="1">
        <v>17444</v>
      </c>
      <c r="W710" t="str" cm="1">
        <f t="array" ref="W710">_xlfn.IFS(V710&lt;=5000,"Low Salary",V710&lt;=12000,"Good Salary",V710&gt;12000,"High Salary")</f>
        <v>High Salary</v>
      </c>
      <c r="X710">
        <v>20489</v>
      </c>
      <c r="Y710">
        <v>1</v>
      </c>
      <c r="Z710" t="s">
        <v>42</v>
      </c>
      <c r="AA710" t="s">
        <v>35</v>
      </c>
      <c r="AB710">
        <v>11</v>
      </c>
      <c r="AC710">
        <v>3</v>
      </c>
      <c r="AD710" t="str">
        <f t="shared" si="23"/>
        <v>Low Performance</v>
      </c>
      <c r="AE710">
        <v>4</v>
      </c>
      <c r="AF710">
        <v>80</v>
      </c>
      <c r="AG710">
        <v>0</v>
      </c>
      <c r="AH710">
        <v>10</v>
      </c>
      <c r="AI710">
        <v>2</v>
      </c>
      <c r="AJ710">
        <v>3</v>
      </c>
      <c r="AK710" t="str" cm="1">
        <f t="array" ref="AK710">_xlfn.IFS(AJ710&lt;=2,"Poor",AJ710&lt;=3,"Fair",AJ710&gt;3,"Good")</f>
        <v>Fair</v>
      </c>
      <c r="AL710">
        <v>10</v>
      </c>
      <c r="AM710">
        <v>8</v>
      </c>
      <c r="AN710">
        <v>6</v>
      </c>
      <c r="AO710">
        <v>0</v>
      </c>
    </row>
    <row r="711" spans="1:41" x14ac:dyDescent="0.2">
      <c r="A711">
        <v>1658398</v>
      </c>
      <c r="B711">
        <v>29</v>
      </c>
      <c r="C711" t="str" cm="1">
        <f t="array" ref="C711">_xlfn.IFS(B711&lt;=25,"15-25",B711&lt;=35,"26-35",B711&lt;=45,"36-45",B711&lt;=55,"46-55",B711&lt;=65,"56-65")</f>
        <v>26-35</v>
      </c>
      <c r="D711" t="s">
        <v>43</v>
      </c>
      <c r="E711" t="str">
        <f t="shared" si="22"/>
        <v>Former Employee</v>
      </c>
      <c r="F711" t="s">
        <v>36</v>
      </c>
      <c r="G711">
        <v>906</v>
      </c>
      <c r="H711" t="s">
        <v>45</v>
      </c>
      <c r="I711">
        <v>10</v>
      </c>
      <c r="J711">
        <v>3</v>
      </c>
      <c r="K711" t="s">
        <v>38</v>
      </c>
      <c r="L711">
        <v>1</v>
      </c>
      <c r="M711">
        <v>4</v>
      </c>
      <c r="N711" t="s">
        <v>39</v>
      </c>
      <c r="O711">
        <v>92</v>
      </c>
      <c r="P711">
        <v>2</v>
      </c>
      <c r="Q711">
        <v>1</v>
      </c>
      <c r="R711" t="s">
        <v>47</v>
      </c>
      <c r="S711">
        <v>1</v>
      </c>
      <c r="T711" t="str" cm="1">
        <f t="array" ref="T711">_xlfn.IFS(S711&lt;=2,"Poor",S711&lt;=3,"Fair",S711&gt;=4,"Good")</f>
        <v>Poor</v>
      </c>
      <c r="U711" t="s">
        <v>41</v>
      </c>
      <c r="V711" s="1">
        <v>2404</v>
      </c>
      <c r="W711" t="str" cm="1">
        <f t="array" ref="W711">_xlfn.IFS(V711&lt;=5000,"Low Salary",V711&lt;=12000,"Good Salary",V711&gt;12000,"High Salary")</f>
        <v>Low Salary</v>
      </c>
      <c r="X711">
        <v>11479</v>
      </c>
      <c r="Y711">
        <v>6</v>
      </c>
      <c r="Z711" t="s">
        <v>42</v>
      </c>
      <c r="AA711" t="s">
        <v>43</v>
      </c>
      <c r="AB711">
        <v>20</v>
      </c>
      <c r="AC711">
        <v>4</v>
      </c>
      <c r="AD711" t="str">
        <f t="shared" si="23"/>
        <v>High Performance</v>
      </c>
      <c r="AE711">
        <v>3</v>
      </c>
      <c r="AF711">
        <v>80</v>
      </c>
      <c r="AG711">
        <v>0</v>
      </c>
      <c r="AH711">
        <v>3</v>
      </c>
      <c r="AI711">
        <v>5</v>
      </c>
      <c r="AJ711">
        <v>3</v>
      </c>
      <c r="AK711" t="str" cm="1">
        <f t="array" ref="AK711">_xlfn.IFS(AJ711&lt;=2,"Poor",AJ711&lt;=3,"Fair",AJ711&gt;3,"Good")</f>
        <v>Fair</v>
      </c>
      <c r="AL711">
        <v>0</v>
      </c>
      <c r="AM711">
        <v>0</v>
      </c>
      <c r="AN711">
        <v>0</v>
      </c>
      <c r="AO711">
        <v>0</v>
      </c>
    </row>
    <row r="712" spans="1:41" x14ac:dyDescent="0.2">
      <c r="A712">
        <v>1462108</v>
      </c>
      <c r="B712">
        <v>33</v>
      </c>
      <c r="C712" t="str" cm="1">
        <f t="array" ref="C712">_xlfn.IFS(B712&lt;=25,"15-25",B712&lt;=35,"26-35",B712&lt;=45,"36-45",B712&lt;=55,"46-55",B712&lt;=65,"56-65")</f>
        <v>26-35</v>
      </c>
      <c r="D712" t="s">
        <v>35</v>
      </c>
      <c r="E712" t="str">
        <f t="shared" si="22"/>
        <v>Current Employee</v>
      </c>
      <c r="F712" t="s">
        <v>36</v>
      </c>
      <c r="G712">
        <v>461</v>
      </c>
      <c r="H712" t="s">
        <v>45</v>
      </c>
      <c r="I712">
        <v>13</v>
      </c>
      <c r="J712">
        <v>1</v>
      </c>
      <c r="K712" t="s">
        <v>38</v>
      </c>
      <c r="L712">
        <v>1</v>
      </c>
      <c r="M712">
        <v>2</v>
      </c>
      <c r="N712" t="s">
        <v>39</v>
      </c>
      <c r="O712">
        <v>53</v>
      </c>
      <c r="P712">
        <v>3</v>
      </c>
      <c r="Q712">
        <v>1</v>
      </c>
      <c r="R712" t="s">
        <v>47</v>
      </c>
      <c r="S712">
        <v>4</v>
      </c>
      <c r="T712" t="str" cm="1">
        <f t="array" ref="T712">_xlfn.IFS(S712&lt;=2,"Poor",S712&lt;=3,"Fair",S712&gt;=4,"Good")</f>
        <v>Good</v>
      </c>
      <c r="U712" t="s">
        <v>41</v>
      </c>
      <c r="V712" s="1">
        <v>3452</v>
      </c>
      <c r="W712" t="str" cm="1">
        <f t="array" ref="W712">_xlfn.IFS(V712&lt;=5000,"Low Salary",V712&lt;=12000,"Good Salary",V712&gt;12000,"High Salary")</f>
        <v>Low Salary</v>
      </c>
      <c r="X712">
        <v>17241</v>
      </c>
      <c r="Y712">
        <v>3</v>
      </c>
      <c r="Z712" t="s">
        <v>42</v>
      </c>
      <c r="AA712" t="s">
        <v>35</v>
      </c>
      <c r="AB712">
        <v>18</v>
      </c>
      <c r="AC712">
        <v>3</v>
      </c>
      <c r="AD712" t="str">
        <f t="shared" si="23"/>
        <v>Low Performance</v>
      </c>
      <c r="AE712">
        <v>1</v>
      </c>
      <c r="AF712">
        <v>80</v>
      </c>
      <c r="AG712">
        <v>0</v>
      </c>
      <c r="AH712">
        <v>5</v>
      </c>
      <c r="AI712">
        <v>4</v>
      </c>
      <c r="AJ712">
        <v>3</v>
      </c>
      <c r="AK712" t="str" cm="1">
        <f t="array" ref="AK712">_xlfn.IFS(AJ712&lt;=2,"Poor",AJ712&lt;=3,"Fair",AJ712&gt;3,"Good")</f>
        <v>Fair</v>
      </c>
      <c r="AL712">
        <v>3</v>
      </c>
      <c r="AM712">
        <v>2</v>
      </c>
      <c r="AN712">
        <v>0</v>
      </c>
      <c r="AO712">
        <v>2</v>
      </c>
    </row>
    <row r="713" spans="1:41" x14ac:dyDescent="0.2">
      <c r="A713">
        <v>1790357</v>
      </c>
      <c r="B713">
        <v>45</v>
      </c>
      <c r="C713" t="str" cm="1">
        <f t="array" ref="C713">_xlfn.IFS(B713&lt;=25,"15-25",B713&lt;=35,"26-35",B713&lt;=45,"36-45",B713&lt;=55,"46-55",B713&lt;=65,"56-65")</f>
        <v>36-45</v>
      </c>
      <c r="D713" t="s">
        <v>35</v>
      </c>
      <c r="E713" t="str">
        <f t="shared" si="22"/>
        <v>Current Employee</v>
      </c>
      <c r="F713" t="s">
        <v>36</v>
      </c>
      <c r="G713">
        <v>974</v>
      </c>
      <c r="H713" t="s">
        <v>45</v>
      </c>
      <c r="I713">
        <v>1</v>
      </c>
      <c r="J713">
        <v>4</v>
      </c>
      <c r="K713" t="s">
        <v>49</v>
      </c>
      <c r="L713">
        <v>1</v>
      </c>
      <c r="M713">
        <v>4</v>
      </c>
      <c r="N713" t="s">
        <v>39</v>
      </c>
      <c r="O713">
        <v>91</v>
      </c>
      <c r="P713">
        <v>3</v>
      </c>
      <c r="Q713">
        <v>1</v>
      </c>
      <c r="R713" t="s">
        <v>40</v>
      </c>
      <c r="S713">
        <v>4</v>
      </c>
      <c r="T713" t="str" cm="1">
        <f t="array" ref="T713">_xlfn.IFS(S713&lt;=2,"Poor",S713&lt;=3,"Fair",S713&gt;=4,"Good")</f>
        <v>Good</v>
      </c>
      <c r="U713" t="s">
        <v>50</v>
      </c>
      <c r="V713" s="1">
        <v>2270</v>
      </c>
      <c r="W713" t="str" cm="1">
        <f t="array" ref="W713">_xlfn.IFS(V713&lt;=5000,"Low Salary",V713&lt;=12000,"Good Salary",V713&gt;12000,"High Salary")</f>
        <v>Low Salary</v>
      </c>
      <c r="X713">
        <v>11005</v>
      </c>
      <c r="Y713">
        <v>3</v>
      </c>
      <c r="Z713" t="s">
        <v>42</v>
      </c>
      <c r="AA713" t="s">
        <v>35</v>
      </c>
      <c r="AB713">
        <v>14</v>
      </c>
      <c r="AC713">
        <v>3</v>
      </c>
      <c r="AD713" t="str">
        <f t="shared" si="23"/>
        <v>Low Performance</v>
      </c>
      <c r="AE713">
        <v>4</v>
      </c>
      <c r="AF713">
        <v>80</v>
      </c>
      <c r="AG713">
        <v>2</v>
      </c>
      <c r="AH713">
        <v>8</v>
      </c>
      <c r="AI713">
        <v>2</v>
      </c>
      <c r="AJ713">
        <v>3</v>
      </c>
      <c r="AK713" t="str" cm="1">
        <f t="array" ref="AK713">_xlfn.IFS(AJ713&lt;=2,"Poor",AJ713&lt;=3,"Fair",AJ713&gt;3,"Good")</f>
        <v>Fair</v>
      </c>
      <c r="AL713">
        <v>5</v>
      </c>
      <c r="AM713">
        <v>3</v>
      </c>
      <c r="AN713">
        <v>0</v>
      </c>
      <c r="AO713">
        <v>2</v>
      </c>
    </row>
    <row r="714" spans="1:41" x14ac:dyDescent="0.2">
      <c r="A714">
        <v>1752868</v>
      </c>
      <c r="B714">
        <v>50</v>
      </c>
      <c r="C714" t="str" cm="1">
        <f t="array" ref="C714">_xlfn.IFS(B714&lt;=25,"15-25",B714&lt;=35,"26-35",B714&lt;=45,"36-45",B714&lt;=55,"46-55",B714&lt;=65,"56-65")</f>
        <v>46-55</v>
      </c>
      <c r="D714" t="s">
        <v>35</v>
      </c>
      <c r="E714" t="str">
        <f t="shared" si="22"/>
        <v>Current Employee</v>
      </c>
      <c r="F714" t="s">
        <v>36</v>
      </c>
      <c r="G714">
        <v>1126</v>
      </c>
      <c r="H714" t="s">
        <v>45</v>
      </c>
      <c r="I714">
        <v>1</v>
      </c>
      <c r="J714">
        <v>2</v>
      </c>
      <c r="K714" t="s">
        <v>49</v>
      </c>
      <c r="L714">
        <v>1</v>
      </c>
      <c r="M714">
        <v>4</v>
      </c>
      <c r="N714" t="s">
        <v>46</v>
      </c>
      <c r="O714">
        <v>66</v>
      </c>
      <c r="P714">
        <v>3</v>
      </c>
      <c r="Q714">
        <v>4</v>
      </c>
      <c r="R714" t="s">
        <v>53</v>
      </c>
      <c r="S714">
        <v>4</v>
      </c>
      <c r="T714" t="str" cm="1">
        <f t="array" ref="T714">_xlfn.IFS(S714&lt;=2,"Poor",S714&lt;=3,"Fair",S714&gt;=4,"Good")</f>
        <v>Good</v>
      </c>
      <c r="U714" t="s">
        <v>50</v>
      </c>
      <c r="V714" s="1">
        <v>17399</v>
      </c>
      <c r="W714" t="str" cm="1">
        <f t="array" ref="W714">_xlfn.IFS(V714&lt;=5000,"Low Salary",V714&lt;=12000,"Good Salary",V714&gt;12000,"High Salary")</f>
        <v>High Salary</v>
      </c>
      <c r="X714">
        <v>6615</v>
      </c>
      <c r="Y714">
        <v>9</v>
      </c>
      <c r="Z714" t="s">
        <v>42</v>
      </c>
      <c r="AA714" t="s">
        <v>35</v>
      </c>
      <c r="AB714">
        <v>22</v>
      </c>
      <c r="AC714">
        <v>4</v>
      </c>
      <c r="AD714" t="str">
        <f t="shared" si="23"/>
        <v>High Performance</v>
      </c>
      <c r="AE714">
        <v>3</v>
      </c>
      <c r="AF714">
        <v>80</v>
      </c>
      <c r="AG714">
        <v>1</v>
      </c>
      <c r="AH714">
        <v>32</v>
      </c>
      <c r="AI714">
        <v>1</v>
      </c>
      <c r="AJ714">
        <v>2</v>
      </c>
      <c r="AK714" t="str" cm="1">
        <f t="array" ref="AK714">_xlfn.IFS(AJ714&lt;=2,"Poor",AJ714&lt;=3,"Fair",AJ714&gt;3,"Good")</f>
        <v>Poor</v>
      </c>
      <c r="AL714">
        <v>5</v>
      </c>
      <c r="AM714">
        <v>4</v>
      </c>
      <c r="AN714">
        <v>1</v>
      </c>
      <c r="AO714">
        <v>3</v>
      </c>
    </row>
    <row r="715" spans="1:41" x14ac:dyDescent="0.2">
      <c r="A715">
        <v>1324348</v>
      </c>
      <c r="B715">
        <v>33</v>
      </c>
      <c r="C715" t="str" cm="1">
        <f t="array" ref="C715">_xlfn.IFS(B715&lt;=25,"15-25",B715&lt;=35,"26-35",B715&lt;=45,"36-45",B715&lt;=55,"46-55",B715&lt;=65,"56-65")</f>
        <v>26-35</v>
      </c>
      <c r="D715" t="s">
        <v>35</v>
      </c>
      <c r="E715" t="str">
        <f t="shared" si="22"/>
        <v>Current Employee</v>
      </c>
      <c r="F715" t="s">
        <v>44</v>
      </c>
      <c r="G715">
        <v>827</v>
      </c>
      <c r="H715" t="s">
        <v>45</v>
      </c>
      <c r="I715">
        <v>1</v>
      </c>
      <c r="J715">
        <v>4</v>
      </c>
      <c r="K715" t="s">
        <v>47</v>
      </c>
      <c r="L715">
        <v>1</v>
      </c>
      <c r="M715">
        <v>3</v>
      </c>
      <c r="N715" t="s">
        <v>39</v>
      </c>
      <c r="O715">
        <v>84</v>
      </c>
      <c r="P715">
        <v>4</v>
      </c>
      <c r="Q715">
        <v>2</v>
      </c>
      <c r="R715" t="s">
        <v>40</v>
      </c>
      <c r="S715">
        <v>2</v>
      </c>
      <c r="T715" t="str" cm="1">
        <f t="array" ref="T715">_xlfn.IFS(S715&lt;=2,"Poor",S715&lt;=3,"Fair",S715&gt;=4,"Good")</f>
        <v>Poor</v>
      </c>
      <c r="U715" t="s">
        <v>48</v>
      </c>
      <c r="V715" s="1">
        <v>5488</v>
      </c>
      <c r="W715" t="str" cm="1">
        <f t="array" ref="W715">_xlfn.IFS(V715&lt;=5000,"Low Salary",V715&lt;=12000,"Good Salary",V715&gt;12000,"High Salary")</f>
        <v>Good Salary</v>
      </c>
      <c r="X715">
        <v>20161</v>
      </c>
      <c r="Y715">
        <v>1</v>
      </c>
      <c r="Z715" t="s">
        <v>42</v>
      </c>
      <c r="AA715" t="s">
        <v>43</v>
      </c>
      <c r="AB715">
        <v>13</v>
      </c>
      <c r="AC715">
        <v>3</v>
      </c>
      <c r="AD715" t="str">
        <f t="shared" si="23"/>
        <v>Low Performance</v>
      </c>
      <c r="AE715">
        <v>1</v>
      </c>
      <c r="AF715">
        <v>80</v>
      </c>
      <c r="AG715">
        <v>1</v>
      </c>
      <c r="AH715">
        <v>6</v>
      </c>
      <c r="AI715">
        <v>2</v>
      </c>
      <c r="AJ715">
        <v>3</v>
      </c>
      <c r="AK715" t="str" cm="1">
        <f t="array" ref="AK715">_xlfn.IFS(AJ715&lt;=2,"Poor",AJ715&lt;=3,"Fair",AJ715&gt;3,"Good")</f>
        <v>Fair</v>
      </c>
      <c r="AL715">
        <v>6</v>
      </c>
      <c r="AM715">
        <v>5</v>
      </c>
      <c r="AN715">
        <v>1</v>
      </c>
      <c r="AO715">
        <v>2</v>
      </c>
    </row>
    <row r="716" spans="1:41" x14ac:dyDescent="0.2">
      <c r="A716">
        <v>1576599</v>
      </c>
      <c r="B716">
        <v>41</v>
      </c>
      <c r="C716" t="str" cm="1">
        <f t="array" ref="C716">_xlfn.IFS(B716&lt;=25,"15-25",B716&lt;=35,"26-35",B716&lt;=45,"36-45",B716&lt;=55,"46-55",B716&lt;=65,"56-65")</f>
        <v>36-45</v>
      </c>
      <c r="D716" t="s">
        <v>35</v>
      </c>
      <c r="E716" t="str">
        <f t="shared" si="22"/>
        <v>Current Employee</v>
      </c>
      <c r="F716" t="s">
        <v>44</v>
      </c>
      <c r="G716">
        <v>840</v>
      </c>
      <c r="H716" t="s">
        <v>45</v>
      </c>
      <c r="I716">
        <v>9</v>
      </c>
      <c r="J716">
        <v>3</v>
      </c>
      <c r="K716" t="s">
        <v>49</v>
      </c>
      <c r="L716">
        <v>1</v>
      </c>
      <c r="M716">
        <v>1</v>
      </c>
      <c r="N716" t="s">
        <v>46</v>
      </c>
      <c r="O716">
        <v>64</v>
      </c>
      <c r="P716">
        <v>3</v>
      </c>
      <c r="Q716">
        <v>5</v>
      </c>
      <c r="R716" t="s">
        <v>53</v>
      </c>
      <c r="S716">
        <v>3</v>
      </c>
      <c r="T716" t="str" cm="1">
        <f t="array" ref="T716">_xlfn.IFS(S716&lt;=2,"Poor",S716&lt;=3,"Fair",S716&gt;=4,"Good")</f>
        <v>Fair</v>
      </c>
      <c r="U716" t="s">
        <v>50</v>
      </c>
      <c r="V716" s="1">
        <v>19419</v>
      </c>
      <c r="W716" t="str" cm="1">
        <f t="array" ref="W716">_xlfn.IFS(V716&lt;=5000,"Low Salary",V716&lt;=12000,"Good Salary",V716&gt;12000,"High Salary")</f>
        <v>High Salary</v>
      </c>
      <c r="X716">
        <v>3735</v>
      </c>
      <c r="Y716">
        <v>2</v>
      </c>
      <c r="Z716" t="s">
        <v>42</v>
      </c>
      <c r="AA716" t="s">
        <v>35</v>
      </c>
      <c r="AB716">
        <v>17</v>
      </c>
      <c r="AC716">
        <v>3</v>
      </c>
      <c r="AD716" t="str">
        <f t="shared" si="23"/>
        <v>Low Performance</v>
      </c>
      <c r="AE716">
        <v>2</v>
      </c>
      <c r="AF716">
        <v>80</v>
      </c>
      <c r="AG716">
        <v>1</v>
      </c>
      <c r="AH716">
        <v>21</v>
      </c>
      <c r="AI716">
        <v>2</v>
      </c>
      <c r="AJ716">
        <v>4</v>
      </c>
      <c r="AK716" t="str" cm="1">
        <f t="array" ref="AK716">_xlfn.IFS(AJ716&lt;=2,"Poor",AJ716&lt;=3,"Fair",AJ716&gt;3,"Good")</f>
        <v>Good</v>
      </c>
      <c r="AL716">
        <v>18</v>
      </c>
      <c r="AM716">
        <v>16</v>
      </c>
      <c r="AN716">
        <v>0</v>
      </c>
      <c r="AO716">
        <v>11</v>
      </c>
    </row>
    <row r="717" spans="1:41" x14ac:dyDescent="0.2">
      <c r="A717">
        <v>1381113</v>
      </c>
      <c r="B717">
        <v>27</v>
      </c>
      <c r="C717" t="str" cm="1">
        <f t="array" ref="C717">_xlfn.IFS(B717&lt;=25,"15-25",B717&lt;=35,"26-35",B717&lt;=45,"36-45",B717&lt;=55,"46-55",B717&lt;=65,"56-65")</f>
        <v>26-35</v>
      </c>
      <c r="D717" t="s">
        <v>35</v>
      </c>
      <c r="E717" t="str">
        <f t="shared" si="22"/>
        <v>Current Employee</v>
      </c>
      <c r="F717" t="s">
        <v>36</v>
      </c>
      <c r="G717">
        <v>1134</v>
      </c>
      <c r="H717" t="s">
        <v>45</v>
      </c>
      <c r="I717">
        <v>16</v>
      </c>
      <c r="J717">
        <v>4</v>
      </c>
      <c r="K717" t="s">
        <v>56</v>
      </c>
      <c r="L717">
        <v>1</v>
      </c>
      <c r="M717">
        <v>3</v>
      </c>
      <c r="N717" t="s">
        <v>39</v>
      </c>
      <c r="O717">
        <v>37</v>
      </c>
      <c r="P717">
        <v>3</v>
      </c>
      <c r="Q717">
        <v>1</v>
      </c>
      <c r="R717" t="s">
        <v>40</v>
      </c>
      <c r="S717">
        <v>2</v>
      </c>
      <c r="T717" t="str" cm="1">
        <f t="array" ref="T717">_xlfn.IFS(S717&lt;=2,"Poor",S717&lt;=3,"Fair",S717&gt;=4,"Good")</f>
        <v>Poor</v>
      </c>
      <c r="U717" t="s">
        <v>48</v>
      </c>
      <c r="V717" s="1">
        <v>2811</v>
      </c>
      <c r="W717" t="str" cm="1">
        <f t="array" ref="W717">_xlfn.IFS(V717&lt;=5000,"Low Salary",V717&lt;=12000,"Good Salary",V717&gt;12000,"High Salary")</f>
        <v>Low Salary</v>
      </c>
      <c r="X717">
        <v>12086</v>
      </c>
      <c r="Y717">
        <v>9</v>
      </c>
      <c r="Z717" t="s">
        <v>42</v>
      </c>
      <c r="AA717" t="s">
        <v>35</v>
      </c>
      <c r="AB717">
        <v>14</v>
      </c>
      <c r="AC717">
        <v>3</v>
      </c>
      <c r="AD717" t="str">
        <f t="shared" si="23"/>
        <v>Low Performance</v>
      </c>
      <c r="AE717">
        <v>2</v>
      </c>
      <c r="AF717">
        <v>80</v>
      </c>
      <c r="AG717">
        <v>1</v>
      </c>
      <c r="AH717">
        <v>4</v>
      </c>
      <c r="AI717">
        <v>2</v>
      </c>
      <c r="AJ717">
        <v>3</v>
      </c>
      <c r="AK717" t="str" cm="1">
        <f t="array" ref="AK717">_xlfn.IFS(AJ717&lt;=2,"Poor",AJ717&lt;=3,"Fair",AJ717&gt;3,"Good")</f>
        <v>Fair</v>
      </c>
      <c r="AL717">
        <v>2</v>
      </c>
      <c r="AM717">
        <v>2</v>
      </c>
      <c r="AN717">
        <v>2</v>
      </c>
      <c r="AO717">
        <v>2</v>
      </c>
    </row>
    <row r="718" spans="1:41" x14ac:dyDescent="0.2">
      <c r="A718">
        <v>1591865</v>
      </c>
      <c r="B718">
        <v>45</v>
      </c>
      <c r="C718" t="str" cm="1">
        <f t="array" ref="C718">_xlfn.IFS(B718&lt;=25,"15-25",B718&lt;=35,"26-35",B718&lt;=45,"36-45",B718&lt;=55,"46-55",B718&lt;=65,"56-65")</f>
        <v>36-45</v>
      </c>
      <c r="D718" t="s">
        <v>35</v>
      </c>
      <c r="E718" t="str">
        <f t="shared" si="22"/>
        <v>Current Employee</v>
      </c>
      <c r="F718" t="s">
        <v>52</v>
      </c>
      <c r="G718">
        <v>248</v>
      </c>
      <c r="H718" t="s">
        <v>45</v>
      </c>
      <c r="I718">
        <v>23</v>
      </c>
      <c r="J718">
        <v>2</v>
      </c>
      <c r="K718" t="s">
        <v>38</v>
      </c>
      <c r="L718">
        <v>1</v>
      </c>
      <c r="M718">
        <v>4</v>
      </c>
      <c r="N718" t="s">
        <v>46</v>
      </c>
      <c r="O718">
        <v>42</v>
      </c>
      <c r="P718">
        <v>3</v>
      </c>
      <c r="Q718">
        <v>2</v>
      </c>
      <c r="R718" t="s">
        <v>40</v>
      </c>
      <c r="S718">
        <v>1</v>
      </c>
      <c r="T718" t="str" cm="1">
        <f t="array" ref="T718">_xlfn.IFS(S718&lt;=2,"Poor",S718&lt;=3,"Fair",S718&gt;=4,"Good")</f>
        <v>Poor</v>
      </c>
      <c r="U718" t="s">
        <v>48</v>
      </c>
      <c r="V718" s="1">
        <v>3633</v>
      </c>
      <c r="W718" t="str" cm="1">
        <f t="array" ref="W718">_xlfn.IFS(V718&lt;=5000,"Low Salary",V718&lt;=12000,"Good Salary",V718&gt;12000,"High Salary")</f>
        <v>Low Salary</v>
      </c>
      <c r="X718">
        <v>14039</v>
      </c>
      <c r="Y718">
        <v>1</v>
      </c>
      <c r="Z718" t="s">
        <v>42</v>
      </c>
      <c r="AA718" t="s">
        <v>43</v>
      </c>
      <c r="AB718">
        <v>15</v>
      </c>
      <c r="AC718">
        <v>3</v>
      </c>
      <c r="AD718" t="str">
        <f t="shared" si="23"/>
        <v>Low Performance</v>
      </c>
      <c r="AE718">
        <v>3</v>
      </c>
      <c r="AF718">
        <v>80</v>
      </c>
      <c r="AG718">
        <v>1</v>
      </c>
      <c r="AH718">
        <v>9</v>
      </c>
      <c r="AI718">
        <v>2</v>
      </c>
      <c r="AJ718">
        <v>3</v>
      </c>
      <c r="AK718" t="str" cm="1">
        <f t="array" ref="AK718">_xlfn.IFS(AJ718&lt;=2,"Poor",AJ718&lt;=3,"Fair",AJ718&gt;3,"Good")</f>
        <v>Fair</v>
      </c>
      <c r="AL718">
        <v>9</v>
      </c>
      <c r="AM718">
        <v>8</v>
      </c>
      <c r="AN718">
        <v>0</v>
      </c>
      <c r="AO718">
        <v>8</v>
      </c>
    </row>
    <row r="719" spans="1:41" x14ac:dyDescent="0.2">
      <c r="A719">
        <v>1321447</v>
      </c>
      <c r="B719">
        <v>47</v>
      </c>
      <c r="C719" t="str" cm="1">
        <f t="array" ref="C719">_xlfn.IFS(B719&lt;=25,"15-25",B719&lt;=35,"26-35",B719&lt;=45,"36-45",B719&lt;=55,"46-55",B719&lt;=65,"56-65")</f>
        <v>46-55</v>
      </c>
      <c r="D719" t="s">
        <v>35</v>
      </c>
      <c r="E719" t="str">
        <f t="shared" si="22"/>
        <v>Current Employee</v>
      </c>
      <c r="F719" t="s">
        <v>36</v>
      </c>
      <c r="G719">
        <v>955</v>
      </c>
      <c r="H719" t="s">
        <v>37</v>
      </c>
      <c r="I719">
        <v>4</v>
      </c>
      <c r="J719">
        <v>2</v>
      </c>
      <c r="K719" t="s">
        <v>38</v>
      </c>
      <c r="L719">
        <v>1</v>
      </c>
      <c r="M719">
        <v>4</v>
      </c>
      <c r="N719" t="s">
        <v>39</v>
      </c>
      <c r="O719">
        <v>83</v>
      </c>
      <c r="P719">
        <v>3</v>
      </c>
      <c r="Q719">
        <v>2</v>
      </c>
      <c r="R719" t="s">
        <v>40</v>
      </c>
      <c r="S719">
        <v>4</v>
      </c>
      <c r="T719" t="str" cm="1">
        <f t="array" ref="T719">_xlfn.IFS(S719&lt;=2,"Poor",S719&lt;=3,"Fair",S719&gt;=4,"Good")</f>
        <v>Good</v>
      </c>
      <c r="U719" t="s">
        <v>41</v>
      </c>
      <c r="V719" s="1">
        <v>4163</v>
      </c>
      <c r="W719" t="str" cm="1">
        <f t="array" ref="W719">_xlfn.IFS(V719&lt;=5000,"Low Salary",V719&lt;=12000,"Good Salary",V719&gt;12000,"High Salary")</f>
        <v>Low Salary</v>
      </c>
      <c r="X719">
        <v>8571</v>
      </c>
      <c r="Y719">
        <v>1</v>
      </c>
      <c r="Z719" t="s">
        <v>42</v>
      </c>
      <c r="AA719" t="s">
        <v>43</v>
      </c>
      <c r="AB719">
        <v>17</v>
      </c>
      <c r="AC719">
        <v>3</v>
      </c>
      <c r="AD719" t="str">
        <f t="shared" si="23"/>
        <v>Low Performance</v>
      </c>
      <c r="AE719">
        <v>3</v>
      </c>
      <c r="AF719">
        <v>80</v>
      </c>
      <c r="AG719">
        <v>0</v>
      </c>
      <c r="AH719">
        <v>9</v>
      </c>
      <c r="AI719">
        <v>0</v>
      </c>
      <c r="AJ719">
        <v>3</v>
      </c>
      <c r="AK719" t="str" cm="1">
        <f t="array" ref="AK719">_xlfn.IFS(AJ719&lt;=2,"Poor",AJ719&lt;=3,"Fair",AJ719&gt;3,"Good")</f>
        <v>Fair</v>
      </c>
      <c r="AL719">
        <v>9</v>
      </c>
      <c r="AM719">
        <v>0</v>
      </c>
      <c r="AN719">
        <v>0</v>
      </c>
      <c r="AO719">
        <v>7</v>
      </c>
    </row>
    <row r="720" spans="1:41" x14ac:dyDescent="0.2">
      <c r="A720">
        <v>1034220</v>
      </c>
      <c r="B720">
        <v>30</v>
      </c>
      <c r="C720" t="str" cm="1">
        <f t="array" ref="C720">_xlfn.IFS(B720&lt;=25,"15-25",B720&lt;=35,"26-35",B720&lt;=45,"36-45",B720&lt;=55,"46-55",B720&lt;=65,"56-65")</f>
        <v>26-35</v>
      </c>
      <c r="D720" t="s">
        <v>43</v>
      </c>
      <c r="E720" t="str">
        <f t="shared" si="22"/>
        <v>Former Employee</v>
      </c>
      <c r="F720" t="s">
        <v>36</v>
      </c>
      <c r="G720">
        <v>138</v>
      </c>
      <c r="H720" t="s">
        <v>45</v>
      </c>
      <c r="I720">
        <v>22</v>
      </c>
      <c r="J720">
        <v>3</v>
      </c>
      <c r="K720" t="s">
        <v>38</v>
      </c>
      <c r="L720">
        <v>1</v>
      </c>
      <c r="M720">
        <v>1</v>
      </c>
      <c r="N720" t="s">
        <v>39</v>
      </c>
      <c r="O720">
        <v>48</v>
      </c>
      <c r="P720">
        <v>3</v>
      </c>
      <c r="Q720">
        <v>1</v>
      </c>
      <c r="R720" t="s">
        <v>47</v>
      </c>
      <c r="S720">
        <v>3</v>
      </c>
      <c r="T720" t="str" cm="1">
        <f t="array" ref="T720">_xlfn.IFS(S720&lt;=2,"Poor",S720&lt;=3,"Fair",S720&gt;=4,"Good")</f>
        <v>Fair</v>
      </c>
      <c r="U720" t="s">
        <v>48</v>
      </c>
      <c r="V720" s="1">
        <v>2132</v>
      </c>
      <c r="W720" t="str" cm="1">
        <f t="array" ref="W720">_xlfn.IFS(V720&lt;=5000,"Low Salary",V720&lt;=12000,"Good Salary",V720&gt;12000,"High Salary")</f>
        <v>Low Salary</v>
      </c>
      <c r="X720">
        <v>11539</v>
      </c>
      <c r="Y720">
        <v>4</v>
      </c>
      <c r="Z720" t="s">
        <v>42</v>
      </c>
      <c r="AA720" t="s">
        <v>43</v>
      </c>
      <c r="AB720">
        <v>11</v>
      </c>
      <c r="AC720">
        <v>3</v>
      </c>
      <c r="AD720" t="str">
        <f t="shared" si="23"/>
        <v>Low Performance</v>
      </c>
      <c r="AE720">
        <v>2</v>
      </c>
      <c r="AF720">
        <v>80</v>
      </c>
      <c r="AG720">
        <v>0</v>
      </c>
      <c r="AH720">
        <v>7</v>
      </c>
      <c r="AI720">
        <v>2</v>
      </c>
      <c r="AJ720">
        <v>3</v>
      </c>
      <c r="AK720" t="str" cm="1">
        <f t="array" ref="AK720">_xlfn.IFS(AJ720&lt;=2,"Poor",AJ720&lt;=3,"Fair",AJ720&gt;3,"Good")</f>
        <v>Fair</v>
      </c>
      <c r="AL720">
        <v>5</v>
      </c>
      <c r="AM720">
        <v>2</v>
      </c>
      <c r="AN720">
        <v>0</v>
      </c>
      <c r="AO720">
        <v>1</v>
      </c>
    </row>
    <row r="721" spans="1:41" x14ac:dyDescent="0.2">
      <c r="A721">
        <v>1359967</v>
      </c>
      <c r="B721">
        <v>50</v>
      </c>
      <c r="C721" t="str" cm="1">
        <f t="array" ref="C721">_xlfn.IFS(B721&lt;=25,"15-25",B721&lt;=35,"26-35",B721&lt;=45,"36-45",B721&lt;=55,"46-55",B721&lt;=65,"56-65")</f>
        <v>46-55</v>
      </c>
      <c r="D721" t="s">
        <v>35</v>
      </c>
      <c r="E721" t="str">
        <f t="shared" si="22"/>
        <v>Current Employee</v>
      </c>
      <c r="F721" t="s">
        <v>36</v>
      </c>
      <c r="G721">
        <v>939</v>
      </c>
      <c r="H721" t="s">
        <v>45</v>
      </c>
      <c r="I721">
        <v>24</v>
      </c>
      <c r="J721">
        <v>3</v>
      </c>
      <c r="K721" t="s">
        <v>38</v>
      </c>
      <c r="L721">
        <v>1</v>
      </c>
      <c r="M721">
        <v>4</v>
      </c>
      <c r="N721" t="s">
        <v>46</v>
      </c>
      <c r="O721">
        <v>95</v>
      </c>
      <c r="P721">
        <v>3</v>
      </c>
      <c r="Q721">
        <v>4</v>
      </c>
      <c r="R721" t="s">
        <v>51</v>
      </c>
      <c r="S721">
        <v>3</v>
      </c>
      <c r="T721" t="str" cm="1">
        <f t="array" ref="T721">_xlfn.IFS(S721&lt;=2,"Poor",S721&lt;=3,"Fair",S721&gt;=4,"Good")</f>
        <v>Fair</v>
      </c>
      <c r="U721" t="s">
        <v>48</v>
      </c>
      <c r="V721" s="1">
        <v>13973</v>
      </c>
      <c r="W721" t="str" cm="1">
        <f t="array" ref="W721">_xlfn.IFS(V721&lt;=5000,"Low Salary",V721&lt;=12000,"Good Salary",V721&gt;12000,"High Salary")</f>
        <v>High Salary</v>
      </c>
      <c r="X721">
        <v>4161</v>
      </c>
      <c r="Y721">
        <v>3</v>
      </c>
      <c r="Z721" t="s">
        <v>42</v>
      </c>
      <c r="AA721" t="s">
        <v>43</v>
      </c>
      <c r="AB721">
        <v>18</v>
      </c>
      <c r="AC721">
        <v>3</v>
      </c>
      <c r="AD721" t="str">
        <f t="shared" si="23"/>
        <v>Low Performance</v>
      </c>
      <c r="AE721">
        <v>4</v>
      </c>
      <c r="AF721">
        <v>80</v>
      </c>
      <c r="AG721">
        <v>1</v>
      </c>
      <c r="AH721">
        <v>22</v>
      </c>
      <c r="AI721">
        <v>2</v>
      </c>
      <c r="AJ721">
        <v>3</v>
      </c>
      <c r="AK721" t="str" cm="1">
        <f t="array" ref="AK721">_xlfn.IFS(AJ721&lt;=2,"Poor",AJ721&lt;=3,"Fair",AJ721&gt;3,"Good")</f>
        <v>Fair</v>
      </c>
      <c r="AL721">
        <v>12</v>
      </c>
      <c r="AM721">
        <v>11</v>
      </c>
      <c r="AN721">
        <v>1</v>
      </c>
      <c r="AO721">
        <v>5</v>
      </c>
    </row>
    <row r="722" spans="1:41" x14ac:dyDescent="0.2">
      <c r="A722">
        <v>1662076</v>
      </c>
      <c r="B722">
        <v>38</v>
      </c>
      <c r="C722" t="str" cm="1">
        <f t="array" ref="C722">_xlfn.IFS(B722&lt;=25,"15-25",B722&lt;=35,"26-35",B722&lt;=45,"36-45",B722&lt;=55,"46-55",B722&lt;=65,"56-65")</f>
        <v>36-45</v>
      </c>
      <c r="D722" t="s">
        <v>35</v>
      </c>
      <c r="E722" t="str">
        <f t="shared" si="22"/>
        <v>Current Employee</v>
      </c>
      <c r="F722" t="s">
        <v>44</v>
      </c>
      <c r="G722">
        <v>1391</v>
      </c>
      <c r="H722" t="s">
        <v>45</v>
      </c>
      <c r="I722">
        <v>10</v>
      </c>
      <c r="J722">
        <v>1</v>
      </c>
      <c r="K722" t="s">
        <v>49</v>
      </c>
      <c r="L722">
        <v>1</v>
      </c>
      <c r="M722">
        <v>3</v>
      </c>
      <c r="N722" t="s">
        <v>46</v>
      </c>
      <c r="O722">
        <v>66</v>
      </c>
      <c r="P722">
        <v>3</v>
      </c>
      <c r="Q722">
        <v>1</v>
      </c>
      <c r="R722" t="s">
        <v>47</v>
      </c>
      <c r="S722">
        <v>3</v>
      </c>
      <c r="T722" t="str" cm="1">
        <f t="array" ref="T722">_xlfn.IFS(S722&lt;=2,"Poor",S722&lt;=3,"Fair",S722&gt;=4,"Good")</f>
        <v>Fair</v>
      </c>
      <c r="U722" t="s">
        <v>48</v>
      </c>
      <c r="V722" s="1">
        <v>2684</v>
      </c>
      <c r="W722" t="str" cm="1">
        <f t="array" ref="W722">_xlfn.IFS(V722&lt;=5000,"Low Salary",V722&lt;=12000,"Good Salary",V722&gt;12000,"High Salary")</f>
        <v>Low Salary</v>
      </c>
      <c r="X722">
        <v>12127</v>
      </c>
      <c r="Y722">
        <v>0</v>
      </c>
      <c r="Z722" t="s">
        <v>42</v>
      </c>
      <c r="AA722" t="s">
        <v>35</v>
      </c>
      <c r="AB722">
        <v>17</v>
      </c>
      <c r="AC722">
        <v>3</v>
      </c>
      <c r="AD722" t="str">
        <f t="shared" si="23"/>
        <v>Low Performance</v>
      </c>
      <c r="AE722">
        <v>2</v>
      </c>
      <c r="AF722">
        <v>80</v>
      </c>
      <c r="AG722">
        <v>1</v>
      </c>
      <c r="AH722">
        <v>3</v>
      </c>
      <c r="AI722">
        <v>0</v>
      </c>
      <c r="AJ722">
        <v>2</v>
      </c>
      <c r="AK722" t="str" cm="1">
        <f t="array" ref="AK722">_xlfn.IFS(AJ722&lt;=2,"Poor",AJ722&lt;=3,"Fair",AJ722&gt;3,"Good")</f>
        <v>Poor</v>
      </c>
      <c r="AL722">
        <v>2</v>
      </c>
      <c r="AM722">
        <v>1</v>
      </c>
      <c r="AN722">
        <v>0</v>
      </c>
      <c r="AO722">
        <v>2</v>
      </c>
    </row>
    <row r="723" spans="1:41" x14ac:dyDescent="0.2">
      <c r="A723">
        <v>1555678</v>
      </c>
      <c r="B723">
        <v>46</v>
      </c>
      <c r="C723" t="str" cm="1">
        <f t="array" ref="C723">_xlfn.IFS(B723&lt;=25,"15-25",B723&lt;=35,"26-35",B723&lt;=45,"36-45",B723&lt;=55,"46-55",B723&lt;=65,"56-65")</f>
        <v>46-55</v>
      </c>
      <c r="D723" t="s">
        <v>35</v>
      </c>
      <c r="E723" t="str">
        <f t="shared" si="22"/>
        <v>Current Employee</v>
      </c>
      <c r="F723" t="s">
        <v>36</v>
      </c>
      <c r="G723">
        <v>566</v>
      </c>
      <c r="H723" t="s">
        <v>54</v>
      </c>
      <c r="I723">
        <v>7</v>
      </c>
      <c r="J723">
        <v>2</v>
      </c>
      <c r="K723" t="s">
        <v>49</v>
      </c>
      <c r="L723">
        <v>1</v>
      </c>
      <c r="M723">
        <v>4</v>
      </c>
      <c r="N723" t="s">
        <v>46</v>
      </c>
      <c r="O723">
        <v>75</v>
      </c>
      <c r="P723">
        <v>3</v>
      </c>
      <c r="Q723">
        <v>3</v>
      </c>
      <c r="R723" t="s">
        <v>51</v>
      </c>
      <c r="S723">
        <v>3</v>
      </c>
      <c r="T723" t="str" cm="1">
        <f t="array" ref="T723">_xlfn.IFS(S723&lt;=2,"Poor",S723&lt;=3,"Fair",S723&gt;=4,"Good")</f>
        <v>Fair</v>
      </c>
      <c r="U723" t="s">
        <v>50</v>
      </c>
      <c r="V723" s="1">
        <v>10845</v>
      </c>
      <c r="W723" t="str" cm="1">
        <f t="array" ref="W723">_xlfn.IFS(V723&lt;=5000,"Low Salary",V723&lt;=12000,"Good Salary",V723&gt;12000,"High Salary")</f>
        <v>Good Salary</v>
      </c>
      <c r="X723">
        <v>24208</v>
      </c>
      <c r="Y723">
        <v>6</v>
      </c>
      <c r="Z723" t="s">
        <v>42</v>
      </c>
      <c r="AA723" t="s">
        <v>35</v>
      </c>
      <c r="AB723">
        <v>13</v>
      </c>
      <c r="AC723">
        <v>3</v>
      </c>
      <c r="AD723" t="str">
        <f t="shared" si="23"/>
        <v>Low Performance</v>
      </c>
      <c r="AE723">
        <v>2</v>
      </c>
      <c r="AF723">
        <v>80</v>
      </c>
      <c r="AG723">
        <v>1</v>
      </c>
      <c r="AH723">
        <v>13</v>
      </c>
      <c r="AI723">
        <v>3</v>
      </c>
      <c r="AJ723">
        <v>3</v>
      </c>
      <c r="AK723" t="str" cm="1">
        <f t="array" ref="AK723">_xlfn.IFS(AJ723&lt;=2,"Poor",AJ723&lt;=3,"Fair",AJ723&gt;3,"Good")</f>
        <v>Fair</v>
      </c>
      <c r="AL723">
        <v>8</v>
      </c>
      <c r="AM723">
        <v>7</v>
      </c>
      <c r="AN723">
        <v>0</v>
      </c>
      <c r="AO723">
        <v>7</v>
      </c>
    </row>
    <row r="724" spans="1:41" x14ac:dyDescent="0.2">
      <c r="A724">
        <v>1071870</v>
      </c>
      <c r="B724">
        <v>24</v>
      </c>
      <c r="C724" t="str" cm="1">
        <f t="array" ref="C724">_xlfn.IFS(B724&lt;=25,"15-25",B724&lt;=35,"26-35",B724&lt;=45,"36-45",B724&lt;=55,"46-55",B724&lt;=65,"56-65")</f>
        <v>15-25</v>
      </c>
      <c r="D724" t="s">
        <v>35</v>
      </c>
      <c r="E724" t="str">
        <f t="shared" si="22"/>
        <v>Current Employee</v>
      </c>
      <c r="F724" t="s">
        <v>36</v>
      </c>
      <c r="G724">
        <v>1206</v>
      </c>
      <c r="H724" t="s">
        <v>45</v>
      </c>
      <c r="I724">
        <v>17</v>
      </c>
      <c r="J724">
        <v>1</v>
      </c>
      <c r="K724" t="s">
        <v>49</v>
      </c>
      <c r="L724">
        <v>1</v>
      </c>
      <c r="M724">
        <v>4</v>
      </c>
      <c r="N724" t="s">
        <v>39</v>
      </c>
      <c r="O724">
        <v>41</v>
      </c>
      <c r="P724">
        <v>2</v>
      </c>
      <c r="Q724">
        <v>2</v>
      </c>
      <c r="R724" t="s">
        <v>51</v>
      </c>
      <c r="S724">
        <v>3</v>
      </c>
      <c r="T724" t="str" cm="1">
        <f t="array" ref="T724">_xlfn.IFS(S724&lt;=2,"Poor",S724&lt;=3,"Fair",S724&gt;=4,"Good")</f>
        <v>Fair</v>
      </c>
      <c r="U724" t="s">
        <v>50</v>
      </c>
      <c r="V724" s="1">
        <v>4377</v>
      </c>
      <c r="W724" t="str" cm="1">
        <f t="array" ref="W724">_xlfn.IFS(V724&lt;=5000,"Low Salary",V724&lt;=12000,"Good Salary",V724&gt;12000,"High Salary")</f>
        <v>Low Salary</v>
      </c>
      <c r="X724">
        <v>24117</v>
      </c>
      <c r="Y724">
        <v>1</v>
      </c>
      <c r="Z724" t="s">
        <v>42</v>
      </c>
      <c r="AA724" t="s">
        <v>35</v>
      </c>
      <c r="AB724">
        <v>15</v>
      </c>
      <c r="AC724">
        <v>3</v>
      </c>
      <c r="AD724" t="str">
        <f t="shared" si="23"/>
        <v>Low Performance</v>
      </c>
      <c r="AE724">
        <v>2</v>
      </c>
      <c r="AF724">
        <v>80</v>
      </c>
      <c r="AG724">
        <v>2</v>
      </c>
      <c r="AH724">
        <v>5</v>
      </c>
      <c r="AI724">
        <v>6</v>
      </c>
      <c r="AJ724">
        <v>3</v>
      </c>
      <c r="AK724" t="str" cm="1">
        <f t="array" ref="AK724">_xlfn.IFS(AJ724&lt;=2,"Poor",AJ724&lt;=3,"Fair",AJ724&gt;3,"Good")</f>
        <v>Fair</v>
      </c>
      <c r="AL724">
        <v>4</v>
      </c>
      <c r="AM724">
        <v>2</v>
      </c>
      <c r="AN724">
        <v>3</v>
      </c>
      <c r="AO724">
        <v>2</v>
      </c>
    </row>
    <row r="725" spans="1:41" x14ac:dyDescent="0.2">
      <c r="A725">
        <v>1690577</v>
      </c>
      <c r="B725">
        <v>35</v>
      </c>
      <c r="C725" t="str" cm="1">
        <f t="array" ref="C725">_xlfn.IFS(B725&lt;=25,"15-25",B725&lt;=35,"26-35",B725&lt;=45,"36-45",B725&lt;=55,"46-55",B725&lt;=65,"56-65")</f>
        <v>26-35</v>
      </c>
      <c r="D725" t="s">
        <v>43</v>
      </c>
      <c r="E725" t="str">
        <f t="shared" si="22"/>
        <v>Former Employee</v>
      </c>
      <c r="F725" t="s">
        <v>36</v>
      </c>
      <c r="G725">
        <v>622</v>
      </c>
      <c r="H725" t="s">
        <v>45</v>
      </c>
      <c r="I725">
        <v>14</v>
      </c>
      <c r="J725">
        <v>4</v>
      </c>
      <c r="K725" t="s">
        <v>47</v>
      </c>
      <c r="L725">
        <v>1</v>
      </c>
      <c r="M725">
        <v>3</v>
      </c>
      <c r="N725" t="s">
        <v>46</v>
      </c>
      <c r="O725">
        <v>39</v>
      </c>
      <c r="P725">
        <v>2</v>
      </c>
      <c r="Q725">
        <v>1</v>
      </c>
      <c r="R725" t="s">
        <v>40</v>
      </c>
      <c r="S725">
        <v>2</v>
      </c>
      <c r="T725" t="str" cm="1">
        <f t="array" ref="T725">_xlfn.IFS(S725&lt;=2,"Poor",S725&lt;=3,"Fair",S725&gt;=4,"Good")</f>
        <v>Poor</v>
      </c>
      <c r="U725" t="s">
        <v>50</v>
      </c>
      <c r="V725" s="1">
        <v>3743</v>
      </c>
      <c r="W725" t="str" cm="1">
        <f t="array" ref="W725">_xlfn.IFS(V725&lt;=5000,"Low Salary",V725&lt;=12000,"Good Salary",V725&gt;12000,"High Salary")</f>
        <v>Low Salary</v>
      </c>
      <c r="X725">
        <v>10074</v>
      </c>
      <c r="Y725">
        <v>1</v>
      </c>
      <c r="Z725" t="s">
        <v>42</v>
      </c>
      <c r="AA725" t="s">
        <v>43</v>
      </c>
      <c r="AB725">
        <v>24</v>
      </c>
      <c r="AC725">
        <v>4</v>
      </c>
      <c r="AD725" t="str">
        <f t="shared" si="23"/>
        <v>High Performance</v>
      </c>
      <c r="AE725">
        <v>4</v>
      </c>
      <c r="AF725">
        <v>80</v>
      </c>
      <c r="AG725">
        <v>1</v>
      </c>
      <c r="AH725">
        <v>5</v>
      </c>
      <c r="AI725">
        <v>2</v>
      </c>
      <c r="AJ725">
        <v>1</v>
      </c>
      <c r="AK725" t="str" cm="1">
        <f t="array" ref="AK725">_xlfn.IFS(AJ725&lt;=2,"Poor",AJ725&lt;=3,"Fair",AJ725&gt;3,"Good")</f>
        <v>Poor</v>
      </c>
      <c r="AL725">
        <v>4</v>
      </c>
      <c r="AM725">
        <v>2</v>
      </c>
      <c r="AN725">
        <v>0</v>
      </c>
      <c r="AO725">
        <v>2</v>
      </c>
    </row>
    <row r="726" spans="1:41" x14ac:dyDescent="0.2">
      <c r="A726">
        <v>1109596</v>
      </c>
      <c r="B726">
        <v>31</v>
      </c>
      <c r="C726" t="str" cm="1">
        <f t="array" ref="C726">_xlfn.IFS(B726&lt;=25,"15-25",B726&lt;=35,"26-35",B726&lt;=45,"36-45",B726&lt;=55,"46-55",B726&lt;=65,"56-65")</f>
        <v>26-35</v>
      </c>
      <c r="D726" t="s">
        <v>35</v>
      </c>
      <c r="E726" t="str">
        <f t="shared" si="22"/>
        <v>Current Employee</v>
      </c>
      <c r="F726" t="s">
        <v>44</v>
      </c>
      <c r="G726">
        <v>853</v>
      </c>
      <c r="H726" t="s">
        <v>54</v>
      </c>
      <c r="I726">
        <v>1</v>
      </c>
      <c r="J726">
        <v>1</v>
      </c>
      <c r="K726" t="s">
        <v>38</v>
      </c>
      <c r="L726">
        <v>1</v>
      </c>
      <c r="M726">
        <v>3</v>
      </c>
      <c r="N726" t="s">
        <v>39</v>
      </c>
      <c r="O726">
        <v>96</v>
      </c>
      <c r="P726">
        <v>3</v>
      </c>
      <c r="Q726">
        <v>2</v>
      </c>
      <c r="R726" t="s">
        <v>51</v>
      </c>
      <c r="S726">
        <v>1</v>
      </c>
      <c r="T726" t="str" cm="1">
        <f t="array" ref="T726">_xlfn.IFS(S726&lt;=2,"Poor",S726&lt;=3,"Fair",S726&gt;=4,"Good")</f>
        <v>Poor</v>
      </c>
      <c r="U726" t="s">
        <v>48</v>
      </c>
      <c r="V726" s="1">
        <v>4148</v>
      </c>
      <c r="W726" t="str" cm="1">
        <f t="array" ref="W726">_xlfn.IFS(V726&lt;=5000,"Low Salary",V726&lt;=12000,"Good Salary",V726&gt;12000,"High Salary")</f>
        <v>Low Salary</v>
      </c>
      <c r="X726">
        <v>11275</v>
      </c>
      <c r="Y726">
        <v>1</v>
      </c>
      <c r="Z726" t="s">
        <v>42</v>
      </c>
      <c r="AA726" t="s">
        <v>35</v>
      </c>
      <c r="AB726">
        <v>12</v>
      </c>
      <c r="AC726">
        <v>3</v>
      </c>
      <c r="AD726" t="str">
        <f t="shared" si="23"/>
        <v>Low Performance</v>
      </c>
      <c r="AE726">
        <v>3</v>
      </c>
      <c r="AF726">
        <v>80</v>
      </c>
      <c r="AG726">
        <v>1</v>
      </c>
      <c r="AH726">
        <v>4</v>
      </c>
      <c r="AI726">
        <v>1</v>
      </c>
      <c r="AJ726">
        <v>3</v>
      </c>
      <c r="AK726" t="str" cm="1">
        <f t="array" ref="AK726">_xlfn.IFS(AJ726&lt;=2,"Poor",AJ726&lt;=3,"Fair",AJ726&gt;3,"Good")</f>
        <v>Fair</v>
      </c>
      <c r="AL726">
        <v>4</v>
      </c>
      <c r="AM726">
        <v>3</v>
      </c>
      <c r="AN726">
        <v>0</v>
      </c>
      <c r="AO726">
        <v>3</v>
      </c>
    </row>
    <row r="727" spans="1:41" x14ac:dyDescent="0.2">
      <c r="A727">
        <v>1483743</v>
      </c>
      <c r="B727">
        <v>18</v>
      </c>
      <c r="C727" t="str" cm="1">
        <f t="array" ref="C727">_xlfn.IFS(B727&lt;=25,"15-25",B727&lt;=35,"26-35",B727&lt;=45,"36-45",B727&lt;=55,"46-55",B727&lt;=65,"56-65")</f>
        <v>15-25</v>
      </c>
      <c r="D727" t="s">
        <v>35</v>
      </c>
      <c r="E727" t="str">
        <f t="shared" si="22"/>
        <v>Current Employee</v>
      </c>
      <c r="F727" t="s">
        <v>52</v>
      </c>
      <c r="G727">
        <v>287</v>
      </c>
      <c r="H727" t="s">
        <v>45</v>
      </c>
      <c r="I727">
        <v>5</v>
      </c>
      <c r="J727">
        <v>2</v>
      </c>
      <c r="K727" t="s">
        <v>38</v>
      </c>
      <c r="L727">
        <v>1</v>
      </c>
      <c r="M727">
        <v>2</v>
      </c>
      <c r="N727" t="s">
        <v>46</v>
      </c>
      <c r="O727">
        <v>73</v>
      </c>
      <c r="P727">
        <v>3</v>
      </c>
      <c r="Q727">
        <v>1</v>
      </c>
      <c r="R727" t="s">
        <v>47</v>
      </c>
      <c r="S727">
        <v>4</v>
      </c>
      <c r="T727" t="str" cm="1">
        <f t="array" ref="T727">_xlfn.IFS(S727&lt;=2,"Poor",S727&lt;=3,"Fair",S727&gt;=4,"Good")</f>
        <v>Good</v>
      </c>
      <c r="U727" t="s">
        <v>41</v>
      </c>
      <c r="V727" s="1">
        <v>1051</v>
      </c>
      <c r="W727" t="str" cm="1">
        <f t="array" ref="W727">_xlfn.IFS(V727&lt;=5000,"Low Salary",V727&lt;=12000,"Good Salary",V727&gt;12000,"High Salary")</f>
        <v>Low Salary</v>
      </c>
      <c r="X727">
        <v>13493</v>
      </c>
      <c r="Y727">
        <v>1</v>
      </c>
      <c r="Z727" t="s">
        <v>42</v>
      </c>
      <c r="AA727" t="s">
        <v>35</v>
      </c>
      <c r="AB727">
        <v>15</v>
      </c>
      <c r="AC727">
        <v>3</v>
      </c>
      <c r="AD727" t="str">
        <f t="shared" si="23"/>
        <v>Low Performance</v>
      </c>
      <c r="AE727">
        <v>4</v>
      </c>
      <c r="AF727">
        <v>80</v>
      </c>
      <c r="AG727">
        <v>0</v>
      </c>
      <c r="AH727">
        <v>0</v>
      </c>
      <c r="AI727">
        <v>2</v>
      </c>
      <c r="AJ727">
        <v>3</v>
      </c>
      <c r="AK727" t="str" cm="1">
        <f t="array" ref="AK727">_xlfn.IFS(AJ727&lt;=2,"Poor",AJ727&lt;=3,"Fair",AJ727&gt;3,"Good")</f>
        <v>Fair</v>
      </c>
      <c r="AL727">
        <v>0</v>
      </c>
      <c r="AM727">
        <v>0</v>
      </c>
      <c r="AN727">
        <v>0</v>
      </c>
      <c r="AO727">
        <v>0</v>
      </c>
    </row>
    <row r="728" spans="1:41" x14ac:dyDescent="0.2">
      <c r="A728">
        <v>1100306</v>
      </c>
      <c r="B728">
        <v>54</v>
      </c>
      <c r="C728" t="str" cm="1">
        <f t="array" ref="C728">_xlfn.IFS(B728&lt;=25,"15-25",B728&lt;=35,"26-35",B728&lt;=45,"36-45",B728&lt;=55,"46-55",B728&lt;=65,"56-65")</f>
        <v>46-55</v>
      </c>
      <c r="D728" t="s">
        <v>35</v>
      </c>
      <c r="E728" t="str">
        <f t="shared" si="22"/>
        <v>Current Employee</v>
      </c>
      <c r="F728" t="s">
        <v>36</v>
      </c>
      <c r="G728">
        <v>1441</v>
      </c>
      <c r="H728" t="s">
        <v>45</v>
      </c>
      <c r="I728">
        <v>17</v>
      </c>
      <c r="J728">
        <v>3</v>
      </c>
      <c r="K728" t="s">
        <v>56</v>
      </c>
      <c r="L728">
        <v>1</v>
      </c>
      <c r="M728">
        <v>3</v>
      </c>
      <c r="N728" t="s">
        <v>39</v>
      </c>
      <c r="O728">
        <v>56</v>
      </c>
      <c r="P728">
        <v>3</v>
      </c>
      <c r="Q728">
        <v>3</v>
      </c>
      <c r="R728" t="s">
        <v>51</v>
      </c>
      <c r="S728">
        <v>3</v>
      </c>
      <c r="T728" t="str" cm="1">
        <f t="array" ref="T728">_xlfn.IFS(S728&lt;=2,"Poor",S728&lt;=3,"Fair",S728&gt;=4,"Good")</f>
        <v>Fair</v>
      </c>
      <c r="U728" t="s">
        <v>48</v>
      </c>
      <c r="V728" s="1">
        <v>10739</v>
      </c>
      <c r="W728" t="str" cm="1">
        <f t="array" ref="W728">_xlfn.IFS(V728&lt;=5000,"Low Salary",V728&lt;=12000,"Good Salary",V728&gt;12000,"High Salary")</f>
        <v>Good Salary</v>
      </c>
      <c r="X728">
        <v>13943</v>
      </c>
      <c r="Y728">
        <v>8</v>
      </c>
      <c r="Z728" t="s">
        <v>42</v>
      </c>
      <c r="AA728" t="s">
        <v>35</v>
      </c>
      <c r="AB728">
        <v>11</v>
      </c>
      <c r="AC728">
        <v>3</v>
      </c>
      <c r="AD728" t="str">
        <f t="shared" si="23"/>
        <v>Low Performance</v>
      </c>
      <c r="AE728">
        <v>3</v>
      </c>
      <c r="AF728">
        <v>80</v>
      </c>
      <c r="AG728">
        <v>1</v>
      </c>
      <c r="AH728">
        <v>22</v>
      </c>
      <c r="AI728">
        <v>2</v>
      </c>
      <c r="AJ728">
        <v>3</v>
      </c>
      <c r="AK728" t="str" cm="1">
        <f t="array" ref="AK728">_xlfn.IFS(AJ728&lt;=2,"Poor",AJ728&lt;=3,"Fair",AJ728&gt;3,"Good")</f>
        <v>Fair</v>
      </c>
      <c r="AL728">
        <v>10</v>
      </c>
      <c r="AM728">
        <v>7</v>
      </c>
      <c r="AN728">
        <v>0</v>
      </c>
      <c r="AO728">
        <v>8</v>
      </c>
    </row>
    <row r="729" spans="1:41" x14ac:dyDescent="0.2">
      <c r="A729">
        <v>1667869</v>
      </c>
      <c r="B729">
        <v>35</v>
      </c>
      <c r="C729" t="str" cm="1">
        <f t="array" ref="C729">_xlfn.IFS(B729&lt;=25,"15-25",B729&lt;=35,"26-35",B729&lt;=45,"36-45",B729&lt;=55,"46-55",B729&lt;=65,"56-65")</f>
        <v>26-35</v>
      </c>
      <c r="D729" t="s">
        <v>35</v>
      </c>
      <c r="E729" t="str">
        <f t="shared" si="22"/>
        <v>Current Employee</v>
      </c>
      <c r="F729" t="s">
        <v>36</v>
      </c>
      <c r="G729">
        <v>583</v>
      </c>
      <c r="H729" t="s">
        <v>45</v>
      </c>
      <c r="I729">
        <v>25</v>
      </c>
      <c r="J729">
        <v>4</v>
      </c>
      <c r="K729" t="s">
        <v>49</v>
      </c>
      <c r="L729">
        <v>1</v>
      </c>
      <c r="M729">
        <v>3</v>
      </c>
      <c r="N729" t="s">
        <v>39</v>
      </c>
      <c r="O729">
        <v>57</v>
      </c>
      <c r="P729">
        <v>3</v>
      </c>
      <c r="Q729">
        <v>3</v>
      </c>
      <c r="R729" t="s">
        <v>40</v>
      </c>
      <c r="S729">
        <v>3</v>
      </c>
      <c r="T729" t="str" cm="1">
        <f t="array" ref="T729">_xlfn.IFS(S729&lt;=2,"Poor",S729&lt;=3,"Fair",S729&gt;=4,"Good")</f>
        <v>Fair</v>
      </c>
      <c r="U729" t="s">
        <v>50</v>
      </c>
      <c r="V729" s="1">
        <v>10388</v>
      </c>
      <c r="W729" t="str" cm="1">
        <f t="array" ref="W729">_xlfn.IFS(V729&lt;=5000,"Low Salary",V729&lt;=12000,"Good Salary",V729&gt;12000,"High Salary")</f>
        <v>Good Salary</v>
      </c>
      <c r="X729">
        <v>6975</v>
      </c>
      <c r="Y729">
        <v>1</v>
      </c>
      <c r="Z729" t="s">
        <v>42</v>
      </c>
      <c r="AA729" t="s">
        <v>43</v>
      </c>
      <c r="AB729">
        <v>11</v>
      </c>
      <c r="AC729">
        <v>3</v>
      </c>
      <c r="AD729" t="str">
        <f t="shared" si="23"/>
        <v>Low Performance</v>
      </c>
      <c r="AE729">
        <v>3</v>
      </c>
      <c r="AF729">
        <v>80</v>
      </c>
      <c r="AG729">
        <v>1</v>
      </c>
      <c r="AH729">
        <v>16</v>
      </c>
      <c r="AI729">
        <v>3</v>
      </c>
      <c r="AJ729">
        <v>2</v>
      </c>
      <c r="AK729" t="str" cm="1">
        <f t="array" ref="AK729">_xlfn.IFS(AJ729&lt;=2,"Poor",AJ729&lt;=3,"Fair",AJ729&gt;3,"Good")</f>
        <v>Poor</v>
      </c>
      <c r="AL729">
        <v>16</v>
      </c>
      <c r="AM729">
        <v>10</v>
      </c>
      <c r="AN729">
        <v>10</v>
      </c>
      <c r="AO729">
        <v>1</v>
      </c>
    </row>
    <row r="730" spans="1:41" x14ac:dyDescent="0.2">
      <c r="A730">
        <v>1079832</v>
      </c>
      <c r="B730">
        <v>30</v>
      </c>
      <c r="C730" t="str" cm="1">
        <f t="array" ref="C730">_xlfn.IFS(B730&lt;=25,"15-25",B730&lt;=35,"26-35",B730&lt;=45,"36-45",B730&lt;=55,"46-55",B730&lt;=65,"56-65")</f>
        <v>26-35</v>
      </c>
      <c r="D730" t="s">
        <v>35</v>
      </c>
      <c r="E730" t="str">
        <f t="shared" si="22"/>
        <v>Current Employee</v>
      </c>
      <c r="F730" t="s">
        <v>36</v>
      </c>
      <c r="G730">
        <v>153</v>
      </c>
      <c r="H730" t="s">
        <v>45</v>
      </c>
      <c r="I730">
        <v>8</v>
      </c>
      <c r="J730">
        <v>2</v>
      </c>
      <c r="K730" t="s">
        <v>38</v>
      </c>
      <c r="L730">
        <v>1</v>
      </c>
      <c r="M730">
        <v>2</v>
      </c>
      <c r="N730" t="s">
        <v>39</v>
      </c>
      <c r="O730">
        <v>73</v>
      </c>
      <c r="P730">
        <v>4</v>
      </c>
      <c r="Q730">
        <v>3</v>
      </c>
      <c r="R730" t="s">
        <v>53</v>
      </c>
      <c r="S730">
        <v>1</v>
      </c>
      <c r="T730" t="str" cm="1">
        <f t="array" ref="T730">_xlfn.IFS(S730&lt;=2,"Poor",S730&lt;=3,"Fair",S730&gt;=4,"Good")</f>
        <v>Poor</v>
      </c>
      <c r="U730" t="s">
        <v>48</v>
      </c>
      <c r="V730" s="1">
        <v>11416</v>
      </c>
      <c r="W730" t="str" cm="1">
        <f t="array" ref="W730">_xlfn.IFS(V730&lt;=5000,"Low Salary",V730&lt;=12000,"Good Salary",V730&gt;12000,"High Salary")</f>
        <v>Good Salary</v>
      </c>
      <c r="X730">
        <v>17802</v>
      </c>
      <c r="Y730">
        <v>0</v>
      </c>
      <c r="Z730" t="s">
        <v>42</v>
      </c>
      <c r="AA730" t="s">
        <v>43</v>
      </c>
      <c r="AB730">
        <v>12</v>
      </c>
      <c r="AC730">
        <v>3</v>
      </c>
      <c r="AD730" t="str">
        <f t="shared" si="23"/>
        <v>Low Performance</v>
      </c>
      <c r="AE730">
        <v>3</v>
      </c>
      <c r="AF730">
        <v>80</v>
      </c>
      <c r="AG730">
        <v>3</v>
      </c>
      <c r="AH730">
        <v>9</v>
      </c>
      <c r="AI730">
        <v>4</v>
      </c>
      <c r="AJ730">
        <v>2</v>
      </c>
      <c r="AK730" t="str" cm="1">
        <f t="array" ref="AK730">_xlfn.IFS(AJ730&lt;=2,"Poor",AJ730&lt;=3,"Fair",AJ730&gt;3,"Good")</f>
        <v>Poor</v>
      </c>
      <c r="AL730">
        <v>8</v>
      </c>
      <c r="AM730">
        <v>7</v>
      </c>
      <c r="AN730">
        <v>1</v>
      </c>
      <c r="AO730">
        <v>7</v>
      </c>
    </row>
    <row r="731" spans="1:41" x14ac:dyDescent="0.2">
      <c r="A731">
        <v>1236529</v>
      </c>
      <c r="B731">
        <v>20</v>
      </c>
      <c r="C731" t="str" cm="1">
        <f t="array" ref="C731">_xlfn.IFS(B731&lt;=25,"15-25",B731&lt;=35,"26-35",B731&lt;=45,"36-45",B731&lt;=55,"46-55",B731&lt;=65,"56-65")</f>
        <v>15-25</v>
      </c>
      <c r="D731" t="s">
        <v>43</v>
      </c>
      <c r="E731" t="str">
        <f t="shared" si="22"/>
        <v>Former Employee</v>
      </c>
      <c r="F731" t="s">
        <v>36</v>
      </c>
      <c r="G731">
        <v>1097</v>
      </c>
      <c r="H731" t="s">
        <v>45</v>
      </c>
      <c r="I731">
        <v>11</v>
      </c>
      <c r="J731">
        <v>3</v>
      </c>
      <c r="K731" t="s">
        <v>49</v>
      </c>
      <c r="L731">
        <v>1</v>
      </c>
      <c r="M731">
        <v>4</v>
      </c>
      <c r="N731" t="s">
        <v>39</v>
      </c>
      <c r="O731">
        <v>98</v>
      </c>
      <c r="P731">
        <v>2</v>
      </c>
      <c r="Q731">
        <v>1</v>
      </c>
      <c r="R731" t="s">
        <v>47</v>
      </c>
      <c r="S731">
        <v>1</v>
      </c>
      <c r="T731" t="str" cm="1">
        <f t="array" ref="T731">_xlfn.IFS(S731&lt;=2,"Poor",S731&lt;=3,"Fair",S731&gt;=4,"Good")</f>
        <v>Poor</v>
      </c>
      <c r="U731" t="s">
        <v>41</v>
      </c>
      <c r="V731" s="1">
        <v>2600</v>
      </c>
      <c r="W731" t="str" cm="1">
        <f t="array" ref="W731">_xlfn.IFS(V731&lt;=5000,"Low Salary",V731&lt;=12000,"Good Salary",V731&gt;12000,"High Salary")</f>
        <v>Low Salary</v>
      </c>
      <c r="X731">
        <v>18275</v>
      </c>
      <c r="Y731">
        <v>1</v>
      </c>
      <c r="Z731" t="s">
        <v>42</v>
      </c>
      <c r="AA731" t="s">
        <v>43</v>
      </c>
      <c r="AB731">
        <v>15</v>
      </c>
      <c r="AC731">
        <v>3</v>
      </c>
      <c r="AD731" t="str">
        <f t="shared" si="23"/>
        <v>Low Performance</v>
      </c>
      <c r="AE731">
        <v>1</v>
      </c>
      <c r="AF731">
        <v>80</v>
      </c>
      <c r="AG731">
        <v>0</v>
      </c>
      <c r="AH731">
        <v>1</v>
      </c>
      <c r="AI731">
        <v>2</v>
      </c>
      <c r="AJ731">
        <v>3</v>
      </c>
      <c r="AK731" t="str" cm="1">
        <f t="array" ref="AK731">_xlfn.IFS(AJ731&lt;=2,"Poor",AJ731&lt;=3,"Fair",AJ731&gt;3,"Good")</f>
        <v>Fair</v>
      </c>
      <c r="AL731">
        <v>1</v>
      </c>
      <c r="AM731">
        <v>0</v>
      </c>
      <c r="AN731">
        <v>0</v>
      </c>
      <c r="AO731">
        <v>0</v>
      </c>
    </row>
    <row r="732" spans="1:41" x14ac:dyDescent="0.2">
      <c r="A732">
        <v>1233733</v>
      </c>
      <c r="B732">
        <v>30</v>
      </c>
      <c r="C732" t="str" cm="1">
        <f t="array" ref="C732">_xlfn.IFS(B732&lt;=25,"15-25",B732&lt;=35,"26-35",B732&lt;=45,"36-45",B732&lt;=55,"46-55",B732&lt;=65,"56-65")</f>
        <v>26-35</v>
      </c>
      <c r="D732" t="s">
        <v>35</v>
      </c>
      <c r="E732" t="str">
        <f t="shared" si="22"/>
        <v>Current Employee</v>
      </c>
      <c r="F732" t="s">
        <v>44</v>
      </c>
      <c r="G732">
        <v>109</v>
      </c>
      <c r="H732" t="s">
        <v>45</v>
      </c>
      <c r="I732">
        <v>5</v>
      </c>
      <c r="J732">
        <v>3</v>
      </c>
      <c r="K732" t="s">
        <v>49</v>
      </c>
      <c r="L732">
        <v>1</v>
      </c>
      <c r="M732">
        <v>2</v>
      </c>
      <c r="N732" t="s">
        <v>39</v>
      </c>
      <c r="O732">
        <v>60</v>
      </c>
      <c r="P732">
        <v>3</v>
      </c>
      <c r="Q732">
        <v>1</v>
      </c>
      <c r="R732" t="s">
        <v>40</v>
      </c>
      <c r="S732">
        <v>2</v>
      </c>
      <c r="T732" t="str" cm="1">
        <f t="array" ref="T732">_xlfn.IFS(S732&lt;=2,"Poor",S732&lt;=3,"Fair",S732&gt;=4,"Good")</f>
        <v>Poor</v>
      </c>
      <c r="U732" t="s">
        <v>41</v>
      </c>
      <c r="V732" s="1">
        <v>2422</v>
      </c>
      <c r="W732" t="str" cm="1">
        <f t="array" ref="W732">_xlfn.IFS(V732&lt;=5000,"Low Salary",V732&lt;=12000,"Good Salary",V732&gt;12000,"High Salary")</f>
        <v>Low Salary</v>
      </c>
      <c r="X732">
        <v>25725</v>
      </c>
      <c r="Y732">
        <v>0</v>
      </c>
      <c r="Z732" t="s">
        <v>42</v>
      </c>
      <c r="AA732" t="s">
        <v>35</v>
      </c>
      <c r="AB732">
        <v>17</v>
      </c>
      <c r="AC732">
        <v>3</v>
      </c>
      <c r="AD732" t="str">
        <f t="shared" si="23"/>
        <v>Low Performance</v>
      </c>
      <c r="AE732">
        <v>1</v>
      </c>
      <c r="AF732">
        <v>80</v>
      </c>
      <c r="AG732">
        <v>0</v>
      </c>
      <c r="AH732">
        <v>4</v>
      </c>
      <c r="AI732">
        <v>3</v>
      </c>
      <c r="AJ732">
        <v>3</v>
      </c>
      <c r="AK732" t="str" cm="1">
        <f t="array" ref="AK732">_xlfn.IFS(AJ732&lt;=2,"Poor",AJ732&lt;=3,"Fair",AJ732&gt;3,"Good")</f>
        <v>Fair</v>
      </c>
      <c r="AL732">
        <v>3</v>
      </c>
      <c r="AM732">
        <v>2</v>
      </c>
      <c r="AN732">
        <v>1</v>
      </c>
      <c r="AO732">
        <v>2</v>
      </c>
    </row>
    <row r="733" spans="1:41" x14ac:dyDescent="0.2">
      <c r="A733">
        <v>1824641</v>
      </c>
      <c r="B733">
        <v>26</v>
      </c>
      <c r="C733" t="str" cm="1">
        <f t="array" ref="C733">_xlfn.IFS(B733&lt;=25,"15-25",B733&lt;=35,"26-35",B733&lt;=45,"36-45",B733&lt;=55,"46-55",B733&lt;=65,"56-65")</f>
        <v>26-35</v>
      </c>
      <c r="D733" t="s">
        <v>35</v>
      </c>
      <c r="E733" t="str">
        <f t="shared" si="22"/>
        <v>Current Employee</v>
      </c>
      <c r="F733" t="s">
        <v>36</v>
      </c>
      <c r="G733">
        <v>1066</v>
      </c>
      <c r="H733" t="s">
        <v>54</v>
      </c>
      <c r="I733">
        <v>2</v>
      </c>
      <c r="J733">
        <v>2</v>
      </c>
      <c r="K733" t="s">
        <v>49</v>
      </c>
      <c r="L733">
        <v>1</v>
      </c>
      <c r="M733">
        <v>4</v>
      </c>
      <c r="N733" t="s">
        <v>46</v>
      </c>
      <c r="O733">
        <v>32</v>
      </c>
      <c r="P733">
        <v>4</v>
      </c>
      <c r="Q733">
        <v>2</v>
      </c>
      <c r="R733" t="s">
        <v>51</v>
      </c>
      <c r="S733">
        <v>4</v>
      </c>
      <c r="T733" t="str" cm="1">
        <f t="array" ref="T733">_xlfn.IFS(S733&lt;=2,"Poor",S733&lt;=3,"Fair",S733&gt;=4,"Good")</f>
        <v>Good</v>
      </c>
      <c r="U733" t="s">
        <v>48</v>
      </c>
      <c r="V733" s="1">
        <v>5472</v>
      </c>
      <c r="W733" t="str" cm="1">
        <f t="array" ref="W733">_xlfn.IFS(V733&lt;=5000,"Low Salary",V733&lt;=12000,"Good Salary",V733&gt;12000,"High Salary")</f>
        <v>Good Salary</v>
      </c>
      <c r="X733">
        <v>3334</v>
      </c>
      <c r="Y733">
        <v>1</v>
      </c>
      <c r="Z733" t="s">
        <v>42</v>
      </c>
      <c r="AA733" t="s">
        <v>35</v>
      </c>
      <c r="AB733">
        <v>12</v>
      </c>
      <c r="AC733">
        <v>3</v>
      </c>
      <c r="AD733" t="str">
        <f t="shared" si="23"/>
        <v>Low Performance</v>
      </c>
      <c r="AE733">
        <v>2</v>
      </c>
      <c r="AF733">
        <v>80</v>
      </c>
      <c r="AG733">
        <v>0</v>
      </c>
      <c r="AH733">
        <v>8</v>
      </c>
      <c r="AI733">
        <v>2</v>
      </c>
      <c r="AJ733">
        <v>3</v>
      </c>
      <c r="AK733" t="str" cm="1">
        <f t="array" ref="AK733">_xlfn.IFS(AJ733&lt;=2,"Poor",AJ733&lt;=3,"Fair",AJ733&gt;3,"Good")</f>
        <v>Fair</v>
      </c>
      <c r="AL733">
        <v>8</v>
      </c>
      <c r="AM733">
        <v>7</v>
      </c>
      <c r="AN733">
        <v>1</v>
      </c>
      <c r="AO733">
        <v>3</v>
      </c>
    </row>
    <row r="734" spans="1:41" x14ac:dyDescent="0.2">
      <c r="A734">
        <v>1559236</v>
      </c>
      <c r="B734">
        <v>22</v>
      </c>
      <c r="C734" t="str" cm="1">
        <f t="array" ref="C734">_xlfn.IFS(B734&lt;=25,"15-25",B734&lt;=35,"26-35",B734&lt;=45,"36-45",B734&lt;=55,"46-55",B734&lt;=65,"56-65")</f>
        <v>15-25</v>
      </c>
      <c r="D734" t="s">
        <v>35</v>
      </c>
      <c r="E734" t="str">
        <f t="shared" si="22"/>
        <v>Current Employee</v>
      </c>
      <c r="F734" t="s">
        <v>36</v>
      </c>
      <c r="G734">
        <v>217</v>
      </c>
      <c r="H734" t="s">
        <v>45</v>
      </c>
      <c r="I734">
        <v>8</v>
      </c>
      <c r="J734">
        <v>1</v>
      </c>
      <c r="K734" t="s">
        <v>38</v>
      </c>
      <c r="L734">
        <v>1</v>
      </c>
      <c r="M734">
        <v>2</v>
      </c>
      <c r="N734" t="s">
        <v>46</v>
      </c>
      <c r="O734">
        <v>94</v>
      </c>
      <c r="P734">
        <v>1</v>
      </c>
      <c r="Q734">
        <v>1</v>
      </c>
      <c r="R734" t="s">
        <v>40</v>
      </c>
      <c r="S734">
        <v>1</v>
      </c>
      <c r="T734" t="str" cm="1">
        <f t="array" ref="T734">_xlfn.IFS(S734&lt;=2,"Poor",S734&lt;=3,"Fair",S734&gt;=4,"Good")</f>
        <v>Poor</v>
      </c>
      <c r="U734" t="s">
        <v>48</v>
      </c>
      <c r="V734" s="1">
        <v>2451</v>
      </c>
      <c r="W734" t="str" cm="1">
        <f t="array" ref="W734">_xlfn.IFS(V734&lt;=5000,"Low Salary",V734&lt;=12000,"Good Salary",V734&gt;12000,"High Salary")</f>
        <v>Low Salary</v>
      </c>
      <c r="X734">
        <v>6881</v>
      </c>
      <c r="Y734">
        <v>1</v>
      </c>
      <c r="Z734" t="s">
        <v>42</v>
      </c>
      <c r="AA734" t="s">
        <v>35</v>
      </c>
      <c r="AB734">
        <v>15</v>
      </c>
      <c r="AC734">
        <v>3</v>
      </c>
      <c r="AD734" t="str">
        <f t="shared" si="23"/>
        <v>Low Performance</v>
      </c>
      <c r="AE734">
        <v>1</v>
      </c>
      <c r="AF734">
        <v>80</v>
      </c>
      <c r="AG734">
        <v>1</v>
      </c>
      <c r="AH734">
        <v>4</v>
      </c>
      <c r="AI734">
        <v>3</v>
      </c>
      <c r="AJ734">
        <v>2</v>
      </c>
      <c r="AK734" t="str" cm="1">
        <f t="array" ref="AK734">_xlfn.IFS(AJ734&lt;=2,"Poor",AJ734&lt;=3,"Fair",AJ734&gt;3,"Good")</f>
        <v>Poor</v>
      </c>
      <c r="AL734">
        <v>4</v>
      </c>
      <c r="AM734">
        <v>3</v>
      </c>
      <c r="AN734">
        <v>1</v>
      </c>
      <c r="AO734">
        <v>1</v>
      </c>
    </row>
    <row r="735" spans="1:41" x14ac:dyDescent="0.2">
      <c r="A735">
        <v>1362920</v>
      </c>
      <c r="B735">
        <v>48</v>
      </c>
      <c r="C735" t="str" cm="1">
        <f t="array" ref="C735">_xlfn.IFS(B735&lt;=25,"15-25",B735&lt;=35,"26-35",B735&lt;=45,"36-45",B735&lt;=55,"46-55",B735&lt;=65,"56-65")</f>
        <v>46-55</v>
      </c>
      <c r="D735" t="s">
        <v>35</v>
      </c>
      <c r="E735" t="str">
        <f t="shared" si="22"/>
        <v>Current Employee</v>
      </c>
      <c r="F735" t="s">
        <v>36</v>
      </c>
      <c r="G735">
        <v>277</v>
      </c>
      <c r="H735" t="s">
        <v>45</v>
      </c>
      <c r="I735">
        <v>6</v>
      </c>
      <c r="J735">
        <v>3</v>
      </c>
      <c r="K735" t="s">
        <v>38</v>
      </c>
      <c r="L735">
        <v>1</v>
      </c>
      <c r="M735">
        <v>1</v>
      </c>
      <c r="N735" t="s">
        <v>46</v>
      </c>
      <c r="O735">
        <v>97</v>
      </c>
      <c r="P735">
        <v>2</v>
      </c>
      <c r="Q735">
        <v>2</v>
      </c>
      <c r="R735" t="s">
        <v>40</v>
      </c>
      <c r="S735">
        <v>3</v>
      </c>
      <c r="T735" t="str" cm="1">
        <f t="array" ref="T735">_xlfn.IFS(S735&lt;=2,"Poor",S735&lt;=3,"Fair",S735&gt;=4,"Good")</f>
        <v>Fair</v>
      </c>
      <c r="U735" t="s">
        <v>41</v>
      </c>
      <c r="V735" s="1">
        <v>4240</v>
      </c>
      <c r="W735" t="str" cm="1">
        <f t="array" ref="W735">_xlfn.IFS(V735&lt;=5000,"Low Salary",V735&lt;=12000,"Good Salary",V735&gt;12000,"High Salary")</f>
        <v>Low Salary</v>
      </c>
      <c r="X735">
        <v>13119</v>
      </c>
      <c r="Y735">
        <v>2</v>
      </c>
      <c r="Z735" t="s">
        <v>42</v>
      </c>
      <c r="AA735" t="s">
        <v>35</v>
      </c>
      <c r="AB735">
        <v>13</v>
      </c>
      <c r="AC735">
        <v>3</v>
      </c>
      <c r="AD735" t="str">
        <f t="shared" si="23"/>
        <v>Low Performance</v>
      </c>
      <c r="AE735">
        <v>4</v>
      </c>
      <c r="AF735">
        <v>80</v>
      </c>
      <c r="AG735">
        <v>0</v>
      </c>
      <c r="AH735">
        <v>19</v>
      </c>
      <c r="AI735">
        <v>0</v>
      </c>
      <c r="AJ735">
        <v>3</v>
      </c>
      <c r="AK735" t="str" cm="1">
        <f t="array" ref="AK735">_xlfn.IFS(AJ735&lt;=2,"Poor",AJ735&lt;=3,"Fair",AJ735&gt;3,"Good")</f>
        <v>Fair</v>
      </c>
      <c r="AL735">
        <v>2</v>
      </c>
      <c r="AM735">
        <v>2</v>
      </c>
      <c r="AN735">
        <v>2</v>
      </c>
      <c r="AO735">
        <v>2</v>
      </c>
    </row>
    <row r="736" spans="1:41" x14ac:dyDescent="0.2">
      <c r="A736">
        <v>1374656</v>
      </c>
      <c r="B736">
        <v>48</v>
      </c>
      <c r="C736" t="str" cm="1">
        <f t="array" ref="C736">_xlfn.IFS(B736&lt;=25,"15-25",B736&lt;=35,"26-35",B736&lt;=45,"36-45",B736&lt;=55,"46-55",B736&lt;=65,"56-65")</f>
        <v>46-55</v>
      </c>
      <c r="D736" t="s">
        <v>35</v>
      </c>
      <c r="E736" t="str">
        <f t="shared" si="22"/>
        <v>Current Employee</v>
      </c>
      <c r="F736" t="s">
        <v>36</v>
      </c>
      <c r="G736">
        <v>1355</v>
      </c>
      <c r="H736" t="s">
        <v>45</v>
      </c>
      <c r="I736">
        <v>4</v>
      </c>
      <c r="J736">
        <v>4</v>
      </c>
      <c r="K736" t="s">
        <v>38</v>
      </c>
      <c r="L736">
        <v>1</v>
      </c>
      <c r="M736">
        <v>3</v>
      </c>
      <c r="N736" t="s">
        <v>46</v>
      </c>
      <c r="O736">
        <v>78</v>
      </c>
      <c r="P736">
        <v>2</v>
      </c>
      <c r="Q736">
        <v>3</v>
      </c>
      <c r="R736" t="s">
        <v>40</v>
      </c>
      <c r="S736">
        <v>3</v>
      </c>
      <c r="T736" t="str" cm="1">
        <f t="array" ref="T736">_xlfn.IFS(S736&lt;=2,"Poor",S736&lt;=3,"Fair",S736&gt;=4,"Good")</f>
        <v>Fair</v>
      </c>
      <c r="U736" t="s">
        <v>41</v>
      </c>
      <c r="V736" s="1">
        <v>10999</v>
      </c>
      <c r="W736" t="str" cm="1">
        <f t="array" ref="W736">_xlfn.IFS(V736&lt;=5000,"Low Salary",V736&lt;=12000,"Good Salary",V736&gt;12000,"High Salary")</f>
        <v>Good Salary</v>
      </c>
      <c r="X736">
        <v>22245</v>
      </c>
      <c r="Y736">
        <v>7</v>
      </c>
      <c r="Z736" t="s">
        <v>42</v>
      </c>
      <c r="AA736" t="s">
        <v>35</v>
      </c>
      <c r="AB736">
        <v>14</v>
      </c>
      <c r="AC736">
        <v>3</v>
      </c>
      <c r="AD736" t="str">
        <f t="shared" si="23"/>
        <v>Low Performance</v>
      </c>
      <c r="AE736">
        <v>2</v>
      </c>
      <c r="AF736">
        <v>80</v>
      </c>
      <c r="AG736">
        <v>0</v>
      </c>
      <c r="AH736">
        <v>27</v>
      </c>
      <c r="AI736">
        <v>3</v>
      </c>
      <c r="AJ736">
        <v>3</v>
      </c>
      <c r="AK736" t="str" cm="1">
        <f t="array" ref="AK736">_xlfn.IFS(AJ736&lt;=2,"Poor",AJ736&lt;=3,"Fair",AJ736&gt;3,"Good")</f>
        <v>Fair</v>
      </c>
      <c r="AL736">
        <v>15</v>
      </c>
      <c r="AM736">
        <v>11</v>
      </c>
      <c r="AN736">
        <v>4</v>
      </c>
      <c r="AO736">
        <v>8</v>
      </c>
    </row>
    <row r="737" spans="1:41" x14ac:dyDescent="0.2">
      <c r="A737">
        <v>1541429</v>
      </c>
      <c r="B737">
        <v>41</v>
      </c>
      <c r="C737" t="str" cm="1">
        <f t="array" ref="C737">_xlfn.IFS(B737&lt;=25,"15-25",B737&lt;=35,"26-35",B737&lt;=45,"36-45",B737&lt;=55,"46-55",B737&lt;=65,"56-65")</f>
        <v>36-45</v>
      </c>
      <c r="D737" t="s">
        <v>35</v>
      </c>
      <c r="E737" t="str">
        <f t="shared" si="22"/>
        <v>Current Employee</v>
      </c>
      <c r="F737" t="s">
        <v>36</v>
      </c>
      <c r="G737">
        <v>549</v>
      </c>
      <c r="H737" t="s">
        <v>37</v>
      </c>
      <c r="I737">
        <v>7</v>
      </c>
      <c r="J737">
        <v>2</v>
      </c>
      <c r="K737" t="s">
        <v>49</v>
      </c>
      <c r="L737">
        <v>1</v>
      </c>
      <c r="M737">
        <v>4</v>
      </c>
      <c r="N737" t="s">
        <v>39</v>
      </c>
      <c r="O737">
        <v>42</v>
      </c>
      <c r="P737">
        <v>3</v>
      </c>
      <c r="Q737">
        <v>2</v>
      </c>
      <c r="R737" t="s">
        <v>51</v>
      </c>
      <c r="S737">
        <v>3</v>
      </c>
      <c r="T737" t="str" cm="1">
        <f t="array" ref="T737">_xlfn.IFS(S737&lt;=2,"Poor",S737&lt;=3,"Fair",S737&gt;=4,"Good")</f>
        <v>Fair</v>
      </c>
      <c r="U737" t="s">
        <v>41</v>
      </c>
      <c r="V737" s="1">
        <v>5003</v>
      </c>
      <c r="W737" t="str" cm="1">
        <f t="array" ref="W737">_xlfn.IFS(V737&lt;=5000,"Low Salary",V737&lt;=12000,"Good Salary",V737&gt;12000,"High Salary")</f>
        <v>Good Salary</v>
      </c>
      <c r="X737">
        <v>23371</v>
      </c>
      <c r="Y737">
        <v>6</v>
      </c>
      <c r="Z737" t="s">
        <v>42</v>
      </c>
      <c r="AA737" t="s">
        <v>35</v>
      </c>
      <c r="AB737">
        <v>14</v>
      </c>
      <c r="AC737">
        <v>3</v>
      </c>
      <c r="AD737" t="str">
        <f t="shared" si="23"/>
        <v>Low Performance</v>
      </c>
      <c r="AE737">
        <v>2</v>
      </c>
      <c r="AF737">
        <v>80</v>
      </c>
      <c r="AG737">
        <v>0</v>
      </c>
      <c r="AH737">
        <v>8</v>
      </c>
      <c r="AI737">
        <v>6</v>
      </c>
      <c r="AJ737">
        <v>3</v>
      </c>
      <c r="AK737" t="str" cm="1">
        <f t="array" ref="AK737">_xlfn.IFS(AJ737&lt;=2,"Poor",AJ737&lt;=3,"Fair",AJ737&gt;3,"Good")</f>
        <v>Fair</v>
      </c>
      <c r="AL737">
        <v>2</v>
      </c>
      <c r="AM737">
        <v>2</v>
      </c>
      <c r="AN737">
        <v>2</v>
      </c>
      <c r="AO737">
        <v>1</v>
      </c>
    </row>
    <row r="738" spans="1:41" x14ac:dyDescent="0.2">
      <c r="A738">
        <v>1383639</v>
      </c>
      <c r="B738">
        <v>27</v>
      </c>
      <c r="C738" t="str" cm="1">
        <f t="array" ref="C738">_xlfn.IFS(B738&lt;=25,"15-25",B738&lt;=35,"26-35",B738&lt;=45,"36-45",B738&lt;=55,"46-55",B738&lt;=65,"56-65")</f>
        <v>26-35</v>
      </c>
      <c r="D738" t="s">
        <v>35</v>
      </c>
      <c r="E738" t="str">
        <f t="shared" si="22"/>
        <v>Current Employee</v>
      </c>
      <c r="F738" t="s">
        <v>36</v>
      </c>
      <c r="G738">
        <v>1055</v>
      </c>
      <c r="H738" t="s">
        <v>54</v>
      </c>
      <c r="I738">
        <v>2</v>
      </c>
      <c r="J738">
        <v>4</v>
      </c>
      <c r="K738" t="s">
        <v>38</v>
      </c>
      <c r="L738">
        <v>1</v>
      </c>
      <c r="M738">
        <v>1</v>
      </c>
      <c r="N738" t="s">
        <v>39</v>
      </c>
      <c r="O738">
        <v>47</v>
      </c>
      <c r="P738">
        <v>3</v>
      </c>
      <c r="Q738">
        <v>2</v>
      </c>
      <c r="R738" t="s">
        <v>51</v>
      </c>
      <c r="S738">
        <v>4</v>
      </c>
      <c r="T738" t="str" cm="1">
        <f t="array" ref="T738">_xlfn.IFS(S738&lt;=2,"Poor",S738&lt;=3,"Fair",S738&gt;=4,"Good")</f>
        <v>Good</v>
      </c>
      <c r="U738" t="s">
        <v>48</v>
      </c>
      <c r="V738" s="1">
        <v>4227</v>
      </c>
      <c r="W738" t="str" cm="1">
        <f t="array" ref="W738">_xlfn.IFS(V738&lt;=5000,"Low Salary",V738&lt;=12000,"Good Salary",V738&gt;12000,"High Salary")</f>
        <v>Low Salary</v>
      </c>
      <c r="X738">
        <v>4658</v>
      </c>
      <c r="Y738">
        <v>0</v>
      </c>
      <c r="Z738" t="s">
        <v>42</v>
      </c>
      <c r="AA738" t="s">
        <v>35</v>
      </c>
      <c r="AB738">
        <v>18</v>
      </c>
      <c r="AC738">
        <v>3</v>
      </c>
      <c r="AD738" t="str">
        <f t="shared" si="23"/>
        <v>Low Performance</v>
      </c>
      <c r="AE738">
        <v>2</v>
      </c>
      <c r="AF738">
        <v>80</v>
      </c>
      <c r="AG738">
        <v>1</v>
      </c>
      <c r="AH738">
        <v>4</v>
      </c>
      <c r="AI738">
        <v>2</v>
      </c>
      <c r="AJ738">
        <v>3</v>
      </c>
      <c r="AK738" t="str" cm="1">
        <f t="array" ref="AK738">_xlfn.IFS(AJ738&lt;=2,"Poor",AJ738&lt;=3,"Fair",AJ738&gt;3,"Good")</f>
        <v>Fair</v>
      </c>
      <c r="AL738">
        <v>3</v>
      </c>
      <c r="AM738">
        <v>2</v>
      </c>
      <c r="AN738">
        <v>2</v>
      </c>
      <c r="AO738">
        <v>2</v>
      </c>
    </row>
    <row r="739" spans="1:41" x14ac:dyDescent="0.2">
      <c r="A739">
        <v>1631280</v>
      </c>
      <c r="B739">
        <v>35</v>
      </c>
      <c r="C739" t="str" cm="1">
        <f t="array" ref="C739">_xlfn.IFS(B739&lt;=25,"15-25",B739&lt;=35,"26-35",B739&lt;=45,"36-45",B739&lt;=55,"46-55",B739&lt;=65,"56-65")</f>
        <v>26-35</v>
      </c>
      <c r="D739" t="s">
        <v>35</v>
      </c>
      <c r="E739" t="str">
        <f t="shared" si="22"/>
        <v>Current Employee</v>
      </c>
      <c r="F739" t="s">
        <v>36</v>
      </c>
      <c r="G739">
        <v>802</v>
      </c>
      <c r="H739" t="s">
        <v>45</v>
      </c>
      <c r="I739">
        <v>10</v>
      </c>
      <c r="J739">
        <v>3</v>
      </c>
      <c r="K739" t="s">
        <v>47</v>
      </c>
      <c r="L739">
        <v>1</v>
      </c>
      <c r="M739">
        <v>2</v>
      </c>
      <c r="N739" t="s">
        <v>46</v>
      </c>
      <c r="O739">
        <v>45</v>
      </c>
      <c r="P739">
        <v>3</v>
      </c>
      <c r="Q739">
        <v>1</v>
      </c>
      <c r="R739" t="s">
        <v>40</v>
      </c>
      <c r="S739">
        <v>4</v>
      </c>
      <c r="T739" t="str" cm="1">
        <f t="array" ref="T739">_xlfn.IFS(S739&lt;=2,"Poor",S739&lt;=3,"Fair",S739&gt;=4,"Good")</f>
        <v>Good</v>
      </c>
      <c r="U739" t="s">
        <v>50</v>
      </c>
      <c r="V739" s="1">
        <v>3917</v>
      </c>
      <c r="W739" t="str" cm="1">
        <f t="array" ref="W739">_xlfn.IFS(V739&lt;=5000,"Low Salary",V739&lt;=12000,"Good Salary",V739&gt;12000,"High Salary")</f>
        <v>Low Salary</v>
      </c>
      <c r="X739">
        <v>9541</v>
      </c>
      <c r="Y739">
        <v>1</v>
      </c>
      <c r="Z739" t="s">
        <v>42</v>
      </c>
      <c r="AA739" t="s">
        <v>35</v>
      </c>
      <c r="AB739">
        <v>20</v>
      </c>
      <c r="AC739">
        <v>4</v>
      </c>
      <c r="AD739" t="str">
        <f t="shared" si="23"/>
        <v>High Performance</v>
      </c>
      <c r="AE739">
        <v>1</v>
      </c>
      <c r="AF739">
        <v>80</v>
      </c>
      <c r="AG739">
        <v>1</v>
      </c>
      <c r="AH739">
        <v>3</v>
      </c>
      <c r="AI739">
        <v>4</v>
      </c>
      <c r="AJ739">
        <v>2</v>
      </c>
      <c r="AK739" t="str" cm="1">
        <f t="array" ref="AK739">_xlfn.IFS(AJ739&lt;=2,"Poor",AJ739&lt;=3,"Fair",AJ739&gt;3,"Good")</f>
        <v>Poor</v>
      </c>
      <c r="AL739">
        <v>3</v>
      </c>
      <c r="AM739">
        <v>2</v>
      </c>
      <c r="AN739">
        <v>1</v>
      </c>
      <c r="AO739">
        <v>2</v>
      </c>
    </row>
    <row r="740" spans="1:41" x14ac:dyDescent="0.2">
      <c r="A740">
        <v>1212094</v>
      </c>
      <c r="B740">
        <v>42</v>
      </c>
      <c r="C740" t="str" cm="1">
        <f t="array" ref="C740">_xlfn.IFS(B740&lt;=25,"15-25",B740&lt;=35,"26-35",B740&lt;=45,"36-45",B740&lt;=55,"46-55",B740&lt;=65,"56-65")</f>
        <v>36-45</v>
      </c>
      <c r="D740" t="s">
        <v>35</v>
      </c>
      <c r="E740" t="str">
        <f t="shared" si="22"/>
        <v>Current Employee</v>
      </c>
      <c r="F740" t="s">
        <v>36</v>
      </c>
      <c r="G740">
        <v>265</v>
      </c>
      <c r="H740" t="s">
        <v>37</v>
      </c>
      <c r="I740">
        <v>5</v>
      </c>
      <c r="J740">
        <v>2</v>
      </c>
      <c r="K740" t="s">
        <v>55</v>
      </c>
      <c r="L740">
        <v>1</v>
      </c>
      <c r="M740">
        <v>4</v>
      </c>
      <c r="N740" t="s">
        <v>46</v>
      </c>
      <c r="O740">
        <v>90</v>
      </c>
      <c r="P740">
        <v>3</v>
      </c>
      <c r="Q740">
        <v>5</v>
      </c>
      <c r="R740" t="s">
        <v>53</v>
      </c>
      <c r="S740">
        <v>3</v>
      </c>
      <c r="T740" t="str" cm="1">
        <f t="array" ref="T740">_xlfn.IFS(S740&lt;=2,"Poor",S740&lt;=3,"Fair",S740&gt;=4,"Good")</f>
        <v>Fair</v>
      </c>
      <c r="U740" t="s">
        <v>48</v>
      </c>
      <c r="V740" s="1">
        <v>18303</v>
      </c>
      <c r="W740" t="str" cm="1">
        <f t="array" ref="W740">_xlfn.IFS(V740&lt;=5000,"Low Salary",V740&lt;=12000,"Good Salary",V740&gt;12000,"High Salary")</f>
        <v>High Salary</v>
      </c>
      <c r="X740">
        <v>7770</v>
      </c>
      <c r="Y740">
        <v>6</v>
      </c>
      <c r="Z740" t="s">
        <v>42</v>
      </c>
      <c r="AA740" t="s">
        <v>35</v>
      </c>
      <c r="AB740">
        <v>13</v>
      </c>
      <c r="AC740">
        <v>3</v>
      </c>
      <c r="AD740" t="str">
        <f t="shared" si="23"/>
        <v>Low Performance</v>
      </c>
      <c r="AE740">
        <v>2</v>
      </c>
      <c r="AF740">
        <v>80</v>
      </c>
      <c r="AG740">
        <v>0</v>
      </c>
      <c r="AH740">
        <v>21</v>
      </c>
      <c r="AI740">
        <v>3</v>
      </c>
      <c r="AJ740">
        <v>4</v>
      </c>
      <c r="AK740" t="str" cm="1">
        <f t="array" ref="AK740">_xlfn.IFS(AJ740&lt;=2,"Poor",AJ740&lt;=3,"Fair",AJ740&gt;3,"Good")</f>
        <v>Good</v>
      </c>
      <c r="AL740">
        <v>1</v>
      </c>
      <c r="AM740">
        <v>0</v>
      </c>
      <c r="AN740">
        <v>0</v>
      </c>
      <c r="AO740">
        <v>0</v>
      </c>
    </row>
    <row r="741" spans="1:41" x14ac:dyDescent="0.2">
      <c r="A741">
        <v>1509823</v>
      </c>
      <c r="B741">
        <v>50</v>
      </c>
      <c r="C741" t="str" cm="1">
        <f t="array" ref="C741">_xlfn.IFS(B741&lt;=25,"15-25",B741&lt;=35,"26-35",B741&lt;=45,"36-45",B741&lt;=55,"46-55",B741&lt;=65,"56-65")</f>
        <v>46-55</v>
      </c>
      <c r="D741" t="s">
        <v>35</v>
      </c>
      <c r="E741" t="str">
        <f t="shared" si="22"/>
        <v>Current Employee</v>
      </c>
      <c r="F741" t="s">
        <v>36</v>
      </c>
      <c r="G741">
        <v>804</v>
      </c>
      <c r="H741" t="s">
        <v>45</v>
      </c>
      <c r="I741">
        <v>9</v>
      </c>
      <c r="J741">
        <v>3</v>
      </c>
      <c r="K741" t="s">
        <v>38</v>
      </c>
      <c r="L741">
        <v>1</v>
      </c>
      <c r="M741">
        <v>1</v>
      </c>
      <c r="N741" t="s">
        <v>46</v>
      </c>
      <c r="O741">
        <v>64</v>
      </c>
      <c r="P741">
        <v>3</v>
      </c>
      <c r="Q741">
        <v>1</v>
      </c>
      <c r="R741" t="s">
        <v>40</v>
      </c>
      <c r="S741">
        <v>4</v>
      </c>
      <c r="T741" t="str" cm="1">
        <f t="array" ref="T741">_xlfn.IFS(S741&lt;=2,"Poor",S741&lt;=3,"Fair",S741&gt;=4,"Good")</f>
        <v>Good</v>
      </c>
      <c r="U741" t="s">
        <v>48</v>
      </c>
      <c r="V741" s="1">
        <v>2380</v>
      </c>
      <c r="W741" t="str" cm="1">
        <f t="array" ref="W741">_xlfn.IFS(V741&lt;=5000,"Low Salary",V741&lt;=12000,"Good Salary",V741&gt;12000,"High Salary")</f>
        <v>Low Salary</v>
      </c>
      <c r="X741">
        <v>20165</v>
      </c>
      <c r="Y741">
        <v>4</v>
      </c>
      <c r="Z741" t="s">
        <v>42</v>
      </c>
      <c r="AA741" t="s">
        <v>35</v>
      </c>
      <c r="AB741">
        <v>18</v>
      </c>
      <c r="AC741">
        <v>3</v>
      </c>
      <c r="AD741" t="str">
        <f t="shared" si="23"/>
        <v>Low Performance</v>
      </c>
      <c r="AE741">
        <v>2</v>
      </c>
      <c r="AF741">
        <v>80</v>
      </c>
      <c r="AG741">
        <v>0</v>
      </c>
      <c r="AH741">
        <v>8</v>
      </c>
      <c r="AI741">
        <v>5</v>
      </c>
      <c r="AJ741">
        <v>3</v>
      </c>
      <c r="AK741" t="str" cm="1">
        <f t="array" ref="AK741">_xlfn.IFS(AJ741&lt;=2,"Poor",AJ741&lt;=3,"Fair",AJ741&gt;3,"Good")</f>
        <v>Fair</v>
      </c>
      <c r="AL741">
        <v>1</v>
      </c>
      <c r="AM741">
        <v>0</v>
      </c>
      <c r="AN741">
        <v>0</v>
      </c>
      <c r="AO741">
        <v>0</v>
      </c>
    </row>
    <row r="742" spans="1:41" x14ac:dyDescent="0.2">
      <c r="A742">
        <v>1297098</v>
      </c>
      <c r="B742">
        <v>59</v>
      </c>
      <c r="C742" t="str" cm="1">
        <f t="array" ref="C742">_xlfn.IFS(B742&lt;=25,"15-25",B742&lt;=35,"26-35",B742&lt;=45,"36-45",B742&lt;=55,"46-55",B742&lt;=65,"56-65")</f>
        <v>56-65</v>
      </c>
      <c r="D742" t="s">
        <v>35</v>
      </c>
      <c r="E742" t="str">
        <f t="shared" si="22"/>
        <v>Current Employee</v>
      </c>
      <c r="F742" t="s">
        <v>36</v>
      </c>
      <c r="G742">
        <v>715</v>
      </c>
      <c r="H742" t="s">
        <v>54</v>
      </c>
      <c r="I742">
        <v>2</v>
      </c>
      <c r="J742">
        <v>3</v>
      </c>
      <c r="K742" t="s">
        <v>38</v>
      </c>
      <c r="L742">
        <v>1</v>
      </c>
      <c r="M742">
        <v>3</v>
      </c>
      <c r="N742" t="s">
        <v>39</v>
      </c>
      <c r="O742">
        <v>69</v>
      </c>
      <c r="P742">
        <v>2</v>
      </c>
      <c r="Q742">
        <v>4</v>
      </c>
      <c r="R742" t="s">
        <v>51</v>
      </c>
      <c r="S742">
        <v>4</v>
      </c>
      <c r="T742" t="str" cm="1">
        <f t="array" ref="T742">_xlfn.IFS(S742&lt;=2,"Poor",S742&lt;=3,"Fair",S742&gt;=4,"Good")</f>
        <v>Good</v>
      </c>
      <c r="U742" t="s">
        <v>41</v>
      </c>
      <c r="V742" s="1">
        <v>13726</v>
      </c>
      <c r="W742" t="str" cm="1">
        <f t="array" ref="W742">_xlfn.IFS(V742&lt;=5000,"Low Salary",V742&lt;=12000,"Good Salary",V742&gt;12000,"High Salary")</f>
        <v>High Salary</v>
      </c>
      <c r="X742">
        <v>21829</v>
      </c>
      <c r="Y742">
        <v>3</v>
      </c>
      <c r="Z742" t="s">
        <v>42</v>
      </c>
      <c r="AA742" t="s">
        <v>43</v>
      </c>
      <c r="AB742">
        <v>13</v>
      </c>
      <c r="AC742">
        <v>3</v>
      </c>
      <c r="AD742" t="str">
        <f t="shared" si="23"/>
        <v>Low Performance</v>
      </c>
      <c r="AE742">
        <v>1</v>
      </c>
      <c r="AF742">
        <v>80</v>
      </c>
      <c r="AG742">
        <v>0</v>
      </c>
      <c r="AH742">
        <v>30</v>
      </c>
      <c r="AI742">
        <v>4</v>
      </c>
      <c r="AJ742">
        <v>3</v>
      </c>
      <c r="AK742" t="str" cm="1">
        <f t="array" ref="AK742">_xlfn.IFS(AJ742&lt;=2,"Poor",AJ742&lt;=3,"Fair",AJ742&gt;3,"Good")</f>
        <v>Fair</v>
      </c>
      <c r="AL742">
        <v>5</v>
      </c>
      <c r="AM742">
        <v>3</v>
      </c>
      <c r="AN742">
        <v>4</v>
      </c>
      <c r="AO742">
        <v>3</v>
      </c>
    </row>
    <row r="743" spans="1:41" x14ac:dyDescent="0.2">
      <c r="A743">
        <v>1664278</v>
      </c>
      <c r="B743">
        <v>37</v>
      </c>
      <c r="C743" t="str" cm="1">
        <f t="array" ref="C743">_xlfn.IFS(B743&lt;=25,"15-25",B743&lt;=35,"26-35",B743&lt;=45,"36-45",B743&lt;=55,"46-55",B743&lt;=65,"56-65")</f>
        <v>36-45</v>
      </c>
      <c r="D743" t="s">
        <v>43</v>
      </c>
      <c r="E743" t="str">
        <f t="shared" si="22"/>
        <v>Former Employee</v>
      </c>
      <c r="F743" t="s">
        <v>36</v>
      </c>
      <c r="G743">
        <v>1141</v>
      </c>
      <c r="H743" t="s">
        <v>45</v>
      </c>
      <c r="I743">
        <v>11</v>
      </c>
      <c r="J743">
        <v>2</v>
      </c>
      <c r="K743" t="s">
        <v>49</v>
      </c>
      <c r="L743">
        <v>1</v>
      </c>
      <c r="M743">
        <v>1</v>
      </c>
      <c r="N743" t="s">
        <v>39</v>
      </c>
      <c r="O743">
        <v>61</v>
      </c>
      <c r="P743">
        <v>1</v>
      </c>
      <c r="Q743">
        <v>2</v>
      </c>
      <c r="R743" t="s">
        <v>40</v>
      </c>
      <c r="S743">
        <v>2</v>
      </c>
      <c r="T743" t="str" cm="1">
        <f t="array" ref="T743">_xlfn.IFS(S743&lt;=2,"Poor",S743&lt;=3,"Fair",S743&gt;=4,"Good")</f>
        <v>Poor</v>
      </c>
      <c r="U743" t="s">
        <v>48</v>
      </c>
      <c r="V743" s="1">
        <v>4777</v>
      </c>
      <c r="W743" t="str" cm="1">
        <f t="array" ref="W743">_xlfn.IFS(V743&lt;=5000,"Low Salary",V743&lt;=12000,"Good Salary",V743&gt;12000,"High Salary")</f>
        <v>Low Salary</v>
      </c>
      <c r="X743">
        <v>14382</v>
      </c>
      <c r="Y743">
        <v>5</v>
      </c>
      <c r="Z743" t="s">
        <v>42</v>
      </c>
      <c r="AA743" t="s">
        <v>35</v>
      </c>
      <c r="AB743">
        <v>15</v>
      </c>
      <c r="AC743">
        <v>3</v>
      </c>
      <c r="AD743" t="str">
        <f t="shared" si="23"/>
        <v>Low Performance</v>
      </c>
      <c r="AE743">
        <v>1</v>
      </c>
      <c r="AF743">
        <v>80</v>
      </c>
      <c r="AG743">
        <v>0</v>
      </c>
      <c r="AH743">
        <v>15</v>
      </c>
      <c r="AI743">
        <v>2</v>
      </c>
      <c r="AJ743">
        <v>1</v>
      </c>
      <c r="AK743" t="str" cm="1">
        <f t="array" ref="AK743">_xlfn.IFS(AJ743&lt;=2,"Poor",AJ743&lt;=3,"Fair",AJ743&gt;3,"Good")</f>
        <v>Poor</v>
      </c>
      <c r="AL743">
        <v>1</v>
      </c>
      <c r="AM743">
        <v>0</v>
      </c>
      <c r="AN743">
        <v>0</v>
      </c>
      <c r="AO743">
        <v>0</v>
      </c>
    </row>
    <row r="744" spans="1:41" x14ac:dyDescent="0.2">
      <c r="A744">
        <v>1316661</v>
      </c>
      <c r="B744">
        <v>55</v>
      </c>
      <c r="C744" t="str" cm="1">
        <f t="array" ref="C744">_xlfn.IFS(B744&lt;=25,"15-25",B744&lt;=35,"26-35",B744&lt;=45,"36-45",B744&lt;=55,"46-55",B744&lt;=65,"56-65")</f>
        <v>46-55</v>
      </c>
      <c r="D744" t="s">
        <v>35</v>
      </c>
      <c r="E744" t="str">
        <f t="shared" si="22"/>
        <v>Current Employee</v>
      </c>
      <c r="F744" t="s">
        <v>44</v>
      </c>
      <c r="G744">
        <v>135</v>
      </c>
      <c r="H744" t="s">
        <v>45</v>
      </c>
      <c r="I744">
        <v>18</v>
      </c>
      <c r="J744">
        <v>4</v>
      </c>
      <c r="K744" t="s">
        <v>49</v>
      </c>
      <c r="L744">
        <v>1</v>
      </c>
      <c r="M744">
        <v>3</v>
      </c>
      <c r="N744" t="s">
        <v>46</v>
      </c>
      <c r="O744">
        <v>62</v>
      </c>
      <c r="P744">
        <v>3</v>
      </c>
      <c r="Q744">
        <v>2</v>
      </c>
      <c r="R744" t="s">
        <v>40</v>
      </c>
      <c r="S744">
        <v>2</v>
      </c>
      <c r="T744" t="str" cm="1">
        <f t="array" ref="T744">_xlfn.IFS(S744&lt;=2,"Poor",S744&lt;=3,"Fair",S744&gt;=4,"Good")</f>
        <v>Poor</v>
      </c>
      <c r="U744" t="s">
        <v>48</v>
      </c>
      <c r="V744" s="1">
        <v>6385</v>
      </c>
      <c r="W744" t="str" cm="1">
        <f t="array" ref="W744">_xlfn.IFS(V744&lt;=5000,"Low Salary",V744&lt;=12000,"Good Salary",V744&gt;12000,"High Salary")</f>
        <v>Good Salary</v>
      </c>
      <c r="X744">
        <v>12992</v>
      </c>
      <c r="Y744">
        <v>3</v>
      </c>
      <c r="Z744" t="s">
        <v>42</v>
      </c>
      <c r="AA744" t="s">
        <v>43</v>
      </c>
      <c r="AB744">
        <v>14</v>
      </c>
      <c r="AC744">
        <v>3</v>
      </c>
      <c r="AD744" t="str">
        <f t="shared" si="23"/>
        <v>Low Performance</v>
      </c>
      <c r="AE744">
        <v>4</v>
      </c>
      <c r="AF744">
        <v>80</v>
      </c>
      <c r="AG744">
        <v>2</v>
      </c>
      <c r="AH744">
        <v>17</v>
      </c>
      <c r="AI744">
        <v>3</v>
      </c>
      <c r="AJ744">
        <v>3</v>
      </c>
      <c r="AK744" t="str" cm="1">
        <f t="array" ref="AK744">_xlfn.IFS(AJ744&lt;=2,"Poor",AJ744&lt;=3,"Fair",AJ744&gt;3,"Good")</f>
        <v>Fair</v>
      </c>
      <c r="AL744">
        <v>8</v>
      </c>
      <c r="AM744">
        <v>7</v>
      </c>
      <c r="AN744">
        <v>6</v>
      </c>
      <c r="AO744">
        <v>7</v>
      </c>
    </row>
    <row r="745" spans="1:41" x14ac:dyDescent="0.2">
      <c r="A745">
        <v>1633200</v>
      </c>
      <c r="B745">
        <v>41</v>
      </c>
      <c r="C745" t="str" cm="1">
        <f t="array" ref="C745">_xlfn.IFS(B745&lt;=25,"15-25",B745&lt;=35,"26-35",B745&lt;=45,"36-45",B745&lt;=55,"46-55",B745&lt;=65,"56-65")</f>
        <v>36-45</v>
      </c>
      <c r="D745" t="s">
        <v>35</v>
      </c>
      <c r="E745" t="str">
        <f t="shared" si="22"/>
        <v>Current Employee</v>
      </c>
      <c r="F745" t="s">
        <v>52</v>
      </c>
      <c r="G745">
        <v>247</v>
      </c>
      <c r="H745" t="s">
        <v>45</v>
      </c>
      <c r="I745">
        <v>7</v>
      </c>
      <c r="J745">
        <v>1</v>
      </c>
      <c r="K745" t="s">
        <v>38</v>
      </c>
      <c r="L745">
        <v>1</v>
      </c>
      <c r="M745">
        <v>2</v>
      </c>
      <c r="N745" t="s">
        <v>39</v>
      </c>
      <c r="O745">
        <v>55</v>
      </c>
      <c r="P745">
        <v>1</v>
      </c>
      <c r="Q745">
        <v>5</v>
      </c>
      <c r="R745" t="s">
        <v>53</v>
      </c>
      <c r="S745">
        <v>3</v>
      </c>
      <c r="T745" t="str" cm="1">
        <f t="array" ref="T745">_xlfn.IFS(S745&lt;=2,"Poor",S745&lt;=3,"Fair",S745&gt;=4,"Good")</f>
        <v>Fair</v>
      </c>
      <c r="U745" t="s">
        <v>50</v>
      </c>
      <c r="V745" s="1">
        <v>19973</v>
      </c>
      <c r="W745" t="str" cm="1">
        <f t="array" ref="W745">_xlfn.IFS(V745&lt;=5000,"Low Salary",V745&lt;=12000,"Good Salary",V745&gt;12000,"High Salary")</f>
        <v>High Salary</v>
      </c>
      <c r="X745">
        <v>20284</v>
      </c>
      <c r="Y745">
        <v>1</v>
      </c>
      <c r="Z745" t="s">
        <v>42</v>
      </c>
      <c r="AA745" t="s">
        <v>35</v>
      </c>
      <c r="AB745">
        <v>22</v>
      </c>
      <c r="AC745">
        <v>4</v>
      </c>
      <c r="AD745" t="str">
        <f t="shared" si="23"/>
        <v>High Performance</v>
      </c>
      <c r="AE745">
        <v>2</v>
      </c>
      <c r="AF745">
        <v>80</v>
      </c>
      <c r="AG745">
        <v>2</v>
      </c>
      <c r="AH745">
        <v>21</v>
      </c>
      <c r="AI745">
        <v>3</v>
      </c>
      <c r="AJ745">
        <v>3</v>
      </c>
      <c r="AK745" t="str" cm="1">
        <f t="array" ref="AK745">_xlfn.IFS(AJ745&lt;=2,"Poor",AJ745&lt;=3,"Fair",AJ745&gt;3,"Good")</f>
        <v>Fair</v>
      </c>
      <c r="AL745">
        <v>21</v>
      </c>
      <c r="AM745">
        <v>16</v>
      </c>
      <c r="AN745">
        <v>5</v>
      </c>
      <c r="AO745">
        <v>10</v>
      </c>
    </row>
    <row r="746" spans="1:41" x14ac:dyDescent="0.2">
      <c r="A746">
        <v>1480769</v>
      </c>
      <c r="B746">
        <v>38</v>
      </c>
      <c r="C746" t="str" cm="1">
        <f t="array" ref="C746">_xlfn.IFS(B746&lt;=25,"15-25",B746&lt;=35,"26-35",B746&lt;=45,"36-45",B746&lt;=55,"46-55",B746&lt;=65,"56-65")</f>
        <v>36-45</v>
      </c>
      <c r="D746" t="s">
        <v>35</v>
      </c>
      <c r="E746" t="str">
        <f t="shared" si="22"/>
        <v>Current Employee</v>
      </c>
      <c r="F746" t="s">
        <v>36</v>
      </c>
      <c r="G746">
        <v>1035</v>
      </c>
      <c r="H746" t="s">
        <v>37</v>
      </c>
      <c r="I746">
        <v>3</v>
      </c>
      <c r="J746">
        <v>4</v>
      </c>
      <c r="K746" t="s">
        <v>38</v>
      </c>
      <c r="L746">
        <v>1</v>
      </c>
      <c r="M746">
        <v>2</v>
      </c>
      <c r="N746" t="s">
        <v>46</v>
      </c>
      <c r="O746">
        <v>42</v>
      </c>
      <c r="P746">
        <v>3</v>
      </c>
      <c r="Q746">
        <v>2</v>
      </c>
      <c r="R746" t="s">
        <v>40</v>
      </c>
      <c r="S746">
        <v>4</v>
      </c>
      <c r="T746" t="str" cm="1">
        <f t="array" ref="T746">_xlfn.IFS(S746&lt;=2,"Poor",S746&lt;=3,"Fair",S746&gt;=4,"Good")</f>
        <v>Good</v>
      </c>
      <c r="U746" t="s">
        <v>41</v>
      </c>
      <c r="V746" s="1">
        <v>6861</v>
      </c>
      <c r="W746" t="str" cm="1">
        <f t="array" ref="W746">_xlfn.IFS(V746&lt;=5000,"Low Salary",V746&lt;=12000,"Good Salary",V746&gt;12000,"High Salary")</f>
        <v>Good Salary</v>
      </c>
      <c r="X746">
        <v>4981</v>
      </c>
      <c r="Y746">
        <v>8</v>
      </c>
      <c r="Z746" t="s">
        <v>42</v>
      </c>
      <c r="AA746" t="s">
        <v>43</v>
      </c>
      <c r="AB746">
        <v>12</v>
      </c>
      <c r="AC746">
        <v>3</v>
      </c>
      <c r="AD746" t="str">
        <f t="shared" si="23"/>
        <v>Low Performance</v>
      </c>
      <c r="AE746">
        <v>3</v>
      </c>
      <c r="AF746">
        <v>80</v>
      </c>
      <c r="AG746">
        <v>0</v>
      </c>
      <c r="AH746">
        <v>19</v>
      </c>
      <c r="AI746">
        <v>1</v>
      </c>
      <c r="AJ746">
        <v>3</v>
      </c>
      <c r="AK746" t="str" cm="1">
        <f t="array" ref="AK746">_xlfn.IFS(AJ746&lt;=2,"Poor",AJ746&lt;=3,"Fair",AJ746&gt;3,"Good")</f>
        <v>Fair</v>
      </c>
      <c r="AL746">
        <v>1</v>
      </c>
      <c r="AM746">
        <v>0</v>
      </c>
      <c r="AN746">
        <v>0</v>
      </c>
      <c r="AO746">
        <v>0</v>
      </c>
    </row>
    <row r="747" spans="1:41" x14ac:dyDescent="0.2">
      <c r="A747">
        <v>1665250</v>
      </c>
      <c r="B747">
        <v>26</v>
      </c>
      <c r="C747" t="str" cm="1">
        <f t="array" ref="C747">_xlfn.IFS(B747&lt;=25,"15-25",B747&lt;=35,"26-35",B747&lt;=45,"36-45",B747&lt;=55,"46-55",B747&lt;=65,"56-65")</f>
        <v>26-35</v>
      </c>
      <c r="D747" t="s">
        <v>43</v>
      </c>
      <c r="E747" t="str">
        <f t="shared" si="22"/>
        <v>Former Employee</v>
      </c>
      <c r="F747" t="s">
        <v>52</v>
      </c>
      <c r="G747">
        <v>265</v>
      </c>
      <c r="H747" t="s">
        <v>37</v>
      </c>
      <c r="I747">
        <v>29</v>
      </c>
      <c r="J747">
        <v>2</v>
      </c>
      <c r="K747" t="s">
        <v>49</v>
      </c>
      <c r="L747">
        <v>1</v>
      </c>
      <c r="M747">
        <v>2</v>
      </c>
      <c r="N747" t="s">
        <v>46</v>
      </c>
      <c r="O747">
        <v>79</v>
      </c>
      <c r="P747">
        <v>1</v>
      </c>
      <c r="Q747">
        <v>2</v>
      </c>
      <c r="R747" t="s">
        <v>40</v>
      </c>
      <c r="S747">
        <v>1</v>
      </c>
      <c r="T747" t="str" cm="1">
        <f t="array" ref="T747">_xlfn.IFS(S747&lt;=2,"Poor",S747&lt;=3,"Fair",S747&gt;=4,"Good")</f>
        <v>Poor</v>
      </c>
      <c r="U747" t="s">
        <v>41</v>
      </c>
      <c r="V747" s="1">
        <v>4969</v>
      </c>
      <c r="W747" t="str" cm="1">
        <f t="array" ref="W747">_xlfn.IFS(V747&lt;=5000,"Low Salary",V747&lt;=12000,"Good Salary",V747&gt;12000,"High Salary")</f>
        <v>Low Salary</v>
      </c>
      <c r="X747">
        <v>21813</v>
      </c>
      <c r="Y747">
        <v>8</v>
      </c>
      <c r="Z747" t="s">
        <v>42</v>
      </c>
      <c r="AA747" t="s">
        <v>35</v>
      </c>
      <c r="AB747">
        <v>18</v>
      </c>
      <c r="AC747">
        <v>3</v>
      </c>
      <c r="AD747" t="str">
        <f t="shared" si="23"/>
        <v>Low Performance</v>
      </c>
      <c r="AE747">
        <v>4</v>
      </c>
      <c r="AF747">
        <v>80</v>
      </c>
      <c r="AG747">
        <v>0</v>
      </c>
      <c r="AH747">
        <v>7</v>
      </c>
      <c r="AI747">
        <v>6</v>
      </c>
      <c r="AJ747">
        <v>3</v>
      </c>
      <c r="AK747" t="str" cm="1">
        <f t="array" ref="AK747">_xlfn.IFS(AJ747&lt;=2,"Poor",AJ747&lt;=3,"Fair",AJ747&gt;3,"Good")</f>
        <v>Fair</v>
      </c>
      <c r="AL747">
        <v>2</v>
      </c>
      <c r="AM747">
        <v>2</v>
      </c>
      <c r="AN747">
        <v>2</v>
      </c>
      <c r="AO747">
        <v>2</v>
      </c>
    </row>
    <row r="748" spans="1:41" x14ac:dyDescent="0.2">
      <c r="A748">
        <v>1476575</v>
      </c>
      <c r="B748">
        <v>52</v>
      </c>
      <c r="C748" t="str" cm="1">
        <f t="array" ref="C748">_xlfn.IFS(B748&lt;=25,"15-25",B748&lt;=35,"26-35",B748&lt;=45,"36-45",B748&lt;=55,"46-55",B748&lt;=65,"56-65")</f>
        <v>46-55</v>
      </c>
      <c r="D748" t="s">
        <v>35</v>
      </c>
      <c r="E748" t="str">
        <f t="shared" si="22"/>
        <v>Current Employee</v>
      </c>
      <c r="F748" t="s">
        <v>36</v>
      </c>
      <c r="G748">
        <v>266</v>
      </c>
      <c r="H748" t="s">
        <v>37</v>
      </c>
      <c r="I748">
        <v>2</v>
      </c>
      <c r="J748">
        <v>1</v>
      </c>
      <c r="K748" t="s">
        <v>55</v>
      </c>
      <c r="L748">
        <v>1</v>
      </c>
      <c r="M748">
        <v>1</v>
      </c>
      <c r="N748" t="s">
        <v>39</v>
      </c>
      <c r="O748">
        <v>57</v>
      </c>
      <c r="P748">
        <v>1</v>
      </c>
      <c r="Q748">
        <v>5</v>
      </c>
      <c r="R748" t="s">
        <v>53</v>
      </c>
      <c r="S748">
        <v>4</v>
      </c>
      <c r="T748" t="str" cm="1">
        <f t="array" ref="T748">_xlfn.IFS(S748&lt;=2,"Poor",S748&lt;=3,"Fair",S748&gt;=4,"Good")</f>
        <v>Good</v>
      </c>
      <c r="U748" t="s">
        <v>48</v>
      </c>
      <c r="V748" s="1">
        <v>19845</v>
      </c>
      <c r="W748" t="str" cm="1">
        <f t="array" ref="W748">_xlfn.IFS(V748&lt;=5000,"Low Salary",V748&lt;=12000,"Good Salary",V748&gt;12000,"High Salary")</f>
        <v>High Salary</v>
      </c>
      <c r="X748">
        <v>25846</v>
      </c>
      <c r="Y748">
        <v>1</v>
      </c>
      <c r="Z748" t="s">
        <v>42</v>
      </c>
      <c r="AA748" t="s">
        <v>35</v>
      </c>
      <c r="AB748">
        <v>15</v>
      </c>
      <c r="AC748">
        <v>3</v>
      </c>
      <c r="AD748" t="str">
        <f t="shared" si="23"/>
        <v>Low Performance</v>
      </c>
      <c r="AE748">
        <v>4</v>
      </c>
      <c r="AF748">
        <v>80</v>
      </c>
      <c r="AG748">
        <v>1</v>
      </c>
      <c r="AH748">
        <v>33</v>
      </c>
      <c r="AI748">
        <v>3</v>
      </c>
      <c r="AJ748">
        <v>3</v>
      </c>
      <c r="AK748" t="str" cm="1">
        <f t="array" ref="AK748">_xlfn.IFS(AJ748&lt;=2,"Poor",AJ748&lt;=3,"Fair",AJ748&gt;3,"Good")</f>
        <v>Fair</v>
      </c>
      <c r="AL748">
        <v>32</v>
      </c>
      <c r="AM748">
        <v>14</v>
      </c>
      <c r="AN748">
        <v>6</v>
      </c>
      <c r="AO748">
        <v>9</v>
      </c>
    </row>
    <row r="749" spans="1:41" x14ac:dyDescent="0.2">
      <c r="A749">
        <v>1580401</v>
      </c>
      <c r="B749">
        <v>44</v>
      </c>
      <c r="C749" t="str" cm="1">
        <f t="array" ref="C749">_xlfn.IFS(B749&lt;=25,"15-25",B749&lt;=35,"26-35",B749&lt;=45,"36-45",B749&lt;=55,"46-55",B749&lt;=65,"56-65")</f>
        <v>36-45</v>
      </c>
      <c r="D749" t="s">
        <v>35</v>
      </c>
      <c r="E749" t="str">
        <f t="shared" si="22"/>
        <v>Current Employee</v>
      </c>
      <c r="F749" t="s">
        <v>36</v>
      </c>
      <c r="G749">
        <v>1448</v>
      </c>
      <c r="H749" t="s">
        <v>37</v>
      </c>
      <c r="I749">
        <v>28</v>
      </c>
      <c r="J749">
        <v>3</v>
      </c>
      <c r="K749" t="s">
        <v>49</v>
      </c>
      <c r="L749">
        <v>1</v>
      </c>
      <c r="M749">
        <v>4</v>
      </c>
      <c r="N749" t="s">
        <v>39</v>
      </c>
      <c r="O749">
        <v>53</v>
      </c>
      <c r="P749">
        <v>4</v>
      </c>
      <c r="Q749">
        <v>4</v>
      </c>
      <c r="R749" t="s">
        <v>40</v>
      </c>
      <c r="S749">
        <v>4</v>
      </c>
      <c r="T749" t="str" cm="1">
        <f t="array" ref="T749">_xlfn.IFS(S749&lt;=2,"Poor",S749&lt;=3,"Fair",S749&gt;=4,"Good")</f>
        <v>Good</v>
      </c>
      <c r="U749" t="s">
        <v>48</v>
      </c>
      <c r="V749" s="1">
        <v>13320</v>
      </c>
      <c r="W749" t="str" cm="1">
        <f t="array" ref="W749">_xlfn.IFS(V749&lt;=5000,"Low Salary",V749&lt;=12000,"Good Salary",V749&gt;12000,"High Salary")</f>
        <v>High Salary</v>
      </c>
      <c r="X749">
        <v>11737</v>
      </c>
      <c r="Y749">
        <v>3</v>
      </c>
      <c r="Z749" t="s">
        <v>42</v>
      </c>
      <c r="AA749" t="s">
        <v>43</v>
      </c>
      <c r="AB749">
        <v>18</v>
      </c>
      <c r="AC749">
        <v>3</v>
      </c>
      <c r="AD749" t="str">
        <f t="shared" si="23"/>
        <v>Low Performance</v>
      </c>
      <c r="AE749">
        <v>3</v>
      </c>
      <c r="AF749">
        <v>80</v>
      </c>
      <c r="AG749">
        <v>1</v>
      </c>
      <c r="AH749">
        <v>23</v>
      </c>
      <c r="AI749">
        <v>2</v>
      </c>
      <c r="AJ749">
        <v>3</v>
      </c>
      <c r="AK749" t="str" cm="1">
        <f t="array" ref="AK749">_xlfn.IFS(AJ749&lt;=2,"Poor",AJ749&lt;=3,"Fair",AJ749&gt;3,"Good")</f>
        <v>Fair</v>
      </c>
      <c r="AL749">
        <v>12</v>
      </c>
      <c r="AM749">
        <v>11</v>
      </c>
      <c r="AN749">
        <v>11</v>
      </c>
      <c r="AO749">
        <v>11</v>
      </c>
    </row>
    <row r="750" spans="1:41" x14ac:dyDescent="0.2">
      <c r="A750">
        <v>1735028</v>
      </c>
      <c r="B750">
        <v>50</v>
      </c>
      <c r="C750" t="str" cm="1">
        <f t="array" ref="C750">_xlfn.IFS(B750&lt;=25,"15-25",B750&lt;=35,"26-35",B750&lt;=45,"36-45",B750&lt;=55,"46-55",B750&lt;=65,"56-65")</f>
        <v>46-55</v>
      </c>
      <c r="D750" t="s">
        <v>35</v>
      </c>
      <c r="E750" t="str">
        <f t="shared" si="22"/>
        <v>Current Employee</v>
      </c>
      <c r="F750" t="s">
        <v>52</v>
      </c>
      <c r="G750">
        <v>145</v>
      </c>
      <c r="H750" t="s">
        <v>37</v>
      </c>
      <c r="I750">
        <v>1</v>
      </c>
      <c r="J750">
        <v>3</v>
      </c>
      <c r="K750" t="s">
        <v>38</v>
      </c>
      <c r="L750">
        <v>1</v>
      </c>
      <c r="M750">
        <v>4</v>
      </c>
      <c r="N750" t="s">
        <v>39</v>
      </c>
      <c r="O750">
        <v>95</v>
      </c>
      <c r="P750">
        <v>3</v>
      </c>
      <c r="Q750">
        <v>2</v>
      </c>
      <c r="R750" t="s">
        <v>40</v>
      </c>
      <c r="S750">
        <v>3</v>
      </c>
      <c r="T750" t="str" cm="1">
        <f t="array" ref="T750">_xlfn.IFS(S750&lt;=2,"Poor",S750&lt;=3,"Fair",S750&gt;=4,"Good")</f>
        <v>Fair</v>
      </c>
      <c r="U750" t="s">
        <v>48</v>
      </c>
      <c r="V750" s="1">
        <v>6347</v>
      </c>
      <c r="W750" t="str" cm="1">
        <f t="array" ref="W750">_xlfn.IFS(V750&lt;=5000,"Low Salary",V750&lt;=12000,"Good Salary",V750&gt;12000,"High Salary")</f>
        <v>Good Salary</v>
      </c>
      <c r="X750">
        <v>24920</v>
      </c>
      <c r="Y750">
        <v>0</v>
      </c>
      <c r="Z750" t="s">
        <v>42</v>
      </c>
      <c r="AA750" t="s">
        <v>35</v>
      </c>
      <c r="AB750">
        <v>12</v>
      </c>
      <c r="AC750">
        <v>3</v>
      </c>
      <c r="AD750" t="str">
        <f t="shared" si="23"/>
        <v>Low Performance</v>
      </c>
      <c r="AE750">
        <v>1</v>
      </c>
      <c r="AF750">
        <v>80</v>
      </c>
      <c r="AG750">
        <v>1</v>
      </c>
      <c r="AH750">
        <v>19</v>
      </c>
      <c r="AI750">
        <v>3</v>
      </c>
      <c r="AJ750">
        <v>3</v>
      </c>
      <c r="AK750" t="str" cm="1">
        <f t="array" ref="AK750">_xlfn.IFS(AJ750&lt;=2,"Poor",AJ750&lt;=3,"Fair",AJ750&gt;3,"Good")</f>
        <v>Fair</v>
      </c>
      <c r="AL750">
        <v>18</v>
      </c>
      <c r="AM750">
        <v>7</v>
      </c>
      <c r="AN750">
        <v>0</v>
      </c>
      <c r="AO750">
        <v>13</v>
      </c>
    </row>
    <row r="751" spans="1:41" x14ac:dyDescent="0.2">
      <c r="A751">
        <v>1330619</v>
      </c>
      <c r="B751">
        <v>36</v>
      </c>
      <c r="C751" t="str" cm="1">
        <f t="array" ref="C751">_xlfn.IFS(B751&lt;=25,"15-25",B751&lt;=35,"26-35",B751&lt;=45,"36-45",B751&lt;=55,"46-55",B751&lt;=65,"56-65")</f>
        <v>36-45</v>
      </c>
      <c r="D751" t="s">
        <v>35</v>
      </c>
      <c r="E751" t="str">
        <f t="shared" si="22"/>
        <v>Current Employee</v>
      </c>
      <c r="F751" t="s">
        <v>36</v>
      </c>
      <c r="G751">
        <v>885</v>
      </c>
      <c r="H751" t="s">
        <v>45</v>
      </c>
      <c r="I751">
        <v>16</v>
      </c>
      <c r="J751">
        <v>4</v>
      </c>
      <c r="K751" t="s">
        <v>38</v>
      </c>
      <c r="L751">
        <v>1</v>
      </c>
      <c r="M751">
        <v>3</v>
      </c>
      <c r="N751" t="s">
        <v>39</v>
      </c>
      <c r="O751">
        <v>43</v>
      </c>
      <c r="P751">
        <v>4</v>
      </c>
      <c r="Q751">
        <v>1</v>
      </c>
      <c r="R751" t="s">
        <v>40</v>
      </c>
      <c r="S751">
        <v>1</v>
      </c>
      <c r="T751" t="str" cm="1">
        <f t="array" ref="T751">_xlfn.IFS(S751&lt;=2,"Poor",S751&lt;=3,"Fair",S751&gt;=4,"Good")</f>
        <v>Poor</v>
      </c>
      <c r="U751" t="s">
        <v>41</v>
      </c>
      <c r="V751" s="1">
        <v>2743</v>
      </c>
      <c r="W751" t="str" cm="1">
        <f t="array" ref="W751">_xlfn.IFS(V751&lt;=5000,"Low Salary",V751&lt;=12000,"Good Salary",V751&gt;12000,"High Salary")</f>
        <v>Low Salary</v>
      </c>
      <c r="X751">
        <v>8269</v>
      </c>
      <c r="Y751">
        <v>1</v>
      </c>
      <c r="Z751" t="s">
        <v>42</v>
      </c>
      <c r="AA751" t="s">
        <v>35</v>
      </c>
      <c r="AB751">
        <v>16</v>
      </c>
      <c r="AC751">
        <v>3</v>
      </c>
      <c r="AD751" t="str">
        <f t="shared" si="23"/>
        <v>Low Performance</v>
      </c>
      <c r="AE751">
        <v>3</v>
      </c>
      <c r="AF751">
        <v>80</v>
      </c>
      <c r="AG751">
        <v>0</v>
      </c>
      <c r="AH751">
        <v>18</v>
      </c>
      <c r="AI751">
        <v>1</v>
      </c>
      <c r="AJ751">
        <v>3</v>
      </c>
      <c r="AK751" t="str" cm="1">
        <f t="array" ref="AK751">_xlfn.IFS(AJ751&lt;=2,"Poor",AJ751&lt;=3,"Fair",AJ751&gt;3,"Good")</f>
        <v>Fair</v>
      </c>
      <c r="AL751">
        <v>17</v>
      </c>
      <c r="AM751">
        <v>13</v>
      </c>
      <c r="AN751">
        <v>15</v>
      </c>
      <c r="AO751">
        <v>14</v>
      </c>
    </row>
    <row r="752" spans="1:41" x14ac:dyDescent="0.2">
      <c r="A752">
        <v>1142212</v>
      </c>
      <c r="B752">
        <v>39</v>
      </c>
      <c r="C752" t="str" cm="1">
        <f t="array" ref="C752">_xlfn.IFS(B752&lt;=25,"15-25",B752&lt;=35,"26-35",B752&lt;=45,"36-45",B752&lt;=55,"46-55",B752&lt;=65,"56-65")</f>
        <v>36-45</v>
      </c>
      <c r="D752" t="s">
        <v>35</v>
      </c>
      <c r="E752" t="str">
        <f t="shared" si="22"/>
        <v>Current Employee</v>
      </c>
      <c r="F752" t="s">
        <v>44</v>
      </c>
      <c r="G752">
        <v>945</v>
      </c>
      <c r="H752" t="s">
        <v>45</v>
      </c>
      <c r="I752">
        <v>22</v>
      </c>
      <c r="J752">
        <v>3</v>
      </c>
      <c r="K752" t="s">
        <v>49</v>
      </c>
      <c r="L752">
        <v>1</v>
      </c>
      <c r="M752">
        <v>4</v>
      </c>
      <c r="N752" t="s">
        <v>39</v>
      </c>
      <c r="O752">
        <v>82</v>
      </c>
      <c r="P752">
        <v>3</v>
      </c>
      <c r="Q752">
        <v>3</v>
      </c>
      <c r="R752" t="s">
        <v>51</v>
      </c>
      <c r="S752">
        <v>1</v>
      </c>
      <c r="T752" t="str" cm="1">
        <f t="array" ref="T752">_xlfn.IFS(S752&lt;=2,"Poor",S752&lt;=3,"Fair",S752&gt;=4,"Good")</f>
        <v>Poor</v>
      </c>
      <c r="U752" t="s">
        <v>41</v>
      </c>
      <c r="V752" s="1">
        <v>10880</v>
      </c>
      <c r="W752" t="str" cm="1">
        <f t="array" ref="W752">_xlfn.IFS(V752&lt;=5000,"Low Salary",V752&lt;=12000,"Good Salary",V752&gt;12000,"High Salary")</f>
        <v>Good Salary</v>
      </c>
      <c r="X752">
        <v>5083</v>
      </c>
      <c r="Y752">
        <v>1</v>
      </c>
      <c r="Z752" t="s">
        <v>42</v>
      </c>
      <c r="AA752" t="s">
        <v>43</v>
      </c>
      <c r="AB752">
        <v>13</v>
      </c>
      <c r="AC752">
        <v>3</v>
      </c>
      <c r="AD752" t="str">
        <f t="shared" si="23"/>
        <v>Low Performance</v>
      </c>
      <c r="AE752">
        <v>3</v>
      </c>
      <c r="AF752">
        <v>80</v>
      </c>
      <c r="AG752">
        <v>0</v>
      </c>
      <c r="AH752">
        <v>21</v>
      </c>
      <c r="AI752">
        <v>2</v>
      </c>
      <c r="AJ752">
        <v>3</v>
      </c>
      <c r="AK752" t="str" cm="1">
        <f t="array" ref="AK752">_xlfn.IFS(AJ752&lt;=2,"Poor",AJ752&lt;=3,"Fair",AJ752&gt;3,"Good")</f>
        <v>Fair</v>
      </c>
      <c r="AL752">
        <v>21</v>
      </c>
      <c r="AM752">
        <v>6</v>
      </c>
      <c r="AN752">
        <v>2</v>
      </c>
      <c r="AO752">
        <v>8</v>
      </c>
    </row>
    <row r="753" spans="1:41" x14ac:dyDescent="0.2">
      <c r="A753">
        <v>1239925</v>
      </c>
      <c r="B753">
        <v>33</v>
      </c>
      <c r="C753" t="str" cm="1">
        <f t="array" ref="C753">_xlfn.IFS(B753&lt;=25,"15-25",B753&lt;=35,"26-35",B753&lt;=45,"36-45",B753&lt;=55,"46-55",B753&lt;=65,"56-65")</f>
        <v>26-35</v>
      </c>
      <c r="D753" t="s">
        <v>35</v>
      </c>
      <c r="E753" t="str">
        <f t="shared" si="22"/>
        <v>Current Employee</v>
      </c>
      <c r="F753" t="s">
        <v>52</v>
      </c>
      <c r="G753">
        <v>1038</v>
      </c>
      <c r="H753" t="s">
        <v>37</v>
      </c>
      <c r="I753">
        <v>8</v>
      </c>
      <c r="J753">
        <v>1</v>
      </c>
      <c r="K753" t="s">
        <v>38</v>
      </c>
      <c r="L753">
        <v>1</v>
      </c>
      <c r="M753">
        <v>2</v>
      </c>
      <c r="N753" t="s">
        <v>39</v>
      </c>
      <c r="O753">
        <v>88</v>
      </c>
      <c r="P753">
        <v>2</v>
      </c>
      <c r="Q753">
        <v>1</v>
      </c>
      <c r="R753" t="s">
        <v>47</v>
      </c>
      <c r="S753">
        <v>4</v>
      </c>
      <c r="T753" t="str" cm="1">
        <f t="array" ref="T753">_xlfn.IFS(S753&lt;=2,"Poor",S753&lt;=3,"Fair",S753&gt;=4,"Good")</f>
        <v>Good</v>
      </c>
      <c r="U753" t="s">
        <v>41</v>
      </c>
      <c r="V753" s="1">
        <v>2342</v>
      </c>
      <c r="W753" t="str" cm="1">
        <f t="array" ref="W753">_xlfn.IFS(V753&lt;=5000,"Low Salary",V753&lt;=12000,"Good Salary",V753&gt;12000,"High Salary")</f>
        <v>Low Salary</v>
      </c>
      <c r="X753">
        <v>21437</v>
      </c>
      <c r="Y753">
        <v>0</v>
      </c>
      <c r="Z753" t="s">
        <v>42</v>
      </c>
      <c r="AA753" t="s">
        <v>35</v>
      </c>
      <c r="AB753">
        <v>19</v>
      </c>
      <c r="AC753">
        <v>3</v>
      </c>
      <c r="AD753" t="str">
        <f t="shared" si="23"/>
        <v>Low Performance</v>
      </c>
      <c r="AE753">
        <v>4</v>
      </c>
      <c r="AF753">
        <v>80</v>
      </c>
      <c r="AG753">
        <v>0</v>
      </c>
      <c r="AH753">
        <v>3</v>
      </c>
      <c r="AI753">
        <v>2</v>
      </c>
      <c r="AJ753">
        <v>2</v>
      </c>
      <c r="AK753" t="str" cm="1">
        <f t="array" ref="AK753">_xlfn.IFS(AJ753&lt;=2,"Poor",AJ753&lt;=3,"Fair",AJ753&gt;3,"Good")</f>
        <v>Poor</v>
      </c>
      <c r="AL753">
        <v>2</v>
      </c>
      <c r="AM753">
        <v>2</v>
      </c>
      <c r="AN753">
        <v>2</v>
      </c>
      <c r="AO753">
        <v>2</v>
      </c>
    </row>
    <row r="754" spans="1:41" x14ac:dyDescent="0.2">
      <c r="A754">
        <v>1477537</v>
      </c>
      <c r="B754">
        <v>45</v>
      </c>
      <c r="C754" t="str" cm="1">
        <f t="array" ref="C754">_xlfn.IFS(B754&lt;=25,"15-25",B754&lt;=35,"26-35",B754&lt;=45,"36-45",B754&lt;=55,"46-55",B754&lt;=65,"56-65")</f>
        <v>36-45</v>
      </c>
      <c r="D754" t="s">
        <v>35</v>
      </c>
      <c r="E754" t="str">
        <f t="shared" si="22"/>
        <v>Current Employee</v>
      </c>
      <c r="F754" t="s">
        <v>36</v>
      </c>
      <c r="G754">
        <v>1234</v>
      </c>
      <c r="H754" t="s">
        <v>37</v>
      </c>
      <c r="I754">
        <v>11</v>
      </c>
      <c r="J754">
        <v>2</v>
      </c>
      <c r="K754" t="s">
        <v>38</v>
      </c>
      <c r="L754">
        <v>1</v>
      </c>
      <c r="M754">
        <v>4</v>
      </c>
      <c r="N754" t="s">
        <v>39</v>
      </c>
      <c r="O754">
        <v>90</v>
      </c>
      <c r="P754">
        <v>3</v>
      </c>
      <c r="Q754">
        <v>4</v>
      </c>
      <c r="R754" t="s">
        <v>53</v>
      </c>
      <c r="S754">
        <v>4</v>
      </c>
      <c r="T754" t="str" cm="1">
        <f t="array" ref="T754">_xlfn.IFS(S754&lt;=2,"Poor",S754&lt;=3,"Fair",S754&gt;=4,"Good")</f>
        <v>Good</v>
      </c>
      <c r="U754" t="s">
        <v>48</v>
      </c>
      <c r="V754" s="1">
        <v>17650</v>
      </c>
      <c r="W754" t="str" cm="1">
        <f t="array" ref="W754">_xlfn.IFS(V754&lt;=5000,"Low Salary",V754&lt;=12000,"Good Salary",V754&gt;12000,"High Salary")</f>
        <v>High Salary</v>
      </c>
      <c r="X754">
        <v>5404</v>
      </c>
      <c r="Y754">
        <v>3</v>
      </c>
      <c r="Z754" t="s">
        <v>42</v>
      </c>
      <c r="AA754" t="s">
        <v>35</v>
      </c>
      <c r="AB754">
        <v>13</v>
      </c>
      <c r="AC754">
        <v>3</v>
      </c>
      <c r="AD754" t="str">
        <f t="shared" si="23"/>
        <v>Low Performance</v>
      </c>
      <c r="AE754">
        <v>2</v>
      </c>
      <c r="AF754">
        <v>80</v>
      </c>
      <c r="AG754">
        <v>1</v>
      </c>
      <c r="AH754">
        <v>26</v>
      </c>
      <c r="AI754">
        <v>4</v>
      </c>
      <c r="AJ754">
        <v>4</v>
      </c>
      <c r="AK754" t="str" cm="1">
        <f t="array" ref="AK754">_xlfn.IFS(AJ754&lt;=2,"Poor",AJ754&lt;=3,"Fair",AJ754&gt;3,"Good")</f>
        <v>Good</v>
      </c>
      <c r="AL754">
        <v>9</v>
      </c>
      <c r="AM754">
        <v>3</v>
      </c>
      <c r="AN754">
        <v>1</v>
      </c>
      <c r="AO754">
        <v>1</v>
      </c>
    </row>
    <row r="755" spans="1:41" x14ac:dyDescent="0.2">
      <c r="A755">
        <v>1404854</v>
      </c>
      <c r="B755">
        <v>32</v>
      </c>
      <c r="C755" t="str" cm="1">
        <f t="array" ref="C755">_xlfn.IFS(B755&lt;=25,"15-25",B755&lt;=35,"26-35",B755&lt;=45,"36-45",B755&lt;=55,"46-55",B755&lt;=65,"56-65")</f>
        <v>26-35</v>
      </c>
      <c r="D755" t="s">
        <v>35</v>
      </c>
      <c r="E755" t="str">
        <f t="shared" si="22"/>
        <v>Current Employee</v>
      </c>
      <c r="F755" t="s">
        <v>52</v>
      </c>
      <c r="G755">
        <v>1109</v>
      </c>
      <c r="H755" t="s">
        <v>45</v>
      </c>
      <c r="I755">
        <v>29</v>
      </c>
      <c r="J755">
        <v>4</v>
      </c>
      <c r="K755" t="s">
        <v>49</v>
      </c>
      <c r="L755">
        <v>1</v>
      </c>
      <c r="M755">
        <v>4</v>
      </c>
      <c r="N755" t="s">
        <v>39</v>
      </c>
      <c r="O755">
        <v>69</v>
      </c>
      <c r="P755">
        <v>3</v>
      </c>
      <c r="Q755">
        <v>1</v>
      </c>
      <c r="R755" t="s">
        <v>40</v>
      </c>
      <c r="S755">
        <v>3</v>
      </c>
      <c r="T755" t="str" cm="1">
        <f t="array" ref="T755">_xlfn.IFS(S755&lt;=2,"Poor",S755&lt;=3,"Fair",S755&gt;=4,"Good")</f>
        <v>Fair</v>
      </c>
      <c r="U755" t="s">
        <v>41</v>
      </c>
      <c r="V755" s="1">
        <v>4025</v>
      </c>
      <c r="W755" t="str" cm="1">
        <f t="array" ref="W755">_xlfn.IFS(V755&lt;=5000,"Low Salary",V755&lt;=12000,"Good Salary",V755&gt;12000,"High Salary")</f>
        <v>Low Salary</v>
      </c>
      <c r="X755">
        <v>11135</v>
      </c>
      <c r="Y755">
        <v>9</v>
      </c>
      <c r="Z755" t="s">
        <v>42</v>
      </c>
      <c r="AA755" t="s">
        <v>35</v>
      </c>
      <c r="AB755">
        <v>12</v>
      </c>
      <c r="AC755">
        <v>3</v>
      </c>
      <c r="AD755" t="str">
        <f t="shared" si="23"/>
        <v>Low Performance</v>
      </c>
      <c r="AE755">
        <v>2</v>
      </c>
      <c r="AF755">
        <v>80</v>
      </c>
      <c r="AG755">
        <v>0</v>
      </c>
      <c r="AH755">
        <v>10</v>
      </c>
      <c r="AI755">
        <v>2</v>
      </c>
      <c r="AJ755">
        <v>3</v>
      </c>
      <c r="AK755" t="str" cm="1">
        <f t="array" ref="AK755">_xlfn.IFS(AJ755&lt;=2,"Poor",AJ755&lt;=3,"Fair",AJ755&gt;3,"Good")</f>
        <v>Fair</v>
      </c>
      <c r="AL755">
        <v>8</v>
      </c>
      <c r="AM755">
        <v>7</v>
      </c>
      <c r="AN755">
        <v>7</v>
      </c>
      <c r="AO755">
        <v>7</v>
      </c>
    </row>
    <row r="756" spans="1:41" x14ac:dyDescent="0.2">
      <c r="A756">
        <v>1401928</v>
      </c>
      <c r="B756">
        <v>34</v>
      </c>
      <c r="C756" t="str" cm="1">
        <f t="array" ref="C756">_xlfn.IFS(B756&lt;=25,"15-25",B756&lt;=35,"26-35",B756&lt;=45,"36-45",B756&lt;=55,"46-55",B756&lt;=65,"56-65")</f>
        <v>26-35</v>
      </c>
      <c r="D756" t="s">
        <v>35</v>
      </c>
      <c r="E756" t="str">
        <f t="shared" si="22"/>
        <v>Current Employee</v>
      </c>
      <c r="F756" t="s">
        <v>36</v>
      </c>
      <c r="G756">
        <v>216</v>
      </c>
      <c r="H756" t="s">
        <v>37</v>
      </c>
      <c r="I756">
        <v>1</v>
      </c>
      <c r="J756">
        <v>4</v>
      </c>
      <c r="K756" t="s">
        <v>55</v>
      </c>
      <c r="L756">
        <v>1</v>
      </c>
      <c r="M756">
        <v>2</v>
      </c>
      <c r="N756" t="s">
        <v>46</v>
      </c>
      <c r="O756">
        <v>75</v>
      </c>
      <c r="P756">
        <v>4</v>
      </c>
      <c r="Q756">
        <v>2</v>
      </c>
      <c r="R756" t="s">
        <v>40</v>
      </c>
      <c r="S756">
        <v>4</v>
      </c>
      <c r="T756" t="str" cm="1">
        <f t="array" ref="T756">_xlfn.IFS(S756&lt;=2,"Poor",S756&lt;=3,"Fair",S756&gt;=4,"Good")</f>
        <v>Good</v>
      </c>
      <c r="U756" t="s">
        <v>50</v>
      </c>
      <c r="V756" s="1">
        <v>9725</v>
      </c>
      <c r="W756" t="str" cm="1">
        <f t="array" ref="W756">_xlfn.IFS(V756&lt;=5000,"Low Salary",V756&lt;=12000,"Good Salary",V756&gt;12000,"High Salary")</f>
        <v>Good Salary</v>
      </c>
      <c r="X756">
        <v>12278</v>
      </c>
      <c r="Y756">
        <v>0</v>
      </c>
      <c r="Z756" t="s">
        <v>42</v>
      </c>
      <c r="AA756" t="s">
        <v>35</v>
      </c>
      <c r="AB756">
        <v>11</v>
      </c>
      <c r="AC756">
        <v>3</v>
      </c>
      <c r="AD756" t="str">
        <f t="shared" si="23"/>
        <v>Low Performance</v>
      </c>
      <c r="AE756">
        <v>4</v>
      </c>
      <c r="AF756">
        <v>80</v>
      </c>
      <c r="AG756">
        <v>1</v>
      </c>
      <c r="AH756">
        <v>16</v>
      </c>
      <c r="AI756">
        <v>2</v>
      </c>
      <c r="AJ756">
        <v>2</v>
      </c>
      <c r="AK756" t="str" cm="1">
        <f t="array" ref="AK756">_xlfn.IFS(AJ756&lt;=2,"Poor",AJ756&lt;=3,"Fair",AJ756&gt;3,"Good")</f>
        <v>Poor</v>
      </c>
      <c r="AL756">
        <v>15</v>
      </c>
      <c r="AM756">
        <v>1</v>
      </c>
      <c r="AN756">
        <v>0</v>
      </c>
      <c r="AO756">
        <v>9</v>
      </c>
    </row>
    <row r="757" spans="1:41" x14ac:dyDescent="0.2">
      <c r="A757">
        <v>1041678</v>
      </c>
      <c r="B757">
        <v>59</v>
      </c>
      <c r="C757" t="str" cm="1">
        <f t="array" ref="C757">_xlfn.IFS(B757&lt;=25,"15-25",B757&lt;=35,"26-35",B757&lt;=45,"36-45",B757&lt;=55,"46-55",B757&lt;=65,"56-65")</f>
        <v>56-65</v>
      </c>
      <c r="D757" t="s">
        <v>35</v>
      </c>
      <c r="E757" t="str">
        <f t="shared" si="22"/>
        <v>Current Employee</v>
      </c>
      <c r="F757" t="s">
        <v>36</v>
      </c>
      <c r="G757">
        <v>1089</v>
      </c>
      <c r="H757" t="s">
        <v>37</v>
      </c>
      <c r="I757">
        <v>1</v>
      </c>
      <c r="J757">
        <v>2</v>
      </c>
      <c r="K757" t="s">
        <v>56</v>
      </c>
      <c r="L757">
        <v>1</v>
      </c>
      <c r="M757">
        <v>2</v>
      </c>
      <c r="N757" t="s">
        <v>46</v>
      </c>
      <c r="O757">
        <v>66</v>
      </c>
      <c r="P757">
        <v>3</v>
      </c>
      <c r="Q757">
        <v>3</v>
      </c>
      <c r="R757" t="s">
        <v>53</v>
      </c>
      <c r="S757">
        <v>4</v>
      </c>
      <c r="T757" t="str" cm="1">
        <f t="array" ref="T757">_xlfn.IFS(S757&lt;=2,"Poor",S757&lt;=3,"Fair",S757&gt;=4,"Good")</f>
        <v>Good</v>
      </c>
      <c r="U757" t="s">
        <v>48</v>
      </c>
      <c r="V757" s="1">
        <v>11904</v>
      </c>
      <c r="W757" t="str" cm="1">
        <f t="array" ref="W757">_xlfn.IFS(V757&lt;=5000,"Low Salary",V757&lt;=12000,"Good Salary",V757&gt;12000,"High Salary")</f>
        <v>Good Salary</v>
      </c>
      <c r="X757">
        <v>11038</v>
      </c>
      <c r="Y757">
        <v>3</v>
      </c>
      <c r="Z757" t="s">
        <v>42</v>
      </c>
      <c r="AA757" t="s">
        <v>43</v>
      </c>
      <c r="AB757">
        <v>14</v>
      </c>
      <c r="AC757">
        <v>3</v>
      </c>
      <c r="AD757" t="str">
        <f t="shared" si="23"/>
        <v>Low Performance</v>
      </c>
      <c r="AE757">
        <v>3</v>
      </c>
      <c r="AF757">
        <v>80</v>
      </c>
      <c r="AG757">
        <v>1</v>
      </c>
      <c r="AH757">
        <v>14</v>
      </c>
      <c r="AI757">
        <v>1</v>
      </c>
      <c r="AJ757">
        <v>1</v>
      </c>
      <c r="AK757" t="str" cm="1">
        <f t="array" ref="AK757">_xlfn.IFS(AJ757&lt;=2,"Poor",AJ757&lt;=3,"Fair",AJ757&gt;3,"Good")</f>
        <v>Poor</v>
      </c>
      <c r="AL757">
        <v>6</v>
      </c>
      <c r="AM757">
        <v>4</v>
      </c>
      <c r="AN757">
        <v>0</v>
      </c>
      <c r="AO757">
        <v>4</v>
      </c>
    </row>
    <row r="758" spans="1:41" x14ac:dyDescent="0.2">
      <c r="A758">
        <v>1568634</v>
      </c>
      <c r="B758">
        <v>45</v>
      </c>
      <c r="C758" t="str" cm="1">
        <f t="array" ref="C758">_xlfn.IFS(B758&lt;=25,"15-25",B758&lt;=35,"26-35",B758&lt;=45,"36-45",B758&lt;=55,"46-55",B758&lt;=65,"56-65")</f>
        <v>36-45</v>
      </c>
      <c r="D758" t="s">
        <v>35</v>
      </c>
      <c r="E758" t="str">
        <f t="shared" si="22"/>
        <v>Current Employee</v>
      </c>
      <c r="F758" t="s">
        <v>36</v>
      </c>
      <c r="G758">
        <v>788</v>
      </c>
      <c r="H758" t="s">
        <v>54</v>
      </c>
      <c r="I758">
        <v>24</v>
      </c>
      <c r="J758">
        <v>4</v>
      </c>
      <c r="K758" t="s">
        <v>49</v>
      </c>
      <c r="L758">
        <v>1</v>
      </c>
      <c r="M758">
        <v>2</v>
      </c>
      <c r="N758" t="s">
        <v>46</v>
      </c>
      <c r="O758">
        <v>36</v>
      </c>
      <c r="P758">
        <v>3</v>
      </c>
      <c r="Q758">
        <v>1</v>
      </c>
      <c r="R758" t="s">
        <v>47</v>
      </c>
      <c r="S758">
        <v>2</v>
      </c>
      <c r="T758" t="str" cm="1">
        <f t="array" ref="T758">_xlfn.IFS(S758&lt;=2,"Poor",S758&lt;=3,"Fair",S758&gt;=4,"Good")</f>
        <v>Poor</v>
      </c>
      <c r="U758" t="s">
        <v>41</v>
      </c>
      <c r="V758" s="1">
        <v>2177</v>
      </c>
      <c r="W758" t="str" cm="1">
        <f t="array" ref="W758">_xlfn.IFS(V758&lt;=5000,"Low Salary",V758&lt;=12000,"Good Salary",V758&gt;12000,"High Salary")</f>
        <v>Low Salary</v>
      </c>
      <c r="X758">
        <v>8318</v>
      </c>
      <c r="Y758">
        <v>1</v>
      </c>
      <c r="Z758" t="s">
        <v>42</v>
      </c>
      <c r="AA758" t="s">
        <v>35</v>
      </c>
      <c r="AB758">
        <v>16</v>
      </c>
      <c r="AC758">
        <v>3</v>
      </c>
      <c r="AD758" t="str">
        <f t="shared" si="23"/>
        <v>Low Performance</v>
      </c>
      <c r="AE758">
        <v>1</v>
      </c>
      <c r="AF758">
        <v>80</v>
      </c>
      <c r="AG758">
        <v>0</v>
      </c>
      <c r="AH758">
        <v>6</v>
      </c>
      <c r="AI758">
        <v>3</v>
      </c>
      <c r="AJ758">
        <v>3</v>
      </c>
      <c r="AK758" t="str" cm="1">
        <f t="array" ref="AK758">_xlfn.IFS(AJ758&lt;=2,"Poor",AJ758&lt;=3,"Fair",AJ758&gt;3,"Good")</f>
        <v>Fair</v>
      </c>
      <c r="AL758">
        <v>6</v>
      </c>
      <c r="AM758">
        <v>3</v>
      </c>
      <c r="AN758">
        <v>0</v>
      </c>
      <c r="AO758">
        <v>4</v>
      </c>
    </row>
    <row r="759" spans="1:41" x14ac:dyDescent="0.2">
      <c r="A759">
        <v>1763986</v>
      </c>
      <c r="B759">
        <v>53</v>
      </c>
      <c r="C759" t="str" cm="1">
        <f t="array" ref="C759">_xlfn.IFS(B759&lt;=25,"15-25",B759&lt;=35,"26-35",B759&lt;=45,"36-45",B759&lt;=55,"46-55",B759&lt;=65,"56-65")</f>
        <v>46-55</v>
      </c>
      <c r="D759" t="s">
        <v>35</v>
      </c>
      <c r="E759" t="str">
        <f t="shared" si="22"/>
        <v>Current Employee</v>
      </c>
      <c r="F759" t="s">
        <v>44</v>
      </c>
      <c r="G759">
        <v>124</v>
      </c>
      <c r="H759" t="s">
        <v>37</v>
      </c>
      <c r="I759">
        <v>2</v>
      </c>
      <c r="J759">
        <v>3</v>
      </c>
      <c r="K759" t="s">
        <v>55</v>
      </c>
      <c r="L759">
        <v>1</v>
      </c>
      <c r="M759">
        <v>3</v>
      </c>
      <c r="N759" t="s">
        <v>39</v>
      </c>
      <c r="O759">
        <v>38</v>
      </c>
      <c r="P759">
        <v>2</v>
      </c>
      <c r="Q759">
        <v>3</v>
      </c>
      <c r="R759" t="s">
        <v>40</v>
      </c>
      <c r="S759">
        <v>2</v>
      </c>
      <c r="T759" t="str" cm="1">
        <f t="array" ref="T759">_xlfn.IFS(S759&lt;=2,"Poor",S759&lt;=3,"Fair",S759&gt;=4,"Good")</f>
        <v>Poor</v>
      </c>
      <c r="U759" t="s">
        <v>48</v>
      </c>
      <c r="V759" s="1">
        <v>7525</v>
      </c>
      <c r="W759" t="str" cm="1">
        <f t="array" ref="W759">_xlfn.IFS(V759&lt;=5000,"Low Salary",V759&lt;=12000,"Good Salary",V759&gt;12000,"High Salary")</f>
        <v>Good Salary</v>
      </c>
      <c r="X759">
        <v>23537</v>
      </c>
      <c r="Y759">
        <v>2</v>
      </c>
      <c r="Z759" t="s">
        <v>42</v>
      </c>
      <c r="AA759" t="s">
        <v>35</v>
      </c>
      <c r="AB759">
        <v>12</v>
      </c>
      <c r="AC759">
        <v>3</v>
      </c>
      <c r="AD759" t="str">
        <f t="shared" si="23"/>
        <v>Low Performance</v>
      </c>
      <c r="AE759">
        <v>1</v>
      </c>
      <c r="AF759">
        <v>80</v>
      </c>
      <c r="AG759">
        <v>1</v>
      </c>
      <c r="AH759">
        <v>30</v>
      </c>
      <c r="AI759">
        <v>2</v>
      </c>
      <c r="AJ759">
        <v>3</v>
      </c>
      <c r="AK759" t="str" cm="1">
        <f t="array" ref="AK759">_xlfn.IFS(AJ759&lt;=2,"Poor",AJ759&lt;=3,"Fair",AJ759&gt;3,"Good")</f>
        <v>Fair</v>
      </c>
      <c r="AL759">
        <v>15</v>
      </c>
      <c r="AM759">
        <v>7</v>
      </c>
      <c r="AN759">
        <v>6</v>
      </c>
      <c r="AO759">
        <v>12</v>
      </c>
    </row>
    <row r="760" spans="1:41" x14ac:dyDescent="0.2">
      <c r="A760">
        <v>1721556</v>
      </c>
      <c r="B760">
        <v>36</v>
      </c>
      <c r="C760" t="str" cm="1">
        <f t="array" ref="C760">_xlfn.IFS(B760&lt;=25,"15-25",B760&lt;=35,"26-35",B760&lt;=45,"36-45",B760&lt;=55,"46-55",B760&lt;=65,"56-65")</f>
        <v>36-45</v>
      </c>
      <c r="D760" t="s">
        <v>35</v>
      </c>
      <c r="E760" t="str">
        <f t="shared" si="22"/>
        <v>Current Employee</v>
      </c>
      <c r="F760" t="s">
        <v>36</v>
      </c>
      <c r="G760">
        <v>660</v>
      </c>
      <c r="H760" t="s">
        <v>45</v>
      </c>
      <c r="I760">
        <v>15</v>
      </c>
      <c r="J760">
        <v>3</v>
      </c>
      <c r="K760" t="s">
        <v>47</v>
      </c>
      <c r="L760">
        <v>1</v>
      </c>
      <c r="M760">
        <v>1</v>
      </c>
      <c r="N760" t="s">
        <v>46</v>
      </c>
      <c r="O760">
        <v>81</v>
      </c>
      <c r="P760">
        <v>3</v>
      </c>
      <c r="Q760">
        <v>2</v>
      </c>
      <c r="R760" t="s">
        <v>40</v>
      </c>
      <c r="S760">
        <v>3</v>
      </c>
      <c r="T760" t="str" cm="1">
        <f t="array" ref="T760">_xlfn.IFS(S760&lt;=2,"Poor",S760&lt;=3,"Fair",S760&gt;=4,"Good")</f>
        <v>Fair</v>
      </c>
      <c r="U760" t="s">
        <v>50</v>
      </c>
      <c r="V760" s="1">
        <v>4834</v>
      </c>
      <c r="W760" t="str" cm="1">
        <f t="array" ref="W760">_xlfn.IFS(V760&lt;=5000,"Low Salary",V760&lt;=12000,"Good Salary",V760&gt;12000,"High Salary")</f>
        <v>Low Salary</v>
      </c>
      <c r="X760">
        <v>7858</v>
      </c>
      <c r="Y760">
        <v>7</v>
      </c>
      <c r="Z760" t="s">
        <v>42</v>
      </c>
      <c r="AA760" t="s">
        <v>35</v>
      </c>
      <c r="AB760">
        <v>14</v>
      </c>
      <c r="AC760">
        <v>3</v>
      </c>
      <c r="AD760" t="str">
        <f t="shared" si="23"/>
        <v>Low Performance</v>
      </c>
      <c r="AE760">
        <v>2</v>
      </c>
      <c r="AF760">
        <v>80</v>
      </c>
      <c r="AG760">
        <v>1</v>
      </c>
      <c r="AH760">
        <v>9</v>
      </c>
      <c r="AI760">
        <v>3</v>
      </c>
      <c r="AJ760">
        <v>2</v>
      </c>
      <c r="AK760" t="str" cm="1">
        <f t="array" ref="AK760">_xlfn.IFS(AJ760&lt;=2,"Poor",AJ760&lt;=3,"Fair",AJ760&gt;3,"Good")</f>
        <v>Poor</v>
      </c>
      <c r="AL760">
        <v>1</v>
      </c>
      <c r="AM760">
        <v>0</v>
      </c>
      <c r="AN760">
        <v>0</v>
      </c>
      <c r="AO760">
        <v>0</v>
      </c>
    </row>
    <row r="761" spans="1:41" x14ac:dyDescent="0.2">
      <c r="A761">
        <v>1631537</v>
      </c>
      <c r="B761">
        <v>26</v>
      </c>
      <c r="C761" t="str" cm="1">
        <f t="array" ref="C761">_xlfn.IFS(B761&lt;=25,"15-25",B761&lt;=35,"26-35",B761&lt;=45,"36-45",B761&lt;=55,"46-55",B761&lt;=65,"56-65")</f>
        <v>26-35</v>
      </c>
      <c r="D761" t="s">
        <v>43</v>
      </c>
      <c r="E761" t="str">
        <f t="shared" si="22"/>
        <v>Former Employee</v>
      </c>
      <c r="F761" t="s">
        <v>44</v>
      </c>
      <c r="G761">
        <v>342</v>
      </c>
      <c r="H761" t="s">
        <v>45</v>
      </c>
      <c r="I761">
        <v>2</v>
      </c>
      <c r="J761">
        <v>3</v>
      </c>
      <c r="K761" t="s">
        <v>38</v>
      </c>
      <c r="L761">
        <v>1</v>
      </c>
      <c r="M761">
        <v>1</v>
      </c>
      <c r="N761" t="s">
        <v>46</v>
      </c>
      <c r="O761">
        <v>57</v>
      </c>
      <c r="P761">
        <v>3</v>
      </c>
      <c r="Q761">
        <v>1</v>
      </c>
      <c r="R761" t="s">
        <v>47</v>
      </c>
      <c r="S761">
        <v>1</v>
      </c>
      <c r="T761" t="str" cm="1">
        <f t="array" ref="T761">_xlfn.IFS(S761&lt;=2,"Poor",S761&lt;=3,"Fair",S761&gt;=4,"Good")</f>
        <v>Poor</v>
      </c>
      <c r="U761" t="s">
        <v>48</v>
      </c>
      <c r="V761" s="1">
        <v>2042</v>
      </c>
      <c r="W761" t="str" cm="1">
        <f t="array" ref="W761">_xlfn.IFS(V761&lt;=5000,"Low Salary",V761&lt;=12000,"Good Salary",V761&gt;12000,"High Salary")</f>
        <v>Low Salary</v>
      </c>
      <c r="X761">
        <v>15346</v>
      </c>
      <c r="Y761">
        <v>6</v>
      </c>
      <c r="Z761" t="s">
        <v>42</v>
      </c>
      <c r="AA761" t="s">
        <v>43</v>
      </c>
      <c r="AB761">
        <v>14</v>
      </c>
      <c r="AC761">
        <v>3</v>
      </c>
      <c r="AD761" t="str">
        <f t="shared" si="23"/>
        <v>Low Performance</v>
      </c>
      <c r="AE761">
        <v>2</v>
      </c>
      <c r="AF761">
        <v>80</v>
      </c>
      <c r="AG761">
        <v>1</v>
      </c>
      <c r="AH761">
        <v>6</v>
      </c>
      <c r="AI761">
        <v>2</v>
      </c>
      <c r="AJ761">
        <v>3</v>
      </c>
      <c r="AK761" t="str" cm="1">
        <f t="array" ref="AK761">_xlfn.IFS(AJ761&lt;=2,"Poor",AJ761&lt;=3,"Fair",AJ761&gt;3,"Good")</f>
        <v>Fair</v>
      </c>
      <c r="AL761">
        <v>3</v>
      </c>
      <c r="AM761">
        <v>2</v>
      </c>
      <c r="AN761">
        <v>1</v>
      </c>
      <c r="AO761">
        <v>2</v>
      </c>
    </row>
    <row r="762" spans="1:41" x14ac:dyDescent="0.2">
      <c r="A762">
        <v>1277508</v>
      </c>
      <c r="B762">
        <v>34</v>
      </c>
      <c r="C762" t="str" cm="1">
        <f t="array" ref="C762">_xlfn.IFS(B762&lt;=25,"15-25",B762&lt;=35,"26-35",B762&lt;=45,"36-45",B762&lt;=55,"46-55",B762&lt;=65,"56-65")</f>
        <v>26-35</v>
      </c>
      <c r="D762" t="s">
        <v>35</v>
      </c>
      <c r="E762" t="str">
        <f t="shared" si="22"/>
        <v>Current Employee</v>
      </c>
      <c r="F762" t="s">
        <v>36</v>
      </c>
      <c r="G762">
        <v>1333</v>
      </c>
      <c r="H762" t="s">
        <v>37</v>
      </c>
      <c r="I762">
        <v>10</v>
      </c>
      <c r="J762">
        <v>4</v>
      </c>
      <c r="K762" t="s">
        <v>38</v>
      </c>
      <c r="L762">
        <v>1</v>
      </c>
      <c r="M762">
        <v>3</v>
      </c>
      <c r="N762" t="s">
        <v>39</v>
      </c>
      <c r="O762">
        <v>87</v>
      </c>
      <c r="P762">
        <v>3</v>
      </c>
      <c r="Q762">
        <v>1</v>
      </c>
      <c r="R762" t="s">
        <v>47</v>
      </c>
      <c r="S762">
        <v>3</v>
      </c>
      <c r="T762" t="str" cm="1">
        <f t="array" ref="T762">_xlfn.IFS(S762&lt;=2,"Poor",S762&lt;=3,"Fair",S762&gt;=4,"Good")</f>
        <v>Fair</v>
      </c>
      <c r="U762" t="s">
        <v>48</v>
      </c>
      <c r="V762" s="1">
        <v>2220</v>
      </c>
      <c r="W762" t="str" cm="1">
        <f t="array" ref="W762">_xlfn.IFS(V762&lt;=5000,"Low Salary",V762&lt;=12000,"Good Salary",V762&gt;12000,"High Salary")</f>
        <v>Low Salary</v>
      </c>
      <c r="X762">
        <v>18410</v>
      </c>
      <c r="Y762">
        <v>1</v>
      </c>
      <c r="Z762" t="s">
        <v>42</v>
      </c>
      <c r="AA762" t="s">
        <v>43</v>
      </c>
      <c r="AB762">
        <v>19</v>
      </c>
      <c r="AC762">
        <v>3</v>
      </c>
      <c r="AD762" t="str">
        <f t="shared" si="23"/>
        <v>Low Performance</v>
      </c>
      <c r="AE762">
        <v>4</v>
      </c>
      <c r="AF762">
        <v>80</v>
      </c>
      <c r="AG762">
        <v>1</v>
      </c>
      <c r="AH762">
        <v>1</v>
      </c>
      <c r="AI762">
        <v>2</v>
      </c>
      <c r="AJ762">
        <v>3</v>
      </c>
      <c r="AK762" t="str" cm="1">
        <f t="array" ref="AK762">_xlfn.IFS(AJ762&lt;=2,"Poor",AJ762&lt;=3,"Fair",AJ762&gt;3,"Good")</f>
        <v>Fair</v>
      </c>
      <c r="AL762">
        <v>1</v>
      </c>
      <c r="AM762">
        <v>1</v>
      </c>
      <c r="AN762">
        <v>0</v>
      </c>
      <c r="AO762">
        <v>0</v>
      </c>
    </row>
    <row r="763" spans="1:41" x14ac:dyDescent="0.2">
      <c r="A763">
        <v>1873017</v>
      </c>
      <c r="B763">
        <v>28</v>
      </c>
      <c r="C763" t="str" cm="1">
        <f t="array" ref="C763">_xlfn.IFS(B763&lt;=25,"15-25",B763&lt;=35,"26-35",B763&lt;=45,"36-45",B763&lt;=55,"46-55",B763&lt;=65,"56-65")</f>
        <v>26-35</v>
      </c>
      <c r="D763" t="s">
        <v>35</v>
      </c>
      <c r="E763" t="str">
        <f t="shared" si="22"/>
        <v>Current Employee</v>
      </c>
      <c r="F763" t="s">
        <v>36</v>
      </c>
      <c r="G763">
        <v>1144</v>
      </c>
      <c r="H763" t="s">
        <v>37</v>
      </c>
      <c r="I763">
        <v>10</v>
      </c>
      <c r="J763">
        <v>1</v>
      </c>
      <c r="K763" t="s">
        <v>49</v>
      </c>
      <c r="L763">
        <v>1</v>
      </c>
      <c r="M763">
        <v>4</v>
      </c>
      <c r="N763" t="s">
        <v>46</v>
      </c>
      <c r="O763">
        <v>74</v>
      </c>
      <c r="P763">
        <v>3</v>
      </c>
      <c r="Q763">
        <v>1</v>
      </c>
      <c r="R763" t="s">
        <v>47</v>
      </c>
      <c r="S763">
        <v>2</v>
      </c>
      <c r="T763" t="str" cm="1">
        <f t="array" ref="T763">_xlfn.IFS(S763&lt;=2,"Poor",S763&lt;=3,"Fair",S763&gt;=4,"Good")</f>
        <v>Poor</v>
      </c>
      <c r="U763" t="s">
        <v>48</v>
      </c>
      <c r="V763" s="1">
        <v>1052</v>
      </c>
      <c r="W763" t="str" cm="1">
        <f t="array" ref="W763">_xlfn.IFS(V763&lt;=5000,"Low Salary",V763&lt;=12000,"Good Salary",V763&gt;12000,"High Salary")</f>
        <v>Low Salary</v>
      </c>
      <c r="X763">
        <v>23384</v>
      </c>
      <c r="Y763">
        <v>1</v>
      </c>
      <c r="Z763" t="s">
        <v>42</v>
      </c>
      <c r="AA763" t="s">
        <v>35</v>
      </c>
      <c r="AB763">
        <v>22</v>
      </c>
      <c r="AC763">
        <v>4</v>
      </c>
      <c r="AD763" t="str">
        <f t="shared" si="23"/>
        <v>High Performance</v>
      </c>
      <c r="AE763">
        <v>2</v>
      </c>
      <c r="AF763">
        <v>80</v>
      </c>
      <c r="AG763">
        <v>0</v>
      </c>
      <c r="AH763">
        <v>1</v>
      </c>
      <c r="AI763">
        <v>5</v>
      </c>
      <c r="AJ763">
        <v>3</v>
      </c>
      <c r="AK763" t="str" cm="1">
        <f t="array" ref="AK763">_xlfn.IFS(AJ763&lt;=2,"Poor",AJ763&lt;=3,"Fair",AJ763&gt;3,"Good")</f>
        <v>Fair</v>
      </c>
      <c r="AL763">
        <v>1</v>
      </c>
      <c r="AM763">
        <v>0</v>
      </c>
      <c r="AN763">
        <v>0</v>
      </c>
      <c r="AO763">
        <v>0</v>
      </c>
    </row>
    <row r="764" spans="1:41" x14ac:dyDescent="0.2">
      <c r="A764">
        <v>1776541</v>
      </c>
      <c r="B764">
        <v>38</v>
      </c>
      <c r="C764" t="str" cm="1">
        <f t="array" ref="C764">_xlfn.IFS(B764&lt;=25,"15-25",B764&lt;=35,"26-35",B764&lt;=45,"36-45",B764&lt;=55,"46-55",B764&lt;=65,"56-65")</f>
        <v>36-45</v>
      </c>
      <c r="D764" t="s">
        <v>35</v>
      </c>
      <c r="E764" t="str">
        <f t="shared" si="22"/>
        <v>Current Employee</v>
      </c>
      <c r="F764" t="s">
        <v>44</v>
      </c>
      <c r="G764">
        <v>1186</v>
      </c>
      <c r="H764" t="s">
        <v>45</v>
      </c>
      <c r="I764">
        <v>3</v>
      </c>
      <c r="J764">
        <v>4</v>
      </c>
      <c r="K764" t="s">
        <v>47</v>
      </c>
      <c r="L764">
        <v>1</v>
      </c>
      <c r="M764">
        <v>3</v>
      </c>
      <c r="N764" t="s">
        <v>46</v>
      </c>
      <c r="O764">
        <v>44</v>
      </c>
      <c r="P764">
        <v>3</v>
      </c>
      <c r="Q764">
        <v>1</v>
      </c>
      <c r="R764" t="s">
        <v>47</v>
      </c>
      <c r="S764">
        <v>3</v>
      </c>
      <c r="T764" t="str" cm="1">
        <f t="array" ref="T764">_xlfn.IFS(S764&lt;=2,"Poor",S764&lt;=3,"Fair",S764&gt;=4,"Good")</f>
        <v>Fair</v>
      </c>
      <c r="U764" t="s">
        <v>48</v>
      </c>
      <c r="V764" s="1">
        <v>2821</v>
      </c>
      <c r="W764" t="str" cm="1">
        <f t="array" ref="W764">_xlfn.IFS(V764&lt;=5000,"Low Salary",V764&lt;=12000,"Good Salary",V764&gt;12000,"High Salary")</f>
        <v>Low Salary</v>
      </c>
      <c r="X764">
        <v>2997</v>
      </c>
      <c r="Y764">
        <v>3</v>
      </c>
      <c r="Z764" t="s">
        <v>42</v>
      </c>
      <c r="AA764" t="s">
        <v>35</v>
      </c>
      <c r="AB764">
        <v>16</v>
      </c>
      <c r="AC764">
        <v>3</v>
      </c>
      <c r="AD764" t="str">
        <f t="shared" si="23"/>
        <v>Low Performance</v>
      </c>
      <c r="AE764">
        <v>1</v>
      </c>
      <c r="AF764">
        <v>80</v>
      </c>
      <c r="AG764">
        <v>1</v>
      </c>
      <c r="AH764">
        <v>8</v>
      </c>
      <c r="AI764">
        <v>2</v>
      </c>
      <c r="AJ764">
        <v>3</v>
      </c>
      <c r="AK764" t="str" cm="1">
        <f t="array" ref="AK764">_xlfn.IFS(AJ764&lt;=2,"Poor",AJ764&lt;=3,"Fair",AJ764&gt;3,"Good")</f>
        <v>Fair</v>
      </c>
      <c r="AL764">
        <v>2</v>
      </c>
      <c r="AM764">
        <v>2</v>
      </c>
      <c r="AN764">
        <v>2</v>
      </c>
      <c r="AO764">
        <v>2</v>
      </c>
    </row>
    <row r="765" spans="1:41" x14ac:dyDescent="0.2">
      <c r="A765">
        <v>1545738</v>
      </c>
      <c r="B765">
        <v>50</v>
      </c>
      <c r="C765" t="str" cm="1">
        <f t="array" ref="C765">_xlfn.IFS(B765&lt;=25,"15-25",B765&lt;=35,"26-35",B765&lt;=45,"36-45",B765&lt;=55,"46-55",B765&lt;=65,"56-65")</f>
        <v>46-55</v>
      </c>
      <c r="D765" t="s">
        <v>35</v>
      </c>
      <c r="E765" t="str">
        <f t="shared" si="22"/>
        <v>Current Employee</v>
      </c>
      <c r="F765" t="s">
        <v>36</v>
      </c>
      <c r="G765">
        <v>1464</v>
      </c>
      <c r="H765" t="s">
        <v>45</v>
      </c>
      <c r="I765">
        <v>2</v>
      </c>
      <c r="J765">
        <v>4</v>
      </c>
      <c r="K765" t="s">
        <v>49</v>
      </c>
      <c r="L765">
        <v>1</v>
      </c>
      <c r="M765">
        <v>2</v>
      </c>
      <c r="N765" t="s">
        <v>46</v>
      </c>
      <c r="O765">
        <v>62</v>
      </c>
      <c r="P765">
        <v>3</v>
      </c>
      <c r="Q765">
        <v>5</v>
      </c>
      <c r="R765" t="s">
        <v>53</v>
      </c>
      <c r="S765">
        <v>3</v>
      </c>
      <c r="T765" t="str" cm="1">
        <f t="array" ref="T765">_xlfn.IFS(S765&lt;=2,"Poor",S765&lt;=3,"Fair",S765&gt;=4,"Good")</f>
        <v>Fair</v>
      </c>
      <c r="U765" t="s">
        <v>48</v>
      </c>
      <c r="V765" s="1">
        <v>19237</v>
      </c>
      <c r="W765" t="str" cm="1">
        <f t="array" ref="W765">_xlfn.IFS(V765&lt;=5000,"Low Salary",V765&lt;=12000,"Good Salary",V765&gt;12000,"High Salary")</f>
        <v>High Salary</v>
      </c>
      <c r="X765">
        <v>12853</v>
      </c>
      <c r="Y765">
        <v>2</v>
      </c>
      <c r="Z765" t="s">
        <v>42</v>
      </c>
      <c r="AA765" t="s">
        <v>43</v>
      </c>
      <c r="AB765">
        <v>11</v>
      </c>
      <c r="AC765">
        <v>3</v>
      </c>
      <c r="AD765" t="str">
        <f t="shared" si="23"/>
        <v>Low Performance</v>
      </c>
      <c r="AE765">
        <v>4</v>
      </c>
      <c r="AF765">
        <v>80</v>
      </c>
      <c r="AG765">
        <v>1</v>
      </c>
      <c r="AH765">
        <v>29</v>
      </c>
      <c r="AI765">
        <v>2</v>
      </c>
      <c r="AJ765">
        <v>2</v>
      </c>
      <c r="AK765" t="str" cm="1">
        <f t="array" ref="AK765">_xlfn.IFS(AJ765&lt;=2,"Poor",AJ765&lt;=3,"Fair",AJ765&gt;3,"Good")</f>
        <v>Poor</v>
      </c>
      <c r="AL765">
        <v>8</v>
      </c>
      <c r="AM765">
        <v>1</v>
      </c>
      <c r="AN765">
        <v>7</v>
      </c>
      <c r="AO765">
        <v>7</v>
      </c>
    </row>
    <row r="766" spans="1:41" x14ac:dyDescent="0.2">
      <c r="A766">
        <v>1775055</v>
      </c>
      <c r="B766">
        <v>37</v>
      </c>
      <c r="C766" t="str" cm="1">
        <f t="array" ref="C766">_xlfn.IFS(B766&lt;=25,"15-25",B766&lt;=35,"26-35",B766&lt;=45,"36-45",B766&lt;=55,"46-55",B766&lt;=65,"56-65")</f>
        <v>36-45</v>
      </c>
      <c r="D766" t="s">
        <v>35</v>
      </c>
      <c r="E766" t="str">
        <f t="shared" si="22"/>
        <v>Current Employee</v>
      </c>
      <c r="F766" t="s">
        <v>36</v>
      </c>
      <c r="G766">
        <v>124</v>
      </c>
      <c r="H766" t="s">
        <v>45</v>
      </c>
      <c r="I766">
        <v>3</v>
      </c>
      <c r="J766">
        <v>3</v>
      </c>
      <c r="K766" t="s">
        <v>47</v>
      </c>
      <c r="L766">
        <v>1</v>
      </c>
      <c r="M766">
        <v>4</v>
      </c>
      <c r="N766" t="s">
        <v>39</v>
      </c>
      <c r="O766">
        <v>35</v>
      </c>
      <c r="P766">
        <v>3</v>
      </c>
      <c r="Q766">
        <v>2</v>
      </c>
      <c r="R766" t="s">
        <v>40</v>
      </c>
      <c r="S766">
        <v>2</v>
      </c>
      <c r="T766" t="str" cm="1">
        <f t="array" ref="T766">_xlfn.IFS(S766&lt;=2,"Poor",S766&lt;=3,"Fair",S766&gt;=4,"Good")</f>
        <v>Poor</v>
      </c>
      <c r="U766" t="s">
        <v>41</v>
      </c>
      <c r="V766" s="1">
        <v>4107</v>
      </c>
      <c r="W766" t="str" cm="1">
        <f t="array" ref="W766">_xlfn.IFS(V766&lt;=5000,"Low Salary",V766&lt;=12000,"Good Salary",V766&gt;12000,"High Salary")</f>
        <v>Low Salary</v>
      </c>
      <c r="X766">
        <v>13848</v>
      </c>
      <c r="Y766">
        <v>3</v>
      </c>
      <c r="Z766" t="s">
        <v>42</v>
      </c>
      <c r="AA766" t="s">
        <v>35</v>
      </c>
      <c r="AB766">
        <v>15</v>
      </c>
      <c r="AC766">
        <v>3</v>
      </c>
      <c r="AD766" t="str">
        <f t="shared" si="23"/>
        <v>Low Performance</v>
      </c>
      <c r="AE766">
        <v>1</v>
      </c>
      <c r="AF766">
        <v>80</v>
      </c>
      <c r="AG766">
        <v>0</v>
      </c>
      <c r="AH766">
        <v>8</v>
      </c>
      <c r="AI766">
        <v>3</v>
      </c>
      <c r="AJ766">
        <v>2</v>
      </c>
      <c r="AK766" t="str" cm="1">
        <f t="array" ref="AK766">_xlfn.IFS(AJ766&lt;=2,"Poor",AJ766&lt;=3,"Fair",AJ766&gt;3,"Good")</f>
        <v>Poor</v>
      </c>
      <c r="AL766">
        <v>4</v>
      </c>
      <c r="AM766">
        <v>3</v>
      </c>
      <c r="AN766">
        <v>0</v>
      </c>
      <c r="AO766">
        <v>1</v>
      </c>
    </row>
    <row r="767" spans="1:41" x14ac:dyDescent="0.2">
      <c r="A767">
        <v>1087619</v>
      </c>
      <c r="B767">
        <v>40</v>
      </c>
      <c r="C767" t="str" cm="1">
        <f t="array" ref="C767">_xlfn.IFS(B767&lt;=25,"15-25",B767&lt;=35,"26-35",B767&lt;=45,"36-45",B767&lt;=55,"46-55",B767&lt;=65,"56-65")</f>
        <v>36-45</v>
      </c>
      <c r="D767" t="s">
        <v>35</v>
      </c>
      <c r="E767" t="str">
        <f t="shared" si="22"/>
        <v>Current Employee</v>
      </c>
      <c r="F767" t="s">
        <v>36</v>
      </c>
      <c r="G767">
        <v>300</v>
      </c>
      <c r="H767" t="s">
        <v>37</v>
      </c>
      <c r="I767">
        <v>26</v>
      </c>
      <c r="J767">
        <v>3</v>
      </c>
      <c r="K767" t="s">
        <v>55</v>
      </c>
      <c r="L767">
        <v>1</v>
      </c>
      <c r="M767">
        <v>3</v>
      </c>
      <c r="N767" t="s">
        <v>46</v>
      </c>
      <c r="O767">
        <v>74</v>
      </c>
      <c r="P767">
        <v>3</v>
      </c>
      <c r="Q767">
        <v>2</v>
      </c>
      <c r="R767" t="s">
        <v>40</v>
      </c>
      <c r="S767">
        <v>1</v>
      </c>
      <c r="T767" t="str" cm="1">
        <f t="array" ref="T767">_xlfn.IFS(S767&lt;=2,"Poor",S767&lt;=3,"Fair",S767&gt;=4,"Good")</f>
        <v>Poor</v>
      </c>
      <c r="U767" t="s">
        <v>48</v>
      </c>
      <c r="V767" s="1">
        <v>8396</v>
      </c>
      <c r="W767" t="str" cm="1">
        <f t="array" ref="W767">_xlfn.IFS(V767&lt;=5000,"Low Salary",V767&lt;=12000,"Good Salary",V767&gt;12000,"High Salary")</f>
        <v>Good Salary</v>
      </c>
      <c r="X767">
        <v>22217</v>
      </c>
      <c r="Y767">
        <v>1</v>
      </c>
      <c r="Z767" t="s">
        <v>42</v>
      </c>
      <c r="AA767" t="s">
        <v>35</v>
      </c>
      <c r="AB767">
        <v>14</v>
      </c>
      <c r="AC767">
        <v>3</v>
      </c>
      <c r="AD767" t="str">
        <f t="shared" si="23"/>
        <v>Low Performance</v>
      </c>
      <c r="AE767">
        <v>2</v>
      </c>
      <c r="AF767">
        <v>80</v>
      </c>
      <c r="AG767">
        <v>1</v>
      </c>
      <c r="AH767">
        <v>8</v>
      </c>
      <c r="AI767">
        <v>3</v>
      </c>
      <c r="AJ767">
        <v>2</v>
      </c>
      <c r="AK767" t="str" cm="1">
        <f t="array" ref="AK767">_xlfn.IFS(AJ767&lt;=2,"Poor",AJ767&lt;=3,"Fair",AJ767&gt;3,"Good")</f>
        <v>Poor</v>
      </c>
      <c r="AL767">
        <v>7</v>
      </c>
      <c r="AM767">
        <v>7</v>
      </c>
      <c r="AN767">
        <v>7</v>
      </c>
      <c r="AO767">
        <v>5</v>
      </c>
    </row>
    <row r="768" spans="1:41" x14ac:dyDescent="0.2">
      <c r="A768">
        <v>1409664</v>
      </c>
      <c r="B768">
        <v>26</v>
      </c>
      <c r="C768" t="str" cm="1">
        <f t="array" ref="C768">_xlfn.IFS(B768&lt;=25,"15-25",B768&lt;=35,"26-35",B768&lt;=45,"36-45",B768&lt;=55,"46-55",B768&lt;=65,"56-65")</f>
        <v>26-35</v>
      </c>
      <c r="D768" t="s">
        <v>35</v>
      </c>
      <c r="E768" t="str">
        <f t="shared" si="22"/>
        <v>Current Employee</v>
      </c>
      <c r="F768" t="s">
        <v>44</v>
      </c>
      <c r="G768">
        <v>921</v>
      </c>
      <c r="H768" t="s">
        <v>45</v>
      </c>
      <c r="I768">
        <v>1</v>
      </c>
      <c r="J768">
        <v>1</v>
      </c>
      <c r="K768" t="s">
        <v>49</v>
      </c>
      <c r="L768">
        <v>1</v>
      </c>
      <c r="M768">
        <v>1</v>
      </c>
      <c r="N768" t="s">
        <v>39</v>
      </c>
      <c r="O768">
        <v>66</v>
      </c>
      <c r="P768">
        <v>2</v>
      </c>
      <c r="Q768">
        <v>1</v>
      </c>
      <c r="R768" t="s">
        <v>47</v>
      </c>
      <c r="S768">
        <v>3</v>
      </c>
      <c r="T768" t="str" cm="1">
        <f t="array" ref="T768">_xlfn.IFS(S768&lt;=2,"Poor",S768&lt;=3,"Fair",S768&gt;=4,"Good")</f>
        <v>Fair</v>
      </c>
      <c r="U768" t="s">
        <v>50</v>
      </c>
      <c r="V768" s="1">
        <v>2007</v>
      </c>
      <c r="W768" t="str" cm="1">
        <f t="array" ref="W768">_xlfn.IFS(V768&lt;=5000,"Low Salary",V768&lt;=12000,"Good Salary",V768&gt;12000,"High Salary")</f>
        <v>Low Salary</v>
      </c>
      <c r="X768">
        <v>25265</v>
      </c>
      <c r="Y768">
        <v>1</v>
      </c>
      <c r="Z768" t="s">
        <v>42</v>
      </c>
      <c r="AA768" t="s">
        <v>35</v>
      </c>
      <c r="AB768">
        <v>13</v>
      </c>
      <c r="AC768">
        <v>3</v>
      </c>
      <c r="AD768" t="str">
        <f t="shared" si="23"/>
        <v>Low Performance</v>
      </c>
      <c r="AE768">
        <v>3</v>
      </c>
      <c r="AF768">
        <v>80</v>
      </c>
      <c r="AG768">
        <v>2</v>
      </c>
      <c r="AH768">
        <v>5</v>
      </c>
      <c r="AI768">
        <v>5</v>
      </c>
      <c r="AJ768">
        <v>3</v>
      </c>
      <c r="AK768" t="str" cm="1">
        <f t="array" ref="AK768">_xlfn.IFS(AJ768&lt;=2,"Poor",AJ768&lt;=3,"Fair",AJ768&gt;3,"Good")</f>
        <v>Fair</v>
      </c>
      <c r="AL768">
        <v>5</v>
      </c>
      <c r="AM768">
        <v>3</v>
      </c>
      <c r="AN768">
        <v>1</v>
      </c>
      <c r="AO768">
        <v>3</v>
      </c>
    </row>
    <row r="769" spans="1:41" x14ac:dyDescent="0.2">
      <c r="A769">
        <v>1206462</v>
      </c>
      <c r="B769">
        <v>46</v>
      </c>
      <c r="C769" t="str" cm="1">
        <f t="array" ref="C769">_xlfn.IFS(B769&lt;=25,"15-25",B769&lt;=35,"26-35",B769&lt;=45,"36-45",B769&lt;=55,"46-55",B769&lt;=65,"56-65")</f>
        <v>46-55</v>
      </c>
      <c r="D769" t="s">
        <v>35</v>
      </c>
      <c r="E769" t="str">
        <f t="shared" si="22"/>
        <v>Current Employee</v>
      </c>
      <c r="F769" t="s">
        <v>36</v>
      </c>
      <c r="G769">
        <v>430</v>
      </c>
      <c r="H769" t="s">
        <v>45</v>
      </c>
      <c r="I769">
        <v>1</v>
      </c>
      <c r="J769">
        <v>4</v>
      </c>
      <c r="K769" t="s">
        <v>49</v>
      </c>
      <c r="L769">
        <v>1</v>
      </c>
      <c r="M769">
        <v>4</v>
      </c>
      <c r="N769" t="s">
        <v>46</v>
      </c>
      <c r="O769">
        <v>40</v>
      </c>
      <c r="P769">
        <v>3</v>
      </c>
      <c r="Q769">
        <v>5</v>
      </c>
      <c r="R769" t="s">
        <v>53</v>
      </c>
      <c r="S769">
        <v>4</v>
      </c>
      <c r="T769" t="str" cm="1">
        <f t="array" ref="T769">_xlfn.IFS(S769&lt;=2,"Poor",S769&lt;=3,"Fair",S769&gt;=4,"Good")</f>
        <v>Good</v>
      </c>
      <c r="U769" t="s">
        <v>50</v>
      </c>
      <c r="V769" s="1">
        <v>19627</v>
      </c>
      <c r="W769" t="str" cm="1">
        <f t="array" ref="W769">_xlfn.IFS(V769&lt;=5000,"Low Salary",V769&lt;=12000,"Good Salary",V769&gt;12000,"High Salary")</f>
        <v>High Salary</v>
      </c>
      <c r="X769">
        <v>21445</v>
      </c>
      <c r="Y769">
        <v>9</v>
      </c>
      <c r="Z769" t="s">
        <v>42</v>
      </c>
      <c r="AA769" t="s">
        <v>35</v>
      </c>
      <c r="AB769">
        <v>17</v>
      </c>
      <c r="AC769">
        <v>3</v>
      </c>
      <c r="AD769" t="str">
        <f t="shared" si="23"/>
        <v>Low Performance</v>
      </c>
      <c r="AE769">
        <v>4</v>
      </c>
      <c r="AF769">
        <v>80</v>
      </c>
      <c r="AG769">
        <v>2</v>
      </c>
      <c r="AH769">
        <v>23</v>
      </c>
      <c r="AI769">
        <v>0</v>
      </c>
      <c r="AJ769">
        <v>3</v>
      </c>
      <c r="AK769" t="str" cm="1">
        <f t="array" ref="AK769">_xlfn.IFS(AJ769&lt;=2,"Poor",AJ769&lt;=3,"Fair",AJ769&gt;3,"Good")</f>
        <v>Fair</v>
      </c>
      <c r="AL769">
        <v>2</v>
      </c>
      <c r="AM769">
        <v>2</v>
      </c>
      <c r="AN769">
        <v>2</v>
      </c>
      <c r="AO769">
        <v>2</v>
      </c>
    </row>
    <row r="770" spans="1:41" x14ac:dyDescent="0.2">
      <c r="A770">
        <v>1431621</v>
      </c>
      <c r="B770">
        <v>54</v>
      </c>
      <c r="C770" t="str" cm="1">
        <f t="array" ref="C770">_xlfn.IFS(B770&lt;=25,"15-25",B770&lt;=35,"26-35",B770&lt;=45,"36-45",B770&lt;=55,"46-55",B770&lt;=65,"56-65")</f>
        <v>46-55</v>
      </c>
      <c r="D770" t="s">
        <v>35</v>
      </c>
      <c r="E770" t="str">
        <f t="shared" si="22"/>
        <v>Current Employee</v>
      </c>
      <c r="F770" t="s">
        <v>36</v>
      </c>
      <c r="G770">
        <v>1082</v>
      </c>
      <c r="H770" t="s">
        <v>37</v>
      </c>
      <c r="I770">
        <v>2</v>
      </c>
      <c r="J770">
        <v>4</v>
      </c>
      <c r="K770" t="s">
        <v>38</v>
      </c>
      <c r="L770">
        <v>1</v>
      </c>
      <c r="M770">
        <v>3</v>
      </c>
      <c r="N770" t="s">
        <v>39</v>
      </c>
      <c r="O770">
        <v>41</v>
      </c>
      <c r="P770">
        <v>2</v>
      </c>
      <c r="Q770">
        <v>3</v>
      </c>
      <c r="R770" t="s">
        <v>40</v>
      </c>
      <c r="S770">
        <v>3</v>
      </c>
      <c r="T770" t="str" cm="1">
        <f t="array" ref="T770">_xlfn.IFS(S770&lt;=2,"Poor",S770&lt;=3,"Fair",S770&gt;=4,"Good")</f>
        <v>Fair</v>
      </c>
      <c r="U770" t="s">
        <v>48</v>
      </c>
      <c r="V770" s="1">
        <v>10686</v>
      </c>
      <c r="W770" t="str" cm="1">
        <f t="array" ref="W770">_xlfn.IFS(V770&lt;=5000,"Low Salary",V770&lt;=12000,"Good Salary",V770&gt;12000,"High Salary")</f>
        <v>Good Salary</v>
      </c>
      <c r="X770">
        <v>8392</v>
      </c>
      <c r="Y770">
        <v>6</v>
      </c>
      <c r="Z770" t="s">
        <v>42</v>
      </c>
      <c r="AA770" t="s">
        <v>35</v>
      </c>
      <c r="AB770">
        <v>11</v>
      </c>
      <c r="AC770">
        <v>3</v>
      </c>
      <c r="AD770" t="str">
        <f t="shared" si="23"/>
        <v>Low Performance</v>
      </c>
      <c r="AE770">
        <v>2</v>
      </c>
      <c r="AF770">
        <v>80</v>
      </c>
      <c r="AG770">
        <v>1</v>
      </c>
      <c r="AH770">
        <v>13</v>
      </c>
      <c r="AI770">
        <v>4</v>
      </c>
      <c r="AJ770">
        <v>3</v>
      </c>
      <c r="AK770" t="str" cm="1">
        <f t="array" ref="AK770">_xlfn.IFS(AJ770&lt;=2,"Poor",AJ770&lt;=3,"Fair",AJ770&gt;3,"Good")</f>
        <v>Fair</v>
      </c>
      <c r="AL770">
        <v>9</v>
      </c>
      <c r="AM770">
        <v>4</v>
      </c>
      <c r="AN770">
        <v>7</v>
      </c>
      <c r="AO770">
        <v>0</v>
      </c>
    </row>
    <row r="771" spans="1:41" x14ac:dyDescent="0.2">
      <c r="A771">
        <v>1045879</v>
      </c>
      <c r="B771">
        <v>56</v>
      </c>
      <c r="C771" t="str" cm="1">
        <f t="array" ref="C771">_xlfn.IFS(B771&lt;=25,"15-25",B771&lt;=35,"26-35",B771&lt;=45,"36-45",B771&lt;=55,"46-55",B771&lt;=65,"56-65")</f>
        <v>56-65</v>
      </c>
      <c r="D771" t="s">
        <v>35</v>
      </c>
      <c r="E771" t="str">
        <f t="shared" ref="E771:E834" si="24">IF(D771="No","Current Employee","Former Employee")</f>
        <v>Current Employee</v>
      </c>
      <c r="F771" t="s">
        <v>44</v>
      </c>
      <c r="G771">
        <v>1240</v>
      </c>
      <c r="H771" t="s">
        <v>45</v>
      </c>
      <c r="I771">
        <v>9</v>
      </c>
      <c r="J771">
        <v>3</v>
      </c>
      <c r="K771" t="s">
        <v>49</v>
      </c>
      <c r="L771">
        <v>1</v>
      </c>
      <c r="M771">
        <v>1</v>
      </c>
      <c r="N771" t="s">
        <v>39</v>
      </c>
      <c r="O771">
        <v>63</v>
      </c>
      <c r="P771">
        <v>3</v>
      </c>
      <c r="Q771">
        <v>1</v>
      </c>
      <c r="R771" t="s">
        <v>47</v>
      </c>
      <c r="S771">
        <v>3</v>
      </c>
      <c r="T771" t="str" cm="1">
        <f t="array" ref="T771">_xlfn.IFS(S771&lt;=2,"Poor",S771&lt;=3,"Fair",S771&gt;=4,"Good")</f>
        <v>Fair</v>
      </c>
      <c r="U771" t="s">
        <v>48</v>
      </c>
      <c r="V771" s="1">
        <v>2942</v>
      </c>
      <c r="W771" t="str" cm="1">
        <f t="array" ref="W771">_xlfn.IFS(V771&lt;=5000,"Low Salary",V771&lt;=12000,"Good Salary",V771&gt;12000,"High Salary")</f>
        <v>Low Salary</v>
      </c>
      <c r="X771">
        <v>12154</v>
      </c>
      <c r="Y771">
        <v>2</v>
      </c>
      <c r="Z771" t="s">
        <v>42</v>
      </c>
      <c r="AA771" t="s">
        <v>35</v>
      </c>
      <c r="AB771">
        <v>19</v>
      </c>
      <c r="AC771">
        <v>3</v>
      </c>
      <c r="AD771" t="str">
        <f t="shared" ref="AD771:AD834" si="25">IF(AC771&lt;=3,"Low Performance","High Performance")</f>
        <v>Low Performance</v>
      </c>
      <c r="AE771">
        <v>2</v>
      </c>
      <c r="AF771">
        <v>80</v>
      </c>
      <c r="AG771">
        <v>1</v>
      </c>
      <c r="AH771">
        <v>18</v>
      </c>
      <c r="AI771">
        <v>4</v>
      </c>
      <c r="AJ771">
        <v>3</v>
      </c>
      <c r="AK771" t="str" cm="1">
        <f t="array" ref="AK771">_xlfn.IFS(AJ771&lt;=2,"Poor",AJ771&lt;=3,"Fair",AJ771&gt;3,"Good")</f>
        <v>Fair</v>
      </c>
      <c r="AL771">
        <v>5</v>
      </c>
      <c r="AM771">
        <v>4</v>
      </c>
      <c r="AN771">
        <v>0</v>
      </c>
      <c r="AO771">
        <v>3</v>
      </c>
    </row>
    <row r="772" spans="1:41" x14ac:dyDescent="0.2">
      <c r="A772">
        <v>1619652</v>
      </c>
      <c r="B772">
        <v>36</v>
      </c>
      <c r="C772" t="str" cm="1">
        <f t="array" ref="C772">_xlfn.IFS(B772&lt;=25,"15-25",B772&lt;=35,"26-35",B772&lt;=45,"36-45",B772&lt;=55,"46-55",B772&lt;=65,"56-65")</f>
        <v>36-45</v>
      </c>
      <c r="D772" t="s">
        <v>35</v>
      </c>
      <c r="E772" t="str">
        <f t="shared" si="24"/>
        <v>Current Employee</v>
      </c>
      <c r="F772" t="s">
        <v>36</v>
      </c>
      <c r="G772">
        <v>796</v>
      </c>
      <c r="H772" t="s">
        <v>45</v>
      </c>
      <c r="I772">
        <v>12</v>
      </c>
      <c r="J772">
        <v>5</v>
      </c>
      <c r="K772" t="s">
        <v>49</v>
      </c>
      <c r="L772">
        <v>1</v>
      </c>
      <c r="M772">
        <v>4</v>
      </c>
      <c r="N772" t="s">
        <v>39</v>
      </c>
      <c r="O772">
        <v>51</v>
      </c>
      <c r="P772">
        <v>2</v>
      </c>
      <c r="Q772">
        <v>3</v>
      </c>
      <c r="R772" t="s">
        <v>51</v>
      </c>
      <c r="S772">
        <v>4</v>
      </c>
      <c r="T772" t="str" cm="1">
        <f t="array" ref="T772">_xlfn.IFS(S772&lt;=2,"Poor",S772&lt;=3,"Fair",S772&gt;=4,"Good")</f>
        <v>Good</v>
      </c>
      <c r="U772" t="s">
        <v>41</v>
      </c>
      <c r="V772" s="1">
        <v>8858</v>
      </c>
      <c r="W772" t="str" cm="1">
        <f t="array" ref="W772">_xlfn.IFS(V772&lt;=5000,"Low Salary",V772&lt;=12000,"Good Salary",V772&gt;12000,"High Salary")</f>
        <v>Good Salary</v>
      </c>
      <c r="X772">
        <v>15669</v>
      </c>
      <c r="Y772">
        <v>0</v>
      </c>
      <c r="Z772" t="s">
        <v>42</v>
      </c>
      <c r="AA772" t="s">
        <v>35</v>
      </c>
      <c r="AB772">
        <v>11</v>
      </c>
      <c r="AC772">
        <v>3</v>
      </c>
      <c r="AD772" t="str">
        <f t="shared" si="25"/>
        <v>Low Performance</v>
      </c>
      <c r="AE772">
        <v>2</v>
      </c>
      <c r="AF772">
        <v>80</v>
      </c>
      <c r="AG772">
        <v>0</v>
      </c>
      <c r="AH772">
        <v>15</v>
      </c>
      <c r="AI772">
        <v>2</v>
      </c>
      <c r="AJ772">
        <v>2</v>
      </c>
      <c r="AK772" t="str" cm="1">
        <f t="array" ref="AK772">_xlfn.IFS(AJ772&lt;=2,"Poor",AJ772&lt;=3,"Fair",AJ772&gt;3,"Good")</f>
        <v>Poor</v>
      </c>
      <c r="AL772">
        <v>14</v>
      </c>
      <c r="AM772">
        <v>8</v>
      </c>
      <c r="AN772">
        <v>7</v>
      </c>
      <c r="AO772">
        <v>8</v>
      </c>
    </row>
    <row r="773" spans="1:41" x14ac:dyDescent="0.2">
      <c r="A773">
        <v>1828114</v>
      </c>
      <c r="B773">
        <v>55</v>
      </c>
      <c r="C773" t="str" cm="1">
        <f t="array" ref="C773">_xlfn.IFS(B773&lt;=25,"15-25",B773&lt;=35,"26-35",B773&lt;=45,"36-45",B773&lt;=55,"46-55",B773&lt;=65,"56-65")</f>
        <v>46-55</v>
      </c>
      <c r="D773" t="s">
        <v>35</v>
      </c>
      <c r="E773" t="str">
        <f t="shared" si="24"/>
        <v>Current Employee</v>
      </c>
      <c r="F773" t="s">
        <v>52</v>
      </c>
      <c r="G773">
        <v>444</v>
      </c>
      <c r="H773" t="s">
        <v>54</v>
      </c>
      <c r="I773">
        <v>2</v>
      </c>
      <c r="J773">
        <v>1</v>
      </c>
      <c r="K773" t="s">
        <v>49</v>
      </c>
      <c r="L773">
        <v>1</v>
      </c>
      <c r="M773">
        <v>3</v>
      </c>
      <c r="N773" t="s">
        <v>46</v>
      </c>
      <c r="O773">
        <v>40</v>
      </c>
      <c r="P773">
        <v>2</v>
      </c>
      <c r="Q773">
        <v>4</v>
      </c>
      <c r="R773" t="s">
        <v>47</v>
      </c>
      <c r="S773">
        <v>1</v>
      </c>
      <c r="T773" t="str" cm="1">
        <f t="array" ref="T773">_xlfn.IFS(S773&lt;=2,"Poor",S773&lt;=3,"Fair",S773&gt;=4,"Good")</f>
        <v>Poor</v>
      </c>
      <c r="U773" t="s">
        <v>41</v>
      </c>
      <c r="V773" s="1">
        <v>16756</v>
      </c>
      <c r="W773" t="str" cm="1">
        <f t="array" ref="W773">_xlfn.IFS(V773&lt;=5000,"Low Salary",V773&lt;=12000,"Good Salary",V773&gt;12000,"High Salary")</f>
        <v>High Salary</v>
      </c>
      <c r="X773">
        <v>17323</v>
      </c>
      <c r="Y773">
        <v>7</v>
      </c>
      <c r="Z773" t="s">
        <v>42</v>
      </c>
      <c r="AA773" t="s">
        <v>35</v>
      </c>
      <c r="AB773">
        <v>15</v>
      </c>
      <c r="AC773">
        <v>3</v>
      </c>
      <c r="AD773" t="str">
        <f t="shared" si="25"/>
        <v>Low Performance</v>
      </c>
      <c r="AE773">
        <v>2</v>
      </c>
      <c r="AF773">
        <v>80</v>
      </c>
      <c r="AG773">
        <v>0</v>
      </c>
      <c r="AH773">
        <v>31</v>
      </c>
      <c r="AI773">
        <v>3</v>
      </c>
      <c r="AJ773">
        <v>4</v>
      </c>
      <c r="AK773" t="str" cm="1">
        <f t="array" ref="AK773">_xlfn.IFS(AJ773&lt;=2,"Poor",AJ773&lt;=3,"Fair",AJ773&gt;3,"Good")</f>
        <v>Good</v>
      </c>
      <c r="AL773">
        <v>9</v>
      </c>
      <c r="AM773">
        <v>7</v>
      </c>
      <c r="AN773">
        <v>6</v>
      </c>
      <c r="AO773">
        <v>2</v>
      </c>
    </row>
    <row r="774" spans="1:41" x14ac:dyDescent="0.2">
      <c r="A774">
        <v>1128254</v>
      </c>
      <c r="B774">
        <v>43</v>
      </c>
      <c r="C774" t="str" cm="1">
        <f t="array" ref="C774">_xlfn.IFS(B774&lt;=25,"15-25",B774&lt;=35,"26-35",B774&lt;=45,"36-45",B774&lt;=55,"46-55",B774&lt;=65,"56-65")</f>
        <v>36-45</v>
      </c>
      <c r="D774" t="s">
        <v>35</v>
      </c>
      <c r="E774" t="str">
        <f t="shared" si="24"/>
        <v>Current Employee</v>
      </c>
      <c r="F774" t="s">
        <v>36</v>
      </c>
      <c r="G774">
        <v>415</v>
      </c>
      <c r="H774" t="s">
        <v>37</v>
      </c>
      <c r="I774">
        <v>25</v>
      </c>
      <c r="J774">
        <v>3</v>
      </c>
      <c r="K774" t="s">
        <v>49</v>
      </c>
      <c r="L774">
        <v>1</v>
      </c>
      <c r="M774">
        <v>3</v>
      </c>
      <c r="N774" t="s">
        <v>46</v>
      </c>
      <c r="O774">
        <v>79</v>
      </c>
      <c r="P774">
        <v>2</v>
      </c>
      <c r="Q774">
        <v>3</v>
      </c>
      <c r="R774" t="s">
        <v>40</v>
      </c>
      <c r="S774">
        <v>4</v>
      </c>
      <c r="T774" t="str" cm="1">
        <f t="array" ref="T774">_xlfn.IFS(S774&lt;=2,"Poor",S774&lt;=3,"Fair",S774&gt;=4,"Good")</f>
        <v>Good</v>
      </c>
      <c r="U774" t="s">
        <v>50</v>
      </c>
      <c r="V774" s="1">
        <v>10798</v>
      </c>
      <c r="W774" t="str" cm="1">
        <f t="array" ref="W774">_xlfn.IFS(V774&lt;=5000,"Low Salary",V774&lt;=12000,"Good Salary",V774&gt;12000,"High Salary")</f>
        <v>Good Salary</v>
      </c>
      <c r="X774">
        <v>5268</v>
      </c>
      <c r="Y774">
        <v>5</v>
      </c>
      <c r="Z774" t="s">
        <v>42</v>
      </c>
      <c r="AA774" t="s">
        <v>35</v>
      </c>
      <c r="AB774">
        <v>13</v>
      </c>
      <c r="AC774">
        <v>3</v>
      </c>
      <c r="AD774" t="str">
        <f t="shared" si="25"/>
        <v>Low Performance</v>
      </c>
      <c r="AE774">
        <v>3</v>
      </c>
      <c r="AF774">
        <v>80</v>
      </c>
      <c r="AG774">
        <v>1</v>
      </c>
      <c r="AH774">
        <v>18</v>
      </c>
      <c r="AI774">
        <v>5</v>
      </c>
      <c r="AJ774">
        <v>3</v>
      </c>
      <c r="AK774" t="str" cm="1">
        <f t="array" ref="AK774">_xlfn.IFS(AJ774&lt;=2,"Poor",AJ774&lt;=3,"Fair",AJ774&gt;3,"Good")</f>
        <v>Fair</v>
      </c>
      <c r="AL774">
        <v>1</v>
      </c>
      <c r="AM774">
        <v>0</v>
      </c>
      <c r="AN774">
        <v>0</v>
      </c>
      <c r="AO774">
        <v>0</v>
      </c>
    </row>
    <row r="775" spans="1:41" x14ac:dyDescent="0.2">
      <c r="A775">
        <v>1084699</v>
      </c>
      <c r="B775">
        <v>20</v>
      </c>
      <c r="C775" t="str" cm="1">
        <f t="array" ref="C775">_xlfn.IFS(B775&lt;=25,"15-25",B775&lt;=35,"26-35",B775&lt;=45,"36-45",B775&lt;=55,"46-55",B775&lt;=65,"56-65")</f>
        <v>15-25</v>
      </c>
      <c r="D775" t="s">
        <v>43</v>
      </c>
      <c r="E775" t="str">
        <f t="shared" si="24"/>
        <v>Former Employee</v>
      </c>
      <c r="F775" t="s">
        <v>44</v>
      </c>
      <c r="G775">
        <v>769</v>
      </c>
      <c r="H775" t="s">
        <v>37</v>
      </c>
      <c r="I775">
        <v>9</v>
      </c>
      <c r="J775">
        <v>3</v>
      </c>
      <c r="K775" t="s">
        <v>55</v>
      </c>
      <c r="L775">
        <v>1</v>
      </c>
      <c r="M775">
        <v>4</v>
      </c>
      <c r="N775" t="s">
        <v>39</v>
      </c>
      <c r="O775">
        <v>54</v>
      </c>
      <c r="P775">
        <v>3</v>
      </c>
      <c r="Q775">
        <v>1</v>
      </c>
      <c r="R775" t="s">
        <v>47</v>
      </c>
      <c r="S775">
        <v>4</v>
      </c>
      <c r="T775" t="str" cm="1">
        <f t="array" ref="T775">_xlfn.IFS(S775&lt;=2,"Poor",S775&lt;=3,"Fair",S775&gt;=4,"Good")</f>
        <v>Good</v>
      </c>
      <c r="U775" t="s">
        <v>41</v>
      </c>
      <c r="V775" s="1">
        <v>2323</v>
      </c>
      <c r="W775" t="str" cm="1">
        <f t="array" ref="W775">_xlfn.IFS(V775&lt;=5000,"Low Salary",V775&lt;=12000,"Good Salary",V775&gt;12000,"High Salary")</f>
        <v>Low Salary</v>
      </c>
      <c r="X775">
        <v>17205</v>
      </c>
      <c r="Y775">
        <v>1</v>
      </c>
      <c r="Z775" t="s">
        <v>42</v>
      </c>
      <c r="AA775" t="s">
        <v>43</v>
      </c>
      <c r="AB775">
        <v>14</v>
      </c>
      <c r="AC775">
        <v>3</v>
      </c>
      <c r="AD775" t="str">
        <f t="shared" si="25"/>
        <v>Low Performance</v>
      </c>
      <c r="AE775">
        <v>2</v>
      </c>
      <c r="AF775">
        <v>80</v>
      </c>
      <c r="AG775">
        <v>0</v>
      </c>
      <c r="AH775">
        <v>2</v>
      </c>
      <c r="AI775">
        <v>3</v>
      </c>
      <c r="AJ775">
        <v>3</v>
      </c>
      <c r="AK775" t="str" cm="1">
        <f t="array" ref="AK775">_xlfn.IFS(AJ775&lt;=2,"Poor",AJ775&lt;=3,"Fair",AJ775&gt;3,"Good")</f>
        <v>Fair</v>
      </c>
      <c r="AL775">
        <v>2</v>
      </c>
      <c r="AM775">
        <v>2</v>
      </c>
      <c r="AN775">
        <v>0</v>
      </c>
      <c r="AO775">
        <v>2</v>
      </c>
    </row>
    <row r="776" spans="1:41" x14ac:dyDescent="0.2">
      <c r="A776">
        <v>1343829</v>
      </c>
      <c r="B776">
        <v>21</v>
      </c>
      <c r="C776" t="str" cm="1">
        <f t="array" ref="C776">_xlfn.IFS(B776&lt;=25,"15-25",B776&lt;=35,"26-35",B776&lt;=45,"36-45",B776&lt;=55,"46-55",B776&lt;=65,"56-65")</f>
        <v>15-25</v>
      </c>
      <c r="D776" t="s">
        <v>43</v>
      </c>
      <c r="E776" t="str">
        <f t="shared" si="24"/>
        <v>Former Employee</v>
      </c>
      <c r="F776" t="s">
        <v>36</v>
      </c>
      <c r="G776">
        <v>1334</v>
      </c>
      <c r="H776" t="s">
        <v>45</v>
      </c>
      <c r="I776">
        <v>10</v>
      </c>
      <c r="J776">
        <v>3</v>
      </c>
      <c r="K776" t="s">
        <v>38</v>
      </c>
      <c r="L776">
        <v>1</v>
      </c>
      <c r="M776">
        <v>3</v>
      </c>
      <c r="N776" t="s">
        <v>39</v>
      </c>
      <c r="O776">
        <v>36</v>
      </c>
      <c r="P776">
        <v>2</v>
      </c>
      <c r="Q776">
        <v>1</v>
      </c>
      <c r="R776" t="s">
        <v>40</v>
      </c>
      <c r="S776">
        <v>1</v>
      </c>
      <c r="T776" t="str" cm="1">
        <f t="array" ref="T776">_xlfn.IFS(S776&lt;=2,"Poor",S776&lt;=3,"Fair",S776&gt;=4,"Good")</f>
        <v>Poor</v>
      </c>
      <c r="U776" t="s">
        <v>41</v>
      </c>
      <c r="V776" s="1">
        <v>1416</v>
      </c>
      <c r="W776" t="str" cm="1">
        <f t="array" ref="W776">_xlfn.IFS(V776&lt;=5000,"Low Salary",V776&lt;=12000,"Good Salary",V776&gt;12000,"High Salary")</f>
        <v>Low Salary</v>
      </c>
      <c r="X776">
        <v>17258</v>
      </c>
      <c r="Y776">
        <v>1</v>
      </c>
      <c r="Z776" t="s">
        <v>42</v>
      </c>
      <c r="AA776" t="s">
        <v>35</v>
      </c>
      <c r="AB776">
        <v>13</v>
      </c>
      <c r="AC776">
        <v>3</v>
      </c>
      <c r="AD776" t="str">
        <f t="shared" si="25"/>
        <v>Low Performance</v>
      </c>
      <c r="AE776">
        <v>1</v>
      </c>
      <c r="AF776">
        <v>80</v>
      </c>
      <c r="AG776">
        <v>0</v>
      </c>
      <c r="AH776">
        <v>1</v>
      </c>
      <c r="AI776">
        <v>6</v>
      </c>
      <c r="AJ776">
        <v>2</v>
      </c>
      <c r="AK776" t="str" cm="1">
        <f t="array" ref="AK776">_xlfn.IFS(AJ776&lt;=2,"Poor",AJ776&lt;=3,"Fair",AJ776&gt;3,"Good")</f>
        <v>Poor</v>
      </c>
      <c r="AL776">
        <v>1</v>
      </c>
      <c r="AM776">
        <v>0</v>
      </c>
      <c r="AN776">
        <v>1</v>
      </c>
      <c r="AO776">
        <v>0</v>
      </c>
    </row>
    <row r="777" spans="1:41" x14ac:dyDescent="0.2">
      <c r="A777">
        <v>1603378</v>
      </c>
      <c r="B777">
        <v>46</v>
      </c>
      <c r="C777" t="str" cm="1">
        <f t="array" ref="C777">_xlfn.IFS(B777&lt;=25,"15-25",B777&lt;=35,"26-35",B777&lt;=45,"36-45",B777&lt;=55,"46-55",B777&lt;=65,"56-65")</f>
        <v>46-55</v>
      </c>
      <c r="D777" t="s">
        <v>35</v>
      </c>
      <c r="E777" t="str">
        <f t="shared" si="24"/>
        <v>Current Employee</v>
      </c>
      <c r="F777" t="s">
        <v>36</v>
      </c>
      <c r="G777">
        <v>1003</v>
      </c>
      <c r="H777" t="s">
        <v>45</v>
      </c>
      <c r="I777">
        <v>8</v>
      </c>
      <c r="J777">
        <v>4</v>
      </c>
      <c r="K777" t="s">
        <v>38</v>
      </c>
      <c r="L777">
        <v>1</v>
      </c>
      <c r="M777">
        <v>4</v>
      </c>
      <c r="N777" t="s">
        <v>39</v>
      </c>
      <c r="O777">
        <v>74</v>
      </c>
      <c r="P777">
        <v>2</v>
      </c>
      <c r="Q777">
        <v>2</v>
      </c>
      <c r="R777" t="s">
        <v>47</v>
      </c>
      <c r="S777">
        <v>1</v>
      </c>
      <c r="T777" t="str" cm="1">
        <f t="array" ref="T777">_xlfn.IFS(S777&lt;=2,"Poor",S777&lt;=3,"Fair",S777&gt;=4,"Good")</f>
        <v>Poor</v>
      </c>
      <c r="U777" t="s">
        <v>50</v>
      </c>
      <c r="V777" s="1">
        <v>4615</v>
      </c>
      <c r="W777" t="str" cm="1">
        <f t="array" ref="W777">_xlfn.IFS(V777&lt;=5000,"Low Salary",V777&lt;=12000,"Good Salary",V777&gt;12000,"High Salary")</f>
        <v>Low Salary</v>
      </c>
      <c r="X777">
        <v>21029</v>
      </c>
      <c r="Y777">
        <v>8</v>
      </c>
      <c r="Z777" t="s">
        <v>42</v>
      </c>
      <c r="AA777" t="s">
        <v>43</v>
      </c>
      <c r="AB777">
        <v>23</v>
      </c>
      <c r="AC777">
        <v>4</v>
      </c>
      <c r="AD777" t="str">
        <f t="shared" si="25"/>
        <v>High Performance</v>
      </c>
      <c r="AE777">
        <v>1</v>
      </c>
      <c r="AF777">
        <v>80</v>
      </c>
      <c r="AG777">
        <v>3</v>
      </c>
      <c r="AH777">
        <v>19</v>
      </c>
      <c r="AI777">
        <v>2</v>
      </c>
      <c r="AJ777">
        <v>3</v>
      </c>
      <c r="AK777" t="str" cm="1">
        <f t="array" ref="AK777">_xlfn.IFS(AJ777&lt;=2,"Poor",AJ777&lt;=3,"Fair",AJ777&gt;3,"Good")</f>
        <v>Fair</v>
      </c>
      <c r="AL777">
        <v>16</v>
      </c>
      <c r="AM777">
        <v>13</v>
      </c>
      <c r="AN777">
        <v>1</v>
      </c>
      <c r="AO777">
        <v>7</v>
      </c>
    </row>
    <row r="778" spans="1:41" x14ac:dyDescent="0.2">
      <c r="A778">
        <v>1720881</v>
      </c>
      <c r="B778">
        <v>51</v>
      </c>
      <c r="C778" t="str" cm="1">
        <f t="array" ref="C778">_xlfn.IFS(B778&lt;=25,"15-25",B778&lt;=35,"26-35",B778&lt;=45,"36-45",B778&lt;=55,"46-55",B778&lt;=65,"56-65")</f>
        <v>46-55</v>
      </c>
      <c r="D778" t="s">
        <v>35</v>
      </c>
      <c r="E778" t="str">
        <f t="shared" si="24"/>
        <v>Current Employee</v>
      </c>
      <c r="F778" t="s">
        <v>36</v>
      </c>
      <c r="G778">
        <v>1323</v>
      </c>
      <c r="H778" t="s">
        <v>45</v>
      </c>
      <c r="I778">
        <v>4</v>
      </c>
      <c r="J778">
        <v>4</v>
      </c>
      <c r="K778" t="s">
        <v>38</v>
      </c>
      <c r="L778">
        <v>1</v>
      </c>
      <c r="M778">
        <v>1</v>
      </c>
      <c r="N778" t="s">
        <v>46</v>
      </c>
      <c r="O778">
        <v>34</v>
      </c>
      <c r="P778">
        <v>3</v>
      </c>
      <c r="Q778">
        <v>1</v>
      </c>
      <c r="R778" t="s">
        <v>47</v>
      </c>
      <c r="S778">
        <v>3</v>
      </c>
      <c r="T778" t="str" cm="1">
        <f t="array" ref="T778">_xlfn.IFS(S778&lt;=2,"Poor",S778&lt;=3,"Fair",S778&gt;=4,"Good")</f>
        <v>Fair</v>
      </c>
      <c r="U778" t="s">
        <v>48</v>
      </c>
      <c r="V778" s="1">
        <v>2461</v>
      </c>
      <c r="W778" t="str" cm="1">
        <f t="array" ref="W778">_xlfn.IFS(V778&lt;=5000,"Low Salary",V778&lt;=12000,"Good Salary",V778&gt;12000,"High Salary")</f>
        <v>Low Salary</v>
      </c>
      <c r="X778">
        <v>10332</v>
      </c>
      <c r="Y778">
        <v>9</v>
      </c>
      <c r="Z778" t="s">
        <v>42</v>
      </c>
      <c r="AA778" t="s">
        <v>43</v>
      </c>
      <c r="AB778">
        <v>12</v>
      </c>
      <c r="AC778">
        <v>3</v>
      </c>
      <c r="AD778" t="str">
        <f t="shared" si="25"/>
        <v>Low Performance</v>
      </c>
      <c r="AE778">
        <v>3</v>
      </c>
      <c r="AF778">
        <v>80</v>
      </c>
      <c r="AG778">
        <v>3</v>
      </c>
      <c r="AH778">
        <v>18</v>
      </c>
      <c r="AI778">
        <v>2</v>
      </c>
      <c r="AJ778">
        <v>4</v>
      </c>
      <c r="AK778" t="str" cm="1">
        <f t="array" ref="AK778">_xlfn.IFS(AJ778&lt;=2,"Poor",AJ778&lt;=3,"Fair",AJ778&gt;3,"Good")</f>
        <v>Good</v>
      </c>
      <c r="AL778">
        <v>10</v>
      </c>
      <c r="AM778">
        <v>0</v>
      </c>
      <c r="AN778">
        <v>2</v>
      </c>
      <c r="AO778">
        <v>7</v>
      </c>
    </row>
    <row r="779" spans="1:41" x14ac:dyDescent="0.2">
      <c r="A779">
        <v>1748251</v>
      </c>
      <c r="B779">
        <v>28</v>
      </c>
      <c r="C779" t="str" cm="1">
        <f t="array" ref="C779">_xlfn.IFS(B779&lt;=25,"15-25",B779&lt;=35,"26-35",B779&lt;=45,"36-45",B779&lt;=55,"46-55",B779&lt;=65,"56-65")</f>
        <v>26-35</v>
      </c>
      <c r="D779" t="s">
        <v>35</v>
      </c>
      <c r="E779" t="str">
        <f t="shared" si="24"/>
        <v>Current Employee</v>
      </c>
      <c r="F779" t="s">
        <v>52</v>
      </c>
      <c r="G779">
        <v>1366</v>
      </c>
      <c r="H779" t="s">
        <v>45</v>
      </c>
      <c r="I779">
        <v>24</v>
      </c>
      <c r="J779">
        <v>2</v>
      </c>
      <c r="K779" t="s">
        <v>56</v>
      </c>
      <c r="L779">
        <v>1</v>
      </c>
      <c r="M779">
        <v>2</v>
      </c>
      <c r="N779" t="s">
        <v>46</v>
      </c>
      <c r="O779">
        <v>72</v>
      </c>
      <c r="P779">
        <v>2</v>
      </c>
      <c r="Q779">
        <v>3</v>
      </c>
      <c r="R779" t="s">
        <v>40</v>
      </c>
      <c r="S779">
        <v>1</v>
      </c>
      <c r="T779" t="str" cm="1">
        <f t="array" ref="T779">_xlfn.IFS(S779&lt;=2,"Poor",S779&lt;=3,"Fair",S779&gt;=4,"Good")</f>
        <v>Poor</v>
      </c>
      <c r="U779" t="s">
        <v>41</v>
      </c>
      <c r="V779" s="1">
        <v>8722</v>
      </c>
      <c r="W779" t="str" cm="1">
        <f t="array" ref="W779">_xlfn.IFS(V779&lt;=5000,"Low Salary",V779&lt;=12000,"Good Salary",V779&gt;12000,"High Salary")</f>
        <v>Good Salary</v>
      </c>
      <c r="X779">
        <v>12355</v>
      </c>
      <c r="Y779">
        <v>1</v>
      </c>
      <c r="Z779" t="s">
        <v>42</v>
      </c>
      <c r="AA779" t="s">
        <v>35</v>
      </c>
      <c r="AB779">
        <v>12</v>
      </c>
      <c r="AC779">
        <v>3</v>
      </c>
      <c r="AD779" t="str">
        <f t="shared" si="25"/>
        <v>Low Performance</v>
      </c>
      <c r="AE779">
        <v>1</v>
      </c>
      <c r="AF779">
        <v>80</v>
      </c>
      <c r="AG779">
        <v>0</v>
      </c>
      <c r="AH779">
        <v>10</v>
      </c>
      <c r="AI779">
        <v>2</v>
      </c>
      <c r="AJ779">
        <v>2</v>
      </c>
      <c r="AK779" t="str" cm="1">
        <f t="array" ref="AK779">_xlfn.IFS(AJ779&lt;=2,"Poor",AJ779&lt;=3,"Fair",AJ779&gt;3,"Good")</f>
        <v>Poor</v>
      </c>
      <c r="AL779">
        <v>10</v>
      </c>
      <c r="AM779">
        <v>7</v>
      </c>
      <c r="AN779">
        <v>1</v>
      </c>
      <c r="AO779">
        <v>9</v>
      </c>
    </row>
    <row r="780" spans="1:41" x14ac:dyDescent="0.2">
      <c r="A780">
        <v>1740472</v>
      </c>
      <c r="B780">
        <v>26</v>
      </c>
      <c r="C780" t="str" cm="1">
        <f t="array" ref="C780">_xlfn.IFS(B780&lt;=25,"15-25",B780&lt;=35,"26-35",B780&lt;=45,"36-45",B780&lt;=55,"46-55",B780&lt;=65,"56-65")</f>
        <v>26-35</v>
      </c>
      <c r="D780" t="s">
        <v>35</v>
      </c>
      <c r="E780" t="str">
        <f t="shared" si="24"/>
        <v>Current Employee</v>
      </c>
      <c r="F780" t="s">
        <v>36</v>
      </c>
      <c r="G780">
        <v>192</v>
      </c>
      <c r="H780" t="s">
        <v>45</v>
      </c>
      <c r="I780">
        <v>1</v>
      </c>
      <c r="J780">
        <v>2</v>
      </c>
      <c r="K780" t="s">
        <v>49</v>
      </c>
      <c r="L780">
        <v>1</v>
      </c>
      <c r="M780">
        <v>1</v>
      </c>
      <c r="N780" t="s">
        <v>46</v>
      </c>
      <c r="O780">
        <v>59</v>
      </c>
      <c r="P780">
        <v>2</v>
      </c>
      <c r="Q780">
        <v>1</v>
      </c>
      <c r="R780" t="s">
        <v>40</v>
      </c>
      <c r="S780">
        <v>1</v>
      </c>
      <c r="T780" t="str" cm="1">
        <f t="array" ref="T780">_xlfn.IFS(S780&lt;=2,"Poor",S780&lt;=3,"Fair",S780&gt;=4,"Good")</f>
        <v>Poor</v>
      </c>
      <c r="U780" t="s">
        <v>48</v>
      </c>
      <c r="V780" s="1">
        <v>3955</v>
      </c>
      <c r="W780" t="str" cm="1">
        <f t="array" ref="W780">_xlfn.IFS(V780&lt;=5000,"Low Salary",V780&lt;=12000,"Good Salary",V780&gt;12000,"High Salary")</f>
        <v>Low Salary</v>
      </c>
      <c r="X780">
        <v>11141</v>
      </c>
      <c r="Y780">
        <v>1</v>
      </c>
      <c r="Z780" t="s">
        <v>42</v>
      </c>
      <c r="AA780" t="s">
        <v>35</v>
      </c>
      <c r="AB780">
        <v>16</v>
      </c>
      <c r="AC780">
        <v>3</v>
      </c>
      <c r="AD780" t="str">
        <f t="shared" si="25"/>
        <v>Low Performance</v>
      </c>
      <c r="AE780">
        <v>1</v>
      </c>
      <c r="AF780">
        <v>80</v>
      </c>
      <c r="AG780">
        <v>2</v>
      </c>
      <c r="AH780">
        <v>6</v>
      </c>
      <c r="AI780">
        <v>2</v>
      </c>
      <c r="AJ780">
        <v>3</v>
      </c>
      <c r="AK780" t="str" cm="1">
        <f t="array" ref="AK780">_xlfn.IFS(AJ780&lt;=2,"Poor",AJ780&lt;=3,"Fair",AJ780&gt;3,"Good")</f>
        <v>Fair</v>
      </c>
      <c r="AL780">
        <v>5</v>
      </c>
      <c r="AM780">
        <v>3</v>
      </c>
      <c r="AN780">
        <v>1</v>
      </c>
      <c r="AO780">
        <v>3</v>
      </c>
    </row>
    <row r="781" spans="1:41" x14ac:dyDescent="0.2">
      <c r="A781">
        <v>1825779</v>
      </c>
      <c r="B781">
        <v>30</v>
      </c>
      <c r="C781" t="str" cm="1">
        <f t="array" ref="C781">_xlfn.IFS(B781&lt;=25,"15-25",B781&lt;=35,"26-35",B781&lt;=45,"36-45",B781&lt;=55,"46-55",B781&lt;=65,"56-65")</f>
        <v>26-35</v>
      </c>
      <c r="D781" t="s">
        <v>35</v>
      </c>
      <c r="E781" t="str">
        <f t="shared" si="24"/>
        <v>Current Employee</v>
      </c>
      <c r="F781" t="s">
        <v>36</v>
      </c>
      <c r="G781">
        <v>1176</v>
      </c>
      <c r="H781" t="s">
        <v>45</v>
      </c>
      <c r="I781">
        <v>20</v>
      </c>
      <c r="J781">
        <v>3</v>
      </c>
      <c r="K781" t="s">
        <v>47</v>
      </c>
      <c r="L781">
        <v>1</v>
      </c>
      <c r="M781">
        <v>3</v>
      </c>
      <c r="N781" t="s">
        <v>46</v>
      </c>
      <c r="O781">
        <v>85</v>
      </c>
      <c r="P781">
        <v>3</v>
      </c>
      <c r="Q781">
        <v>2</v>
      </c>
      <c r="R781" t="s">
        <v>51</v>
      </c>
      <c r="S781">
        <v>1</v>
      </c>
      <c r="T781" t="str" cm="1">
        <f t="array" ref="T781">_xlfn.IFS(S781&lt;=2,"Poor",S781&lt;=3,"Fair",S781&gt;=4,"Good")</f>
        <v>Poor</v>
      </c>
      <c r="U781" t="s">
        <v>48</v>
      </c>
      <c r="V781" s="1">
        <v>9957</v>
      </c>
      <c r="W781" t="str" cm="1">
        <f t="array" ref="W781">_xlfn.IFS(V781&lt;=5000,"Low Salary",V781&lt;=12000,"Good Salary",V781&gt;12000,"High Salary")</f>
        <v>Good Salary</v>
      </c>
      <c r="X781">
        <v>9096</v>
      </c>
      <c r="Y781">
        <v>0</v>
      </c>
      <c r="Z781" t="s">
        <v>42</v>
      </c>
      <c r="AA781" t="s">
        <v>35</v>
      </c>
      <c r="AB781">
        <v>15</v>
      </c>
      <c r="AC781">
        <v>3</v>
      </c>
      <c r="AD781" t="str">
        <f t="shared" si="25"/>
        <v>Low Performance</v>
      </c>
      <c r="AE781">
        <v>3</v>
      </c>
      <c r="AF781">
        <v>80</v>
      </c>
      <c r="AG781">
        <v>1</v>
      </c>
      <c r="AH781">
        <v>7</v>
      </c>
      <c r="AI781">
        <v>1</v>
      </c>
      <c r="AJ781">
        <v>2</v>
      </c>
      <c r="AK781" t="str" cm="1">
        <f t="array" ref="AK781">_xlfn.IFS(AJ781&lt;=2,"Poor",AJ781&lt;=3,"Fair",AJ781&gt;3,"Good")</f>
        <v>Poor</v>
      </c>
      <c r="AL781">
        <v>6</v>
      </c>
      <c r="AM781">
        <v>2</v>
      </c>
      <c r="AN781">
        <v>0</v>
      </c>
      <c r="AO781">
        <v>2</v>
      </c>
    </row>
    <row r="782" spans="1:41" x14ac:dyDescent="0.2">
      <c r="A782">
        <v>1221286</v>
      </c>
      <c r="B782">
        <v>41</v>
      </c>
      <c r="C782" t="str" cm="1">
        <f t="array" ref="C782">_xlfn.IFS(B782&lt;=25,"15-25",B782&lt;=35,"26-35",B782&lt;=45,"36-45",B782&lt;=55,"46-55",B782&lt;=65,"56-65")</f>
        <v>36-45</v>
      </c>
      <c r="D782" t="s">
        <v>35</v>
      </c>
      <c r="E782" t="str">
        <f t="shared" si="24"/>
        <v>Current Employee</v>
      </c>
      <c r="F782" t="s">
        <v>36</v>
      </c>
      <c r="G782">
        <v>509</v>
      </c>
      <c r="H782" t="s">
        <v>45</v>
      </c>
      <c r="I782">
        <v>7</v>
      </c>
      <c r="J782">
        <v>2</v>
      </c>
      <c r="K782" t="s">
        <v>56</v>
      </c>
      <c r="L782">
        <v>1</v>
      </c>
      <c r="M782">
        <v>2</v>
      </c>
      <c r="N782" t="s">
        <v>39</v>
      </c>
      <c r="O782">
        <v>43</v>
      </c>
      <c r="P782">
        <v>4</v>
      </c>
      <c r="Q782">
        <v>1</v>
      </c>
      <c r="R782" t="s">
        <v>47</v>
      </c>
      <c r="S782">
        <v>3</v>
      </c>
      <c r="T782" t="str" cm="1">
        <f t="array" ref="T782">_xlfn.IFS(S782&lt;=2,"Poor",S782&lt;=3,"Fair",S782&gt;=4,"Good")</f>
        <v>Fair</v>
      </c>
      <c r="U782" t="s">
        <v>48</v>
      </c>
      <c r="V782" s="1">
        <v>3376</v>
      </c>
      <c r="W782" t="str" cm="1">
        <f t="array" ref="W782">_xlfn.IFS(V782&lt;=5000,"Low Salary",V782&lt;=12000,"Good Salary",V782&gt;12000,"High Salary")</f>
        <v>Low Salary</v>
      </c>
      <c r="X782">
        <v>18863</v>
      </c>
      <c r="Y782">
        <v>1</v>
      </c>
      <c r="Z782" t="s">
        <v>42</v>
      </c>
      <c r="AA782" t="s">
        <v>35</v>
      </c>
      <c r="AB782">
        <v>13</v>
      </c>
      <c r="AC782">
        <v>3</v>
      </c>
      <c r="AD782" t="str">
        <f t="shared" si="25"/>
        <v>Low Performance</v>
      </c>
      <c r="AE782">
        <v>3</v>
      </c>
      <c r="AF782">
        <v>80</v>
      </c>
      <c r="AG782">
        <v>0</v>
      </c>
      <c r="AH782">
        <v>10</v>
      </c>
      <c r="AI782">
        <v>3</v>
      </c>
      <c r="AJ782">
        <v>3</v>
      </c>
      <c r="AK782" t="str" cm="1">
        <f t="array" ref="AK782">_xlfn.IFS(AJ782&lt;=2,"Poor",AJ782&lt;=3,"Fair",AJ782&gt;3,"Good")</f>
        <v>Fair</v>
      </c>
      <c r="AL782">
        <v>10</v>
      </c>
      <c r="AM782">
        <v>6</v>
      </c>
      <c r="AN782">
        <v>0</v>
      </c>
      <c r="AO782">
        <v>8</v>
      </c>
    </row>
    <row r="783" spans="1:41" x14ac:dyDescent="0.2">
      <c r="A783">
        <v>1595168</v>
      </c>
      <c r="B783">
        <v>38</v>
      </c>
      <c r="C783" t="str" cm="1">
        <f t="array" ref="C783">_xlfn.IFS(B783&lt;=25,"15-25",B783&lt;=35,"26-35",B783&lt;=45,"36-45",B783&lt;=55,"46-55",B783&lt;=65,"56-65")</f>
        <v>36-45</v>
      </c>
      <c r="D783" t="s">
        <v>35</v>
      </c>
      <c r="E783" t="str">
        <f t="shared" si="24"/>
        <v>Current Employee</v>
      </c>
      <c r="F783" t="s">
        <v>36</v>
      </c>
      <c r="G783">
        <v>330</v>
      </c>
      <c r="H783" t="s">
        <v>45</v>
      </c>
      <c r="I783">
        <v>17</v>
      </c>
      <c r="J783">
        <v>1</v>
      </c>
      <c r="K783" t="s">
        <v>38</v>
      </c>
      <c r="L783">
        <v>1</v>
      </c>
      <c r="M783">
        <v>3</v>
      </c>
      <c r="N783" t="s">
        <v>39</v>
      </c>
      <c r="O783">
        <v>65</v>
      </c>
      <c r="P783">
        <v>2</v>
      </c>
      <c r="Q783">
        <v>3</v>
      </c>
      <c r="R783" t="s">
        <v>40</v>
      </c>
      <c r="S783">
        <v>3</v>
      </c>
      <c r="T783" t="str" cm="1">
        <f t="array" ref="T783">_xlfn.IFS(S783&lt;=2,"Poor",S783&lt;=3,"Fair",S783&gt;=4,"Good")</f>
        <v>Fair</v>
      </c>
      <c r="U783" t="s">
        <v>48</v>
      </c>
      <c r="V783" s="1">
        <v>8823</v>
      </c>
      <c r="W783" t="str" cm="1">
        <f t="array" ref="W783">_xlfn.IFS(V783&lt;=5000,"Low Salary",V783&lt;=12000,"Good Salary",V783&gt;12000,"High Salary")</f>
        <v>Good Salary</v>
      </c>
      <c r="X783">
        <v>24608</v>
      </c>
      <c r="Y783">
        <v>0</v>
      </c>
      <c r="Z783" t="s">
        <v>42</v>
      </c>
      <c r="AA783" t="s">
        <v>35</v>
      </c>
      <c r="AB783">
        <v>18</v>
      </c>
      <c r="AC783">
        <v>3</v>
      </c>
      <c r="AD783" t="str">
        <f t="shared" si="25"/>
        <v>Low Performance</v>
      </c>
      <c r="AE783">
        <v>1</v>
      </c>
      <c r="AF783">
        <v>80</v>
      </c>
      <c r="AG783">
        <v>1</v>
      </c>
      <c r="AH783">
        <v>20</v>
      </c>
      <c r="AI783">
        <v>4</v>
      </c>
      <c r="AJ783">
        <v>2</v>
      </c>
      <c r="AK783" t="str" cm="1">
        <f t="array" ref="AK783">_xlfn.IFS(AJ783&lt;=2,"Poor",AJ783&lt;=3,"Fair",AJ783&gt;3,"Good")</f>
        <v>Poor</v>
      </c>
      <c r="AL783">
        <v>19</v>
      </c>
      <c r="AM783">
        <v>9</v>
      </c>
      <c r="AN783">
        <v>1</v>
      </c>
      <c r="AO783">
        <v>9</v>
      </c>
    </row>
    <row r="784" spans="1:41" x14ac:dyDescent="0.2">
      <c r="A784">
        <v>1317075</v>
      </c>
      <c r="B784">
        <v>40</v>
      </c>
      <c r="C784" t="str" cm="1">
        <f t="array" ref="C784">_xlfn.IFS(B784&lt;=25,"15-25",B784&lt;=35,"26-35",B784&lt;=45,"36-45",B784&lt;=55,"46-55",B784&lt;=65,"56-65")</f>
        <v>36-45</v>
      </c>
      <c r="D784" t="s">
        <v>35</v>
      </c>
      <c r="E784" t="str">
        <f t="shared" si="24"/>
        <v>Current Employee</v>
      </c>
      <c r="F784" t="s">
        <v>36</v>
      </c>
      <c r="G784">
        <v>1492</v>
      </c>
      <c r="H784" t="s">
        <v>45</v>
      </c>
      <c r="I784">
        <v>20</v>
      </c>
      <c r="J784">
        <v>4</v>
      </c>
      <c r="K784" t="s">
        <v>56</v>
      </c>
      <c r="L784">
        <v>1</v>
      </c>
      <c r="M784">
        <v>1</v>
      </c>
      <c r="N784" t="s">
        <v>46</v>
      </c>
      <c r="O784">
        <v>61</v>
      </c>
      <c r="P784">
        <v>3</v>
      </c>
      <c r="Q784">
        <v>3</v>
      </c>
      <c r="R784" t="s">
        <v>40</v>
      </c>
      <c r="S784">
        <v>4</v>
      </c>
      <c r="T784" t="str" cm="1">
        <f t="array" ref="T784">_xlfn.IFS(S784&lt;=2,"Poor",S784&lt;=3,"Fair",S784&gt;=4,"Good")</f>
        <v>Good</v>
      </c>
      <c r="U784" t="s">
        <v>48</v>
      </c>
      <c r="V784" s="1">
        <v>10322</v>
      </c>
      <c r="W784" t="str" cm="1">
        <f t="array" ref="W784">_xlfn.IFS(V784&lt;=5000,"Low Salary",V784&lt;=12000,"Good Salary",V784&gt;12000,"High Salary")</f>
        <v>Good Salary</v>
      </c>
      <c r="X784">
        <v>26542</v>
      </c>
      <c r="Y784">
        <v>4</v>
      </c>
      <c r="Z784" t="s">
        <v>42</v>
      </c>
      <c r="AA784" t="s">
        <v>35</v>
      </c>
      <c r="AB784">
        <v>20</v>
      </c>
      <c r="AC784">
        <v>4</v>
      </c>
      <c r="AD784" t="str">
        <f t="shared" si="25"/>
        <v>High Performance</v>
      </c>
      <c r="AE784">
        <v>4</v>
      </c>
      <c r="AF784">
        <v>80</v>
      </c>
      <c r="AG784">
        <v>1</v>
      </c>
      <c r="AH784">
        <v>14</v>
      </c>
      <c r="AI784">
        <v>6</v>
      </c>
      <c r="AJ784">
        <v>3</v>
      </c>
      <c r="AK784" t="str" cm="1">
        <f t="array" ref="AK784">_xlfn.IFS(AJ784&lt;=2,"Poor",AJ784&lt;=3,"Fair",AJ784&gt;3,"Good")</f>
        <v>Fair</v>
      </c>
      <c r="AL784">
        <v>11</v>
      </c>
      <c r="AM784">
        <v>10</v>
      </c>
      <c r="AN784">
        <v>11</v>
      </c>
      <c r="AO784">
        <v>1</v>
      </c>
    </row>
    <row r="785" spans="1:41" x14ac:dyDescent="0.2">
      <c r="A785">
        <v>1169735</v>
      </c>
      <c r="B785">
        <v>27</v>
      </c>
      <c r="C785" t="str" cm="1">
        <f t="array" ref="C785">_xlfn.IFS(B785&lt;=25,"15-25",B785&lt;=35,"26-35",B785&lt;=45,"36-45",B785&lt;=55,"46-55",B785&lt;=65,"56-65")</f>
        <v>26-35</v>
      </c>
      <c r="D785" t="s">
        <v>35</v>
      </c>
      <c r="E785" t="str">
        <f t="shared" si="24"/>
        <v>Current Employee</v>
      </c>
      <c r="F785" t="s">
        <v>52</v>
      </c>
      <c r="G785">
        <v>1277</v>
      </c>
      <c r="H785" t="s">
        <v>45</v>
      </c>
      <c r="I785">
        <v>8</v>
      </c>
      <c r="J785">
        <v>5</v>
      </c>
      <c r="K785" t="s">
        <v>38</v>
      </c>
      <c r="L785">
        <v>1</v>
      </c>
      <c r="M785">
        <v>1</v>
      </c>
      <c r="N785" t="s">
        <v>46</v>
      </c>
      <c r="O785">
        <v>87</v>
      </c>
      <c r="P785">
        <v>1</v>
      </c>
      <c r="Q785">
        <v>1</v>
      </c>
      <c r="R785" t="s">
        <v>40</v>
      </c>
      <c r="S785">
        <v>3</v>
      </c>
      <c r="T785" t="str" cm="1">
        <f t="array" ref="T785">_xlfn.IFS(S785&lt;=2,"Poor",S785&lt;=3,"Fair",S785&gt;=4,"Good")</f>
        <v>Fair</v>
      </c>
      <c r="U785" t="s">
        <v>48</v>
      </c>
      <c r="V785" s="1">
        <v>4621</v>
      </c>
      <c r="W785" t="str" cm="1">
        <f t="array" ref="W785">_xlfn.IFS(V785&lt;=5000,"Low Salary",V785&lt;=12000,"Good Salary",V785&gt;12000,"High Salary")</f>
        <v>Low Salary</v>
      </c>
      <c r="X785">
        <v>5869</v>
      </c>
      <c r="Y785">
        <v>1</v>
      </c>
      <c r="Z785" t="s">
        <v>42</v>
      </c>
      <c r="AA785" t="s">
        <v>35</v>
      </c>
      <c r="AB785">
        <v>19</v>
      </c>
      <c r="AC785">
        <v>3</v>
      </c>
      <c r="AD785" t="str">
        <f t="shared" si="25"/>
        <v>Low Performance</v>
      </c>
      <c r="AE785">
        <v>4</v>
      </c>
      <c r="AF785">
        <v>80</v>
      </c>
      <c r="AG785">
        <v>3</v>
      </c>
      <c r="AH785">
        <v>3</v>
      </c>
      <c r="AI785">
        <v>4</v>
      </c>
      <c r="AJ785">
        <v>3</v>
      </c>
      <c r="AK785" t="str" cm="1">
        <f t="array" ref="AK785">_xlfn.IFS(AJ785&lt;=2,"Poor",AJ785&lt;=3,"Fair",AJ785&gt;3,"Good")</f>
        <v>Fair</v>
      </c>
      <c r="AL785">
        <v>3</v>
      </c>
      <c r="AM785">
        <v>2</v>
      </c>
      <c r="AN785">
        <v>1</v>
      </c>
      <c r="AO785">
        <v>2</v>
      </c>
    </row>
    <row r="786" spans="1:41" x14ac:dyDescent="0.2">
      <c r="A786">
        <v>1818130</v>
      </c>
      <c r="B786">
        <v>55</v>
      </c>
      <c r="C786" t="str" cm="1">
        <f t="array" ref="C786">_xlfn.IFS(B786&lt;=25,"15-25",B786&lt;=35,"26-35",B786&lt;=45,"36-45",B786&lt;=55,"46-55",B786&lt;=65,"56-65")</f>
        <v>46-55</v>
      </c>
      <c r="D786" t="s">
        <v>35</v>
      </c>
      <c r="E786" t="str">
        <f t="shared" si="24"/>
        <v>Current Employee</v>
      </c>
      <c r="F786" t="s">
        <v>44</v>
      </c>
      <c r="G786">
        <v>1091</v>
      </c>
      <c r="H786" t="s">
        <v>54</v>
      </c>
      <c r="I786">
        <v>2</v>
      </c>
      <c r="J786">
        <v>1</v>
      </c>
      <c r="K786" t="s">
        <v>38</v>
      </c>
      <c r="L786">
        <v>1</v>
      </c>
      <c r="M786">
        <v>4</v>
      </c>
      <c r="N786" t="s">
        <v>46</v>
      </c>
      <c r="O786">
        <v>65</v>
      </c>
      <c r="P786">
        <v>3</v>
      </c>
      <c r="Q786">
        <v>3</v>
      </c>
      <c r="R786" t="s">
        <v>51</v>
      </c>
      <c r="S786">
        <v>2</v>
      </c>
      <c r="T786" t="str" cm="1">
        <f t="array" ref="T786">_xlfn.IFS(S786&lt;=2,"Poor",S786&lt;=3,"Fair",S786&gt;=4,"Good")</f>
        <v>Poor</v>
      </c>
      <c r="U786" t="s">
        <v>48</v>
      </c>
      <c r="V786" s="1">
        <v>10976</v>
      </c>
      <c r="W786" t="str" cm="1">
        <f t="array" ref="W786">_xlfn.IFS(V786&lt;=5000,"Low Salary",V786&lt;=12000,"Good Salary",V786&gt;12000,"High Salary")</f>
        <v>Good Salary</v>
      </c>
      <c r="X786">
        <v>15813</v>
      </c>
      <c r="Y786">
        <v>3</v>
      </c>
      <c r="Z786" t="s">
        <v>42</v>
      </c>
      <c r="AA786" t="s">
        <v>35</v>
      </c>
      <c r="AB786">
        <v>18</v>
      </c>
      <c r="AC786">
        <v>3</v>
      </c>
      <c r="AD786" t="str">
        <f t="shared" si="25"/>
        <v>Low Performance</v>
      </c>
      <c r="AE786">
        <v>2</v>
      </c>
      <c r="AF786">
        <v>80</v>
      </c>
      <c r="AG786">
        <v>1</v>
      </c>
      <c r="AH786">
        <v>23</v>
      </c>
      <c r="AI786">
        <v>4</v>
      </c>
      <c r="AJ786">
        <v>3</v>
      </c>
      <c r="AK786" t="str" cm="1">
        <f t="array" ref="AK786">_xlfn.IFS(AJ786&lt;=2,"Poor",AJ786&lt;=3,"Fair",AJ786&gt;3,"Good")</f>
        <v>Fair</v>
      </c>
      <c r="AL786">
        <v>3</v>
      </c>
      <c r="AM786">
        <v>2</v>
      </c>
      <c r="AN786">
        <v>1</v>
      </c>
      <c r="AO786">
        <v>2</v>
      </c>
    </row>
    <row r="787" spans="1:41" x14ac:dyDescent="0.2">
      <c r="A787">
        <v>1467266</v>
      </c>
      <c r="B787">
        <v>28</v>
      </c>
      <c r="C787" t="str" cm="1">
        <f t="array" ref="C787">_xlfn.IFS(B787&lt;=25,"15-25",B787&lt;=35,"26-35",B787&lt;=45,"36-45",B787&lt;=55,"46-55",B787&lt;=65,"56-65")</f>
        <v>26-35</v>
      </c>
      <c r="D787" t="s">
        <v>35</v>
      </c>
      <c r="E787" t="str">
        <f t="shared" si="24"/>
        <v>Current Employee</v>
      </c>
      <c r="F787" t="s">
        <v>36</v>
      </c>
      <c r="G787">
        <v>857</v>
      </c>
      <c r="H787" t="s">
        <v>45</v>
      </c>
      <c r="I787">
        <v>10</v>
      </c>
      <c r="J787">
        <v>3</v>
      </c>
      <c r="K787" t="s">
        <v>47</v>
      </c>
      <c r="L787">
        <v>1</v>
      </c>
      <c r="M787">
        <v>3</v>
      </c>
      <c r="N787" t="s">
        <v>39</v>
      </c>
      <c r="O787">
        <v>59</v>
      </c>
      <c r="P787">
        <v>3</v>
      </c>
      <c r="Q787">
        <v>2</v>
      </c>
      <c r="R787" t="s">
        <v>47</v>
      </c>
      <c r="S787">
        <v>3</v>
      </c>
      <c r="T787" t="str" cm="1">
        <f t="array" ref="T787">_xlfn.IFS(S787&lt;=2,"Poor",S787&lt;=3,"Fair",S787&gt;=4,"Good")</f>
        <v>Fair</v>
      </c>
      <c r="U787" t="s">
        <v>41</v>
      </c>
      <c r="V787" s="1">
        <v>3660</v>
      </c>
      <c r="W787" t="str" cm="1">
        <f t="array" ref="W787">_xlfn.IFS(V787&lt;=5000,"Low Salary",V787&lt;=12000,"Good Salary",V787&gt;12000,"High Salary")</f>
        <v>Low Salary</v>
      </c>
      <c r="X787">
        <v>7909</v>
      </c>
      <c r="Y787">
        <v>3</v>
      </c>
      <c r="Z787" t="s">
        <v>42</v>
      </c>
      <c r="AA787" t="s">
        <v>35</v>
      </c>
      <c r="AB787">
        <v>13</v>
      </c>
      <c r="AC787">
        <v>3</v>
      </c>
      <c r="AD787" t="str">
        <f t="shared" si="25"/>
        <v>Low Performance</v>
      </c>
      <c r="AE787">
        <v>4</v>
      </c>
      <c r="AF787">
        <v>80</v>
      </c>
      <c r="AG787">
        <v>0</v>
      </c>
      <c r="AH787">
        <v>10</v>
      </c>
      <c r="AI787">
        <v>4</v>
      </c>
      <c r="AJ787">
        <v>4</v>
      </c>
      <c r="AK787" t="str" cm="1">
        <f t="array" ref="AK787">_xlfn.IFS(AJ787&lt;=2,"Poor",AJ787&lt;=3,"Fair",AJ787&gt;3,"Good")</f>
        <v>Good</v>
      </c>
      <c r="AL787">
        <v>8</v>
      </c>
      <c r="AM787">
        <v>7</v>
      </c>
      <c r="AN787">
        <v>1</v>
      </c>
      <c r="AO787">
        <v>7</v>
      </c>
    </row>
    <row r="788" spans="1:41" x14ac:dyDescent="0.2">
      <c r="A788">
        <v>1242796</v>
      </c>
      <c r="B788">
        <v>44</v>
      </c>
      <c r="C788" t="str" cm="1">
        <f t="array" ref="C788">_xlfn.IFS(B788&lt;=25,"15-25",B788&lt;=35,"26-35",B788&lt;=45,"36-45",B788&lt;=55,"46-55",B788&lt;=65,"56-65")</f>
        <v>36-45</v>
      </c>
      <c r="D788" t="s">
        <v>35</v>
      </c>
      <c r="E788" t="str">
        <f t="shared" si="24"/>
        <v>Current Employee</v>
      </c>
      <c r="F788" t="s">
        <v>36</v>
      </c>
      <c r="G788">
        <v>1376</v>
      </c>
      <c r="H788" t="s">
        <v>54</v>
      </c>
      <c r="I788">
        <v>1</v>
      </c>
      <c r="J788">
        <v>2</v>
      </c>
      <c r="K788" t="s">
        <v>49</v>
      </c>
      <c r="L788">
        <v>1</v>
      </c>
      <c r="M788">
        <v>2</v>
      </c>
      <c r="N788" t="s">
        <v>46</v>
      </c>
      <c r="O788">
        <v>91</v>
      </c>
      <c r="P788">
        <v>2</v>
      </c>
      <c r="Q788">
        <v>3</v>
      </c>
      <c r="R788" t="s">
        <v>47</v>
      </c>
      <c r="S788">
        <v>1</v>
      </c>
      <c r="T788" t="str" cm="1">
        <f t="array" ref="T788">_xlfn.IFS(S788&lt;=2,"Poor",S788&lt;=3,"Fair",S788&gt;=4,"Good")</f>
        <v>Poor</v>
      </c>
      <c r="U788" t="s">
        <v>48</v>
      </c>
      <c r="V788" s="1">
        <v>10482</v>
      </c>
      <c r="W788" t="str" cm="1">
        <f t="array" ref="W788">_xlfn.IFS(V788&lt;=5000,"Low Salary",V788&lt;=12000,"Good Salary",V788&gt;12000,"High Salary")</f>
        <v>Good Salary</v>
      </c>
      <c r="X788">
        <v>2326</v>
      </c>
      <c r="Y788">
        <v>9</v>
      </c>
      <c r="Z788" t="s">
        <v>42</v>
      </c>
      <c r="AA788" t="s">
        <v>35</v>
      </c>
      <c r="AB788">
        <v>14</v>
      </c>
      <c r="AC788">
        <v>3</v>
      </c>
      <c r="AD788" t="str">
        <f t="shared" si="25"/>
        <v>Low Performance</v>
      </c>
      <c r="AE788">
        <v>4</v>
      </c>
      <c r="AF788">
        <v>80</v>
      </c>
      <c r="AG788">
        <v>1</v>
      </c>
      <c r="AH788">
        <v>24</v>
      </c>
      <c r="AI788">
        <v>1</v>
      </c>
      <c r="AJ788">
        <v>3</v>
      </c>
      <c r="AK788" t="str" cm="1">
        <f t="array" ref="AK788">_xlfn.IFS(AJ788&lt;=2,"Poor",AJ788&lt;=3,"Fair",AJ788&gt;3,"Good")</f>
        <v>Fair</v>
      </c>
      <c r="AL788">
        <v>20</v>
      </c>
      <c r="AM788">
        <v>6</v>
      </c>
      <c r="AN788">
        <v>3</v>
      </c>
      <c r="AO788">
        <v>6</v>
      </c>
    </row>
    <row r="789" spans="1:41" x14ac:dyDescent="0.2">
      <c r="A789">
        <v>1116632</v>
      </c>
      <c r="B789">
        <v>33</v>
      </c>
      <c r="C789" t="str" cm="1">
        <f t="array" ref="C789">_xlfn.IFS(B789&lt;=25,"15-25",B789&lt;=35,"26-35",B789&lt;=45,"36-45",B789&lt;=55,"46-55",B789&lt;=65,"56-65")</f>
        <v>26-35</v>
      </c>
      <c r="D789" t="s">
        <v>35</v>
      </c>
      <c r="E789" t="str">
        <f t="shared" si="24"/>
        <v>Current Employee</v>
      </c>
      <c r="F789" t="s">
        <v>36</v>
      </c>
      <c r="G789">
        <v>654</v>
      </c>
      <c r="H789" t="s">
        <v>45</v>
      </c>
      <c r="I789">
        <v>5</v>
      </c>
      <c r="J789">
        <v>3</v>
      </c>
      <c r="K789" t="s">
        <v>38</v>
      </c>
      <c r="L789">
        <v>1</v>
      </c>
      <c r="M789">
        <v>4</v>
      </c>
      <c r="N789" t="s">
        <v>46</v>
      </c>
      <c r="O789">
        <v>34</v>
      </c>
      <c r="P789">
        <v>2</v>
      </c>
      <c r="Q789">
        <v>3</v>
      </c>
      <c r="R789" t="s">
        <v>40</v>
      </c>
      <c r="S789">
        <v>4</v>
      </c>
      <c r="T789" t="str" cm="1">
        <f t="array" ref="T789">_xlfn.IFS(S789&lt;=2,"Poor",S789&lt;=3,"Fair",S789&gt;=4,"Good")</f>
        <v>Good</v>
      </c>
      <c r="U789" t="s">
        <v>50</v>
      </c>
      <c r="V789" s="1">
        <v>7119</v>
      </c>
      <c r="W789" t="str" cm="1">
        <f t="array" ref="W789">_xlfn.IFS(V789&lt;=5000,"Low Salary",V789&lt;=12000,"Good Salary",V789&gt;12000,"High Salary")</f>
        <v>Good Salary</v>
      </c>
      <c r="X789">
        <v>21214</v>
      </c>
      <c r="Y789">
        <v>4</v>
      </c>
      <c r="Z789" t="s">
        <v>42</v>
      </c>
      <c r="AA789" t="s">
        <v>35</v>
      </c>
      <c r="AB789">
        <v>15</v>
      </c>
      <c r="AC789">
        <v>3</v>
      </c>
      <c r="AD789" t="str">
        <f t="shared" si="25"/>
        <v>Low Performance</v>
      </c>
      <c r="AE789">
        <v>3</v>
      </c>
      <c r="AF789">
        <v>80</v>
      </c>
      <c r="AG789">
        <v>1</v>
      </c>
      <c r="AH789">
        <v>9</v>
      </c>
      <c r="AI789">
        <v>2</v>
      </c>
      <c r="AJ789">
        <v>3</v>
      </c>
      <c r="AK789" t="str" cm="1">
        <f t="array" ref="AK789">_xlfn.IFS(AJ789&lt;=2,"Poor",AJ789&lt;=3,"Fair",AJ789&gt;3,"Good")</f>
        <v>Fair</v>
      </c>
      <c r="AL789">
        <v>3</v>
      </c>
      <c r="AM789">
        <v>2</v>
      </c>
      <c r="AN789">
        <v>1</v>
      </c>
      <c r="AO789">
        <v>2</v>
      </c>
    </row>
    <row r="790" spans="1:41" x14ac:dyDescent="0.2">
      <c r="A790">
        <v>1338800</v>
      </c>
      <c r="B790">
        <v>35</v>
      </c>
      <c r="C790" t="str" cm="1">
        <f t="array" ref="C790">_xlfn.IFS(B790&lt;=25,"15-25",B790&lt;=35,"26-35",B790&lt;=45,"36-45",B790&lt;=55,"46-55",B790&lt;=65,"56-65")</f>
        <v>26-35</v>
      </c>
      <c r="D790" t="s">
        <v>43</v>
      </c>
      <c r="E790" t="str">
        <f t="shared" si="24"/>
        <v>Former Employee</v>
      </c>
      <c r="F790" t="s">
        <v>36</v>
      </c>
      <c r="G790">
        <v>1204</v>
      </c>
      <c r="H790" t="s">
        <v>37</v>
      </c>
      <c r="I790">
        <v>4</v>
      </c>
      <c r="J790">
        <v>3</v>
      </c>
      <c r="K790" t="s">
        <v>56</v>
      </c>
      <c r="L790">
        <v>1</v>
      </c>
      <c r="M790">
        <v>4</v>
      </c>
      <c r="N790" t="s">
        <v>46</v>
      </c>
      <c r="O790">
        <v>86</v>
      </c>
      <c r="P790">
        <v>3</v>
      </c>
      <c r="Q790">
        <v>3</v>
      </c>
      <c r="R790" t="s">
        <v>40</v>
      </c>
      <c r="S790">
        <v>1</v>
      </c>
      <c r="T790" t="str" cm="1">
        <f t="array" ref="T790">_xlfn.IFS(S790&lt;=2,"Poor",S790&lt;=3,"Fair",S790&gt;=4,"Good")</f>
        <v>Poor</v>
      </c>
      <c r="U790" t="s">
        <v>41</v>
      </c>
      <c r="V790" s="1">
        <v>9582</v>
      </c>
      <c r="W790" t="str" cm="1">
        <f t="array" ref="W790">_xlfn.IFS(V790&lt;=5000,"Low Salary",V790&lt;=12000,"Good Salary",V790&gt;12000,"High Salary")</f>
        <v>Good Salary</v>
      </c>
      <c r="X790">
        <v>10333</v>
      </c>
      <c r="Y790">
        <v>0</v>
      </c>
      <c r="Z790" t="s">
        <v>42</v>
      </c>
      <c r="AA790" t="s">
        <v>43</v>
      </c>
      <c r="AB790">
        <v>22</v>
      </c>
      <c r="AC790">
        <v>4</v>
      </c>
      <c r="AD790" t="str">
        <f t="shared" si="25"/>
        <v>High Performance</v>
      </c>
      <c r="AE790">
        <v>1</v>
      </c>
      <c r="AF790">
        <v>80</v>
      </c>
      <c r="AG790">
        <v>0</v>
      </c>
      <c r="AH790">
        <v>9</v>
      </c>
      <c r="AI790">
        <v>2</v>
      </c>
      <c r="AJ790">
        <v>3</v>
      </c>
      <c r="AK790" t="str" cm="1">
        <f t="array" ref="AK790">_xlfn.IFS(AJ790&lt;=2,"Poor",AJ790&lt;=3,"Fair",AJ790&gt;3,"Good")</f>
        <v>Fair</v>
      </c>
      <c r="AL790">
        <v>8</v>
      </c>
      <c r="AM790">
        <v>7</v>
      </c>
      <c r="AN790">
        <v>4</v>
      </c>
      <c r="AO790">
        <v>7</v>
      </c>
    </row>
    <row r="791" spans="1:41" x14ac:dyDescent="0.2">
      <c r="A791">
        <v>1823713</v>
      </c>
      <c r="B791">
        <v>33</v>
      </c>
      <c r="C791" t="str" cm="1">
        <f t="array" ref="C791">_xlfn.IFS(B791&lt;=25,"15-25",B791&lt;=35,"26-35",B791&lt;=45,"36-45",B791&lt;=55,"46-55",B791&lt;=65,"56-65")</f>
        <v>26-35</v>
      </c>
      <c r="D791" t="s">
        <v>35</v>
      </c>
      <c r="E791" t="str">
        <f t="shared" si="24"/>
        <v>Current Employee</v>
      </c>
      <c r="F791" t="s">
        <v>44</v>
      </c>
      <c r="G791">
        <v>827</v>
      </c>
      <c r="H791" t="s">
        <v>45</v>
      </c>
      <c r="I791">
        <v>29</v>
      </c>
      <c r="J791">
        <v>4</v>
      </c>
      <c r="K791" t="s">
        <v>49</v>
      </c>
      <c r="L791">
        <v>1</v>
      </c>
      <c r="M791">
        <v>1</v>
      </c>
      <c r="N791" t="s">
        <v>39</v>
      </c>
      <c r="O791">
        <v>54</v>
      </c>
      <c r="P791">
        <v>2</v>
      </c>
      <c r="Q791">
        <v>2</v>
      </c>
      <c r="R791" t="s">
        <v>47</v>
      </c>
      <c r="S791">
        <v>3</v>
      </c>
      <c r="T791" t="str" cm="1">
        <f t="array" ref="T791">_xlfn.IFS(S791&lt;=2,"Poor",S791&lt;=3,"Fair",S791&gt;=4,"Good")</f>
        <v>Fair</v>
      </c>
      <c r="U791" t="s">
        <v>41</v>
      </c>
      <c r="V791" s="1">
        <v>4508</v>
      </c>
      <c r="W791" t="str" cm="1">
        <f t="array" ref="W791">_xlfn.IFS(V791&lt;=5000,"Low Salary",V791&lt;=12000,"Good Salary",V791&gt;12000,"High Salary")</f>
        <v>Low Salary</v>
      </c>
      <c r="X791">
        <v>3129</v>
      </c>
      <c r="Y791">
        <v>1</v>
      </c>
      <c r="Z791" t="s">
        <v>42</v>
      </c>
      <c r="AA791" t="s">
        <v>35</v>
      </c>
      <c r="AB791">
        <v>22</v>
      </c>
      <c r="AC791">
        <v>4</v>
      </c>
      <c r="AD791" t="str">
        <f t="shared" si="25"/>
        <v>High Performance</v>
      </c>
      <c r="AE791">
        <v>2</v>
      </c>
      <c r="AF791">
        <v>80</v>
      </c>
      <c r="AG791">
        <v>0</v>
      </c>
      <c r="AH791">
        <v>14</v>
      </c>
      <c r="AI791">
        <v>4</v>
      </c>
      <c r="AJ791">
        <v>3</v>
      </c>
      <c r="AK791" t="str" cm="1">
        <f t="array" ref="AK791">_xlfn.IFS(AJ791&lt;=2,"Poor",AJ791&lt;=3,"Fair",AJ791&gt;3,"Good")</f>
        <v>Fair</v>
      </c>
      <c r="AL791">
        <v>13</v>
      </c>
      <c r="AM791">
        <v>7</v>
      </c>
      <c r="AN791">
        <v>3</v>
      </c>
      <c r="AO791">
        <v>8</v>
      </c>
    </row>
    <row r="792" spans="1:41" x14ac:dyDescent="0.2">
      <c r="A792">
        <v>1461105</v>
      </c>
      <c r="B792">
        <v>28</v>
      </c>
      <c r="C792" t="str" cm="1">
        <f t="array" ref="C792">_xlfn.IFS(B792&lt;=25,"15-25",B792&lt;=35,"26-35",B792&lt;=45,"36-45",B792&lt;=55,"46-55",B792&lt;=65,"56-65")</f>
        <v>26-35</v>
      </c>
      <c r="D792" t="s">
        <v>35</v>
      </c>
      <c r="E792" t="str">
        <f t="shared" si="24"/>
        <v>Current Employee</v>
      </c>
      <c r="F792" t="s">
        <v>36</v>
      </c>
      <c r="G792">
        <v>895</v>
      </c>
      <c r="H792" t="s">
        <v>45</v>
      </c>
      <c r="I792">
        <v>15</v>
      </c>
      <c r="J792">
        <v>2</v>
      </c>
      <c r="K792" t="s">
        <v>38</v>
      </c>
      <c r="L792">
        <v>1</v>
      </c>
      <c r="M792">
        <v>1</v>
      </c>
      <c r="N792" t="s">
        <v>46</v>
      </c>
      <c r="O792">
        <v>50</v>
      </c>
      <c r="P792">
        <v>3</v>
      </c>
      <c r="Q792">
        <v>1</v>
      </c>
      <c r="R792" t="s">
        <v>40</v>
      </c>
      <c r="S792">
        <v>3</v>
      </c>
      <c r="T792" t="str" cm="1">
        <f t="array" ref="T792">_xlfn.IFS(S792&lt;=2,"Poor",S792&lt;=3,"Fair",S792&gt;=4,"Good")</f>
        <v>Fair</v>
      </c>
      <c r="U792" t="s">
        <v>50</v>
      </c>
      <c r="V792" s="1">
        <v>2207</v>
      </c>
      <c r="W792" t="str" cm="1">
        <f t="array" ref="W792">_xlfn.IFS(V792&lt;=5000,"Low Salary",V792&lt;=12000,"Good Salary",V792&gt;12000,"High Salary")</f>
        <v>Low Salary</v>
      </c>
      <c r="X792">
        <v>22482</v>
      </c>
      <c r="Y792">
        <v>1</v>
      </c>
      <c r="Z792" t="s">
        <v>42</v>
      </c>
      <c r="AA792" t="s">
        <v>35</v>
      </c>
      <c r="AB792">
        <v>16</v>
      </c>
      <c r="AC792">
        <v>3</v>
      </c>
      <c r="AD792" t="str">
        <f t="shared" si="25"/>
        <v>Low Performance</v>
      </c>
      <c r="AE792">
        <v>4</v>
      </c>
      <c r="AF792">
        <v>80</v>
      </c>
      <c r="AG792">
        <v>1</v>
      </c>
      <c r="AH792">
        <v>4</v>
      </c>
      <c r="AI792">
        <v>5</v>
      </c>
      <c r="AJ792">
        <v>2</v>
      </c>
      <c r="AK792" t="str" cm="1">
        <f t="array" ref="AK792">_xlfn.IFS(AJ792&lt;=2,"Poor",AJ792&lt;=3,"Fair",AJ792&gt;3,"Good")</f>
        <v>Poor</v>
      </c>
      <c r="AL792">
        <v>4</v>
      </c>
      <c r="AM792">
        <v>2</v>
      </c>
      <c r="AN792">
        <v>2</v>
      </c>
      <c r="AO792">
        <v>2</v>
      </c>
    </row>
    <row r="793" spans="1:41" x14ac:dyDescent="0.2">
      <c r="A793">
        <v>1714672</v>
      </c>
      <c r="B793">
        <v>34</v>
      </c>
      <c r="C793" t="str" cm="1">
        <f t="array" ref="C793">_xlfn.IFS(B793&lt;=25,"15-25",B793&lt;=35,"26-35",B793&lt;=45,"36-45",B793&lt;=55,"46-55",B793&lt;=65,"56-65")</f>
        <v>26-35</v>
      </c>
      <c r="D793" t="s">
        <v>35</v>
      </c>
      <c r="E793" t="str">
        <f t="shared" si="24"/>
        <v>Current Employee</v>
      </c>
      <c r="F793" t="s">
        <v>44</v>
      </c>
      <c r="G793">
        <v>618</v>
      </c>
      <c r="H793" t="s">
        <v>45</v>
      </c>
      <c r="I793">
        <v>3</v>
      </c>
      <c r="J793">
        <v>1</v>
      </c>
      <c r="K793" t="s">
        <v>38</v>
      </c>
      <c r="L793">
        <v>1</v>
      </c>
      <c r="M793">
        <v>1</v>
      </c>
      <c r="N793" t="s">
        <v>46</v>
      </c>
      <c r="O793">
        <v>45</v>
      </c>
      <c r="P793">
        <v>3</v>
      </c>
      <c r="Q793">
        <v>2</v>
      </c>
      <c r="R793" t="s">
        <v>40</v>
      </c>
      <c r="S793">
        <v>4</v>
      </c>
      <c r="T793" t="str" cm="1">
        <f t="array" ref="T793">_xlfn.IFS(S793&lt;=2,"Poor",S793&lt;=3,"Fair",S793&gt;=4,"Good")</f>
        <v>Good</v>
      </c>
      <c r="U793" t="s">
        <v>41</v>
      </c>
      <c r="V793" s="1">
        <v>7756</v>
      </c>
      <c r="W793" t="str" cm="1">
        <f t="array" ref="W793">_xlfn.IFS(V793&lt;=5000,"Low Salary",V793&lt;=12000,"Good Salary",V793&gt;12000,"High Salary")</f>
        <v>Good Salary</v>
      </c>
      <c r="X793">
        <v>22266</v>
      </c>
      <c r="Y793">
        <v>0</v>
      </c>
      <c r="Z793" t="s">
        <v>42</v>
      </c>
      <c r="AA793" t="s">
        <v>35</v>
      </c>
      <c r="AB793">
        <v>17</v>
      </c>
      <c r="AC793">
        <v>3</v>
      </c>
      <c r="AD793" t="str">
        <f t="shared" si="25"/>
        <v>Low Performance</v>
      </c>
      <c r="AE793">
        <v>3</v>
      </c>
      <c r="AF793">
        <v>80</v>
      </c>
      <c r="AG793">
        <v>0</v>
      </c>
      <c r="AH793">
        <v>7</v>
      </c>
      <c r="AI793">
        <v>1</v>
      </c>
      <c r="AJ793">
        <v>2</v>
      </c>
      <c r="AK793" t="str" cm="1">
        <f t="array" ref="AK793">_xlfn.IFS(AJ793&lt;=2,"Poor",AJ793&lt;=3,"Fair",AJ793&gt;3,"Good")</f>
        <v>Poor</v>
      </c>
      <c r="AL793">
        <v>6</v>
      </c>
      <c r="AM793">
        <v>2</v>
      </c>
      <c r="AN793">
        <v>0</v>
      </c>
      <c r="AO793">
        <v>4</v>
      </c>
    </row>
    <row r="794" spans="1:41" x14ac:dyDescent="0.2">
      <c r="A794">
        <v>1264321</v>
      </c>
      <c r="B794">
        <v>37</v>
      </c>
      <c r="C794" t="str" cm="1">
        <f t="array" ref="C794">_xlfn.IFS(B794&lt;=25,"15-25",B794&lt;=35,"26-35",B794&lt;=45,"36-45",B794&lt;=55,"46-55",B794&lt;=65,"56-65")</f>
        <v>36-45</v>
      </c>
      <c r="D794" t="s">
        <v>35</v>
      </c>
      <c r="E794" t="str">
        <f t="shared" si="24"/>
        <v>Current Employee</v>
      </c>
      <c r="F794" t="s">
        <v>36</v>
      </c>
      <c r="G794">
        <v>309</v>
      </c>
      <c r="H794" t="s">
        <v>37</v>
      </c>
      <c r="I794">
        <v>10</v>
      </c>
      <c r="J794">
        <v>4</v>
      </c>
      <c r="K794" t="s">
        <v>38</v>
      </c>
      <c r="L794">
        <v>1</v>
      </c>
      <c r="M794">
        <v>4</v>
      </c>
      <c r="N794" t="s">
        <v>39</v>
      </c>
      <c r="O794">
        <v>88</v>
      </c>
      <c r="P794">
        <v>2</v>
      </c>
      <c r="Q794">
        <v>2</v>
      </c>
      <c r="R794" t="s">
        <v>40</v>
      </c>
      <c r="S794">
        <v>4</v>
      </c>
      <c r="T794" t="str" cm="1">
        <f t="array" ref="T794">_xlfn.IFS(S794&lt;=2,"Poor",S794&lt;=3,"Fair",S794&gt;=4,"Good")</f>
        <v>Good</v>
      </c>
      <c r="U794" t="s">
        <v>50</v>
      </c>
      <c r="V794" s="1">
        <v>6694</v>
      </c>
      <c r="W794" t="str" cm="1">
        <f t="array" ref="W794">_xlfn.IFS(V794&lt;=5000,"Low Salary",V794&lt;=12000,"Good Salary",V794&gt;12000,"High Salary")</f>
        <v>Good Salary</v>
      </c>
      <c r="X794">
        <v>24223</v>
      </c>
      <c r="Y794">
        <v>2</v>
      </c>
      <c r="Z794" t="s">
        <v>42</v>
      </c>
      <c r="AA794" t="s">
        <v>43</v>
      </c>
      <c r="AB794">
        <v>14</v>
      </c>
      <c r="AC794">
        <v>3</v>
      </c>
      <c r="AD794" t="str">
        <f t="shared" si="25"/>
        <v>Low Performance</v>
      </c>
      <c r="AE794">
        <v>3</v>
      </c>
      <c r="AF794">
        <v>80</v>
      </c>
      <c r="AG794">
        <v>3</v>
      </c>
      <c r="AH794">
        <v>8</v>
      </c>
      <c r="AI794">
        <v>5</v>
      </c>
      <c r="AJ794">
        <v>3</v>
      </c>
      <c r="AK794" t="str" cm="1">
        <f t="array" ref="AK794">_xlfn.IFS(AJ794&lt;=2,"Poor",AJ794&lt;=3,"Fair",AJ794&gt;3,"Good")</f>
        <v>Fair</v>
      </c>
      <c r="AL794">
        <v>1</v>
      </c>
      <c r="AM794">
        <v>0</v>
      </c>
      <c r="AN794">
        <v>0</v>
      </c>
      <c r="AO794">
        <v>0</v>
      </c>
    </row>
    <row r="795" spans="1:41" x14ac:dyDescent="0.2">
      <c r="A795">
        <v>1570590</v>
      </c>
      <c r="B795">
        <v>25</v>
      </c>
      <c r="C795" t="str" cm="1">
        <f t="array" ref="C795">_xlfn.IFS(B795&lt;=25,"15-25",B795&lt;=35,"26-35",B795&lt;=45,"36-45",B795&lt;=55,"46-55",B795&lt;=65,"56-65")</f>
        <v>15-25</v>
      </c>
      <c r="D795" t="s">
        <v>35</v>
      </c>
      <c r="E795" t="str">
        <f t="shared" si="24"/>
        <v>Current Employee</v>
      </c>
      <c r="F795" t="s">
        <v>36</v>
      </c>
      <c r="G795">
        <v>1219</v>
      </c>
      <c r="H795" t="s">
        <v>45</v>
      </c>
      <c r="I795">
        <v>4</v>
      </c>
      <c r="J795">
        <v>1</v>
      </c>
      <c r="K795" t="s">
        <v>56</v>
      </c>
      <c r="L795">
        <v>1</v>
      </c>
      <c r="M795">
        <v>4</v>
      </c>
      <c r="N795" t="s">
        <v>46</v>
      </c>
      <c r="O795">
        <v>32</v>
      </c>
      <c r="P795">
        <v>3</v>
      </c>
      <c r="Q795">
        <v>1</v>
      </c>
      <c r="R795" t="s">
        <v>40</v>
      </c>
      <c r="S795">
        <v>4</v>
      </c>
      <c r="T795" t="str" cm="1">
        <f t="array" ref="T795">_xlfn.IFS(S795&lt;=2,"Poor",S795&lt;=3,"Fair",S795&gt;=4,"Good")</f>
        <v>Good</v>
      </c>
      <c r="U795" t="s">
        <v>48</v>
      </c>
      <c r="V795" s="1">
        <v>3691</v>
      </c>
      <c r="W795" t="str" cm="1">
        <f t="array" ref="W795">_xlfn.IFS(V795&lt;=5000,"Low Salary",V795&lt;=12000,"Good Salary",V795&gt;12000,"High Salary")</f>
        <v>Low Salary</v>
      </c>
      <c r="X795">
        <v>4605</v>
      </c>
      <c r="Y795">
        <v>1</v>
      </c>
      <c r="Z795" t="s">
        <v>42</v>
      </c>
      <c r="AA795" t="s">
        <v>43</v>
      </c>
      <c r="AB795">
        <v>15</v>
      </c>
      <c r="AC795">
        <v>3</v>
      </c>
      <c r="AD795" t="str">
        <f t="shared" si="25"/>
        <v>Low Performance</v>
      </c>
      <c r="AE795">
        <v>2</v>
      </c>
      <c r="AF795">
        <v>80</v>
      </c>
      <c r="AG795">
        <v>1</v>
      </c>
      <c r="AH795">
        <v>7</v>
      </c>
      <c r="AI795">
        <v>3</v>
      </c>
      <c r="AJ795">
        <v>4</v>
      </c>
      <c r="AK795" t="str" cm="1">
        <f t="array" ref="AK795">_xlfn.IFS(AJ795&lt;=2,"Poor",AJ795&lt;=3,"Fair",AJ795&gt;3,"Good")</f>
        <v>Good</v>
      </c>
      <c r="AL795">
        <v>7</v>
      </c>
      <c r="AM795">
        <v>7</v>
      </c>
      <c r="AN795">
        <v>5</v>
      </c>
      <c r="AO795">
        <v>6</v>
      </c>
    </row>
    <row r="796" spans="1:41" x14ac:dyDescent="0.2">
      <c r="A796">
        <v>1417598</v>
      </c>
      <c r="B796">
        <v>26</v>
      </c>
      <c r="C796" t="str" cm="1">
        <f t="array" ref="C796">_xlfn.IFS(B796&lt;=25,"15-25",B796&lt;=35,"26-35",B796&lt;=45,"36-45",B796&lt;=55,"46-55",B796&lt;=65,"56-65")</f>
        <v>26-35</v>
      </c>
      <c r="D796" t="s">
        <v>43</v>
      </c>
      <c r="E796" t="str">
        <f t="shared" si="24"/>
        <v>Former Employee</v>
      </c>
      <c r="F796" t="s">
        <v>36</v>
      </c>
      <c r="G796">
        <v>1330</v>
      </c>
      <c r="H796" t="s">
        <v>45</v>
      </c>
      <c r="I796">
        <v>21</v>
      </c>
      <c r="J796">
        <v>3</v>
      </c>
      <c r="K796" t="s">
        <v>49</v>
      </c>
      <c r="L796">
        <v>1</v>
      </c>
      <c r="M796">
        <v>1</v>
      </c>
      <c r="N796" t="s">
        <v>46</v>
      </c>
      <c r="O796">
        <v>37</v>
      </c>
      <c r="P796">
        <v>3</v>
      </c>
      <c r="Q796">
        <v>1</v>
      </c>
      <c r="R796" t="s">
        <v>40</v>
      </c>
      <c r="S796">
        <v>3</v>
      </c>
      <c r="T796" t="str" cm="1">
        <f t="array" ref="T796">_xlfn.IFS(S796&lt;=2,"Poor",S796&lt;=3,"Fair",S796&gt;=4,"Good")</f>
        <v>Fair</v>
      </c>
      <c r="U796" t="s">
        <v>50</v>
      </c>
      <c r="V796" s="1">
        <v>2377</v>
      </c>
      <c r="W796" t="str" cm="1">
        <f t="array" ref="W796">_xlfn.IFS(V796&lt;=5000,"Low Salary",V796&lt;=12000,"Good Salary",V796&gt;12000,"High Salary")</f>
        <v>Low Salary</v>
      </c>
      <c r="X796">
        <v>19373</v>
      </c>
      <c r="Y796">
        <v>1</v>
      </c>
      <c r="Z796" t="s">
        <v>42</v>
      </c>
      <c r="AA796" t="s">
        <v>35</v>
      </c>
      <c r="AB796">
        <v>20</v>
      </c>
      <c r="AC796">
        <v>4</v>
      </c>
      <c r="AD796" t="str">
        <f t="shared" si="25"/>
        <v>High Performance</v>
      </c>
      <c r="AE796">
        <v>3</v>
      </c>
      <c r="AF796">
        <v>80</v>
      </c>
      <c r="AG796">
        <v>1</v>
      </c>
      <c r="AH796">
        <v>1</v>
      </c>
      <c r="AI796">
        <v>0</v>
      </c>
      <c r="AJ796">
        <v>2</v>
      </c>
      <c r="AK796" t="str" cm="1">
        <f t="array" ref="AK796">_xlfn.IFS(AJ796&lt;=2,"Poor",AJ796&lt;=3,"Fair",AJ796&gt;3,"Good")</f>
        <v>Poor</v>
      </c>
      <c r="AL796">
        <v>1</v>
      </c>
      <c r="AM796">
        <v>1</v>
      </c>
      <c r="AN796">
        <v>0</v>
      </c>
      <c r="AO796">
        <v>0</v>
      </c>
    </row>
    <row r="797" spans="1:41" x14ac:dyDescent="0.2">
      <c r="A797">
        <v>1875940</v>
      </c>
      <c r="B797">
        <v>33</v>
      </c>
      <c r="C797" t="str" cm="1">
        <f t="array" ref="C797">_xlfn.IFS(B797&lt;=25,"15-25",B797&lt;=35,"26-35",B797&lt;=45,"36-45",B797&lt;=55,"46-55",B797&lt;=65,"56-65")</f>
        <v>26-35</v>
      </c>
      <c r="D797" t="s">
        <v>43</v>
      </c>
      <c r="E797" t="str">
        <f t="shared" si="24"/>
        <v>Former Employee</v>
      </c>
      <c r="F797" t="s">
        <v>36</v>
      </c>
      <c r="G797">
        <v>1017</v>
      </c>
      <c r="H797" t="s">
        <v>45</v>
      </c>
      <c r="I797">
        <v>25</v>
      </c>
      <c r="J797">
        <v>3</v>
      </c>
      <c r="K797" t="s">
        <v>49</v>
      </c>
      <c r="L797">
        <v>1</v>
      </c>
      <c r="M797">
        <v>1</v>
      </c>
      <c r="N797" t="s">
        <v>46</v>
      </c>
      <c r="O797">
        <v>55</v>
      </c>
      <c r="P797">
        <v>2</v>
      </c>
      <c r="Q797">
        <v>1</v>
      </c>
      <c r="R797" t="s">
        <v>47</v>
      </c>
      <c r="S797">
        <v>2</v>
      </c>
      <c r="T797" t="str" cm="1">
        <f t="array" ref="T797">_xlfn.IFS(S797&lt;=2,"Poor",S797&lt;=3,"Fair",S797&gt;=4,"Good")</f>
        <v>Poor</v>
      </c>
      <c r="U797" t="s">
        <v>41</v>
      </c>
      <c r="V797" s="1">
        <v>2313</v>
      </c>
      <c r="W797" t="str" cm="1">
        <f t="array" ref="W797">_xlfn.IFS(V797&lt;=5000,"Low Salary",V797&lt;=12000,"Good Salary",V797&gt;12000,"High Salary")</f>
        <v>Low Salary</v>
      </c>
      <c r="X797">
        <v>2993</v>
      </c>
      <c r="Y797">
        <v>4</v>
      </c>
      <c r="Z797" t="s">
        <v>42</v>
      </c>
      <c r="AA797" t="s">
        <v>43</v>
      </c>
      <c r="AB797">
        <v>20</v>
      </c>
      <c r="AC797">
        <v>4</v>
      </c>
      <c r="AD797" t="str">
        <f t="shared" si="25"/>
        <v>High Performance</v>
      </c>
      <c r="AE797">
        <v>2</v>
      </c>
      <c r="AF797">
        <v>80</v>
      </c>
      <c r="AG797">
        <v>0</v>
      </c>
      <c r="AH797">
        <v>5</v>
      </c>
      <c r="AI797">
        <v>0</v>
      </c>
      <c r="AJ797">
        <v>3</v>
      </c>
      <c r="AK797" t="str" cm="1">
        <f t="array" ref="AK797">_xlfn.IFS(AJ797&lt;=2,"Poor",AJ797&lt;=3,"Fair",AJ797&gt;3,"Good")</f>
        <v>Fair</v>
      </c>
      <c r="AL797">
        <v>2</v>
      </c>
      <c r="AM797">
        <v>2</v>
      </c>
      <c r="AN797">
        <v>2</v>
      </c>
      <c r="AO797">
        <v>2</v>
      </c>
    </row>
    <row r="798" spans="1:41" x14ac:dyDescent="0.2">
      <c r="A798">
        <v>1815487</v>
      </c>
      <c r="B798">
        <v>42</v>
      </c>
      <c r="C798" t="str" cm="1">
        <f t="array" ref="C798">_xlfn.IFS(B798&lt;=25,"15-25",B798&lt;=35,"26-35",B798&lt;=45,"36-45",B798&lt;=55,"46-55",B798&lt;=65,"56-65")</f>
        <v>36-45</v>
      </c>
      <c r="D798" t="s">
        <v>35</v>
      </c>
      <c r="E798" t="str">
        <f t="shared" si="24"/>
        <v>Current Employee</v>
      </c>
      <c r="F798" t="s">
        <v>36</v>
      </c>
      <c r="G798">
        <v>469</v>
      </c>
      <c r="H798" t="s">
        <v>54</v>
      </c>
      <c r="I798">
        <v>2</v>
      </c>
      <c r="J798">
        <v>2</v>
      </c>
      <c r="K798" t="s">
        <v>49</v>
      </c>
      <c r="L798">
        <v>1</v>
      </c>
      <c r="M798">
        <v>4</v>
      </c>
      <c r="N798" t="s">
        <v>46</v>
      </c>
      <c r="O798">
        <v>35</v>
      </c>
      <c r="P798">
        <v>3</v>
      </c>
      <c r="Q798">
        <v>4</v>
      </c>
      <c r="R798" t="s">
        <v>47</v>
      </c>
      <c r="S798">
        <v>1</v>
      </c>
      <c r="T798" t="str" cm="1">
        <f t="array" ref="T798">_xlfn.IFS(S798&lt;=2,"Poor",S798&lt;=3,"Fair",S798&gt;=4,"Good")</f>
        <v>Poor</v>
      </c>
      <c r="U798" t="s">
        <v>48</v>
      </c>
      <c r="V798" s="1">
        <v>17665</v>
      </c>
      <c r="W798" t="str" cm="1">
        <f t="array" ref="W798">_xlfn.IFS(V798&lt;=5000,"Low Salary",V798&lt;=12000,"Good Salary",V798&gt;12000,"High Salary")</f>
        <v>High Salary</v>
      </c>
      <c r="X798">
        <v>14399</v>
      </c>
      <c r="Y798">
        <v>0</v>
      </c>
      <c r="Z798" t="s">
        <v>42</v>
      </c>
      <c r="AA798" t="s">
        <v>35</v>
      </c>
      <c r="AB798">
        <v>17</v>
      </c>
      <c r="AC798">
        <v>3</v>
      </c>
      <c r="AD798" t="str">
        <f t="shared" si="25"/>
        <v>Low Performance</v>
      </c>
      <c r="AE798">
        <v>4</v>
      </c>
      <c r="AF798">
        <v>80</v>
      </c>
      <c r="AG798">
        <v>1</v>
      </c>
      <c r="AH798">
        <v>23</v>
      </c>
      <c r="AI798">
        <v>3</v>
      </c>
      <c r="AJ798">
        <v>3</v>
      </c>
      <c r="AK798" t="str" cm="1">
        <f t="array" ref="AK798">_xlfn.IFS(AJ798&lt;=2,"Poor",AJ798&lt;=3,"Fair",AJ798&gt;3,"Good")</f>
        <v>Fair</v>
      </c>
      <c r="AL798">
        <v>22</v>
      </c>
      <c r="AM798">
        <v>6</v>
      </c>
      <c r="AN798">
        <v>13</v>
      </c>
      <c r="AO798">
        <v>7</v>
      </c>
    </row>
    <row r="799" spans="1:41" x14ac:dyDescent="0.2">
      <c r="A799">
        <v>1364682</v>
      </c>
      <c r="B799">
        <v>28</v>
      </c>
      <c r="C799" t="str" cm="1">
        <f t="array" ref="C799">_xlfn.IFS(B799&lt;=25,"15-25",B799&lt;=35,"26-35",B799&lt;=45,"36-45",B799&lt;=55,"46-55",B799&lt;=65,"56-65")</f>
        <v>26-35</v>
      </c>
      <c r="D799" t="s">
        <v>35</v>
      </c>
      <c r="E799" t="str">
        <f t="shared" si="24"/>
        <v>Current Employee</v>
      </c>
      <c r="F799" t="s">
        <v>44</v>
      </c>
      <c r="G799">
        <v>1009</v>
      </c>
      <c r="H799" t="s">
        <v>45</v>
      </c>
      <c r="I799">
        <v>1</v>
      </c>
      <c r="J799">
        <v>3</v>
      </c>
      <c r="K799" t="s">
        <v>49</v>
      </c>
      <c r="L799">
        <v>1</v>
      </c>
      <c r="M799">
        <v>1</v>
      </c>
      <c r="N799" t="s">
        <v>46</v>
      </c>
      <c r="O799">
        <v>45</v>
      </c>
      <c r="P799">
        <v>2</v>
      </c>
      <c r="Q799">
        <v>1</v>
      </c>
      <c r="R799" t="s">
        <v>40</v>
      </c>
      <c r="S799">
        <v>2</v>
      </c>
      <c r="T799" t="str" cm="1">
        <f t="array" ref="T799">_xlfn.IFS(S799&lt;=2,"Poor",S799&lt;=3,"Fair",S799&gt;=4,"Good")</f>
        <v>Poor</v>
      </c>
      <c r="U799" t="s">
        <v>50</v>
      </c>
      <c r="V799" s="1">
        <v>2596</v>
      </c>
      <c r="W799" t="str" cm="1">
        <f t="array" ref="W799">_xlfn.IFS(V799&lt;=5000,"Low Salary",V799&lt;=12000,"Good Salary",V799&gt;12000,"High Salary")</f>
        <v>Low Salary</v>
      </c>
      <c r="X799">
        <v>7160</v>
      </c>
      <c r="Y799">
        <v>1</v>
      </c>
      <c r="Z799" t="s">
        <v>42</v>
      </c>
      <c r="AA799" t="s">
        <v>35</v>
      </c>
      <c r="AB799">
        <v>15</v>
      </c>
      <c r="AC799">
        <v>3</v>
      </c>
      <c r="AD799" t="str">
        <f t="shared" si="25"/>
        <v>Low Performance</v>
      </c>
      <c r="AE799">
        <v>1</v>
      </c>
      <c r="AF799">
        <v>80</v>
      </c>
      <c r="AG799">
        <v>2</v>
      </c>
      <c r="AH799">
        <v>1</v>
      </c>
      <c r="AI799">
        <v>2</v>
      </c>
      <c r="AJ799">
        <v>3</v>
      </c>
      <c r="AK799" t="str" cm="1">
        <f t="array" ref="AK799">_xlfn.IFS(AJ799&lt;=2,"Poor",AJ799&lt;=3,"Fair",AJ799&gt;3,"Good")</f>
        <v>Fair</v>
      </c>
      <c r="AL799">
        <v>1</v>
      </c>
      <c r="AM799">
        <v>0</v>
      </c>
      <c r="AN799">
        <v>0</v>
      </c>
      <c r="AO799">
        <v>0</v>
      </c>
    </row>
    <row r="800" spans="1:41" x14ac:dyDescent="0.2">
      <c r="A800">
        <v>1150498</v>
      </c>
      <c r="B800">
        <v>50</v>
      </c>
      <c r="C800" t="str" cm="1">
        <f t="array" ref="C800">_xlfn.IFS(B800&lt;=25,"15-25",B800&lt;=35,"26-35",B800&lt;=45,"36-45",B800&lt;=55,"46-55",B800&lt;=65,"56-65")</f>
        <v>46-55</v>
      </c>
      <c r="D800" t="s">
        <v>35</v>
      </c>
      <c r="E800" t="str">
        <f t="shared" si="24"/>
        <v>Current Employee</v>
      </c>
      <c r="F800" t="s">
        <v>44</v>
      </c>
      <c r="G800">
        <v>959</v>
      </c>
      <c r="H800" t="s">
        <v>37</v>
      </c>
      <c r="I800">
        <v>1</v>
      </c>
      <c r="J800">
        <v>4</v>
      </c>
      <c r="K800" t="s">
        <v>47</v>
      </c>
      <c r="L800">
        <v>1</v>
      </c>
      <c r="M800">
        <v>4</v>
      </c>
      <c r="N800" t="s">
        <v>46</v>
      </c>
      <c r="O800">
        <v>81</v>
      </c>
      <c r="P800">
        <v>3</v>
      </c>
      <c r="Q800">
        <v>2</v>
      </c>
      <c r="R800" t="s">
        <v>40</v>
      </c>
      <c r="S800">
        <v>3</v>
      </c>
      <c r="T800" t="str" cm="1">
        <f t="array" ref="T800">_xlfn.IFS(S800&lt;=2,"Poor",S800&lt;=3,"Fair",S800&gt;=4,"Good")</f>
        <v>Fair</v>
      </c>
      <c r="U800" t="s">
        <v>41</v>
      </c>
      <c r="V800" s="1">
        <v>4728</v>
      </c>
      <c r="W800" t="str" cm="1">
        <f t="array" ref="W800">_xlfn.IFS(V800&lt;=5000,"Low Salary",V800&lt;=12000,"Good Salary",V800&gt;12000,"High Salary")</f>
        <v>Low Salary</v>
      </c>
      <c r="X800">
        <v>17251</v>
      </c>
      <c r="Y800">
        <v>3</v>
      </c>
      <c r="Z800" t="s">
        <v>42</v>
      </c>
      <c r="AA800" t="s">
        <v>43</v>
      </c>
      <c r="AB800">
        <v>14</v>
      </c>
      <c r="AC800">
        <v>3</v>
      </c>
      <c r="AD800" t="str">
        <f t="shared" si="25"/>
        <v>Low Performance</v>
      </c>
      <c r="AE800">
        <v>4</v>
      </c>
      <c r="AF800">
        <v>80</v>
      </c>
      <c r="AG800">
        <v>0</v>
      </c>
      <c r="AH800">
        <v>5</v>
      </c>
      <c r="AI800">
        <v>4</v>
      </c>
      <c r="AJ800">
        <v>3</v>
      </c>
      <c r="AK800" t="str" cm="1">
        <f t="array" ref="AK800">_xlfn.IFS(AJ800&lt;=2,"Poor",AJ800&lt;=3,"Fair",AJ800&gt;3,"Good")</f>
        <v>Fair</v>
      </c>
      <c r="AL800">
        <v>0</v>
      </c>
      <c r="AM800">
        <v>0</v>
      </c>
      <c r="AN800">
        <v>0</v>
      </c>
      <c r="AO800">
        <v>0</v>
      </c>
    </row>
    <row r="801" spans="1:41" x14ac:dyDescent="0.2">
      <c r="A801">
        <v>1446684</v>
      </c>
      <c r="B801">
        <v>33</v>
      </c>
      <c r="C801" t="str" cm="1">
        <f t="array" ref="C801">_xlfn.IFS(B801&lt;=25,"15-25",B801&lt;=35,"26-35",B801&lt;=45,"36-45",B801&lt;=55,"46-55",B801&lt;=65,"56-65")</f>
        <v>26-35</v>
      </c>
      <c r="D801" t="s">
        <v>35</v>
      </c>
      <c r="E801" t="str">
        <f t="shared" si="24"/>
        <v>Current Employee</v>
      </c>
      <c r="F801" t="s">
        <v>44</v>
      </c>
      <c r="G801">
        <v>970</v>
      </c>
      <c r="H801" t="s">
        <v>37</v>
      </c>
      <c r="I801">
        <v>7</v>
      </c>
      <c r="J801">
        <v>3</v>
      </c>
      <c r="K801" t="s">
        <v>38</v>
      </c>
      <c r="L801">
        <v>1</v>
      </c>
      <c r="M801">
        <v>4</v>
      </c>
      <c r="N801" t="s">
        <v>39</v>
      </c>
      <c r="O801">
        <v>30</v>
      </c>
      <c r="P801">
        <v>3</v>
      </c>
      <c r="Q801">
        <v>2</v>
      </c>
      <c r="R801" t="s">
        <v>40</v>
      </c>
      <c r="S801">
        <v>2</v>
      </c>
      <c r="T801" t="str" cm="1">
        <f t="array" ref="T801">_xlfn.IFS(S801&lt;=2,"Poor",S801&lt;=3,"Fair",S801&gt;=4,"Good")</f>
        <v>Poor</v>
      </c>
      <c r="U801" t="s">
        <v>48</v>
      </c>
      <c r="V801" s="1">
        <v>4302</v>
      </c>
      <c r="W801" t="str" cm="1">
        <f t="array" ref="W801">_xlfn.IFS(V801&lt;=5000,"Low Salary",V801&lt;=12000,"Good Salary",V801&gt;12000,"High Salary")</f>
        <v>Low Salary</v>
      </c>
      <c r="X801">
        <v>13401</v>
      </c>
      <c r="Y801">
        <v>0</v>
      </c>
      <c r="Z801" t="s">
        <v>42</v>
      </c>
      <c r="AA801" t="s">
        <v>35</v>
      </c>
      <c r="AB801">
        <v>17</v>
      </c>
      <c r="AC801">
        <v>3</v>
      </c>
      <c r="AD801" t="str">
        <f t="shared" si="25"/>
        <v>Low Performance</v>
      </c>
      <c r="AE801">
        <v>3</v>
      </c>
      <c r="AF801">
        <v>80</v>
      </c>
      <c r="AG801">
        <v>1</v>
      </c>
      <c r="AH801">
        <v>4</v>
      </c>
      <c r="AI801">
        <v>3</v>
      </c>
      <c r="AJ801">
        <v>3</v>
      </c>
      <c r="AK801" t="str" cm="1">
        <f t="array" ref="AK801">_xlfn.IFS(AJ801&lt;=2,"Poor",AJ801&lt;=3,"Fair",AJ801&gt;3,"Good")</f>
        <v>Fair</v>
      </c>
      <c r="AL801">
        <v>3</v>
      </c>
      <c r="AM801">
        <v>2</v>
      </c>
      <c r="AN801">
        <v>0</v>
      </c>
      <c r="AO801">
        <v>2</v>
      </c>
    </row>
    <row r="802" spans="1:41" x14ac:dyDescent="0.2">
      <c r="A802">
        <v>1852842</v>
      </c>
      <c r="B802">
        <v>34</v>
      </c>
      <c r="C802" t="str" cm="1">
        <f t="array" ref="C802">_xlfn.IFS(B802&lt;=25,"15-25",B802&lt;=35,"26-35",B802&lt;=45,"36-45",B802&lt;=55,"46-55",B802&lt;=65,"56-65")</f>
        <v>26-35</v>
      </c>
      <c r="D802" t="s">
        <v>35</v>
      </c>
      <c r="E802" t="str">
        <f t="shared" si="24"/>
        <v>Current Employee</v>
      </c>
      <c r="F802" t="s">
        <v>52</v>
      </c>
      <c r="G802">
        <v>697</v>
      </c>
      <c r="H802" t="s">
        <v>45</v>
      </c>
      <c r="I802">
        <v>3</v>
      </c>
      <c r="J802">
        <v>4</v>
      </c>
      <c r="K802" t="s">
        <v>38</v>
      </c>
      <c r="L802">
        <v>1</v>
      </c>
      <c r="M802">
        <v>3</v>
      </c>
      <c r="N802" t="s">
        <v>46</v>
      </c>
      <c r="O802">
        <v>40</v>
      </c>
      <c r="P802">
        <v>2</v>
      </c>
      <c r="Q802">
        <v>1</v>
      </c>
      <c r="R802" t="s">
        <v>47</v>
      </c>
      <c r="S802">
        <v>4</v>
      </c>
      <c r="T802" t="str" cm="1">
        <f t="array" ref="T802">_xlfn.IFS(S802&lt;=2,"Poor",S802&lt;=3,"Fair",S802&gt;=4,"Good")</f>
        <v>Good</v>
      </c>
      <c r="U802" t="s">
        <v>48</v>
      </c>
      <c r="V802" s="1">
        <v>2979</v>
      </c>
      <c r="W802" t="str" cm="1">
        <f t="array" ref="W802">_xlfn.IFS(V802&lt;=5000,"Low Salary",V802&lt;=12000,"Good Salary",V802&gt;12000,"High Salary")</f>
        <v>Low Salary</v>
      </c>
      <c r="X802">
        <v>22478</v>
      </c>
      <c r="Y802">
        <v>3</v>
      </c>
      <c r="Z802" t="s">
        <v>42</v>
      </c>
      <c r="AA802" t="s">
        <v>35</v>
      </c>
      <c r="AB802">
        <v>17</v>
      </c>
      <c r="AC802">
        <v>3</v>
      </c>
      <c r="AD802" t="str">
        <f t="shared" si="25"/>
        <v>Low Performance</v>
      </c>
      <c r="AE802">
        <v>4</v>
      </c>
      <c r="AF802">
        <v>80</v>
      </c>
      <c r="AG802">
        <v>3</v>
      </c>
      <c r="AH802">
        <v>6</v>
      </c>
      <c r="AI802">
        <v>2</v>
      </c>
      <c r="AJ802">
        <v>3</v>
      </c>
      <c r="AK802" t="str" cm="1">
        <f t="array" ref="AK802">_xlfn.IFS(AJ802&lt;=2,"Poor",AJ802&lt;=3,"Fair",AJ802&gt;3,"Good")</f>
        <v>Fair</v>
      </c>
      <c r="AL802">
        <v>0</v>
      </c>
      <c r="AM802">
        <v>0</v>
      </c>
      <c r="AN802">
        <v>0</v>
      </c>
      <c r="AO802">
        <v>0</v>
      </c>
    </row>
    <row r="803" spans="1:41" x14ac:dyDescent="0.2">
      <c r="A803">
        <v>1554886</v>
      </c>
      <c r="B803">
        <v>48</v>
      </c>
      <c r="C803" t="str" cm="1">
        <f t="array" ref="C803">_xlfn.IFS(B803&lt;=25,"15-25",B803&lt;=35,"26-35",B803&lt;=45,"36-45",B803&lt;=55,"46-55",B803&lt;=65,"56-65")</f>
        <v>46-55</v>
      </c>
      <c r="D803" t="s">
        <v>35</v>
      </c>
      <c r="E803" t="str">
        <f t="shared" si="24"/>
        <v>Current Employee</v>
      </c>
      <c r="F803" t="s">
        <v>52</v>
      </c>
      <c r="G803">
        <v>1262</v>
      </c>
      <c r="H803" t="s">
        <v>54</v>
      </c>
      <c r="I803">
        <v>1</v>
      </c>
      <c r="J803">
        <v>4</v>
      </c>
      <c r="K803" t="s">
        <v>49</v>
      </c>
      <c r="L803">
        <v>1</v>
      </c>
      <c r="M803">
        <v>1</v>
      </c>
      <c r="N803" t="s">
        <v>46</v>
      </c>
      <c r="O803">
        <v>35</v>
      </c>
      <c r="P803">
        <v>4</v>
      </c>
      <c r="Q803">
        <v>4</v>
      </c>
      <c r="R803" t="s">
        <v>47</v>
      </c>
      <c r="S803">
        <v>4</v>
      </c>
      <c r="T803" t="str" cm="1">
        <f t="array" ref="T803">_xlfn.IFS(S803&lt;=2,"Poor",S803&lt;=3,"Fair",S803&gt;=4,"Good")</f>
        <v>Good</v>
      </c>
      <c r="U803" t="s">
        <v>41</v>
      </c>
      <c r="V803" s="1">
        <v>16885</v>
      </c>
      <c r="W803" t="str" cm="1">
        <f t="array" ref="W803">_xlfn.IFS(V803&lt;=5000,"Low Salary",V803&lt;=12000,"Good Salary",V803&gt;12000,"High Salary")</f>
        <v>High Salary</v>
      </c>
      <c r="X803">
        <v>16154</v>
      </c>
      <c r="Y803">
        <v>2</v>
      </c>
      <c r="Z803" t="s">
        <v>42</v>
      </c>
      <c r="AA803" t="s">
        <v>35</v>
      </c>
      <c r="AB803">
        <v>22</v>
      </c>
      <c r="AC803">
        <v>4</v>
      </c>
      <c r="AD803" t="str">
        <f t="shared" si="25"/>
        <v>High Performance</v>
      </c>
      <c r="AE803">
        <v>3</v>
      </c>
      <c r="AF803">
        <v>80</v>
      </c>
      <c r="AG803">
        <v>0</v>
      </c>
      <c r="AH803">
        <v>27</v>
      </c>
      <c r="AI803">
        <v>3</v>
      </c>
      <c r="AJ803">
        <v>2</v>
      </c>
      <c r="AK803" t="str" cm="1">
        <f t="array" ref="AK803">_xlfn.IFS(AJ803&lt;=2,"Poor",AJ803&lt;=3,"Fair",AJ803&gt;3,"Good")</f>
        <v>Poor</v>
      </c>
      <c r="AL803">
        <v>5</v>
      </c>
      <c r="AM803">
        <v>4</v>
      </c>
      <c r="AN803">
        <v>2</v>
      </c>
      <c r="AO803">
        <v>1</v>
      </c>
    </row>
    <row r="804" spans="1:41" x14ac:dyDescent="0.2">
      <c r="A804">
        <v>1454712</v>
      </c>
      <c r="B804">
        <v>45</v>
      </c>
      <c r="C804" t="str" cm="1">
        <f t="array" ref="C804">_xlfn.IFS(B804&lt;=25,"15-25",B804&lt;=35,"26-35",B804&lt;=45,"36-45",B804&lt;=55,"46-55",B804&lt;=65,"56-65")</f>
        <v>36-45</v>
      </c>
      <c r="D804" t="s">
        <v>35</v>
      </c>
      <c r="E804" t="str">
        <f t="shared" si="24"/>
        <v>Current Employee</v>
      </c>
      <c r="F804" t="s">
        <v>52</v>
      </c>
      <c r="G804">
        <v>1050</v>
      </c>
      <c r="H804" t="s">
        <v>37</v>
      </c>
      <c r="I804">
        <v>9</v>
      </c>
      <c r="J804">
        <v>4</v>
      </c>
      <c r="K804" t="s">
        <v>38</v>
      </c>
      <c r="L804">
        <v>1</v>
      </c>
      <c r="M804">
        <v>2</v>
      </c>
      <c r="N804" t="s">
        <v>39</v>
      </c>
      <c r="O804">
        <v>65</v>
      </c>
      <c r="P804">
        <v>2</v>
      </c>
      <c r="Q804">
        <v>2</v>
      </c>
      <c r="R804" t="s">
        <v>40</v>
      </c>
      <c r="S804">
        <v>3</v>
      </c>
      <c r="T804" t="str" cm="1">
        <f t="array" ref="T804">_xlfn.IFS(S804&lt;=2,"Poor",S804&lt;=3,"Fair",S804&gt;=4,"Good")</f>
        <v>Fair</v>
      </c>
      <c r="U804" t="s">
        <v>48</v>
      </c>
      <c r="V804" s="1">
        <v>5593</v>
      </c>
      <c r="W804" t="str" cm="1">
        <f t="array" ref="W804">_xlfn.IFS(V804&lt;=5000,"Low Salary",V804&lt;=12000,"Good Salary",V804&gt;12000,"High Salary")</f>
        <v>Good Salary</v>
      </c>
      <c r="X804">
        <v>17970</v>
      </c>
      <c r="Y804">
        <v>1</v>
      </c>
      <c r="Z804" t="s">
        <v>42</v>
      </c>
      <c r="AA804" t="s">
        <v>35</v>
      </c>
      <c r="AB804">
        <v>13</v>
      </c>
      <c r="AC804">
        <v>3</v>
      </c>
      <c r="AD804" t="str">
        <f t="shared" si="25"/>
        <v>Low Performance</v>
      </c>
      <c r="AE804">
        <v>4</v>
      </c>
      <c r="AF804">
        <v>80</v>
      </c>
      <c r="AG804">
        <v>1</v>
      </c>
      <c r="AH804">
        <v>15</v>
      </c>
      <c r="AI804">
        <v>2</v>
      </c>
      <c r="AJ804">
        <v>3</v>
      </c>
      <c r="AK804" t="str" cm="1">
        <f t="array" ref="AK804">_xlfn.IFS(AJ804&lt;=2,"Poor",AJ804&lt;=3,"Fair",AJ804&gt;3,"Good")</f>
        <v>Fair</v>
      </c>
      <c r="AL804">
        <v>15</v>
      </c>
      <c r="AM804">
        <v>10</v>
      </c>
      <c r="AN804">
        <v>4</v>
      </c>
      <c r="AO804">
        <v>12</v>
      </c>
    </row>
    <row r="805" spans="1:41" x14ac:dyDescent="0.2">
      <c r="A805">
        <v>1212693</v>
      </c>
      <c r="B805">
        <v>52</v>
      </c>
      <c r="C805" t="str" cm="1">
        <f t="array" ref="C805">_xlfn.IFS(B805&lt;=25,"15-25",B805&lt;=35,"26-35",B805&lt;=45,"36-45",B805&lt;=55,"46-55",B805&lt;=65,"56-65")</f>
        <v>46-55</v>
      </c>
      <c r="D805" t="s">
        <v>35</v>
      </c>
      <c r="E805" t="str">
        <f t="shared" si="24"/>
        <v>Current Employee</v>
      </c>
      <c r="F805" t="s">
        <v>36</v>
      </c>
      <c r="G805">
        <v>994</v>
      </c>
      <c r="H805" t="s">
        <v>45</v>
      </c>
      <c r="I805">
        <v>7</v>
      </c>
      <c r="J805">
        <v>4</v>
      </c>
      <c r="K805" t="s">
        <v>38</v>
      </c>
      <c r="L805">
        <v>1</v>
      </c>
      <c r="M805">
        <v>2</v>
      </c>
      <c r="N805" t="s">
        <v>46</v>
      </c>
      <c r="O805">
        <v>87</v>
      </c>
      <c r="P805">
        <v>3</v>
      </c>
      <c r="Q805">
        <v>3</v>
      </c>
      <c r="R805" t="s">
        <v>40</v>
      </c>
      <c r="S805">
        <v>2</v>
      </c>
      <c r="T805" t="str" cm="1">
        <f t="array" ref="T805">_xlfn.IFS(S805&lt;=2,"Poor",S805&lt;=3,"Fair",S805&gt;=4,"Good")</f>
        <v>Poor</v>
      </c>
      <c r="U805" t="s">
        <v>41</v>
      </c>
      <c r="V805" s="1">
        <v>10445</v>
      </c>
      <c r="W805" t="str" cm="1">
        <f t="array" ref="W805">_xlfn.IFS(V805&lt;=5000,"Low Salary",V805&lt;=12000,"Good Salary",V805&gt;12000,"High Salary")</f>
        <v>Good Salary</v>
      </c>
      <c r="X805">
        <v>15322</v>
      </c>
      <c r="Y805">
        <v>7</v>
      </c>
      <c r="Z805" t="s">
        <v>42</v>
      </c>
      <c r="AA805" t="s">
        <v>35</v>
      </c>
      <c r="AB805">
        <v>19</v>
      </c>
      <c r="AC805">
        <v>3</v>
      </c>
      <c r="AD805" t="str">
        <f t="shared" si="25"/>
        <v>Low Performance</v>
      </c>
      <c r="AE805">
        <v>4</v>
      </c>
      <c r="AF805">
        <v>80</v>
      </c>
      <c r="AG805">
        <v>0</v>
      </c>
      <c r="AH805">
        <v>18</v>
      </c>
      <c r="AI805">
        <v>4</v>
      </c>
      <c r="AJ805">
        <v>3</v>
      </c>
      <c r="AK805" t="str" cm="1">
        <f t="array" ref="AK805">_xlfn.IFS(AJ805&lt;=2,"Poor",AJ805&lt;=3,"Fair",AJ805&gt;3,"Good")</f>
        <v>Fair</v>
      </c>
      <c r="AL805">
        <v>8</v>
      </c>
      <c r="AM805">
        <v>6</v>
      </c>
      <c r="AN805">
        <v>4</v>
      </c>
      <c r="AO805">
        <v>0</v>
      </c>
    </row>
    <row r="806" spans="1:41" x14ac:dyDescent="0.2">
      <c r="A806">
        <v>1312769</v>
      </c>
      <c r="B806">
        <v>38</v>
      </c>
      <c r="C806" t="str" cm="1">
        <f t="array" ref="C806">_xlfn.IFS(B806&lt;=25,"15-25",B806&lt;=35,"26-35",B806&lt;=45,"36-45",B806&lt;=55,"46-55",B806&lt;=65,"56-65")</f>
        <v>36-45</v>
      </c>
      <c r="D806" t="s">
        <v>35</v>
      </c>
      <c r="E806" t="str">
        <f t="shared" si="24"/>
        <v>Current Employee</v>
      </c>
      <c r="F806" t="s">
        <v>36</v>
      </c>
      <c r="G806">
        <v>770</v>
      </c>
      <c r="H806" t="s">
        <v>37</v>
      </c>
      <c r="I806">
        <v>10</v>
      </c>
      <c r="J806">
        <v>4</v>
      </c>
      <c r="K806" t="s">
        <v>55</v>
      </c>
      <c r="L806">
        <v>1</v>
      </c>
      <c r="M806">
        <v>3</v>
      </c>
      <c r="N806" t="s">
        <v>46</v>
      </c>
      <c r="O806">
        <v>73</v>
      </c>
      <c r="P806">
        <v>2</v>
      </c>
      <c r="Q806">
        <v>3</v>
      </c>
      <c r="R806" t="s">
        <v>40</v>
      </c>
      <c r="S806">
        <v>3</v>
      </c>
      <c r="T806" t="str" cm="1">
        <f t="array" ref="T806">_xlfn.IFS(S806&lt;=2,"Poor",S806&lt;=3,"Fair",S806&gt;=4,"Good")</f>
        <v>Fair</v>
      </c>
      <c r="U806" t="s">
        <v>50</v>
      </c>
      <c r="V806" s="1">
        <v>8740</v>
      </c>
      <c r="W806" t="str" cm="1">
        <f t="array" ref="W806">_xlfn.IFS(V806&lt;=5000,"Low Salary",V806&lt;=12000,"Good Salary",V806&gt;12000,"High Salary")</f>
        <v>Good Salary</v>
      </c>
      <c r="X806">
        <v>5569</v>
      </c>
      <c r="Y806">
        <v>0</v>
      </c>
      <c r="Z806" t="s">
        <v>42</v>
      </c>
      <c r="AA806" t="s">
        <v>43</v>
      </c>
      <c r="AB806">
        <v>14</v>
      </c>
      <c r="AC806">
        <v>3</v>
      </c>
      <c r="AD806" t="str">
        <f t="shared" si="25"/>
        <v>Low Performance</v>
      </c>
      <c r="AE806">
        <v>2</v>
      </c>
      <c r="AF806">
        <v>80</v>
      </c>
      <c r="AG806">
        <v>2</v>
      </c>
      <c r="AH806">
        <v>9</v>
      </c>
      <c r="AI806">
        <v>2</v>
      </c>
      <c r="AJ806">
        <v>3</v>
      </c>
      <c r="AK806" t="str" cm="1">
        <f t="array" ref="AK806">_xlfn.IFS(AJ806&lt;=2,"Poor",AJ806&lt;=3,"Fair",AJ806&gt;3,"Good")</f>
        <v>Fair</v>
      </c>
      <c r="AL806">
        <v>8</v>
      </c>
      <c r="AM806">
        <v>7</v>
      </c>
      <c r="AN806">
        <v>2</v>
      </c>
      <c r="AO806">
        <v>7</v>
      </c>
    </row>
    <row r="807" spans="1:41" x14ac:dyDescent="0.2">
      <c r="A807">
        <v>1601148</v>
      </c>
      <c r="B807">
        <v>29</v>
      </c>
      <c r="C807" t="str" cm="1">
        <f t="array" ref="C807">_xlfn.IFS(B807&lt;=25,"15-25",B807&lt;=35,"26-35",B807&lt;=45,"36-45",B807&lt;=55,"46-55",B807&lt;=65,"56-65")</f>
        <v>26-35</v>
      </c>
      <c r="D807" t="s">
        <v>35</v>
      </c>
      <c r="E807" t="str">
        <f t="shared" si="24"/>
        <v>Current Employee</v>
      </c>
      <c r="F807" t="s">
        <v>36</v>
      </c>
      <c r="G807">
        <v>1107</v>
      </c>
      <c r="H807" t="s">
        <v>45</v>
      </c>
      <c r="I807">
        <v>28</v>
      </c>
      <c r="J807">
        <v>4</v>
      </c>
      <c r="K807" t="s">
        <v>38</v>
      </c>
      <c r="L807">
        <v>1</v>
      </c>
      <c r="M807">
        <v>3</v>
      </c>
      <c r="N807" t="s">
        <v>39</v>
      </c>
      <c r="O807">
        <v>93</v>
      </c>
      <c r="P807">
        <v>3</v>
      </c>
      <c r="Q807">
        <v>1</v>
      </c>
      <c r="R807" t="s">
        <v>47</v>
      </c>
      <c r="S807">
        <v>4</v>
      </c>
      <c r="T807" t="str" cm="1">
        <f t="array" ref="T807">_xlfn.IFS(S807&lt;=2,"Poor",S807&lt;=3,"Fair",S807&gt;=4,"Good")</f>
        <v>Good</v>
      </c>
      <c r="U807" t="s">
        <v>50</v>
      </c>
      <c r="V807" s="1">
        <v>2514</v>
      </c>
      <c r="W807" t="str" cm="1">
        <f t="array" ref="W807">_xlfn.IFS(V807&lt;=5000,"Low Salary",V807&lt;=12000,"Good Salary",V807&gt;12000,"High Salary")</f>
        <v>Low Salary</v>
      </c>
      <c r="X807">
        <v>26968</v>
      </c>
      <c r="Y807">
        <v>4</v>
      </c>
      <c r="Z807" t="s">
        <v>42</v>
      </c>
      <c r="AA807" t="s">
        <v>35</v>
      </c>
      <c r="AB807">
        <v>22</v>
      </c>
      <c r="AC807">
        <v>4</v>
      </c>
      <c r="AD807" t="str">
        <f t="shared" si="25"/>
        <v>High Performance</v>
      </c>
      <c r="AE807">
        <v>1</v>
      </c>
      <c r="AF807">
        <v>80</v>
      </c>
      <c r="AG807">
        <v>1</v>
      </c>
      <c r="AH807">
        <v>11</v>
      </c>
      <c r="AI807">
        <v>1</v>
      </c>
      <c r="AJ807">
        <v>3</v>
      </c>
      <c r="AK807" t="str" cm="1">
        <f t="array" ref="AK807">_xlfn.IFS(AJ807&lt;=2,"Poor",AJ807&lt;=3,"Fair",AJ807&gt;3,"Good")</f>
        <v>Fair</v>
      </c>
      <c r="AL807">
        <v>7</v>
      </c>
      <c r="AM807">
        <v>5</v>
      </c>
      <c r="AN807">
        <v>1</v>
      </c>
      <c r="AO807">
        <v>7</v>
      </c>
    </row>
    <row r="808" spans="1:41" x14ac:dyDescent="0.2">
      <c r="A808">
        <v>1133211</v>
      </c>
      <c r="B808">
        <v>28</v>
      </c>
      <c r="C808" t="str" cm="1">
        <f t="array" ref="C808">_xlfn.IFS(B808&lt;=25,"15-25",B808&lt;=35,"26-35",B808&lt;=45,"36-45",B808&lt;=55,"46-55",B808&lt;=65,"56-65")</f>
        <v>26-35</v>
      </c>
      <c r="D808" t="s">
        <v>35</v>
      </c>
      <c r="E808" t="str">
        <f t="shared" si="24"/>
        <v>Current Employee</v>
      </c>
      <c r="F808" t="s">
        <v>36</v>
      </c>
      <c r="G808">
        <v>950</v>
      </c>
      <c r="H808" t="s">
        <v>54</v>
      </c>
      <c r="I808">
        <v>3</v>
      </c>
      <c r="J808">
        <v>3</v>
      </c>
      <c r="K808" t="s">
        <v>49</v>
      </c>
      <c r="L808">
        <v>1</v>
      </c>
      <c r="M808">
        <v>4</v>
      </c>
      <c r="N808" t="s">
        <v>39</v>
      </c>
      <c r="O808">
        <v>93</v>
      </c>
      <c r="P808">
        <v>3</v>
      </c>
      <c r="Q808">
        <v>3</v>
      </c>
      <c r="R808" t="s">
        <v>51</v>
      </c>
      <c r="S808">
        <v>2</v>
      </c>
      <c r="T808" t="str" cm="1">
        <f t="array" ref="T808">_xlfn.IFS(S808&lt;=2,"Poor",S808&lt;=3,"Fair",S808&gt;=4,"Good")</f>
        <v>Poor</v>
      </c>
      <c r="U808" t="s">
        <v>50</v>
      </c>
      <c r="V808" s="1">
        <v>7655</v>
      </c>
      <c r="W808" t="str" cm="1">
        <f t="array" ref="W808">_xlfn.IFS(V808&lt;=5000,"Low Salary",V808&lt;=12000,"Good Salary",V808&gt;12000,"High Salary")</f>
        <v>Good Salary</v>
      </c>
      <c r="X808">
        <v>8039</v>
      </c>
      <c r="Y808">
        <v>0</v>
      </c>
      <c r="Z808" t="s">
        <v>42</v>
      </c>
      <c r="AA808" t="s">
        <v>35</v>
      </c>
      <c r="AB808">
        <v>17</v>
      </c>
      <c r="AC808">
        <v>3</v>
      </c>
      <c r="AD808" t="str">
        <f t="shared" si="25"/>
        <v>Low Performance</v>
      </c>
      <c r="AE808">
        <v>2</v>
      </c>
      <c r="AF808">
        <v>80</v>
      </c>
      <c r="AG808">
        <v>3</v>
      </c>
      <c r="AH808">
        <v>10</v>
      </c>
      <c r="AI808">
        <v>3</v>
      </c>
      <c r="AJ808">
        <v>2</v>
      </c>
      <c r="AK808" t="str" cm="1">
        <f t="array" ref="AK808">_xlfn.IFS(AJ808&lt;=2,"Poor",AJ808&lt;=3,"Fair",AJ808&gt;3,"Good")</f>
        <v>Poor</v>
      </c>
      <c r="AL808">
        <v>9</v>
      </c>
      <c r="AM808">
        <v>7</v>
      </c>
      <c r="AN808">
        <v>1</v>
      </c>
      <c r="AO808">
        <v>7</v>
      </c>
    </row>
    <row r="809" spans="1:41" x14ac:dyDescent="0.2">
      <c r="A809">
        <v>1856618</v>
      </c>
      <c r="B809">
        <v>46</v>
      </c>
      <c r="C809" t="str" cm="1">
        <f t="array" ref="C809">_xlfn.IFS(B809&lt;=25,"15-25",B809&lt;=35,"26-35",B809&lt;=45,"36-45",B809&lt;=55,"46-55",B809&lt;=65,"56-65")</f>
        <v>46-55</v>
      </c>
      <c r="D809" t="s">
        <v>35</v>
      </c>
      <c r="E809" t="str">
        <f t="shared" si="24"/>
        <v>Current Employee</v>
      </c>
      <c r="F809" t="s">
        <v>36</v>
      </c>
      <c r="G809">
        <v>406</v>
      </c>
      <c r="H809" t="s">
        <v>37</v>
      </c>
      <c r="I809">
        <v>3</v>
      </c>
      <c r="J809">
        <v>1</v>
      </c>
      <c r="K809" t="s">
        <v>55</v>
      </c>
      <c r="L809">
        <v>1</v>
      </c>
      <c r="M809">
        <v>1</v>
      </c>
      <c r="N809" t="s">
        <v>46</v>
      </c>
      <c r="O809">
        <v>52</v>
      </c>
      <c r="P809">
        <v>3</v>
      </c>
      <c r="Q809">
        <v>4</v>
      </c>
      <c r="R809" t="s">
        <v>53</v>
      </c>
      <c r="S809">
        <v>3</v>
      </c>
      <c r="T809" t="str" cm="1">
        <f t="array" ref="T809">_xlfn.IFS(S809&lt;=2,"Poor",S809&lt;=3,"Fair",S809&gt;=4,"Good")</f>
        <v>Fair</v>
      </c>
      <c r="U809" t="s">
        <v>48</v>
      </c>
      <c r="V809" s="1">
        <v>17465</v>
      </c>
      <c r="W809" t="str" cm="1">
        <f t="array" ref="W809">_xlfn.IFS(V809&lt;=5000,"Low Salary",V809&lt;=12000,"Good Salary",V809&gt;12000,"High Salary")</f>
        <v>High Salary</v>
      </c>
      <c r="X809">
        <v>15596</v>
      </c>
      <c r="Y809">
        <v>3</v>
      </c>
      <c r="Z809" t="s">
        <v>42</v>
      </c>
      <c r="AA809" t="s">
        <v>35</v>
      </c>
      <c r="AB809">
        <v>12</v>
      </c>
      <c r="AC809">
        <v>3</v>
      </c>
      <c r="AD809" t="str">
        <f t="shared" si="25"/>
        <v>Low Performance</v>
      </c>
      <c r="AE809">
        <v>4</v>
      </c>
      <c r="AF809">
        <v>80</v>
      </c>
      <c r="AG809">
        <v>1</v>
      </c>
      <c r="AH809">
        <v>23</v>
      </c>
      <c r="AI809">
        <v>3</v>
      </c>
      <c r="AJ809">
        <v>3</v>
      </c>
      <c r="AK809" t="str" cm="1">
        <f t="array" ref="AK809">_xlfn.IFS(AJ809&lt;=2,"Poor",AJ809&lt;=3,"Fair",AJ809&gt;3,"Good")</f>
        <v>Fair</v>
      </c>
      <c r="AL809">
        <v>12</v>
      </c>
      <c r="AM809">
        <v>9</v>
      </c>
      <c r="AN809">
        <v>4</v>
      </c>
      <c r="AO809">
        <v>9</v>
      </c>
    </row>
    <row r="810" spans="1:41" x14ac:dyDescent="0.2">
      <c r="A810">
        <v>1042408</v>
      </c>
      <c r="B810">
        <v>38</v>
      </c>
      <c r="C810" t="str" cm="1">
        <f t="array" ref="C810">_xlfn.IFS(B810&lt;=25,"15-25",B810&lt;=35,"26-35",B810&lt;=45,"36-45",B810&lt;=55,"46-55",B810&lt;=65,"56-65")</f>
        <v>36-45</v>
      </c>
      <c r="D810" t="s">
        <v>35</v>
      </c>
      <c r="E810" t="str">
        <f t="shared" si="24"/>
        <v>Current Employee</v>
      </c>
      <c r="F810" t="s">
        <v>36</v>
      </c>
      <c r="G810">
        <v>130</v>
      </c>
      <c r="H810" t="s">
        <v>37</v>
      </c>
      <c r="I810">
        <v>2</v>
      </c>
      <c r="J810">
        <v>2</v>
      </c>
      <c r="K810" t="s">
        <v>55</v>
      </c>
      <c r="L810">
        <v>1</v>
      </c>
      <c r="M810">
        <v>4</v>
      </c>
      <c r="N810" t="s">
        <v>46</v>
      </c>
      <c r="O810">
        <v>32</v>
      </c>
      <c r="P810">
        <v>3</v>
      </c>
      <c r="Q810">
        <v>3</v>
      </c>
      <c r="R810" t="s">
        <v>40</v>
      </c>
      <c r="S810">
        <v>2</v>
      </c>
      <c r="T810" t="str" cm="1">
        <f t="array" ref="T810">_xlfn.IFS(S810&lt;=2,"Poor",S810&lt;=3,"Fair",S810&gt;=4,"Good")</f>
        <v>Poor</v>
      </c>
      <c r="U810" t="s">
        <v>41</v>
      </c>
      <c r="V810" s="1">
        <v>7351</v>
      </c>
      <c r="W810" t="str" cm="1">
        <f t="array" ref="W810">_xlfn.IFS(V810&lt;=5000,"Low Salary",V810&lt;=12000,"Good Salary",V810&gt;12000,"High Salary")</f>
        <v>Good Salary</v>
      </c>
      <c r="X810">
        <v>20619</v>
      </c>
      <c r="Y810">
        <v>7</v>
      </c>
      <c r="Z810" t="s">
        <v>42</v>
      </c>
      <c r="AA810" t="s">
        <v>35</v>
      </c>
      <c r="AB810">
        <v>16</v>
      </c>
      <c r="AC810">
        <v>3</v>
      </c>
      <c r="AD810" t="str">
        <f t="shared" si="25"/>
        <v>Low Performance</v>
      </c>
      <c r="AE810">
        <v>3</v>
      </c>
      <c r="AF810">
        <v>80</v>
      </c>
      <c r="AG810">
        <v>0</v>
      </c>
      <c r="AH810">
        <v>10</v>
      </c>
      <c r="AI810">
        <v>2</v>
      </c>
      <c r="AJ810">
        <v>3</v>
      </c>
      <c r="AK810" t="str" cm="1">
        <f t="array" ref="AK810">_xlfn.IFS(AJ810&lt;=2,"Poor",AJ810&lt;=3,"Fair",AJ810&gt;3,"Good")</f>
        <v>Fair</v>
      </c>
      <c r="AL810">
        <v>1</v>
      </c>
      <c r="AM810">
        <v>0</v>
      </c>
      <c r="AN810">
        <v>0</v>
      </c>
      <c r="AO810">
        <v>0</v>
      </c>
    </row>
    <row r="811" spans="1:41" x14ac:dyDescent="0.2">
      <c r="A811">
        <v>1789769</v>
      </c>
      <c r="B811">
        <v>43</v>
      </c>
      <c r="C811" t="str" cm="1">
        <f t="array" ref="C811">_xlfn.IFS(B811&lt;=25,"15-25",B811&lt;=35,"26-35",B811&lt;=45,"36-45",B811&lt;=55,"46-55",B811&lt;=65,"56-65")</f>
        <v>36-45</v>
      </c>
      <c r="D811" t="s">
        <v>35</v>
      </c>
      <c r="E811" t="str">
        <f t="shared" si="24"/>
        <v>Current Employee</v>
      </c>
      <c r="F811" t="s">
        <v>44</v>
      </c>
      <c r="G811">
        <v>1082</v>
      </c>
      <c r="H811" t="s">
        <v>45</v>
      </c>
      <c r="I811">
        <v>27</v>
      </c>
      <c r="J811">
        <v>3</v>
      </c>
      <c r="K811" t="s">
        <v>38</v>
      </c>
      <c r="L811">
        <v>1</v>
      </c>
      <c r="M811">
        <v>3</v>
      </c>
      <c r="N811" t="s">
        <v>39</v>
      </c>
      <c r="O811">
        <v>83</v>
      </c>
      <c r="P811">
        <v>3</v>
      </c>
      <c r="Q811">
        <v>3</v>
      </c>
      <c r="R811" t="s">
        <v>51</v>
      </c>
      <c r="S811">
        <v>1</v>
      </c>
      <c r="T811" t="str" cm="1">
        <f t="array" ref="T811">_xlfn.IFS(S811&lt;=2,"Poor",S811&lt;=3,"Fair",S811&gt;=4,"Good")</f>
        <v>Poor</v>
      </c>
      <c r="U811" t="s">
        <v>48</v>
      </c>
      <c r="V811" s="1">
        <v>10820</v>
      </c>
      <c r="W811" t="str" cm="1">
        <f t="array" ref="W811">_xlfn.IFS(V811&lt;=5000,"Low Salary",V811&lt;=12000,"Good Salary",V811&gt;12000,"High Salary")</f>
        <v>Good Salary</v>
      </c>
      <c r="X811">
        <v>11535</v>
      </c>
      <c r="Y811">
        <v>8</v>
      </c>
      <c r="Z811" t="s">
        <v>42</v>
      </c>
      <c r="AA811" t="s">
        <v>35</v>
      </c>
      <c r="AB811">
        <v>11</v>
      </c>
      <c r="AC811">
        <v>3</v>
      </c>
      <c r="AD811" t="str">
        <f t="shared" si="25"/>
        <v>Low Performance</v>
      </c>
      <c r="AE811">
        <v>3</v>
      </c>
      <c r="AF811">
        <v>80</v>
      </c>
      <c r="AG811">
        <v>1</v>
      </c>
      <c r="AH811">
        <v>18</v>
      </c>
      <c r="AI811">
        <v>1</v>
      </c>
      <c r="AJ811">
        <v>3</v>
      </c>
      <c r="AK811" t="str" cm="1">
        <f t="array" ref="AK811">_xlfn.IFS(AJ811&lt;=2,"Poor",AJ811&lt;=3,"Fair",AJ811&gt;3,"Good")</f>
        <v>Fair</v>
      </c>
      <c r="AL811">
        <v>8</v>
      </c>
      <c r="AM811">
        <v>7</v>
      </c>
      <c r="AN811">
        <v>0</v>
      </c>
      <c r="AO811">
        <v>1</v>
      </c>
    </row>
    <row r="812" spans="1:41" x14ac:dyDescent="0.2">
      <c r="A812">
        <v>1440393</v>
      </c>
      <c r="B812">
        <v>39</v>
      </c>
      <c r="C812" t="str" cm="1">
        <f t="array" ref="C812">_xlfn.IFS(B812&lt;=25,"15-25",B812&lt;=35,"26-35",B812&lt;=45,"36-45",B812&lt;=55,"46-55",B812&lt;=65,"56-65")</f>
        <v>36-45</v>
      </c>
      <c r="D812" t="s">
        <v>35</v>
      </c>
      <c r="E812" t="str">
        <f t="shared" si="24"/>
        <v>Current Employee</v>
      </c>
      <c r="F812" t="s">
        <v>44</v>
      </c>
      <c r="G812">
        <v>203</v>
      </c>
      <c r="H812" t="s">
        <v>45</v>
      </c>
      <c r="I812">
        <v>2</v>
      </c>
      <c r="J812">
        <v>3</v>
      </c>
      <c r="K812" t="s">
        <v>38</v>
      </c>
      <c r="L812">
        <v>1</v>
      </c>
      <c r="M812">
        <v>1</v>
      </c>
      <c r="N812" t="s">
        <v>46</v>
      </c>
      <c r="O812">
        <v>84</v>
      </c>
      <c r="P812">
        <v>3</v>
      </c>
      <c r="Q812">
        <v>4</v>
      </c>
      <c r="R812" t="s">
        <v>40</v>
      </c>
      <c r="S812">
        <v>4</v>
      </c>
      <c r="T812" t="str" cm="1">
        <f t="array" ref="T812">_xlfn.IFS(S812&lt;=2,"Poor",S812&lt;=3,"Fair",S812&gt;=4,"Good")</f>
        <v>Good</v>
      </c>
      <c r="U812" t="s">
        <v>50</v>
      </c>
      <c r="V812" s="1">
        <v>12169</v>
      </c>
      <c r="W812" t="str" cm="1">
        <f t="array" ref="W812">_xlfn.IFS(V812&lt;=5000,"Low Salary",V812&lt;=12000,"Good Salary",V812&gt;12000,"High Salary")</f>
        <v>High Salary</v>
      </c>
      <c r="X812">
        <v>13547</v>
      </c>
      <c r="Y812">
        <v>7</v>
      </c>
      <c r="Z812" t="s">
        <v>42</v>
      </c>
      <c r="AA812" t="s">
        <v>35</v>
      </c>
      <c r="AB812">
        <v>11</v>
      </c>
      <c r="AC812">
        <v>3</v>
      </c>
      <c r="AD812" t="str">
        <f t="shared" si="25"/>
        <v>Low Performance</v>
      </c>
      <c r="AE812">
        <v>4</v>
      </c>
      <c r="AF812">
        <v>80</v>
      </c>
      <c r="AG812">
        <v>3</v>
      </c>
      <c r="AH812">
        <v>21</v>
      </c>
      <c r="AI812">
        <v>4</v>
      </c>
      <c r="AJ812">
        <v>3</v>
      </c>
      <c r="AK812" t="str" cm="1">
        <f t="array" ref="AK812">_xlfn.IFS(AJ812&lt;=2,"Poor",AJ812&lt;=3,"Fair",AJ812&gt;3,"Good")</f>
        <v>Fair</v>
      </c>
      <c r="AL812">
        <v>18</v>
      </c>
      <c r="AM812">
        <v>7</v>
      </c>
      <c r="AN812">
        <v>11</v>
      </c>
      <c r="AO812">
        <v>5</v>
      </c>
    </row>
    <row r="813" spans="1:41" x14ac:dyDescent="0.2">
      <c r="A813">
        <v>1091520</v>
      </c>
      <c r="B813">
        <v>40</v>
      </c>
      <c r="C813" t="str" cm="1">
        <f t="array" ref="C813">_xlfn.IFS(B813&lt;=25,"15-25",B813&lt;=35,"26-35",B813&lt;=45,"36-45",B813&lt;=55,"46-55",B813&lt;=65,"56-65")</f>
        <v>36-45</v>
      </c>
      <c r="D813" t="s">
        <v>35</v>
      </c>
      <c r="E813" t="str">
        <f t="shared" si="24"/>
        <v>Current Employee</v>
      </c>
      <c r="F813" t="s">
        <v>36</v>
      </c>
      <c r="G813">
        <v>1308</v>
      </c>
      <c r="H813" t="s">
        <v>45</v>
      </c>
      <c r="I813">
        <v>14</v>
      </c>
      <c r="J813">
        <v>3</v>
      </c>
      <c r="K813" t="s">
        <v>49</v>
      </c>
      <c r="L813">
        <v>1</v>
      </c>
      <c r="M813">
        <v>3</v>
      </c>
      <c r="N813" t="s">
        <v>46</v>
      </c>
      <c r="O813">
        <v>44</v>
      </c>
      <c r="P813">
        <v>2</v>
      </c>
      <c r="Q813">
        <v>5</v>
      </c>
      <c r="R813" t="s">
        <v>53</v>
      </c>
      <c r="S813">
        <v>3</v>
      </c>
      <c r="T813" t="str" cm="1">
        <f t="array" ref="T813">_xlfn.IFS(S813&lt;=2,"Poor",S813&lt;=3,"Fair",S813&gt;=4,"Good")</f>
        <v>Fair</v>
      </c>
      <c r="U813" t="s">
        <v>41</v>
      </c>
      <c r="V813" s="1">
        <v>19626</v>
      </c>
      <c r="W813" t="str" cm="1">
        <f t="array" ref="W813">_xlfn.IFS(V813&lt;=5000,"Low Salary",V813&lt;=12000,"Good Salary",V813&gt;12000,"High Salary")</f>
        <v>High Salary</v>
      </c>
      <c r="X813">
        <v>17544</v>
      </c>
      <c r="Y813">
        <v>1</v>
      </c>
      <c r="Z813" t="s">
        <v>42</v>
      </c>
      <c r="AA813" t="s">
        <v>35</v>
      </c>
      <c r="AB813">
        <v>14</v>
      </c>
      <c r="AC813">
        <v>3</v>
      </c>
      <c r="AD813" t="str">
        <f t="shared" si="25"/>
        <v>Low Performance</v>
      </c>
      <c r="AE813">
        <v>1</v>
      </c>
      <c r="AF813">
        <v>80</v>
      </c>
      <c r="AG813">
        <v>0</v>
      </c>
      <c r="AH813">
        <v>21</v>
      </c>
      <c r="AI813">
        <v>2</v>
      </c>
      <c r="AJ813">
        <v>4</v>
      </c>
      <c r="AK813" t="str" cm="1">
        <f t="array" ref="AK813">_xlfn.IFS(AJ813&lt;=2,"Poor",AJ813&lt;=3,"Fair",AJ813&gt;3,"Good")</f>
        <v>Good</v>
      </c>
      <c r="AL813">
        <v>20</v>
      </c>
      <c r="AM813">
        <v>7</v>
      </c>
      <c r="AN813">
        <v>4</v>
      </c>
      <c r="AO813">
        <v>9</v>
      </c>
    </row>
    <row r="814" spans="1:41" x14ac:dyDescent="0.2">
      <c r="A814">
        <v>1818532</v>
      </c>
      <c r="B814">
        <v>21</v>
      </c>
      <c r="C814" t="str" cm="1">
        <f t="array" ref="C814">_xlfn.IFS(B814&lt;=25,"15-25",B814&lt;=35,"26-35",B814&lt;=45,"36-45",B814&lt;=55,"46-55",B814&lt;=65,"56-65")</f>
        <v>15-25</v>
      </c>
      <c r="D814" t="s">
        <v>43</v>
      </c>
      <c r="E814" t="str">
        <f t="shared" si="24"/>
        <v>Former Employee</v>
      </c>
      <c r="F814" t="s">
        <v>36</v>
      </c>
      <c r="G814">
        <v>984</v>
      </c>
      <c r="H814" t="s">
        <v>45</v>
      </c>
      <c r="I814">
        <v>1</v>
      </c>
      <c r="J814">
        <v>1</v>
      </c>
      <c r="K814" t="s">
        <v>56</v>
      </c>
      <c r="L814">
        <v>1</v>
      </c>
      <c r="M814">
        <v>4</v>
      </c>
      <c r="N814" t="s">
        <v>39</v>
      </c>
      <c r="O814">
        <v>70</v>
      </c>
      <c r="P814">
        <v>2</v>
      </c>
      <c r="Q814">
        <v>1</v>
      </c>
      <c r="R814" t="s">
        <v>47</v>
      </c>
      <c r="S814">
        <v>2</v>
      </c>
      <c r="T814" t="str" cm="1">
        <f t="array" ref="T814">_xlfn.IFS(S814&lt;=2,"Poor",S814&lt;=3,"Fair",S814&gt;=4,"Good")</f>
        <v>Poor</v>
      </c>
      <c r="U814" t="s">
        <v>41</v>
      </c>
      <c r="V814" s="1">
        <v>2070</v>
      </c>
      <c r="W814" t="str" cm="1">
        <f t="array" ref="W814">_xlfn.IFS(V814&lt;=5000,"Low Salary",V814&lt;=12000,"Good Salary",V814&gt;12000,"High Salary")</f>
        <v>Low Salary</v>
      </c>
      <c r="X814">
        <v>25326</v>
      </c>
      <c r="Y814">
        <v>1</v>
      </c>
      <c r="Z814" t="s">
        <v>42</v>
      </c>
      <c r="AA814" t="s">
        <v>43</v>
      </c>
      <c r="AB814">
        <v>11</v>
      </c>
      <c r="AC814">
        <v>3</v>
      </c>
      <c r="AD814" t="str">
        <f t="shared" si="25"/>
        <v>Low Performance</v>
      </c>
      <c r="AE814">
        <v>3</v>
      </c>
      <c r="AF814">
        <v>80</v>
      </c>
      <c r="AG814">
        <v>0</v>
      </c>
      <c r="AH814">
        <v>2</v>
      </c>
      <c r="AI814">
        <v>6</v>
      </c>
      <c r="AJ814">
        <v>4</v>
      </c>
      <c r="AK814" t="str" cm="1">
        <f t="array" ref="AK814">_xlfn.IFS(AJ814&lt;=2,"Poor",AJ814&lt;=3,"Fair",AJ814&gt;3,"Good")</f>
        <v>Good</v>
      </c>
      <c r="AL814">
        <v>2</v>
      </c>
      <c r="AM814">
        <v>2</v>
      </c>
      <c r="AN814">
        <v>2</v>
      </c>
      <c r="AO814">
        <v>2</v>
      </c>
    </row>
    <row r="815" spans="1:41" x14ac:dyDescent="0.2">
      <c r="A815">
        <v>1292995</v>
      </c>
      <c r="B815">
        <v>39</v>
      </c>
      <c r="C815" t="str" cm="1">
        <f t="array" ref="C815">_xlfn.IFS(B815&lt;=25,"15-25",B815&lt;=35,"26-35",B815&lt;=45,"36-45",B815&lt;=55,"46-55",B815&lt;=65,"56-65")</f>
        <v>36-45</v>
      </c>
      <c r="D815" t="s">
        <v>35</v>
      </c>
      <c r="E815" t="str">
        <f t="shared" si="24"/>
        <v>Current Employee</v>
      </c>
      <c r="F815" t="s">
        <v>52</v>
      </c>
      <c r="G815">
        <v>439</v>
      </c>
      <c r="H815" t="s">
        <v>45</v>
      </c>
      <c r="I815">
        <v>9</v>
      </c>
      <c r="J815">
        <v>3</v>
      </c>
      <c r="K815" t="s">
        <v>38</v>
      </c>
      <c r="L815">
        <v>1</v>
      </c>
      <c r="M815">
        <v>3</v>
      </c>
      <c r="N815" t="s">
        <v>46</v>
      </c>
      <c r="O815">
        <v>70</v>
      </c>
      <c r="P815">
        <v>3</v>
      </c>
      <c r="Q815">
        <v>2</v>
      </c>
      <c r="R815" t="s">
        <v>40</v>
      </c>
      <c r="S815">
        <v>2</v>
      </c>
      <c r="T815" t="str" cm="1">
        <f t="array" ref="T815">_xlfn.IFS(S815&lt;=2,"Poor",S815&lt;=3,"Fair",S815&gt;=4,"Good")</f>
        <v>Poor</v>
      </c>
      <c r="U815" t="s">
        <v>41</v>
      </c>
      <c r="V815" s="1">
        <v>6782</v>
      </c>
      <c r="W815" t="str" cm="1">
        <f t="array" ref="W815">_xlfn.IFS(V815&lt;=5000,"Low Salary",V815&lt;=12000,"Good Salary",V815&gt;12000,"High Salary")</f>
        <v>Good Salary</v>
      </c>
      <c r="X815">
        <v>8770</v>
      </c>
      <c r="Y815">
        <v>9</v>
      </c>
      <c r="Z815" t="s">
        <v>42</v>
      </c>
      <c r="AA815" t="s">
        <v>35</v>
      </c>
      <c r="AB815">
        <v>15</v>
      </c>
      <c r="AC815">
        <v>3</v>
      </c>
      <c r="AD815" t="str">
        <f t="shared" si="25"/>
        <v>Low Performance</v>
      </c>
      <c r="AE815">
        <v>3</v>
      </c>
      <c r="AF815">
        <v>80</v>
      </c>
      <c r="AG815">
        <v>0</v>
      </c>
      <c r="AH815">
        <v>9</v>
      </c>
      <c r="AI815">
        <v>2</v>
      </c>
      <c r="AJ815">
        <v>2</v>
      </c>
      <c r="AK815" t="str" cm="1">
        <f t="array" ref="AK815">_xlfn.IFS(AJ815&lt;=2,"Poor",AJ815&lt;=3,"Fair",AJ815&gt;3,"Good")</f>
        <v>Poor</v>
      </c>
      <c r="AL815">
        <v>5</v>
      </c>
      <c r="AM815">
        <v>4</v>
      </c>
      <c r="AN815">
        <v>0</v>
      </c>
      <c r="AO815">
        <v>3</v>
      </c>
    </row>
    <row r="816" spans="1:41" x14ac:dyDescent="0.2">
      <c r="A816">
        <v>1522372</v>
      </c>
      <c r="B816">
        <v>36</v>
      </c>
      <c r="C816" t="str" cm="1">
        <f t="array" ref="C816">_xlfn.IFS(B816&lt;=25,"15-25",B816&lt;=35,"26-35",B816&lt;=45,"36-45",B816&lt;=55,"46-55",B816&lt;=65,"56-65")</f>
        <v>36-45</v>
      </c>
      <c r="D816" t="s">
        <v>35</v>
      </c>
      <c r="E816" t="str">
        <f t="shared" si="24"/>
        <v>Current Employee</v>
      </c>
      <c r="F816" t="s">
        <v>52</v>
      </c>
      <c r="G816">
        <v>217</v>
      </c>
      <c r="H816" t="s">
        <v>45</v>
      </c>
      <c r="I816">
        <v>18</v>
      </c>
      <c r="J816">
        <v>4</v>
      </c>
      <c r="K816" t="s">
        <v>38</v>
      </c>
      <c r="L816">
        <v>1</v>
      </c>
      <c r="M816">
        <v>1</v>
      </c>
      <c r="N816" t="s">
        <v>46</v>
      </c>
      <c r="O816">
        <v>78</v>
      </c>
      <c r="P816">
        <v>3</v>
      </c>
      <c r="Q816">
        <v>2</v>
      </c>
      <c r="R816" t="s">
        <v>51</v>
      </c>
      <c r="S816">
        <v>4</v>
      </c>
      <c r="T816" t="str" cm="1">
        <f t="array" ref="T816">_xlfn.IFS(S816&lt;=2,"Poor",S816&lt;=3,"Fair",S816&gt;=4,"Good")</f>
        <v>Good</v>
      </c>
      <c r="U816" t="s">
        <v>41</v>
      </c>
      <c r="V816" s="1">
        <v>7779</v>
      </c>
      <c r="W816" t="str" cm="1">
        <f t="array" ref="W816">_xlfn.IFS(V816&lt;=5000,"Low Salary",V816&lt;=12000,"Good Salary",V816&gt;12000,"High Salary")</f>
        <v>Good Salary</v>
      </c>
      <c r="X816">
        <v>23238</v>
      </c>
      <c r="Y816">
        <v>2</v>
      </c>
      <c r="Z816" t="s">
        <v>42</v>
      </c>
      <c r="AA816" t="s">
        <v>35</v>
      </c>
      <c r="AB816">
        <v>20</v>
      </c>
      <c r="AC816">
        <v>4</v>
      </c>
      <c r="AD816" t="str">
        <f t="shared" si="25"/>
        <v>High Performance</v>
      </c>
      <c r="AE816">
        <v>1</v>
      </c>
      <c r="AF816">
        <v>80</v>
      </c>
      <c r="AG816">
        <v>0</v>
      </c>
      <c r="AH816">
        <v>18</v>
      </c>
      <c r="AI816">
        <v>0</v>
      </c>
      <c r="AJ816">
        <v>3</v>
      </c>
      <c r="AK816" t="str" cm="1">
        <f t="array" ref="AK816">_xlfn.IFS(AJ816&lt;=2,"Poor",AJ816&lt;=3,"Fair",AJ816&gt;3,"Good")</f>
        <v>Fair</v>
      </c>
      <c r="AL816">
        <v>11</v>
      </c>
      <c r="AM816">
        <v>9</v>
      </c>
      <c r="AN816">
        <v>0</v>
      </c>
      <c r="AO816">
        <v>9</v>
      </c>
    </row>
    <row r="817" spans="1:41" x14ac:dyDescent="0.2">
      <c r="A817">
        <v>1308397</v>
      </c>
      <c r="B817">
        <v>31</v>
      </c>
      <c r="C817" t="str" cm="1">
        <f t="array" ref="C817">_xlfn.IFS(B817&lt;=25,"15-25",B817&lt;=35,"26-35",B817&lt;=45,"36-45",B817&lt;=55,"46-55",B817&lt;=65,"56-65")</f>
        <v>26-35</v>
      </c>
      <c r="D817" t="s">
        <v>35</v>
      </c>
      <c r="E817" t="str">
        <f t="shared" si="24"/>
        <v>Current Employee</v>
      </c>
      <c r="F817" t="s">
        <v>44</v>
      </c>
      <c r="G817">
        <v>793</v>
      </c>
      <c r="H817" t="s">
        <v>37</v>
      </c>
      <c r="I817">
        <v>20</v>
      </c>
      <c r="J817">
        <v>3</v>
      </c>
      <c r="K817" t="s">
        <v>38</v>
      </c>
      <c r="L817">
        <v>1</v>
      </c>
      <c r="M817">
        <v>3</v>
      </c>
      <c r="N817" t="s">
        <v>46</v>
      </c>
      <c r="O817">
        <v>67</v>
      </c>
      <c r="P817">
        <v>4</v>
      </c>
      <c r="Q817">
        <v>1</v>
      </c>
      <c r="R817" t="s">
        <v>47</v>
      </c>
      <c r="S817">
        <v>4</v>
      </c>
      <c r="T817" t="str" cm="1">
        <f t="array" ref="T817">_xlfn.IFS(S817&lt;=2,"Poor",S817&lt;=3,"Fair",S817&gt;=4,"Good")</f>
        <v>Good</v>
      </c>
      <c r="U817" t="s">
        <v>48</v>
      </c>
      <c r="V817" s="1">
        <v>2791</v>
      </c>
      <c r="W817" t="str" cm="1">
        <f t="array" ref="W817">_xlfn.IFS(V817&lt;=5000,"Low Salary",V817&lt;=12000,"Good Salary",V817&gt;12000,"High Salary")</f>
        <v>Low Salary</v>
      </c>
      <c r="X817">
        <v>21981</v>
      </c>
      <c r="Y817">
        <v>0</v>
      </c>
      <c r="Z817" t="s">
        <v>42</v>
      </c>
      <c r="AA817" t="s">
        <v>35</v>
      </c>
      <c r="AB817">
        <v>12</v>
      </c>
      <c r="AC817">
        <v>3</v>
      </c>
      <c r="AD817" t="str">
        <f t="shared" si="25"/>
        <v>Low Performance</v>
      </c>
      <c r="AE817">
        <v>1</v>
      </c>
      <c r="AF817">
        <v>80</v>
      </c>
      <c r="AG817">
        <v>1</v>
      </c>
      <c r="AH817">
        <v>3</v>
      </c>
      <c r="AI817">
        <v>4</v>
      </c>
      <c r="AJ817">
        <v>3</v>
      </c>
      <c r="AK817" t="str" cm="1">
        <f t="array" ref="AK817">_xlfn.IFS(AJ817&lt;=2,"Poor",AJ817&lt;=3,"Fair",AJ817&gt;3,"Good")</f>
        <v>Fair</v>
      </c>
      <c r="AL817">
        <v>2</v>
      </c>
      <c r="AM817">
        <v>2</v>
      </c>
      <c r="AN817">
        <v>2</v>
      </c>
      <c r="AO817">
        <v>2</v>
      </c>
    </row>
    <row r="818" spans="1:41" x14ac:dyDescent="0.2">
      <c r="A818">
        <v>1138410</v>
      </c>
      <c r="B818">
        <v>28</v>
      </c>
      <c r="C818" t="str" cm="1">
        <f t="array" ref="C818">_xlfn.IFS(B818&lt;=25,"15-25",B818&lt;=35,"26-35",B818&lt;=45,"36-45",B818&lt;=55,"46-55",B818&lt;=65,"56-65")</f>
        <v>26-35</v>
      </c>
      <c r="D818" t="s">
        <v>35</v>
      </c>
      <c r="E818" t="str">
        <f t="shared" si="24"/>
        <v>Current Employee</v>
      </c>
      <c r="F818" t="s">
        <v>36</v>
      </c>
      <c r="G818">
        <v>1451</v>
      </c>
      <c r="H818" t="s">
        <v>45</v>
      </c>
      <c r="I818">
        <v>2</v>
      </c>
      <c r="J818">
        <v>1</v>
      </c>
      <c r="K818" t="s">
        <v>38</v>
      </c>
      <c r="L818">
        <v>1</v>
      </c>
      <c r="M818">
        <v>1</v>
      </c>
      <c r="N818" t="s">
        <v>46</v>
      </c>
      <c r="O818">
        <v>67</v>
      </c>
      <c r="P818">
        <v>2</v>
      </c>
      <c r="Q818">
        <v>1</v>
      </c>
      <c r="R818" t="s">
        <v>47</v>
      </c>
      <c r="S818">
        <v>2</v>
      </c>
      <c r="T818" t="str" cm="1">
        <f t="array" ref="T818">_xlfn.IFS(S818&lt;=2,"Poor",S818&lt;=3,"Fair",S818&gt;=4,"Good")</f>
        <v>Poor</v>
      </c>
      <c r="U818" t="s">
        <v>48</v>
      </c>
      <c r="V818" s="1">
        <v>3201</v>
      </c>
      <c r="W818" t="str" cm="1">
        <f t="array" ref="W818">_xlfn.IFS(V818&lt;=5000,"Low Salary",V818&lt;=12000,"Good Salary",V818&gt;12000,"High Salary")</f>
        <v>Low Salary</v>
      </c>
      <c r="X818">
        <v>19911</v>
      </c>
      <c r="Y818">
        <v>0</v>
      </c>
      <c r="Z818" t="s">
        <v>42</v>
      </c>
      <c r="AA818" t="s">
        <v>35</v>
      </c>
      <c r="AB818">
        <v>17</v>
      </c>
      <c r="AC818">
        <v>3</v>
      </c>
      <c r="AD818" t="str">
        <f t="shared" si="25"/>
        <v>Low Performance</v>
      </c>
      <c r="AE818">
        <v>1</v>
      </c>
      <c r="AF818">
        <v>80</v>
      </c>
      <c r="AG818">
        <v>0</v>
      </c>
      <c r="AH818">
        <v>6</v>
      </c>
      <c r="AI818">
        <v>2</v>
      </c>
      <c r="AJ818">
        <v>1</v>
      </c>
      <c r="AK818" t="str" cm="1">
        <f t="array" ref="AK818">_xlfn.IFS(AJ818&lt;=2,"Poor",AJ818&lt;=3,"Fair",AJ818&gt;3,"Good")</f>
        <v>Poor</v>
      </c>
      <c r="AL818">
        <v>5</v>
      </c>
      <c r="AM818">
        <v>3</v>
      </c>
      <c r="AN818">
        <v>0</v>
      </c>
      <c r="AO818">
        <v>4</v>
      </c>
    </row>
    <row r="819" spans="1:41" x14ac:dyDescent="0.2">
      <c r="A819">
        <v>1752889</v>
      </c>
      <c r="B819">
        <v>35</v>
      </c>
      <c r="C819" t="str" cm="1">
        <f t="array" ref="C819">_xlfn.IFS(B819&lt;=25,"15-25",B819&lt;=35,"26-35",B819&lt;=45,"36-45",B819&lt;=55,"46-55",B819&lt;=65,"56-65")</f>
        <v>26-35</v>
      </c>
      <c r="D819" t="s">
        <v>35</v>
      </c>
      <c r="E819" t="str">
        <f t="shared" si="24"/>
        <v>Current Employee</v>
      </c>
      <c r="F819" t="s">
        <v>44</v>
      </c>
      <c r="G819">
        <v>1182</v>
      </c>
      <c r="H819" t="s">
        <v>37</v>
      </c>
      <c r="I819">
        <v>11</v>
      </c>
      <c r="J819">
        <v>2</v>
      </c>
      <c r="K819" t="s">
        <v>55</v>
      </c>
      <c r="L819">
        <v>1</v>
      </c>
      <c r="M819">
        <v>4</v>
      </c>
      <c r="N819" t="s">
        <v>46</v>
      </c>
      <c r="O819">
        <v>54</v>
      </c>
      <c r="P819">
        <v>3</v>
      </c>
      <c r="Q819">
        <v>2</v>
      </c>
      <c r="R819" t="s">
        <v>40</v>
      </c>
      <c r="S819">
        <v>4</v>
      </c>
      <c r="T819" t="str" cm="1">
        <f t="array" ref="T819">_xlfn.IFS(S819&lt;=2,"Poor",S819&lt;=3,"Fair",S819&gt;=4,"Good")</f>
        <v>Good</v>
      </c>
      <c r="U819" t="s">
        <v>50</v>
      </c>
      <c r="V819" s="1">
        <v>4968</v>
      </c>
      <c r="W819" t="str" cm="1">
        <f t="array" ref="W819">_xlfn.IFS(V819&lt;=5000,"Low Salary",V819&lt;=12000,"Good Salary",V819&gt;12000,"High Salary")</f>
        <v>Low Salary</v>
      </c>
      <c r="X819">
        <v>18500</v>
      </c>
      <c r="Y819">
        <v>1</v>
      </c>
      <c r="Z819" t="s">
        <v>42</v>
      </c>
      <c r="AA819" t="s">
        <v>35</v>
      </c>
      <c r="AB819">
        <v>11</v>
      </c>
      <c r="AC819">
        <v>3</v>
      </c>
      <c r="AD819" t="str">
        <f t="shared" si="25"/>
        <v>Low Performance</v>
      </c>
      <c r="AE819">
        <v>4</v>
      </c>
      <c r="AF819">
        <v>80</v>
      </c>
      <c r="AG819">
        <v>1</v>
      </c>
      <c r="AH819">
        <v>5</v>
      </c>
      <c r="AI819">
        <v>3</v>
      </c>
      <c r="AJ819">
        <v>3</v>
      </c>
      <c r="AK819" t="str" cm="1">
        <f t="array" ref="AK819">_xlfn.IFS(AJ819&lt;=2,"Poor",AJ819&lt;=3,"Fair",AJ819&gt;3,"Good")</f>
        <v>Fair</v>
      </c>
      <c r="AL819">
        <v>5</v>
      </c>
      <c r="AM819">
        <v>2</v>
      </c>
      <c r="AN819">
        <v>0</v>
      </c>
      <c r="AO819">
        <v>2</v>
      </c>
    </row>
    <row r="820" spans="1:41" x14ac:dyDescent="0.2">
      <c r="A820">
        <v>1425897</v>
      </c>
      <c r="B820">
        <v>49</v>
      </c>
      <c r="C820" t="str" cm="1">
        <f t="array" ref="C820">_xlfn.IFS(B820&lt;=25,"15-25",B820&lt;=35,"26-35",B820&lt;=45,"36-45",B820&lt;=55,"46-55",B820&lt;=65,"56-65")</f>
        <v>46-55</v>
      </c>
      <c r="D820" t="s">
        <v>35</v>
      </c>
      <c r="E820" t="str">
        <f t="shared" si="24"/>
        <v>Current Employee</v>
      </c>
      <c r="F820" t="s">
        <v>36</v>
      </c>
      <c r="G820">
        <v>174</v>
      </c>
      <c r="H820" t="s">
        <v>37</v>
      </c>
      <c r="I820">
        <v>8</v>
      </c>
      <c r="J820">
        <v>4</v>
      </c>
      <c r="K820" t="s">
        <v>56</v>
      </c>
      <c r="L820">
        <v>1</v>
      </c>
      <c r="M820">
        <v>4</v>
      </c>
      <c r="N820" t="s">
        <v>46</v>
      </c>
      <c r="O820">
        <v>56</v>
      </c>
      <c r="P820">
        <v>2</v>
      </c>
      <c r="Q820">
        <v>4</v>
      </c>
      <c r="R820" t="s">
        <v>40</v>
      </c>
      <c r="S820">
        <v>2</v>
      </c>
      <c r="T820" t="str" cm="1">
        <f t="array" ref="T820">_xlfn.IFS(S820&lt;=2,"Poor",S820&lt;=3,"Fair",S820&gt;=4,"Good")</f>
        <v>Poor</v>
      </c>
      <c r="U820" t="s">
        <v>48</v>
      </c>
      <c r="V820" s="1">
        <v>13120</v>
      </c>
      <c r="W820" t="str" cm="1">
        <f t="array" ref="W820">_xlfn.IFS(V820&lt;=5000,"Low Salary",V820&lt;=12000,"Good Salary",V820&gt;12000,"High Salary")</f>
        <v>High Salary</v>
      </c>
      <c r="X820">
        <v>11879</v>
      </c>
      <c r="Y820">
        <v>6</v>
      </c>
      <c r="Z820" t="s">
        <v>42</v>
      </c>
      <c r="AA820" t="s">
        <v>35</v>
      </c>
      <c r="AB820">
        <v>17</v>
      </c>
      <c r="AC820">
        <v>3</v>
      </c>
      <c r="AD820" t="str">
        <f t="shared" si="25"/>
        <v>Low Performance</v>
      </c>
      <c r="AE820">
        <v>2</v>
      </c>
      <c r="AF820">
        <v>80</v>
      </c>
      <c r="AG820">
        <v>1</v>
      </c>
      <c r="AH820">
        <v>22</v>
      </c>
      <c r="AI820">
        <v>3</v>
      </c>
      <c r="AJ820">
        <v>3</v>
      </c>
      <c r="AK820" t="str" cm="1">
        <f t="array" ref="AK820">_xlfn.IFS(AJ820&lt;=2,"Poor",AJ820&lt;=3,"Fair",AJ820&gt;3,"Good")</f>
        <v>Fair</v>
      </c>
      <c r="AL820">
        <v>9</v>
      </c>
      <c r="AM820">
        <v>8</v>
      </c>
      <c r="AN820">
        <v>2</v>
      </c>
      <c r="AO820">
        <v>3</v>
      </c>
    </row>
    <row r="821" spans="1:41" x14ac:dyDescent="0.2">
      <c r="A821">
        <v>1719792</v>
      </c>
      <c r="B821">
        <v>34</v>
      </c>
      <c r="C821" t="str" cm="1">
        <f t="array" ref="C821">_xlfn.IFS(B821&lt;=25,"15-25",B821&lt;=35,"26-35",B821&lt;=45,"36-45",B821&lt;=55,"46-55",B821&lt;=65,"56-65")</f>
        <v>26-35</v>
      </c>
      <c r="D821" t="s">
        <v>35</v>
      </c>
      <c r="E821" t="str">
        <f t="shared" si="24"/>
        <v>Current Employee</v>
      </c>
      <c r="F821" t="s">
        <v>44</v>
      </c>
      <c r="G821">
        <v>1003</v>
      </c>
      <c r="H821" t="s">
        <v>54</v>
      </c>
      <c r="I821">
        <v>2</v>
      </c>
      <c r="J821">
        <v>2</v>
      </c>
      <c r="K821" t="s">
        <v>38</v>
      </c>
      <c r="L821">
        <v>1</v>
      </c>
      <c r="M821">
        <v>4</v>
      </c>
      <c r="N821" t="s">
        <v>46</v>
      </c>
      <c r="O821">
        <v>95</v>
      </c>
      <c r="P821">
        <v>3</v>
      </c>
      <c r="Q821">
        <v>2</v>
      </c>
      <c r="R821" t="s">
        <v>51</v>
      </c>
      <c r="S821">
        <v>3</v>
      </c>
      <c r="T821" t="str" cm="1">
        <f t="array" ref="T821">_xlfn.IFS(S821&lt;=2,"Poor",S821&lt;=3,"Fair",S821&gt;=4,"Good")</f>
        <v>Fair</v>
      </c>
      <c r="U821" t="s">
        <v>41</v>
      </c>
      <c r="V821" s="1">
        <v>4033</v>
      </c>
      <c r="W821" t="str" cm="1">
        <f t="array" ref="W821">_xlfn.IFS(V821&lt;=5000,"Low Salary",V821&lt;=12000,"Good Salary",V821&gt;12000,"High Salary")</f>
        <v>Low Salary</v>
      </c>
      <c r="X821">
        <v>15834</v>
      </c>
      <c r="Y821">
        <v>2</v>
      </c>
      <c r="Z821" t="s">
        <v>42</v>
      </c>
      <c r="AA821" t="s">
        <v>35</v>
      </c>
      <c r="AB821">
        <v>11</v>
      </c>
      <c r="AC821">
        <v>3</v>
      </c>
      <c r="AD821" t="str">
        <f t="shared" si="25"/>
        <v>Low Performance</v>
      </c>
      <c r="AE821">
        <v>4</v>
      </c>
      <c r="AF821">
        <v>80</v>
      </c>
      <c r="AG821">
        <v>0</v>
      </c>
      <c r="AH821">
        <v>5</v>
      </c>
      <c r="AI821">
        <v>3</v>
      </c>
      <c r="AJ821">
        <v>2</v>
      </c>
      <c r="AK821" t="str" cm="1">
        <f t="array" ref="AK821">_xlfn.IFS(AJ821&lt;=2,"Poor",AJ821&lt;=3,"Fair",AJ821&gt;3,"Good")</f>
        <v>Poor</v>
      </c>
      <c r="AL821">
        <v>3</v>
      </c>
      <c r="AM821">
        <v>2</v>
      </c>
      <c r="AN821">
        <v>0</v>
      </c>
      <c r="AO821">
        <v>2</v>
      </c>
    </row>
    <row r="822" spans="1:41" x14ac:dyDescent="0.2">
      <c r="A822">
        <v>1377897</v>
      </c>
      <c r="B822">
        <v>29</v>
      </c>
      <c r="C822" t="str" cm="1">
        <f t="array" ref="C822">_xlfn.IFS(B822&lt;=25,"15-25",B822&lt;=35,"26-35",B822&lt;=45,"36-45",B822&lt;=55,"46-55",B822&lt;=65,"56-65")</f>
        <v>26-35</v>
      </c>
      <c r="D822" t="s">
        <v>35</v>
      </c>
      <c r="E822" t="str">
        <f t="shared" si="24"/>
        <v>Current Employee</v>
      </c>
      <c r="F822" t="s">
        <v>44</v>
      </c>
      <c r="G822">
        <v>490</v>
      </c>
      <c r="H822" t="s">
        <v>45</v>
      </c>
      <c r="I822">
        <v>10</v>
      </c>
      <c r="J822">
        <v>3</v>
      </c>
      <c r="K822" t="s">
        <v>38</v>
      </c>
      <c r="L822">
        <v>1</v>
      </c>
      <c r="M822">
        <v>4</v>
      </c>
      <c r="N822" t="s">
        <v>39</v>
      </c>
      <c r="O822">
        <v>61</v>
      </c>
      <c r="P822">
        <v>3</v>
      </c>
      <c r="Q822">
        <v>1</v>
      </c>
      <c r="R822" t="s">
        <v>47</v>
      </c>
      <c r="S822">
        <v>2</v>
      </c>
      <c r="T822" t="str" cm="1">
        <f t="array" ref="T822">_xlfn.IFS(S822&lt;=2,"Poor",S822&lt;=3,"Fair",S822&gt;=4,"Good")</f>
        <v>Poor</v>
      </c>
      <c r="U822" t="s">
        <v>50</v>
      </c>
      <c r="V822" s="1">
        <v>3291</v>
      </c>
      <c r="W822" t="str" cm="1">
        <f t="array" ref="W822">_xlfn.IFS(V822&lt;=5000,"Low Salary",V822&lt;=12000,"Good Salary",V822&gt;12000,"High Salary")</f>
        <v>Low Salary</v>
      </c>
      <c r="X822">
        <v>17940</v>
      </c>
      <c r="Y822">
        <v>0</v>
      </c>
      <c r="Z822" t="s">
        <v>42</v>
      </c>
      <c r="AA822" t="s">
        <v>35</v>
      </c>
      <c r="AB822">
        <v>14</v>
      </c>
      <c r="AC822">
        <v>3</v>
      </c>
      <c r="AD822" t="str">
        <f t="shared" si="25"/>
        <v>Low Performance</v>
      </c>
      <c r="AE822">
        <v>4</v>
      </c>
      <c r="AF822">
        <v>80</v>
      </c>
      <c r="AG822">
        <v>2</v>
      </c>
      <c r="AH822">
        <v>8</v>
      </c>
      <c r="AI822">
        <v>2</v>
      </c>
      <c r="AJ822">
        <v>2</v>
      </c>
      <c r="AK822" t="str" cm="1">
        <f t="array" ref="AK822">_xlfn.IFS(AJ822&lt;=2,"Poor",AJ822&lt;=3,"Fair",AJ822&gt;3,"Good")</f>
        <v>Poor</v>
      </c>
      <c r="AL822">
        <v>7</v>
      </c>
      <c r="AM822">
        <v>5</v>
      </c>
      <c r="AN822">
        <v>1</v>
      </c>
      <c r="AO822">
        <v>1</v>
      </c>
    </row>
    <row r="823" spans="1:41" x14ac:dyDescent="0.2">
      <c r="A823">
        <v>1692477</v>
      </c>
      <c r="B823">
        <v>42</v>
      </c>
      <c r="C823" t="str" cm="1">
        <f t="array" ref="C823">_xlfn.IFS(B823&lt;=25,"15-25",B823&lt;=35,"26-35",B823&lt;=45,"36-45",B823&lt;=55,"46-55",B823&lt;=65,"56-65")</f>
        <v>36-45</v>
      </c>
      <c r="D823" t="s">
        <v>35</v>
      </c>
      <c r="E823" t="str">
        <f t="shared" si="24"/>
        <v>Current Employee</v>
      </c>
      <c r="F823" t="s">
        <v>36</v>
      </c>
      <c r="G823">
        <v>188</v>
      </c>
      <c r="H823" t="s">
        <v>45</v>
      </c>
      <c r="I823">
        <v>29</v>
      </c>
      <c r="J823">
        <v>3</v>
      </c>
      <c r="K823" t="s">
        <v>49</v>
      </c>
      <c r="L823">
        <v>1</v>
      </c>
      <c r="M823">
        <v>2</v>
      </c>
      <c r="N823" t="s">
        <v>46</v>
      </c>
      <c r="O823">
        <v>56</v>
      </c>
      <c r="P823">
        <v>1</v>
      </c>
      <c r="Q823">
        <v>2</v>
      </c>
      <c r="R823" t="s">
        <v>40</v>
      </c>
      <c r="S823">
        <v>4</v>
      </c>
      <c r="T823" t="str" cm="1">
        <f t="array" ref="T823">_xlfn.IFS(S823&lt;=2,"Poor",S823&lt;=3,"Fair",S823&gt;=4,"Good")</f>
        <v>Good</v>
      </c>
      <c r="U823" t="s">
        <v>41</v>
      </c>
      <c r="V823" s="1">
        <v>4272</v>
      </c>
      <c r="W823" t="str" cm="1">
        <f t="array" ref="W823">_xlfn.IFS(V823&lt;=5000,"Low Salary",V823&lt;=12000,"Good Salary",V823&gt;12000,"High Salary")</f>
        <v>Low Salary</v>
      </c>
      <c r="X823">
        <v>9558</v>
      </c>
      <c r="Y823">
        <v>4</v>
      </c>
      <c r="Z823" t="s">
        <v>42</v>
      </c>
      <c r="AA823" t="s">
        <v>35</v>
      </c>
      <c r="AB823">
        <v>19</v>
      </c>
      <c r="AC823">
        <v>3</v>
      </c>
      <c r="AD823" t="str">
        <f t="shared" si="25"/>
        <v>Low Performance</v>
      </c>
      <c r="AE823">
        <v>1</v>
      </c>
      <c r="AF823">
        <v>80</v>
      </c>
      <c r="AG823">
        <v>0</v>
      </c>
      <c r="AH823">
        <v>16</v>
      </c>
      <c r="AI823">
        <v>3</v>
      </c>
      <c r="AJ823">
        <v>3</v>
      </c>
      <c r="AK823" t="str" cm="1">
        <f t="array" ref="AK823">_xlfn.IFS(AJ823&lt;=2,"Poor",AJ823&lt;=3,"Fair",AJ823&gt;3,"Good")</f>
        <v>Fair</v>
      </c>
      <c r="AL823">
        <v>1</v>
      </c>
      <c r="AM823">
        <v>0</v>
      </c>
      <c r="AN823">
        <v>0</v>
      </c>
      <c r="AO823">
        <v>0</v>
      </c>
    </row>
    <row r="824" spans="1:41" x14ac:dyDescent="0.2">
      <c r="A824">
        <v>1618530</v>
      </c>
      <c r="B824">
        <v>29</v>
      </c>
      <c r="C824" t="str" cm="1">
        <f t="array" ref="C824">_xlfn.IFS(B824&lt;=25,"15-25",B824&lt;=35,"26-35",B824&lt;=45,"36-45",B824&lt;=55,"46-55",B824&lt;=65,"56-65")</f>
        <v>26-35</v>
      </c>
      <c r="D824" t="s">
        <v>35</v>
      </c>
      <c r="E824" t="str">
        <f t="shared" si="24"/>
        <v>Current Employee</v>
      </c>
      <c r="F824" t="s">
        <v>36</v>
      </c>
      <c r="G824">
        <v>718</v>
      </c>
      <c r="H824" t="s">
        <v>45</v>
      </c>
      <c r="I824">
        <v>8</v>
      </c>
      <c r="J824">
        <v>1</v>
      </c>
      <c r="K824" t="s">
        <v>49</v>
      </c>
      <c r="L824">
        <v>1</v>
      </c>
      <c r="M824">
        <v>2</v>
      </c>
      <c r="N824" t="s">
        <v>46</v>
      </c>
      <c r="O824">
        <v>79</v>
      </c>
      <c r="P824">
        <v>2</v>
      </c>
      <c r="Q824">
        <v>2</v>
      </c>
      <c r="R824" t="s">
        <v>51</v>
      </c>
      <c r="S824">
        <v>4</v>
      </c>
      <c r="T824" t="str" cm="1">
        <f t="array" ref="T824">_xlfn.IFS(S824&lt;=2,"Poor",S824&lt;=3,"Fair",S824&gt;=4,"Good")</f>
        <v>Good</v>
      </c>
      <c r="U824" t="s">
        <v>48</v>
      </c>
      <c r="V824" s="1">
        <v>5056</v>
      </c>
      <c r="W824" t="str" cm="1">
        <f t="array" ref="W824">_xlfn.IFS(V824&lt;=5000,"Low Salary",V824&lt;=12000,"Good Salary",V824&gt;12000,"High Salary")</f>
        <v>Good Salary</v>
      </c>
      <c r="X824">
        <v>17689</v>
      </c>
      <c r="Y824">
        <v>1</v>
      </c>
      <c r="Z824" t="s">
        <v>42</v>
      </c>
      <c r="AA824" t="s">
        <v>43</v>
      </c>
      <c r="AB824">
        <v>15</v>
      </c>
      <c r="AC824">
        <v>3</v>
      </c>
      <c r="AD824" t="str">
        <f t="shared" si="25"/>
        <v>Low Performance</v>
      </c>
      <c r="AE824">
        <v>3</v>
      </c>
      <c r="AF824">
        <v>80</v>
      </c>
      <c r="AG824">
        <v>1</v>
      </c>
      <c r="AH824">
        <v>10</v>
      </c>
      <c r="AI824">
        <v>2</v>
      </c>
      <c r="AJ824">
        <v>2</v>
      </c>
      <c r="AK824" t="str" cm="1">
        <f t="array" ref="AK824">_xlfn.IFS(AJ824&lt;=2,"Poor",AJ824&lt;=3,"Fair",AJ824&gt;3,"Good")</f>
        <v>Poor</v>
      </c>
      <c r="AL824">
        <v>10</v>
      </c>
      <c r="AM824">
        <v>7</v>
      </c>
      <c r="AN824">
        <v>1</v>
      </c>
      <c r="AO824">
        <v>2</v>
      </c>
    </row>
    <row r="825" spans="1:41" x14ac:dyDescent="0.2">
      <c r="A825">
        <v>1619491</v>
      </c>
      <c r="B825">
        <v>38</v>
      </c>
      <c r="C825" t="str" cm="1">
        <f t="array" ref="C825">_xlfn.IFS(B825&lt;=25,"15-25",B825&lt;=35,"26-35",B825&lt;=45,"36-45",B825&lt;=55,"46-55",B825&lt;=65,"56-65")</f>
        <v>36-45</v>
      </c>
      <c r="D825" t="s">
        <v>35</v>
      </c>
      <c r="E825" t="str">
        <f t="shared" si="24"/>
        <v>Current Employee</v>
      </c>
      <c r="F825" t="s">
        <v>36</v>
      </c>
      <c r="G825">
        <v>433</v>
      </c>
      <c r="H825" t="s">
        <v>54</v>
      </c>
      <c r="I825">
        <v>1</v>
      </c>
      <c r="J825">
        <v>3</v>
      </c>
      <c r="K825" t="s">
        <v>57</v>
      </c>
      <c r="L825">
        <v>1</v>
      </c>
      <c r="M825">
        <v>3</v>
      </c>
      <c r="N825" t="s">
        <v>46</v>
      </c>
      <c r="O825">
        <v>37</v>
      </c>
      <c r="P825">
        <v>4</v>
      </c>
      <c r="Q825">
        <v>1</v>
      </c>
      <c r="R825" t="s">
        <v>47</v>
      </c>
      <c r="S825">
        <v>3</v>
      </c>
      <c r="T825" t="str" cm="1">
        <f t="array" ref="T825">_xlfn.IFS(S825&lt;=2,"Poor",S825&lt;=3,"Fair",S825&gt;=4,"Good")</f>
        <v>Fair</v>
      </c>
      <c r="U825" t="s">
        <v>48</v>
      </c>
      <c r="V825" s="1">
        <v>2844</v>
      </c>
      <c r="W825" t="str" cm="1">
        <f t="array" ref="W825">_xlfn.IFS(V825&lt;=5000,"Low Salary",V825&lt;=12000,"Good Salary",V825&gt;12000,"High Salary")</f>
        <v>Low Salary</v>
      </c>
      <c r="X825">
        <v>6004</v>
      </c>
      <c r="Y825">
        <v>1</v>
      </c>
      <c r="Z825" t="s">
        <v>42</v>
      </c>
      <c r="AA825" t="s">
        <v>35</v>
      </c>
      <c r="AB825">
        <v>13</v>
      </c>
      <c r="AC825">
        <v>3</v>
      </c>
      <c r="AD825" t="str">
        <f t="shared" si="25"/>
        <v>Low Performance</v>
      </c>
      <c r="AE825">
        <v>4</v>
      </c>
      <c r="AF825">
        <v>80</v>
      </c>
      <c r="AG825">
        <v>1</v>
      </c>
      <c r="AH825">
        <v>7</v>
      </c>
      <c r="AI825">
        <v>2</v>
      </c>
      <c r="AJ825">
        <v>4</v>
      </c>
      <c r="AK825" t="str" cm="1">
        <f t="array" ref="AK825">_xlfn.IFS(AJ825&lt;=2,"Poor",AJ825&lt;=3,"Fair",AJ825&gt;3,"Good")</f>
        <v>Good</v>
      </c>
      <c r="AL825">
        <v>7</v>
      </c>
      <c r="AM825">
        <v>6</v>
      </c>
      <c r="AN825">
        <v>5</v>
      </c>
      <c r="AO825">
        <v>0</v>
      </c>
    </row>
    <row r="826" spans="1:41" x14ac:dyDescent="0.2">
      <c r="A826">
        <v>1321732</v>
      </c>
      <c r="B826">
        <v>28</v>
      </c>
      <c r="C826" t="str" cm="1">
        <f t="array" ref="C826">_xlfn.IFS(B826&lt;=25,"15-25",B826&lt;=35,"26-35",B826&lt;=45,"36-45",B826&lt;=55,"46-55",B826&lt;=65,"56-65")</f>
        <v>26-35</v>
      </c>
      <c r="D826" t="s">
        <v>35</v>
      </c>
      <c r="E826" t="str">
        <f t="shared" si="24"/>
        <v>Current Employee</v>
      </c>
      <c r="F826" t="s">
        <v>44</v>
      </c>
      <c r="G826">
        <v>773</v>
      </c>
      <c r="H826" t="s">
        <v>45</v>
      </c>
      <c r="I826">
        <v>6</v>
      </c>
      <c r="J826">
        <v>3</v>
      </c>
      <c r="K826" t="s">
        <v>38</v>
      </c>
      <c r="L826">
        <v>1</v>
      </c>
      <c r="M826">
        <v>3</v>
      </c>
      <c r="N826" t="s">
        <v>46</v>
      </c>
      <c r="O826">
        <v>39</v>
      </c>
      <c r="P826">
        <v>2</v>
      </c>
      <c r="Q826">
        <v>1</v>
      </c>
      <c r="R826" t="s">
        <v>47</v>
      </c>
      <c r="S826">
        <v>3</v>
      </c>
      <c r="T826" t="str" cm="1">
        <f t="array" ref="T826">_xlfn.IFS(S826&lt;=2,"Poor",S826&lt;=3,"Fair",S826&gt;=4,"Good")</f>
        <v>Fair</v>
      </c>
      <c r="U826" t="s">
        <v>50</v>
      </c>
      <c r="V826" s="1">
        <v>2703</v>
      </c>
      <c r="W826" t="str" cm="1">
        <f t="array" ref="W826">_xlfn.IFS(V826&lt;=5000,"Low Salary",V826&lt;=12000,"Good Salary",V826&gt;12000,"High Salary")</f>
        <v>Low Salary</v>
      </c>
      <c r="X826">
        <v>22088</v>
      </c>
      <c r="Y826">
        <v>1</v>
      </c>
      <c r="Z826" t="s">
        <v>42</v>
      </c>
      <c r="AA826" t="s">
        <v>43</v>
      </c>
      <c r="AB826">
        <v>14</v>
      </c>
      <c r="AC826">
        <v>3</v>
      </c>
      <c r="AD826" t="str">
        <f t="shared" si="25"/>
        <v>Low Performance</v>
      </c>
      <c r="AE826">
        <v>4</v>
      </c>
      <c r="AF826">
        <v>80</v>
      </c>
      <c r="AG826">
        <v>1</v>
      </c>
      <c r="AH826">
        <v>3</v>
      </c>
      <c r="AI826">
        <v>2</v>
      </c>
      <c r="AJ826">
        <v>3</v>
      </c>
      <c r="AK826" t="str" cm="1">
        <f t="array" ref="AK826">_xlfn.IFS(AJ826&lt;=2,"Poor",AJ826&lt;=3,"Fair",AJ826&gt;3,"Good")</f>
        <v>Fair</v>
      </c>
      <c r="AL826">
        <v>3</v>
      </c>
      <c r="AM826">
        <v>1</v>
      </c>
      <c r="AN826">
        <v>0</v>
      </c>
      <c r="AO826">
        <v>2</v>
      </c>
    </row>
    <row r="827" spans="1:41" x14ac:dyDescent="0.2">
      <c r="A827">
        <v>1313694</v>
      </c>
      <c r="B827">
        <v>18</v>
      </c>
      <c r="C827" t="str" cm="1">
        <f t="array" ref="C827">_xlfn.IFS(B827&lt;=25,"15-25",B827&lt;=35,"26-35",B827&lt;=45,"36-45",B827&lt;=55,"46-55",B827&lt;=65,"56-65")</f>
        <v>15-25</v>
      </c>
      <c r="D827" t="s">
        <v>43</v>
      </c>
      <c r="E827" t="str">
        <f t="shared" si="24"/>
        <v>Former Employee</v>
      </c>
      <c r="F827" t="s">
        <v>52</v>
      </c>
      <c r="G827">
        <v>247</v>
      </c>
      <c r="H827" t="s">
        <v>45</v>
      </c>
      <c r="I827">
        <v>8</v>
      </c>
      <c r="J827">
        <v>1</v>
      </c>
      <c r="K827" t="s">
        <v>49</v>
      </c>
      <c r="L827">
        <v>1</v>
      </c>
      <c r="M827">
        <v>3</v>
      </c>
      <c r="N827" t="s">
        <v>46</v>
      </c>
      <c r="O827">
        <v>80</v>
      </c>
      <c r="P827">
        <v>3</v>
      </c>
      <c r="Q827">
        <v>1</v>
      </c>
      <c r="R827" t="s">
        <v>40</v>
      </c>
      <c r="S827">
        <v>3</v>
      </c>
      <c r="T827" t="str" cm="1">
        <f t="array" ref="T827">_xlfn.IFS(S827&lt;=2,"Poor",S827&lt;=3,"Fair",S827&gt;=4,"Good")</f>
        <v>Fair</v>
      </c>
      <c r="U827" t="s">
        <v>41</v>
      </c>
      <c r="V827" s="1">
        <v>1904</v>
      </c>
      <c r="W827" t="str" cm="1">
        <f t="array" ref="W827">_xlfn.IFS(V827&lt;=5000,"Low Salary",V827&lt;=12000,"Good Salary",V827&gt;12000,"High Salary")</f>
        <v>Low Salary</v>
      </c>
      <c r="X827">
        <v>13556</v>
      </c>
      <c r="Y827">
        <v>1</v>
      </c>
      <c r="Z827" t="s">
        <v>42</v>
      </c>
      <c r="AA827" t="s">
        <v>35</v>
      </c>
      <c r="AB827">
        <v>12</v>
      </c>
      <c r="AC827">
        <v>3</v>
      </c>
      <c r="AD827" t="str">
        <f t="shared" si="25"/>
        <v>Low Performance</v>
      </c>
      <c r="AE827">
        <v>4</v>
      </c>
      <c r="AF827">
        <v>80</v>
      </c>
      <c r="AG827">
        <v>0</v>
      </c>
      <c r="AH827">
        <v>0</v>
      </c>
      <c r="AI827">
        <v>0</v>
      </c>
      <c r="AJ827">
        <v>3</v>
      </c>
      <c r="AK827" t="str" cm="1">
        <f t="array" ref="AK827">_xlfn.IFS(AJ827&lt;=2,"Poor",AJ827&lt;=3,"Fair",AJ827&gt;3,"Good")</f>
        <v>Fair</v>
      </c>
      <c r="AL827">
        <v>0</v>
      </c>
      <c r="AM827">
        <v>0</v>
      </c>
      <c r="AN827">
        <v>0</v>
      </c>
      <c r="AO827">
        <v>0</v>
      </c>
    </row>
    <row r="828" spans="1:41" x14ac:dyDescent="0.2">
      <c r="A828">
        <v>1140608</v>
      </c>
      <c r="B828">
        <v>33</v>
      </c>
      <c r="C828" t="str" cm="1">
        <f t="array" ref="C828">_xlfn.IFS(B828&lt;=25,"15-25",B828&lt;=35,"26-35",B828&lt;=45,"36-45",B828&lt;=55,"46-55",B828&lt;=65,"56-65")</f>
        <v>26-35</v>
      </c>
      <c r="D828" t="s">
        <v>43</v>
      </c>
      <c r="E828" t="str">
        <f t="shared" si="24"/>
        <v>Former Employee</v>
      </c>
      <c r="F828" t="s">
        <v>36</v>
      </c>
      <c r="G828">
        <v>603</v>
      </c>
      <c r="H828" t="s">
        <v>37</v>
      </c>
      <c r="I828">
        <v>9</v>
      </c>
      <c r="J828">
        <v>4</v>
      </c>
      <c r="K828" t="s">
        <v>55</v>
      </c>
      <c r="L828">
        <v>1</v>
      </c>
      <c r="M828">
        <v>1</v>
      </c>
      <c r="N828" t="s">
        <v>39</v>
      </c>
      <c r="O828">
        <v>77</v>
      </c>
      <c r="P828">
        <v>3</v>
      </c>
      <c r="Q828">
        <v>2</v>
      </c>
      <c r="R828" t="s">
        <v>40</v>
      </c>
      <c r="S828">
        <v>1</v>
      </c>
      <c r="T828" t="str" cm="1">
        <f t="array" ref="T828">_xlfn.IFS(S828&lt;=2,"Poor",S828&lt;=3,"Fair",S828&gt;=4,"Good")</f>
        <v>Poor</v>
      </c>
      <c r="U828" t="s">
        <v>41</v>
      </c>
      <c r="V828" s="1">
        <v>8224</v>
      </c>
      <c r="W828" t="str" cm="1">
        <f t="array" ref="W828">_xlfn.IFS(V828&lt;=5000,"Low Salary",V828&lt;=12000,"Good Salary",V828&gt;12000,"High Salary")</f>
        <v>Good Salary</v>
      </c>
      <c r="X828">
        <v>18385</v>
      </c>
      <c r="Y828">
        <v>0</v>
      </c>
      <c r="Z828" t="s">
        <v>42</v>
      </c>
      <c r="AA828" t="s">
        <v>43</v>
      </c>
      <c r="AB828">
        <v>17</v>
      </c>
      <c r="AC828">
        <v>3</v>
      </c>
      <c r="AD828" t="str">
        <f t="shared" si="25"/>
        <v>Low Performance</v>
      </c>
      <c r="AE828">
        <v>1</v>
      </c>
      <c r="AF828">
        <v>80</v>
      </c>
      <c r="AG828">
        <v>0</v>
      </c>
      <c r="AH828">
        <v>6</v>
      </c>
      <c r="AI828">
        <v>3</v>
      </c>
      <c r="AJ828">
        <v>3</v>
      </c>
      <c r="AK828" t="str" cm="1">
        <f t="array" ref="AK828">_xlfn.IFS(AJ828&lt;=2,"Poor",AJ828&lt;=3,"Fair",AJ828&gt;3,"Good")</f>
        <v>Fair</v>
      </c>
      <c r="AL828">
        <v>5</v>
      </c>
      <c r="AM828">
        <v>2</v>
      </c>
      <c r="AN828">
        <v>0</v>
      </c>
      <c r="AO828">
        <v>3</v>
      </c>
    </row>
    <row r="829" spans="1:41" x14ac:dyDescent="0.2">
      <c r="A829">
        <v>1190899</v>
      </c>
      <c r="B829">
        <v>41</v>
      </c>
      <c r="C829" t="str" cm="1">
        <f t="array" ref="C829">_xlfn.IFS(B829&lt;=25,"15-25",B829&lt;=35,"26-35",B829&lt;=45,"36-45",B829&lt;=55,"46-55",B829&lt;=65,"56-65")</f>
        <v>36-45</v>
      </c>
      <c r="D829" t="s">
        <v>35</v>
      </c>
      <c r="E829" t="str">
        <f t="shared" si="24"/>
        <v>Current Employee</v>
      </c>
      <c r="F829" t="s">
        <v>36</v>
      </c>
      <c r="G829">
        <v>167</v>
      </c>
      <c r="H829" t="s">
        <v>45</v>
      </c>
      <c r="I829">
        <v>12</v>
      </c>
      <c r="J829">
        <v>4</v>
      </c>
      <c r="K829" t="s">
        <v>38</v>
      </c>
      <c r="L829">
        <v>1</v>
      </c>
      <c r="M829">
        <v>2</v>
      </c>
      <c r="N829" t="s">
        <v>46</v>
      </c>
      <c r="O829">
        <v>46</v>
      </c>
      <c r="P829">
        <v>3</v>
      </c>
      <c r="Q829">
        <v>1</v>
      </c>
      <c r="R829" t="s">
        <v>40</v>
      </c>
      <c r="S829">
        <v>4</v>
      </c>
      <c r="T829" t="str" cm="1">
        <f t="array" ref="T829">_xlfn.IFS(S829&lt;=2,"Poor",S829&lt;=3,"Fair",S829&gt;=4,"Good")</f>
        <v>Good</v>
      </c>
      <c r="U829" t="s">
        <v>48</v>
      </c>
      <c r="V829" s="1">
        <v>4766</v>
      </c>
      <c r="W829" t="str" cm="1">
        <f t="array" ref="W829">_xlfn.IFS(V829&lt;=5000,"Low Salary",V829&lt;=12000,"Good Salary",V829&gt;12000,"High Salary")</f>
        <v>Low Salary</v>
      </c>
      <c r="X829">
        <v>9051</v>
      </c>
      <c r="Y829">
        <v>3</v>
      </c>
      <c r="Z829" t="s">
        <v>42</v>
      </c>
      <c r="AA829" t="s">
        <v>43</v>
      </c>
      <c r="AB829">
        <v>11</v>
      </c>
      <c r="AC829">
        <v>3</v>
      </c>
      <c r="AD829" t="str">
        <f t="shared" si="25"/>
        <v>Low Performance</v>
      </c>
      <c r="AE829">
        <v>1</v>
      </c>
      <c r="AF829">
        <v>80</v>
      </c>
      <c r="AG829">
        <v>1</v>
      </c>
      <c r="AH829">
        <v>6</v>
      </c>
      <c r="AI829">
        <v>4</v>
      </c>
      <c r="AJ829">
        <v>3</v>
      </c>
      <c r="AK829" t="str" cm="1">
        <f t="array" ref="AK829">_xlfn.IFS(AJ829&lt;=2,"Poor",AJ829&lt;=3,"Fair",AJ829&gt;3,"Good")</f>
        <v>Fair</v>
      </c>
      <c r="AL829">
        <v>1</v>
      </c>
      <c r="AM829">
        <v>0</v>
      </c>
      <c r="AN829">
        <v>0</v>
      </c>
      <c r="AO829">
        <v>0</v>
      </c>
    </row>
    <row r="830" spans="1:41" x14ac:dyDescent="0.2">
      <c r="A830">
        <v>1131723</v>
      </c>
      <c r="B830">
        <v>31</v>
      </c>
      <c r="C830" t="str" cm="1">
        <f t="array" ref="C830">_xlfn.IFS(B830&lt;=25,"15-25",B830&lt;=35,"26-35",B830&lt;=45,"36-45",B830&lt;=55,"46-55",B830&lt;=65,"56-65")</f>
        <v>26-35</v>
      </c>
      <c r="D830" t="s">
        <v>35</v>
      </c>
      <c r="E830" t="str">
        <f t="shared" si="24"/>
        <v>Current Employee</v>
      </c>
      <c r="F830" t="s">
        <v>44</v>
      </c>
      <c r="G830">
        <v>874</v>
      </c>
      <c r="H830" t="s">
        <v>45</v>
      </c>
      <c r="I830">
        <v>15</v>
      </c>
      <c r="J830">
        <v>3</v>
      </c>
      <c r="K830" t="s">
        <v>49</v>
      </c>
      <c r="L830">
        <v>1</v>
      </c>
      <c r="M830">
        <v>3</v>
      </c>
      <c r="N830" t="s">
        <v>46</v>
      </c>
      <c r="O830">
        <v>72</v>
      </c>
      <c r="P830">
        <v>3</v>
      </c>
      <c r="Q830">
        <v>1</v>
      </c>
      <c r="R830" t="s">
        <v>40</v>
      </c>
      <c r="S830">
        <v>3</v>
      </c>
      <c r="T830" t="str" cm="1">
        <f t="array" ref="T830">_xlfn.IFS(S830&lt;=2,"Poor",S830&lt;=3,"Fair",S830&gt;=4,"Good")</f>
        <v>Fair</v>
      </c>
      <c r="U830" t="s">
        <v>48</v>
      </c>
      <c r="V830" s="1">
        <v>2610</v>
      </c>
      <c r="W830" t="str" cm="1">
        <f t="array" ref="W830">_xlfn.IFS(V830&lt;=5000,"Low Salary",V830&lt;=12000,"Good Salary",V830&gt;12000,"High Salary")</f>
        <v>Low Salary</v>
      </c>
      <c r="X830">
        <v>6233</v>
      </c>
      <c r="Y830">
        <v>1</v>
      </c>
      <c r="Z830" t="s">
        <v>42</v>
      </c>
      <c r="AA830" t="s">
        <v>35</v>
      </c>
      <c r="AB830">
        <v>12</v>
      </c>
      <c r="AC830">
        <v>3</v>
      </c>
      <c r="AD830" t="str">
        <f t="shared" si="25"/>
        <v>Low Performance</v>
      </c>
      <c r="AE830">
        <v>3</v>
      </c>
      <c r="AF830">
        <v>80</v>
      </c>
      <c r="AG830">
        <v>1</v>
      </c>
      <c r="AH830">
        <v>2</v>
      </c>
      <c r="AI830">
        <v>5</v>
      </c>
      <c r="AJ830">
        <v>2</v>
      </c>
      <c r="AK830" t="str" cm="1">
        <f t="array" ref="AK830">_xlfn.IFS(AJ830&lt;=2,"Poor",AJ830&lt;=3,"Fair",AJ830&gt;3,"Good")</f>
        <v>Poor</v>
      </c>
      <c r="AL830">
        <v>2</v>
      </c>
      <c r="AM830">
        <v>2</v>
      </c>
      <c r="AN830">
        <v>2</v>
      </c>
      <c r="AO830">
        <v>2</v>
      </c>
    </row>
    <row r="831" spans="1:41" x14ac:dyDescent="0.2">
      <c r="A831">
        <v>1066655</v>
      </c>
      <c r="B831">
        <v>37</v>
      </c>
      <c r="C831" t="str" cm="1">
        <f t="array" ref="C831">_xlfn.IFS(B831&lt;=25,"15-25",B831&lt;=35,"26-35",B831&lt;=45,"36-45",B831&lt;=55,"46-55",B831&lt;=65,"56-65")</f>
        <v>36-45</v>
      </c>
      <c r="D831" t="s">
        <v>35</v>
      </c>
      <c r="E831" t="str">
        <f t="shared" si="24"/>
        <v>Current Employee</v>
      </c>
      <c r="F831" t="s">
        <v>36</v>
      </c>
      <c r="G831">
        <v>367</v>
      </c>
      <c r="H831" t="s">
        <v>45</v>
      </c>
      <c r="I831">
        <v>25</v>
      </c>
      <c r="J831">
        <v>2</v>
      </c>
      <c r="K831" t="s">
        <v>49</v>
      </c>
      <c r="L831">
        <v>1</v>
      </c>
      <c r="M831">
        <v>3</v>
      </c>
      <c r="N831" t="s">
        <v>39</v>
      </c>
      <c r="O831">
        <v>52</v>
      </c>
      <c r="P831">
        <v>2</v>
      </c>
      <c r="Q831">
        <v>2</v>
      </c>
      <c r="R831" t="s">
        <v>40</v>
      </c>
      <c r="S831">
        <v>4</v>
      </c>
      <c r="T831" t="str" cm="1">
        <f t="array" ref="T831">_xlfn.IFS(S831&lt;=2,"Poor",S831&lt;=3,"Fair",S831&gt;=4,"Good")</f>
        <v>Good</v>
      </c>
      <c r="U831" t="s">
        <v>50</v>
      </c>
      <c r="V831" s="1">
        <v>5731</v>
      </c>
      <c r="W831" t="str" cm="1">
        <f t="array" ref="W831">_xlfn.IFS(V831&lt;=5000,"Low Salary",V831&lt;=12000,"Good Salary",V831&gt;12000,"High Salary")</f>
        <v>Good Salary</v>
      </c>
      <c r="X831">
        <v>17171</v>
      </c>
      <c r="Y831">
        <v>7</v>
      </c>
      <c r="Z831" t="s">
        <v>42</v>
      </c>
      <c r="AA831" t="s">
        <v>35</v>
      </c>
      <c r="AB831">
        <v>13</v>
      </c>
      <c r="AC831">
        <v>3</v>
      </c>
      <c r="AD831" t="str">
        <f t="shared" si="25"/>
        <v>Low Performance</v>
      </c>
      <c r="AE831">
        <v>3</v>
      </c>
      <c r="AF831">
        <v>80</v>
      </c>
      <c r="AG831">
        <v>2</v>
      </c>
      <c r="AH831">
        <v>9</v>
      </c>
      <c r="AI831">
        <v>2</v>
      </c>
      <c r="AJ831">
        <v>3</v>
      </c>
      <c r="AK831" t="str" cm="1">
        <f t="array" ref="AK831">_xlfn.IFS(AJ831&lt;=2,"Poor",AJ831&lt;=3,"Fair",AJ831&gt;3,"Good")</f>
        <v>Fair</v>
      </c>
      <c r="AL831">
        <v>6</v>
      </c>
      <c r="AM831">
        <v>2</v>
      </c>
      <c r="AN831">
        <v>1</v>
      </c>
      <c r="AO831">
        <v>3</v>
      </c>
    </row>
    <row r="832" spans="1:41" x14ac:dyDescent="0.2">
      <c r="A832">
        <v>1061785</v>
      </c>
      <c r="B832">
        <v>27</v>
      </c>
      <c r="C832" t="str" cm="1">
        <f t="array" ref="C832">_xlfn.IFS(B832&lt;=25,"15-25",B832&lt;=35,"26-35",B832&lt;=45,"36-45",B832&lt;=55,"46-55",B832&lt;=65,"56-65")</f>
        <v>26-35</v>
      </c>
      <c r="D832" t="s">
        <v>35</v>
      </c>
      <c r="E832" t="str">
        <f t="shared" si="24"/>
        <v>Current Employee</v>
      </c>
      <c r="F832" t="s">
        <v>36</v>
      </c>
      <c r="G832">
        <v>199</v>
      </c>
      <c r="H832" t="s">
        <v>45</v>
      </c>
      <c r="I832">
        <v>6</v>
      </c>
      <c r="J832">
        <v>3</v>
      </c>
      <c r="K832" t="s">
        <v>38</v>
      </c>
      <c r="L832">
        <v>1</v>
      </c>
      <c r="M832">
        <v>4</v>
      </c>
      <c r="N832" t="s">
        <v>46</v>
      </c>
      <c r="O832">
        <v>55</v>
      </c>
      <c r="P832">
        <v>2</v>
      </c>
      <c r="Q832">
        <v>1</v>
      </c>
      <c r="R832" t="s">
        <v>47</v>
      </c>
      <c r="S832">
        <v>3</v>
      </c>
      <c r="T832" t="str" cm="1">
        <f t="array" ref="T832">_xlfn.IFS(S832&lt;=2,"Poor",S832&lt;=3,"Fair",S832&gt;=4,"Good")</f>
        <v>Fair</v>
      </c>
      <c r="U832" t="s">
        <v>48</v>
      </c>
      <c r="V832" s="1">
        <v>2539</v>
      </c>
      <c r="W832" t="str" cm="1">
        <f t="array" ref="W832">_xlfn.IFS(V832&lt;=5000,"Low Salary",V832&lt;=12000,"Good Salary",V832&gt;12000,"High Salary")</f>
        <v>Low Salary</v>
      </c>
      <c r="X832">
        <v>7950</v>
      </c>
      <c r="Y832">
        <v>1</v>
      </c>
      <c r="Z832" t="s">
        <v>42</v>
      </c>
      <c r="AA832" t="s">
        <v>35</v>
      </c>
      <c r="AB832">
        <v>13</v>
      </c>
      <c r="AC832">
        <v>3</v>
      </c>
      <c r="AD832" t="str">
        <f t="shared" si="25"/>
        <v>Low Performance</v>
      </c>
      <c r="AE832">
        <v>3</v>
      </c>
      <c r="AF832">
        <v>80</v>
      </c>
      <c r="AG832">
        <v>1</v>
      </c>
      <c r="AH832">
        <v>4</v>
      </c>
      <c r="AI832">
        <v>0</v>
      </c>
      <c r="AJ832">
        <v>3</v>
      </c>
      <c r="AK832" t="str" cm="1">
        <f t="array" ref="AK832">_xlfn.IFS(AJ832&lt;=2,"Poor",AJ832&lt;=3,"Fair",AJ832&gt;3,"Good")</f>
        <v>Fair</v>
      </c>
      <c r="AL832">
        <v>4</v>
      </c>
      <c r="AM832">
        <v>2</v>
      </c>
      <c r="AN832">
        <v>2</v>
      </c>
      <c r="AO832">
        <v>2</v>
      </c>
    </row>
    <row r="833" spans="1:41" x14ac:dyDescent="0.2">
      <c r="A833">
        <v>1745568</v>
      </c>
      <c r="B833">
        <v>34</v>
      </c>
      <c r="C833" t="str" cm="1">
        <f t="array" ref="C833">_xlfn.IFS(B833&lt;=25,"15-25",B833&lt;=35,"26-35",B833&lt;=45,"36-45",B833&lt;=55,"46-55",B833&lt;=65,"56-65")</f>
        <v>26-35</v>
      </c>
      <c r="D833" t="s">
        <v>35</v>
      </c>
      <c r="E833" t="str">
        <f t="shared" si="24"/>
        <v>Current Employee</v>
      </c>
      <c r="F833" t="s">
        <v>36</v>
      </c>
      <c r="G833">
        <v>1400</v>
      </c>
      <c r="H833" t="s">
        <v>37</v>
      </c>
      <c r="I833">
        <v>9</v>
      </c>
      <c r="J833">
        <v>1</v>
      </c>
      <c r="K833" t="s">
        <v>38</v>
      </c>
      <c r="L833">
        <v>1</v>
      </c>
      <c r="M833">
        <v>2</v>
      </c>
      <c r="N833" t="s">
        <v>39</v>
      </c>
      <c r="O833">
        <v>70</v>
      </c>
      <c r="P833">
        <v>3</v>
      </c>
      <c r="Q833">
        <v>2</v>
      </c>
      <c r="R833" t="s">
        <v>40</v>
      </c>
      <c r="S833">
        <v>3</v>
      </c>
      <c r="T833" t="str" cm="1">
        <f t="array" ref="T833">_xlfn.IFS(S833&lt;=2,"Poor",S833&lt;=3,"Fair",S833&gt;=4,"Good")</f>
        <v>Fair</v>
      </c>
      <c r="U833" t="s">
        <v>48</v>
      </c>
      <c r="V833" s="1">
        <v>5714</v>
      </c>
      <c r="W833" t="str" cm="1">
        <f t="array" ref="W833">_xlfn.IFS(V833&lt;=5000,"Low Salary",V833&lt;=12000,"Good Salary",V833&gt;12000,"High Salary")</f>
        <v>Good Salary</v>
      </c>
      <c r="X833">
        <v>5829</v>
      </c>
      <c r="Y833">
        <v>1</v>
      </c>
      <c r="Z833" t="s">
        <v>42</v>
      </c>
      <c r="AA833" t="s">
        <v>35</v>
      </c>
      <c r="AB833">
        <v>20</v>
      </c>
      <c r="AC833">
        <v>4</v>
      </c>
      <c r="AD833" t="str">
        <f t="shared" si="25"/>
        <v>High Performance</v>
      </c>
      <c r="AE833">
        <v>1</v>
      </c>
      <c r="AF833">
        <v>80</v>
      </c>
      <c r="AG833">
        <v>0</v>
      </c>
      <c r="AH833">
        <v>6</v>
      </c>
      <c r="AI833">
        <v>3</v>
      </c>
      <c r="AJ833">
        <v>2</v>
      </c>
      <c r="AK833" t="str" cm="1">
        <f t="array" ref="AK833">_xlfn.IFS(AJ833&lt;=2,"Poor",AJ833&lt;=3,"Fair",AJ833&gt;3,"Good")</f>
        <v>Poor</v>
      </c>
      <c r="AL833">
        <v>6</v>
      </c>
      <c r="AM833">
        <v>5</v>
      </c>
      <c r="AN833">
        <v>1</v>
      </c>
      <c r="AO833">
        <v>3</v>
      </c>
    </row>
    <row r="834" spans="1:41" x14ac:dyDescent="0.2">
      <c r="A834">
        <v>1034814</v>
      </c>
      <c r="B834">
        <v>35</v>
      </c>
      <c r="C834" t="str" cm="1">
        <f t="array" ref="C834">_xlfn.IFS(B834&lt;=25,"15-25",B834&lt;=35,"26-35",B834&lt;=45,"36-45",B834&lt;=55,"46-55",B834&lt;=65,"56-65")</f>
        <v>26-35</v>
      </c>
      <c r="D834" t="s">
        <v>35</v>
      </c>
      <c r="E834" t="str">
        <f t="shared" si="24"/>
        <v>Current Employee</v>
      </c>
      <c r="F834" t="s">
        <v>36</v>
      </c>
      <c r="G834">
        <v>528</v>
      </c>
      <c r="H834" t="s">
        <v>54</v>
      </c>
      <c r="I834">
        <v>8</v>
      </c>
      <c r="J834">
        <v>4</v>
      </c>
      <c r="K834" t="s">
        <v>56</v>
      </c>
      <c r="L834">
        <v>1</v>
      </c>
      <c r="M834">
        <v>3</v>
      </c>
      <c r="N834" t="s">
        <v>46</v>
      </c>
      <c r="O834">
        <v>100</v>
      </c>
      <c r="P834">
        <v>3</v>
      </c>
      <c r="Q834">
        <v>1</v>
      </c>
      <c r="R834" t="s">
        <v>47</v>
      </c>
      <c r="S834">
        <v>3</v>
      </c>
      <c r="T834" t="str" cm="1">
        <f t="array" ref="T834">_xlfn.IFS(S834&lt;=2,"Poor",S834&lt;=3,"Fair",S834&gt;=4,"Good")</f>
        <v>Fair</v>
      </c>
      <c r="U834" t="s">
        <v>41</v>
      </c>
      <c r="V834" s="1">
        <v>4323</v>
      </c>
      <c r="W834" t="str" cm="1">
        <f t="array" ref="W834">_xlfn.IFS(V834&lt;=5000,"Low Salary",V834&lt;=12000,"Good Salary",V834&gt;12000,"High Salary")</f>
        <v>Low Salary</v>
      </c>
      <c r="X834">
        <v>7108</v>
      </c>
      <c r="Y834">
        <v>1</v>
      </c>
      <c r="Z834" t="s">
        <v>42</v>
      </c>
      <c r="AA834" t="s">
        <v>35</v>
      </c>
      <c r="AB834">
        <v>17</v>
      </c>
      <c r="AC834">
        <v>3</v>
      </c>
      <c r="AD834" t="str">
        <f t="shared" si="25"/>
        <v>Low Performance</v>
      </c>
      <c r="AE834">
        <v>2</v>
      </c>
      <c r="AF834">
        <v>80</v>
      </c>
      <c r="AG834">
        <v>0</v>
      </c>
      <c r="AH834">
        <v>6</v>
      </c>
      <c r="AI834">
        <v>2</v>
      </c>
      <c r="AJ834">
        <v>1</v>
      </c>
      <c r="AK834" t="str" cm="1">
        <f t="array" ref="AK834">_xlfn.IFS(AJ834&lt;=2,"Poor",AJ834&lt;=3,"Fair",AJ834&gt;3,"Good")</f>
        <v>Poor</v>
      </c>
      <c r="AL834">
        <v>5</v>
      </c>
      <c r="AM834">
        <v>4</v>
      </c>
      <c r="AN834">
        <v>1</v>
      </c>
      <c r="AO834">
        <v>4</v>
      </c>
    </row>
    <row r="835" spans="1:41" x14ac:dyDescent="0.2">
      <c r="A835">
        <v>1778989</v>
      </c>
      <c r="B835">
        <v>29</v>
      </c>
      <c r="C835" t="str" cm="1">
        <f t="array" ref="C835">_xlfn.IFS(B835&lt;=25,"15-25",B835&lt;=35,"26-35",B835&lt;=45,"36-45",B835&lt;=55,"46-55",B835&lt;=65,"56-65")</f>
        <v>26-35</v>
      </c>
      <c r="D835" t="s">
        <v>43</v>
      </c>
      <c r="E835" t="str">
        <f t="shared" ref="E835:E898" si="26">IF(D835="No","Current Employee","Former Employee")</f>
        <v>Former Employee</v>
      </c>
      <c r="F835" t="s">
        <v>36</v>
      </c>
      <c r="G835">
        <v>408</v>
      </c>
      <c r="H835" t="s">
        <v>37</v>
      </c>
      <c r="I835">
        <v>23</v>
      </c>
      <c r="J835">
        <v>1</v>
      </c>
      <c r="K835" t="s">
        <v>38</v>
      </c>
      <c r="L835">
        <v>1</v>
      </c>
      <c r="M835">
        <v>4</v>
      </c>
      <c r="N835" t="s">
        <v>39</v>
      </c>
      <c r="O835">
        <v>45</v>
      </c>
      <c r="P835">
        <v>2</v>
      </c>
      <c r="Q835">
        <v>3</v>
      </c>
      <c r="R835" t="s">
        <v>40</v>
      </c>
      <c r="S835">
        <v>1</v>
      </c>
      <c r="T835" t="str" cm="1">
        <f t="array" ref="T835">_xlfn.IFS(S835&lt;=2,"Poor",S835&lt;=3,"Fair",S835&gt;=4,"Good")</f>
        <v>Poor</v>
      </c>
      <c r="U835" t="s">
        <v>48</v>
      </c>
      <c r="V835" s="1">
        <v>7336</v>
      </c>
      <c r="W835" t="str" cm="1">
        <f t="array" ref="W835">_xlfn.IFS(V835&lt;=5000,"Low Salary",V835&lt;=12000,"Good Salary",V835&gt;12000,"High Salary")</f>
        <v>Good Salary</v>
      </c>
      <c r="X835">
        <v>11162</v>
      </c>
      <c r="Y835">
        <v>1</v>
      </c>
      <c r="Z835" t="s">
        <v>42</v>
      </c>
      <c r="AA835" t="s">
        <v>35</v>
      </c>
      <c r="AB835">
        <v>13</v>
      </c>
      <c r="AC835">
        <v>3</v>
      </c>
      <c r="AD835" t="str">
        <f t="shared" ref="AD835:AD898" si="27">IF(AC835&lt;=3,"Low Performance","High Performance")</f>
        <v>Low Performance</v>
      </c>
      <c r="AE835">
        <v>1</v>
      </c>
      <c r="AF835">
        <v>80</v>
      </c>
      <c r="AG835">
        <v>1</v>
      </c>
      <c r="AH835">
        <v>11</v>
      </c>
      <c r="AI835">
        <v>3</v>
      </c>
      <c r="AJ835">
        <v>1</v>
      </c>
      <c r="AK835" t="str" cm="1">
        <f t="array" ref="AK835">_xlfn.IFS(AJ835&lt;=2,"Poor",AJ835&lt;=3,"Fair",AJ835&gt;3,"Good")</f>
        <v>Poor</v>
      </c>
      <c r="AL835">
        <v>11</v>
      </c>
      <c r="AM835">
        <v>8</v>
      </c>
      <c r="AN835">
        <v>3</v>
      </c>
      <c r="AO835">
        <v>10</v>
      </c>
    </row>
    <row r="836" spans="1:41" x14ac:dyDescent="0.2">
      <c r="A836">
        <v>1452385</v>
      </c>
      <c r="B836">
        <v>40</v>
      </c>
      <c r="C836" t="str" cm="1">
        <f t="array" ref="C836">_xlfn.IFS(B836&lt;=25,"15-25",B836&lt;=35,"26-35",B836&lt;=45,"36-45",B836&lt;=55,"46-55",B836&lt;=65,"56-65")</f>
        <v>36-45</v>
      </c>
      <c r="D836" t="s">
        <v>35</v>
      </c>
      <c r="E836" t="str">
        <f t="shared" si="26"/>
        <v>Current Employee</v>
      </c>
      <c r="F836" t="s">
        <v>44</v>
      </c>
      <c r="G836">
        <v>593</v>
      </c>
      <c r="H836" t="s">
        <v>45</v>
      </c>
      <c r="I836">
        <v>9</v>
      </c>
      <c r="J836">
        <v>4</v>
      </c>
      <c r="K836" t="s">
        <v>49</v>
      </c>
      <c r="L836">
        <v>1</v>
      </c>
      <c r="M836">
        <v>2</v>
      </c>
      <c r="N836" t="s">
        <v>39</v>
      </c>
      <c r="O836">
        <v>88</v>
      </c>
      <c r="P836">
        <v>3</v>
      </c>
      <c r="Q836">
        <v>3</v>
      </c>
      <c r="R836" t="s">
        <v>53</v>
      </c>
      <c r="S836">
        <v>3</v>
      </c>
      <c r="T836" t="str" cm="1">
        <f t="array" ref="T836">_xlfn.IFS(S836&lt;=2,"Poor",S836&lt;=3,"Fair",S836&gt;=4,"Good")</f>
        <v>Fair</v>
      </c>
      <c r="U836" t="s">
        <v>41</v>
      </c>
      <c r="V836" s="1">
        <v>13499</v>
      </c>
      <c r="W836" t="str" cm="1">
        <f t="array" ref="W836">_xlfn.IFS(V836&lt;=5000,"Low Salary",V836&lt;=12000,"Good Salary",V836&gt;12000,"High Salary")</f>
        <v>High Salary</v>
      </c>
      <c r="X836">
        <v>13782</v>
      </c>
      <c r="Y836">
        <v>9</v>
      </c>
      <c r="Z836" t="s">
        <v>42</v>
      </c>
      <c r="AA836" t="s">
        <v>35</v>
      </c>
      <c r="AB836">
        <v>17</v>
      </c>
      <c r="AC836">
        <v>3</v>
      </c>
      <c r="AD836" t="str">
        <f t="shared" si="27"/>
        <v>Low Performance</v>
      </c>
      <c r="AE836">
        <v>3</v>
      </c>
      <c r="AF836">
        <v>80</v>
      </c>
      <c r="AG836">
        <v>0</v>
      </c>
      <c r="AH836">
        <v>20</v>
      </c>
      <c r="AI836">
        <v>3</v>
      </c>
      <c r="AJ836">
        <v>2</v>
      </c>
      <c r="AK836" t="str" cm="1">
        <f t="array" ref="AK836">_xlfn.IFS(AJ836&lt;=2,"Poor",AJ836&lt;=3,"Fair",AJ836&gt;3,"Good")</f>
        <v>Poor</v>
      </c>
      <c r="AL836">
        <v>18</v>
      </c>
      <c r="AM836">
        <v>7</v>
      </c>
      <c r="AN836">
        <v>2</v>
      </c>
      <c r="AO836">
        <v>13</v>
      </c>
    </row>
    <row r="837" spans="1:41" x14ac:dyDescent="0.2">
      <c r="A837">
        <v>1513386</v>
      </c>
      <c r="B837">
        <v>42</v>
      </c>
      <c r="C837" t="str" cm="1">
        <f t="array" ref="C837">_xlfn.IFS(B837&lt;=25,"15-25",B837&lt;=35,"26-35",B837&lt;=45,"36-45",B837&lt;=55,"46-55",B837&lt;=65,"56-65")</f>
        <v>36-45</v>
      </c>
      <c r="D837" t="s">
        <v>35</v>
      </c>
      <c r="E837" t="str">
        <f t="shared" si="26"/>
        <v>Current Employee</v>
      </c>
      <c r="F837" t="s">
        <v>44</v>
      </c>
      <c r="G837">
        <v>481</v>
      </c>
      <c r="H837" t="s">
        <v>37</v>
      </c>
      <c r="I837">
        <v>12</v>
      </c>
      <c r="J837">
        <v>3</v>
      </c>
      <c r="K837" t="s">
        <v>38</v>
      </c>
      <c r="L837">
        <v>1</v>
      </c>
      <c r="M837">
        <v>3</v>
      </c>
      <c r="N837" t="s">
        <v>46</v>
      </c>
      <c r="O837">
        <v>44</v>
      </c>
      <c r="P837">
        <v>3</v>
      </c>
      <c r="Q837">
        <v>4</v>
      </c>
      <c r="R837" t="s">
        <v>40</v>
      </c>
      <c r="S837">
        <v>1</v>
      </c>
      <c r="T837" t="str" cm="1">
        <f t="array" ref="T837">_xlfn.IFS(S837&lt;=2,"Poor",S837&lt;=3,"Fair",S837&gt;=4,"Good")</f>
        <v>Poor</v>
      </c>
      <c r="U837" t="s">
        <v>41</v>
      </c>
      <c r="V837" s="1">
        <v>13758</v>
      </c>
      <c r="W837" t="str" cm="1">
        <f t="array" ref="W837">_xlfn.IFS(V837&lt;=5000,"Low Salary",V837&lt;=12000,"Good Salary",V837&gt;12000,"High Salary")</f>
        <v>High Salary</v>
      </c>
      <c r="X837">
        <v>2447</v>
      </c>
      <c r="Y837">
        <v>0</v>
      </c>
      <c r="Z837" t="s">
        <v>42</v>
      </c>
      <c r="AA837" t="s">
        <v>43</v>
      </c>
      <c r="AB837">
        <v>12</v>
      </c>
      <c r="AC837">
        <v>3</v>
      </c>
      <c r="AD837" t="str">
        <f t="shared" si="27"/>
        <v>Low Performance</v>
      </c>
      <c r="AE837">
        <v>2</v>
      </c>
      <c r="AF837">
        <v>80</v>
      </c>
      <c r="AG837">
        <v>0</v>
      </c>
      <c r="AH837">
        <v>22</v>
      </c>
      <c r="AI837">
        <v>2</v>
      </c>
      <c r="AJ837">
        <v>2</v>
      </c>
      <c r="AK837" t="str" cm="1">
        <f t="array" ref="AK837">_xlfn.IFS(AJ837&lt;=2,"Poor",AJ837&lt;=3,"Fair",AJ837&gt;3,"Good")</f>
        <v>Poor</v>
      </c>
      <c r="AL837">
        <v>21</v>
      </c>
      <c r="AM837">
        <v>9</v>
      </c>
      <c r="AN837">
        <v>13</v>
      </c>
      <c r="AO837">
        <v>14</v>
      </c>
    </row>
    <row r="838" spans="1:41" x14ac:dyDescent="0.2">
      <c r="A838">
        <v>1812528</v>
      </c>
      <c r="B838">
        <v>42</v>
      </c>
      <c r="C838" t="str" cm="1">
        <f t="array" ref="C838">_xlfn.IFS(B838&lt;=25,"15-25",B838&lt;=35,"26-35",B838&lt;=45,"36-45",B838&lt;=55,"46-55",B838&lt;=65,"56-65")</f>
        <v>36-45</v>
      </c>
      <c r="D838" t="s">
        <v>35</v>
      </c>
      <c r="E838" t="str">
        <f t="shared" si="26"/>
        <v>Current Employee</v>
      </c>
      <c r="F838" t="s">
        <v>36</v>
      </c>
      <c r="G838">
        <v>647</v>
      </c>
      <c r="H838" t="s">
        <v>37</v>
      </c>
      <c r="I838">
        <v>4</v>
      </c>
      <c r="J838">
        <v>4</v>
      </c>
      <c r="K838" t="s">
        <v>55</v>
      </c>
      <c r="L838">
        <v>1</v>
      </c>
      <c r="M838">
        <v>2</v>
      </c>
      <c r="N838" t="s">
        <v>46</v>
      </c>
      <c r="O838">
        <v>45</v>
      </c>
      <c r="P838">
        <v>3</v>
      </c>
      <c r="Q838">
        <v>2</v>
      </c>
      <c r="R838" t="s">
        <v>40</v>
      </c>
      <c r="S838">
        <v>1</v>
      </c>
      <c r="T838" t="str" cm="1">
        <f t="array" ref="T838">_xlfn.IFS(S838&lt;=2,"Poor",S838&lt;=3,"Fair",S838&gt;=4,"Good")</f>
        <v>Poor</v>
      </c>
      <c r="U838" t="s">
        <v>41</v>
      </c>
      <c r="V838" s="1">
        <v>5155</v>
      </c>
      <c r="W838" t="str" cm="1">
        <f t="array" ref="W838">_xlfn.IFS(V838&lt;=5000,"Low Salary",V838&lt;=12000,"Good Salary",V838&gt;12000,"High Salary")</f>
        <v>Good Salary</v>
      </c>
      <c r="X838">
        <v>2253</v>
      </c>
      <c r="Y838">
        <v>7</v>
      </c>
      <c r="Z838" t="s">
        <v>42</v>
      </c>
      <c r="AA838" t="s">
        <v>35</v>
      </c>
      <c r="AB838">
        <v>13</v>
      </c>
      <c r="AC838">
        <v>3</v>
      </c>
      <c r="AD838" t="str">
        <f t="shared" si="27"/>
        <v>Low Performance</v>
      </c>
      <c r="AE838">
        <v>4</v>
      </c>
      <c r="AF838">
        <v>80</v>
      </c>
      <c r="AG838">
        <v>0</v>
      </c>
      <c r="AH838">
        <v>9</v>
      </c>
      <c r="AI838">
        <v>3</v>
      </c>
      <c r="AJ838">
        <v>4</v>
      </c>
      <c r="AK838" t="str" cm="1">
        <f t="array" ref="AK838">_xlfn.IFS(AJ838&lt;=2,"Poor",AJ838&lt;=3,"Fair",AJ838&gt;3,"Good")</f>
        <v>Good</v>
      </c>
      <c r="AL838">
        <v>6</v>
      </c>
      <c r="AM838">
        <v>4</v>
      </c>
      <c r="AN838">
        <v>1</v>
      </c>
      <c r="AO838">
        <v>5</v>
      </c>
    </row>
    <row r="839" spans="1:41" x14ac:dyDescent="0.2">
      <c r="A839">
        <v>1479961</v>
      </c>
      <c r="B839">
        <v>35</v>
      </c>
      <c r="C839" t="str" cm="1">
        <f t="array" ref="C839">_xlfn.IFS(B839&lt;=25,"15-25",B839&lt;=35,"26-35",B839&lt;=45,"36-45",B839&lt;=55,"46-55",B839&lt;=65,"56-65")</f>
        <v>26-35</v>
      </c>
      <c r="D839" t="s">
        <v>35</v>
      </c>
      <c r="E839" t="str">
        <f t="shared" si="26"/>
        <v>Current Employee</v>
      </c>
      <c r="F839" t="s">
        <v>36</v>
      </c>
      <c r="G839">
        <v>982</v>
      </c>
      <c r="H839" t="s">
        <v>45</v>
      </c>
      <c r="I839">
        <v>1</v>
      </c>
      <c r="J839">
        <v>4</v>
      </c>
      <c r="K839" t="s">
        <v>49</v>
      </c>
      <c r="L839">
        <v>1</v>
      </c>
      <c r="M839">
        <v>4</v>
      </c>
      <c r="N839" t="s">
        <v>46</v>
      </c>
      <c r="O839">
        <v>58</v>
      </c>
      <c r="P839">
        <v>2</v>
      </c>
      <c r="Q839">
        <v>1</v>
      </c>
      <c r="R839" t="s">
        <v>40</v>
      </c>
      <c r="S839">
        <v>3</v>
      </c>
      <c r="T839" t="str" cm="1">
        <f t="array" ref="T839">_xlfn.IFS(S839&lt;=2,"Poor",S839&lt;=3,"Fair",S839&gt;=4,"Good")</f>
        <v>Fair</v>
      </c>
      <c r="U839" t="s">
        <v>48</v>
      </c>
      <c r="V839" s="1">
        <v>2258</v>
      </c>
      <c r="W839" t="str" cm="1">
        <f t="array" ref="W839">_xlfn.IFS(V839&lt;=5000,"Low Salary",V839&lt;=12000,"Good Salary",V839&gt;12000,"High Salary")</f>
        <v>Low Salary</v>
      </c>
      <c r="X839">
        <v>16340</v>
      </c>
      <c r="Y839">
        <v>6</v>
      </c>
      <c r="Z839" t="s">
        <v>42</v>
      </c>
      <c r="AA839" t="s">
        <v>35</v>
      </c>
      <c r="AB839">
        <v>12</v>
      </c>
      <c r="AC839">
        <v>3</v>
      </c>
      <c r="AD839" t="str">
        <f t="shared" si="27"/>
        <v>Low Performance</v>
      </c>
      <c r="AE839">
        <v>2</v>
      </c>
      <c r="AF839">
        <v>80</v>
      </c>
      <c r="AG839">
        <v>1</v>
      </c>
      <c r="AH839">
        <v>10</v>
      </c>
      <c r="AI839">
        <v>2</v>
      </c>
      <c r="AJ839">
        <v>3</v>
      </c>
      <c r="AK839" t="str" cm="1">
        <f t="array" ref="AK839">_xlfn.IFS(AJ839&lt;=2,"Poor",AJ839&lt;=3,"Fair",AJ839&gt;3,"Good")</f>
        <v>Fair</v>
      </c>
      <c r="AL839">
        <v>8</v>
      </c>
      <c r="AM839">
        <v>0</v>
      </c>
      <c r="AN839">
        <v>1</v>
      </c>
      <c r="AO839">
        <v>7</v>
      </c>
    </row>
    <row r="840" spans="1:41" x14ac:dyDescent="0.2">
      <c r="A840">
        <v>1446497</v>
      </c>
      <c r="B840">
        <v>24</v>
      </c>
      <c r="C840" t="str" cm="1">
        <f t="array" ref="C840">_xlfn.IFS(B840&lt;=25,"15-25",B840&lt;=35,"26-35",B840&lt;=45,"36-45",B840&lt;=55,"46-55",B840&lt;=65,"56-65")</f>
        <v>15-25</v>
      </c>
      <c r="D840" t="s">
        <v>35</v>
      </c>
      <c r="E840" t="str">
        <f t="shared" si="26"/>
        <v>Current Employee</v>
      </c>
      <c r="F840" t="s">
        <v>36</v>
      </c>
      <c r="G840">
        <v>477</v>
      </c>
      <c r="H840" t="s">
        <v>45</v>
      </c>
      <c r="I840">
        <v>24</v>
      </c>
      <c r="J840">
        <v>3</v>
      </c>
      <c r="K840" t="s">
        <v>49</v>
      </c>
      <c r="L840">
        <v>1</v>
      </c>
      <c r="M840">
        <v>4</v>
      </c>
      <c r="N840" t="s">
        <v>46</v>
      </c>
      <c r="O840">
        <v>49</v>
      </c>
      <c r="P840">
        <v>3</v>
      </c>
      <c r="Q840">
        <v>1</v>
      </c>
      <c r="R840" t="s">
        <v>40</v>
      </c>
      <c r="S840">
        <v>2</v>
      </c>
      <c r="T840" t="str" cm="1">
        <f t="array" ref="T840">_xlfn.IFS(S840&lt;=2,"Poor",S840&lt;=3,"Fair",S840&gt;=4,"Good")</f>
        <v>Poor</v>
      </c>
      <c r="U840" t="s">
        <v>41</v>
      </c>
      <c r="V840" s="1">
        <v>3597</v>
      </c>
      <c r="W840" t="str" cm="1">
        <f t="array" ref="W840">_xlfn.IFS(V840&lt;=5000,"Low Salary",V840&lt;=12000,"Good Salary",V840&gt;12000,"High Salary")</f>
        <v>Low Salary</v>
      </c>
      <c r="X840">
        <v>6409</v>
      </c>
      <c r="Y840">
        <v>8</v>
      </c>
      <c r="Z840" t="s">
        <v>42</v>
      </c>
      <c r="AA840" t="s">
        <v>35</v>
      </c>
      <c r="AB840">
        <v>22</v>
      </c>
      <c r="AC840">
        <v>4</v>
      </c>
      <c r="AD840" t="str">
        <f t="shared" si="27"/>
        <v>High Performance</v>
      </c>
      <c r="AE840">
        <v>4</v>
      </c>
      <c r="AF840">
        <v>80</v>
      </c>
      <c r="AG840">
        <v>0</v>
      </c>
      <c r="AH840">
        <v>6</v>
      </c>
      <c r="AI840">
        <v>2</v>
      </c>
      <c r="AJ840">
        <v>3</v>
      </c>
      <c r="AK840" t="str" cm="1">
        <f t="array" ref="AK840">_xlfn.IFS(AJ840&lt;=2,"Poor",AJ840&lt;=3,"Fair",AJ840&gt;3,"Good")</f>
        <v>Fair</v>
      </c>
      <c r="AL840">
        <v>4</v>
      </c>
      <c r="AM840">
        <v>3</v>
      </c>
      <c r="AN840">
        <v>1</v>
      </c>
      <c r="AO840">
        <v>2</v>
      </c>
    </row>
    <row r="841" spans="1:41" x14ac:dyDescent="0.2">
      <c r="A841">
        <v>1340549</v>
      </c>
      <c r="B841">
        <v>28</v>
      </c>
      <c r="C841" t="str" cm="1">
        <f t="array" ref="C841">_xlfn.IFS(B841&lt;=25,"15-25",B841&lt;=35,"26-35",B841&lt;=45,"36-45",B841&lt;=55,"46-55",B841&lt;=65,"56-65")</f>
        <v>26-35</v>
      </c>
      <c r="D841" t="s">
        <v>43</v>
      </c>
      <c r="E841" t="str">
        <f t="shared" si="26"/>
        <v>Former Employee</v>
      </c>
      <c r="F841" t="s">
        <v>36</v>
      </c>
      <c r="G841">
        <v>1485</v>
      </c>
      <c r="H841" t="s">
        <v>45</v>
      </c>
      <c r="I841">
        <v>12</v>
      </c>
      <c r="J841">
        <v>1</v>
      </c>
      <c r="K841" t="s">
        <v>38</v>
      </c>
      <c r="L841">
        <v>1</v>
      </c>
      <c r="M841">
        <v>3</v>
      </c>
      <c r="N841" t="s">
        <v>39</v>
      </c>
      <c r="O841">
        <v>79</v>
      </c>
      <c r="P841">
        <v>3</v>
      </c>
      <c r="Q841">
        <v>1</v>
      </c>
      <c r="R841" t="s">
        <v>40</v>
      </c>
      <c r="S841">
        <v>4</v>
      </c>
      <c r="T841" t="str" cm="1">
        <f t="array" ref="T841">_xlfn.IFS(S841&lt;=2,"Poor",S841&lt;=3,"Fair",S841&gt;=4,"Good")</f>
        <v>Good</v>
      </c>
      <c r="U841" t="s">
        <v>48</v>
      </c>
      <c r="V841" s="1">
        <v>2515</v>
      </c>
      <c r="W841" t="str" cm="1">
        <f t="array" ref="W841">_xlfn.IFS(V841&lt;=5000,"Low Salary",V841&lt;=12000,"Good Salary",V841&gt;12000,"High Salary")</f>
        <v>Low Salary</v>
      </c>
      <c r="X841">
        <v>22955</v>
      </c>
      <c r="Y841">
        <v>1</v>
      </c>
      <c r="Z841" t="s">
        <v>42</v>
      </c>
      <c r="AA841" t="s">
        <v>43</v>
      </c>
      <c r="AB841">
        <v>11</v>
      </c>
      <c r="AC841">
        <v>3</v>
      </c>
      <c r="AD841" t="str">
        <f t="shared" si="27"/>
        <v>Low Performance</v>
      </c>
      <c r="AE841">
        <v>4</v>
      </c>
      <c r="AF841">
        <v>80</v>
      </c>
      <c r="AG841">
        <v>0</v>
      </c>
      <c r="AH841">
        <v>1</v>
      </c>
      <c r="AI841">
        <v>4</v>
      </c>
      <c r="AJ841">
        <v>2</v>
      </c>
      <c r="AK841" t="str" cm="1">
        <f t="array" ref="AK841">_xlfn.IFS(AJ841&lt;=2,"Poor",AJ841&lt;=3,"Fair",AJ841&gt;3,"Good")</f>
        <v>Poor</v>
      </c>
      <c r="AL841">
        <v>1</v>
      </c>
      <c r="AM841">
        <v>1</v>
      </c>
      <c r="AN841">
        <v>0</v>
      </c>
      <c r="AO841">
        <v>0</v>
      </c>
    </row>
    <row r="842" spans="1:41" x14ac:dyDescent="0.2">
      <c r="A842">
        <v>1588632</v>
      </c>
      <c r="B842">
        <v>26</v>
      </c>
      <c r="C842" t="str" cm="1">
        <f t="array" ref="C842">_xlfn.IFS(B842&lt;=25,"15-25",B842&lt;=35,"26-35",B842&lt;=45,"36-45",B842&lt;=55,"46-55",B842&lt;=65,"56-65")</f>
        <v>26-35</v>
      </c>
      <c r="D842" t="s">
        <v>35</v>
      </c>
      <c r="E842" t="str">
        <f t="shared" si="26"/>
        <v>Current Employee</v>
      </c>
      <c r="F842" t="s">
        <v>36</v>
      </c>
      <c r="G842">
        <v>1384</v>
      </c>
      <c r="H842" t="s">
        <v>45</v>
      </c>
      <c r="I842">
        <v>3</v>
      </c>
      <c r="J842">
        <v>4</v>
      </c>
      <c r="K842" t="s">
        <v>49</v>
      </c>
      <c r="L842">
        <v>1</v>
      </c>
      <c r="M842">
        <v>1</v>
      </c>
      <c r="N842" t="s">
        <v>46</v>
      </c>
      <c r="O842">
        <v>82</v>
      </c>
      <c r="P842">
        <v>4</v>
      </c>
      <c r="Q842">
        <v>1</v>
      </c>
      <c r="R842" t="s">
        <v>40</v>
      </c>
      <c r="S842">
        <v>4</v>
      </c>
      <c r="T842" t="str" cm="1">
        <f t="array" ref="T842">_xlfn.IFS(S842&lt;=2,"Poor",S842&lt;=3,"Fair",S842&gt;=4,"Good")</f>
        <v>Good</v>
      </c>
      <c r="U842" t="s">
        <v>48</v>
      </c>
      <c r="V842" s="1">
        <v>4420</v>
      </c>
      <c r="W842" t="str" cm="1">
        <f t="array" ref="W842">_xlfn.IFS(V842&lt;=5000,"Low Salary",V842&lt;=12000,"Good Salary",V842&gt;12000,"High Salary")</f>
        <v>Low Salary</v>
      </c>
      <c r="X842">
        <v>13421</v>
      </c>
      <c r="Y842">
        <v>1</v>
      </c>
      <c r="Z842" t="s">
        <v>42</v>
      </c>
      <c r="AA842" t="s">
        <v>35</v>
      </c>
      <c r="AB842">
        <v>22</v>
      </c>
      <c r="AC842">
        <v>4</v>
      </c>
      <c r="AD842" t="str">
        <f t="shared" si="27"/>
        <v>High Performance</v>
      </c>
      <c r="AE842">
        <v>2</v>
      </c>
      <c r="AF842">
        <v>80</v>
      </c>
      <c r="AG842">
        <v>1</v>
      </c>
      <c r="AH842">
        <v>8</v>
      </c>
      <c r="AI842">
        <v>2</v>
      </c>
      <c r="AJ842">
        <v>3</v>
      </c>
      <c r="AK842" t="str" cm="1">
        <f t="array" ref="AK842">_xlfn.IFS(AJ842&lt;=2,"Poor",AJ842&lt;=3,"Fair",AJ842&gt;3,"Good")</f>
        <v>Fair</v>
      </c>
      <c r="AL842">
        <v>8</v>
      </c>
      <c r="AM842">
        <v>7</v>
      </c>
      <c r="AN842">
        <v>0</v>
      </c>
      <c r="AO842">
        <v>7</v>
      </c>
    </row>
    <row r="843" spans="1:41" x14ac:dyDescent="0.2">
      <c r="A843">
        <v>1499676</v>
      </c>
      <c r="B843">
        <v>30</v>
      </c>
      <c r="C843" t="str" cm="1">
        <f t="array" ref="C843">_xlfn.IFS(B843&lt;=25,"15-25",B843&lt;=35,"26-35",B843&lt;=45,"36-45",B843&lt;=55,"46-55",B843&lt;=65,"56-65")</f>
        <v>26-35</v>
      </c>
      <c r="D843" t="s">
        <v>35</v>
      </c>
      <c r="E843" t="str">
        <f t="shared" si="26"/>
        <v>Current Employee</v>
      </c>
      <c r="F843" t="s">
        <v>36</v>
      </c>
      <c r="G843">
        <v>852</v>
      </c>
      <c r="H843" t="s">
        <v>37</v>
      </c>
      <c r="I843">
        <v>10</v>
      </c>
      <c r="J843">
        <v>3</v>
      </c>
      <c r="K843" t="s">
        <v>55</v>
      </c>
      <c r="L843">
        <v>1</v>
      </c>
      <c r="M843">
        <v>3</v>
      </c>
      <c r="N843" t="s">
        <v>46</v>
      </c>
      <c r="O843">
        <v>72</v>
      </c>
      <c r="P843">
        <v>2</v>
      </c>
      <c r="Q843">
        <v>2</v>
      </c>
      <c r="R843" t="s">
        <v>40</v>
      </c>
      <c r="S843">
        <v>3</v>
      </c>
      <c r="T843" t="str" cm="1">
        <f t="array" ref="T843">_xlfn.IFS(S843&lt;=2,"Poor",S843&lt;=3,"Fair",S843&gt;=4,"Good")</f>
        <v>Fair</v>
      </c>
      <c r="U843" t="s">
        <v>48</v>
      </c>
      <c r="V843" s="1">
        <v>6578</v>
      </c>
      <c r="W843" t="str" cm="1">
        <f t="array" ref="W843">_xlfn.IFS(V843&lt;=5000,"Low Salary",V843&lt;=12000,"Good Salary",V843&gt;12000,"High Salary")</f>
        <v>Good Salary</v>
      </c>
      <c r="X843">
        <v>2706</v>
      </c>
      <c r="Y843">
        <v>1</v>
      </c>
      <c r="Z843" t="s">
        <v>42</v>
      </c>
      <c r="AA843" t="s">
        <v>35</v>
      </c>
      <c r="AB843">
        <v>18</v>
      </c>
      <c r="AC843">
        <v>3</v>
      </c>
      <c r="AD843" t="str">
        <f t="shared" si="27"/>
        <v>Low Performance</v>
      </c>
      <c r="AE843">
        <v>1</v>
      </c>
      <c r="AF843">
        <v>80</v>
      </c>
      <c r="AG843">
        <v>1</v>
      </c>
      <c r="AH843">
        <v>10</v>
      </c>
      <c r="AI843">
        <v>3</v>
      </c>
      <c r="AJ843">
        <v>3</v>
      </c>
      <c r="AK843" t="str" cm="1">
        <f t="array" ref="AK843">_xlfn.IFS(AJ843&lt;=2,"Poor",AJ843&lt;=3,"Fair",AJ843&gt;3,"Good")</f>
        <v>Fair</v>
      </c>
      <c r="AL843">
        <v>10</v>
      </c>
      <c r="AM843">
        <v>3</v>
      </c>
      <c r="AN843">
        <v>1</v>
      </c>
      <c r="AO843">
        <v>4</v>
      </c>
    </row>
    <row r="844" spans="1:41" x14ac:dyDescent="0.2">
      <c r="A844">
        <v>1849677</v>
      </c>
      <c r="B844">
        <v>40</v>
      </c>
      <c r="C844" t="str" cm="1">
        <f t="array" ref="C844">_xlfn.IFS(B844&lt;=25,"15-25",B844&lt;=35,"26-35",B844&lt;=45,"36-45",B844&lt;=55,"46-55",B844&lt;=65,"56-65")</f>
        <v>36-45</v>
      </c>
      <c r="D844" t="s">
        <v>35</v>
      </c>
      <c r="E844" t="str">
        <f t="shared" si="26"/>
        <v>Current Employee</v>
      </c>
      <c r="F844" t="s">
        <v>44</v>
      </c>
      <c r="G844">
        <v>902</v>
      </c>
      <c r="H844" t="s">
        <v>45</v>
      </c>
      <c r="I844">
        <v>26</v>
      </c>
      <c r="J844">
        <v>2</v>
      </c>
      <c r="K844" t="s">
        <v>49</v>
      </c>
      <c r="L844">
        <v>1</v>
      </c>
      <c r="M844">
        <v>3</v>
      </c>
      <c r="N844" t="s">
        <v>39</v>
      </c>
      <c r="O844">
        <v>92</v>
      </c>
      <c r="P844">
        <v>2</v>
      </c>
      <c r="Q844">
        <v>2</v>
      </c>
      <c r="R844" t="s">
        <v>47</v>
      </c>
      <c r="S844">
        <v>4</v>
      </c>
      <c r="T844" t="str" cm="1">
        <f t="array" ref="T844">_xlfn.IFS(S844&lt;=2,"Poor",S844&lt;=3,"Fair",S844&gt;=4,"Good")</f>
        <v>Good</v>
      </c>
      <c r="U844" t="s">
        <v>48</v>
      </c>
      <c r="V844" s="1">
        <v>4422</v>
      </c>
      <c r="W844" t="str" cm="1">
        <f t="array" ref="W844">_xlfn.IFS(V844&lt;=5000,"Low Salary",V844&lt;=12000,"Good Salary",V844&gt;12000,"High Salary")</f>
        <v>Low Salary</v>
      </c>
      <c r="X844">
        <v>21203</v>
      </c>
      <c r="Y844">
        <v>3</v>
      </c>
      <c r="Z844" t="s">
        <v>42</v>
      </c>
      <c r="AA844" t="s">
        <v>43</v>
      </c>
      <c r="AB844">
        <v>13</v>
      </c>
      <c r="AC844">
        <v>3</v>
      </c>
      <c r="AD844" t="str">
        <f t="shared" si="27"/>
        <v>Low Performance</v>
      </c>
      <c r="AE844">
        <v>4</v>
      </c>
      <c r="AF844">
        <v>80</v>
      </c>
      <c r="AG844">
        <v>1</v>
      </c>
      <c r="AH844">
        <v>16</v>
      </c>
      <c r="AI844">
        <v>3</v>
      </c>
      <c r="AJ844">
        <v>1</v>
      </c>
      <c r="AK844" t="str" cm="1">
        <f t="array" ref="AK844">_xlfn.IFS(AJ844&lt;=2,"Poor",AJ844&lt;=3,"Fair",AJ844&gt;3,"Good")</f>
        <v>Poor</v>
      </c>
      <c r="AL844">
        <v>1</v>
      </c>
      <c r="AM844">
        <v>1</v>
      </c>
      <c r="AN844">
        <v>0</v>
      </c>
      <c r="AO844">
        <v>0</v>
      </c>
    </row>
    <row r="845" spans="1:41" x14ac:dyDescent="0.2">
      <c r="A845">
        <v>1209446</v>
      </c>
      <c r="B845">
        <v>35</v>
      </c>
      <c r="C845" t="str" cm="1">
        <f t="array" ref="C845">_xlfn.IFS(B845&lt;=25,"15-25",B845&lt;=35,"26-35",B845&lt;=45,"36-45",B845&lt;=55,"46-55",B845&lt;=65,"56-65")</f>
        <v>26-35</v>
      </c>
      <c r="D845" t="s">
        <v>35</v>
      </c>
      <c r="E845" t="str">
        <f t="shared" si="26"/>
        <v>Current Employee</v>
      </c>
      <c r="F845" t="s">
        <v>36</v>
      </c>
      <c r="G845">
        <v>819</v>
      </c>
      <c r="H845" t="s">
        <v>54</v>
      </c>
      <c r="I845">
        <v>2</v>
      </c>
      <c r="J845">
        <v>3</v>
      </c>
      <c r="K845" t="s">
        <v>38</v>
      </c>
      <c r="L845">
        <v>1</v>
      </c>
      <c r="M845">
        <v>3</v>
      </c>
      <c r="N845" t="s">
        <v>46</v>
      </c>
      <c r="O845">
        <v>44</v>
      </c>
      <c r="P845">
        <v>2</v>
      </c>
      <c r="Q845">
        <v>3</v>
      </c>
      <c r="R845" t="s">
        <v>51</v>
      </c>
      <c r="S845">
        <v>2</v>
      </c>
      <c r="T845" t="str" cm="1">
        <f t="array" ref="T845">_xlfn.IFS(S845&lt;=2,"Poor",S845&lt;=3,"Fair",S845&gt;=4,"Good")</f>
        <v>Poor</v>
      </c>
      <c r="U845" t="s">
        <v>50</v>
      </c>
      <c r="V845" s="1">
        <v>10274</v>
      </c>
      <c r="W845" t="str" cm="1">
        <f t="array" ref="W845">_xlfn.IFS(V845&lt;=5000,"Low Salary",V845&lt;=12000,"Good Salary",V845&gt;12000,"High Salary")</f>
        <v>Good Salary</v>
      </c>
      <c r="X845">
        <v>19588</v>
      </c>
      <c r="Y845">
        <v>2</v>
      </c>
      <c r="Z845" t="s">
        <v>42</v>
      </c>
      <c r="AA845" t="s">
        <v>35</v>
      </c>
      <c r="AB845">
        <v>18</v>
      </c>
      <c r="AC845">
        <v>3</v>
      </c>
      <c r="AD845" t="str">
        <f t="shared" si="27"/>
        <v>Low Performance</v>
      </c>
      <c r="AE845">
        <v>2</v>
      </c>
      <c r="AF845">
        <v>80</v>
      </c>
      <c r="AG845">
        <v>1</v>
      </c>
      <c r="AH845">
        <v>15</v>
      </c>
      <c r="AI845">
        <v>2</v>
      </c>
      <c r="AJ845">
        <v>4</v>
      </c>
      <c r="AK845" t="str" cm="1">
        <f t="array" ref="AK845">_xlfn.IFS(AJ845&lt;=2,"Poor",AJ845&lt;=3,"Fair",AJ845&gt;3,"Good")</f>
        <v>Good</v>
      </c>
      <c r="AL845">
        <v>7</v>
      </c>
      <c r="AM845">
        <v>7</v>
      </c>
      <c r="AN845">
        <v>6</v>
      </c>
      <c r="AO845">
        <v>4</v>
      </c>
    </row>
    <row r="846" spans="1:41" x14ac:dyDescent="0.2">
      <c r="A846">
        <v>1098841</v>
      </c>
      <c r="B846">
        <v>34</v>
      </c>
      <c r="C846" t="str" cm="1">
        <f t="array" ref="C846">_xlfn.IFS(B846&lt;=25,"15-25",B846&lt;=35,"26-35",B846&lt;=45,"36-45",B846&lt;=55,"46-55",B846&lt;=65,"56-65")</f>
        <v>26-35</v>
      </c>
      <c r="D846" t="s">
        <v>35</v>
      </c>
      <c r="E846" t="str">
        <f t="shared" si="26"/>
        <v>Current Employee</v>
      </c>
      <c r="F846" t="s">
        <v>44</v>
      </c>
      <c r="G846">
        <v>669</v>
      </c>
      <c r="H846" t="s">
        <v>45</v>
      </c>
      <c r="I846">
        <v>1</v>
      </c>
      <c r="J846">
        <v>3</v>
      </c>
      <c r="K846" t="s">
        <v>49</v>
      </c>
      <c r="L846">
        <v>1</v>
      </c>
      <c r="M846">
        <v>4</v>
      </c>
      <c r="N846" t="s">
        <v>46</v>
      </c>
      <c r="O846">
        <v>97</v>
      </c>
      <c r="P846">
        <v>2</v>
      </c>
      <c r="Q846">
        <v>2</v>
      </c>
      <c r="R846" t="s">
        <v>40</v>
      </c>
      <c r="S846">
        <v>1</v>
      </c>
      <c r="T846" t="str" cm="1">
        <f t="array" ref="T846">_xlfn.IFS(S846&lt;=2,"Poor",S846&lt;=3,"Fair",S846&gt;=4,"Good")</f>
        <v>Poor</v>
      </c>
      <c r="U846" t="s">
        <v>41</v>
      </c>
      <c r="V846" s="1">
        <v>5343</v>
      </c>
      <c r="W846" t="str" cm="1">
        <f t="array" ref="W846">_xlfn.IFS(V846&lt;=5000,"Low Salary",V846&lt;=12000,"Good Salary",V846&gt;12000,"High Salary")</f>
        <v>Good Salary</v>
      </c>
      <c r="X846">
        <v>25755</v>
      </c>
      <c r="Y846">
        <v>0</v>
      </c>
      <c r="Z846" t="s">
        <v>42</v>
      </c>
      <c r="AA846" t="s">
        <v>35</v>
      </c>
      <c r="AB846">
        <v>20</v>
      </c>
      <c r="AC846">
        <v>4</v>
      </c>
      <c r="AD846" t="str">
        <f t="shared" si="27"/>
        <v>High Performance</v>
      </c>
      <c r="AE846">
        <v>3</v>
      </c>
      <c r="AF846">
        <v>80</v>
      </c>
      <c r="AG846">
        <v>0</v>
      </c>
      <c r="AH846">
        <v>14</v>
      </c>
      <c r="AI846">
        <v>3</v>
      </c>
      <c r="AJ846">
        <v>3</v>
      </c>
      <c r="AK846" t="str" cm="1">
        <f t="array" ref="AK846">_xlfn.IFS(AJ846&lt;=2,"Poor",AJ846&lt;=3,"Fair",AJ846&gt;3,"Good")</f>
        <v>Fair</v>
      </c>
      <c r="AL846">
        <v>13</v>
      </c>
      <c r="AM846">
        <v>9</v>
      </c>
      <c r="AN846">
        <v>4</v>
      </c>
      <c r="AO846">
        <v>9</v>
      </c>
    </row>
    <row r="847" spans="1:41" x14ac:dyDescent="0.2">
      <c r="A847">
        <v>1871555</v>
      </c>
      <c r="B847">
        <v>35</v>
      </c>
      <c r="C847" t="str" cm="1">
        <f t="array" ref="C847">_xlfn.IFS(B847&lt;=25,"15-25",B847&lt;=35,"26-35",B847&lt;=45,"36-45",B847&lt;=55,"46-55",B847&lt;=65,"56-65")</f>
        <v>26-35</v>
      </c>
      <c r="D847" t="s">
        <v>35</v>
      </c>
      <c r="E847" t="str">
        <f t="shared" si="26"/>
        <v>Current Employee</v>
      </c>
      <c r="F847" t="s">
        <v>44</v>
      </c>
      <c r="G847">
        <v>636</v>
      </c>
      <c r="H847" t="s">
        <v>45</v>
      </c>
      <c r="I847">
        <v>4</v>
      </c>
      <c r="J847">
        <v>4</v>
      </c>
      <c r="K847" t="s">
        <v>47</v>
      </c>
      <c r="L847">
        <v>1</v>
      </c>
      <c r="M847">
        <v>4</v>
      </c>
      <c r="N847" t="s">
        <v>46</v>
      </c>
      <c r="O847">
        <v>47</v>
      </c>
      <c r="P847">
        <v>2</v>
      </c>
      <c r="Q847">
        <v>1</v>
      </c>
      <c r="R847" t="s">
        <v>40</v>
      </c>
      <c r="S847">
        <v>4</v>
      </c>
      <c r="T847" t="str" cm="1">
        <f t="array" ref="T847">_xlfn.IFS(S847&lt;=2,"Poor",S847&lt;=3,"Fair",S847&gt;=4,"Good")</f>
        <v>Good</v>
      </c>
      <c r="U847" t="s">
        <v>48</v>
      </c>
      <c r="V847" s="1">
        <v>2376</v>
      </c>
      <c r="W847" t="str" cm="1">
        <f t="array" ref="W847">_xlfn.IFS(V847&lt;=5000,"Low Salary",V847&lt;=12000,"Good Salary",V847&gt;12000,"High Salary")</f>
        <v>Low Salary</v>
      </c>
      <c r="X847">
        <v>26537</v>
      </c>
      <c r="Y847">
        <v>1</v>
      </c>
      <c r="Z847" t="s">
        <v>42</v>
      </c>
      <c r="AA847" t="s">
        <v>35</v>
      </c>
      <c r="AB847">
        <v>13</v>
      </c>
      <c r="AC847">
        <v>3</v>
      </c>
      <c r="AD847" t="str">
        <f t="shared" si="27"/>
        <v>Low Performance</v>
      </c>
      <c r="AE847">
        <v>2</v>
      </c>
      <c r="AF847">
        <v>80</v>
      </c>
      <c r="AG847">
        <v>1</v>
      </c>
      <c r="AH847">
        <v>2</v>
      </c>
      <c r="AI847">
        <v>2</v>
      </c>
      <c r="AJ847">
        <v>4</v>
      </c>
      <c r="AK847" t="str" cm="1">
        <f t="array" ref="AK847">_xlfn.IFS(AJ847&lt;=2,"Poor",AJ847&lt;=3,"Fair",AJ847&gt;3,"Good")</f>
        <v>Good</v>
      </c>
      <c r="AL847">
        <v>2</v>
      </c>
      <c r="AM847">
        <v>2</v>
      </c>
      <c r="AN847">
        <v>2</v>
      </c>
      <c r="AO847">
        <v>2</v>
      </c>
    </row>
    <row r="848" spans="1:41" x14ac:dyDescent="0.2">
      <c r="A848">
        <v>1405213</v>
      </c>
      <c r="B848">
        <v>43</v>
      </c>
      <c r="C848" t="str" cm="1">
        <f t="array" ref="C848">_xlfn.IFS(B848&lt;=25,"15-25",B848&lt;=35,"26-35",B848&lt;=45,"36-45",B848&lt;=55,"46-55",B848&lt;=65,"56-65")</f>
        <v>36-45</v>
      </c>
      <c r="D848" t="s">
        <v>43</v>
      </c>
      <c r="E848" t="str">
        <f t="shared" si="26"/>
        <v>Former Employee</v>
      </c>
      <c r="F848" t="s">
        <v>36</v>
      </c>
      <c r="G848">
        <v>1372</v>
      </c>
      <c r="H848" t="s">
        <v>37</v>
      </c>
      <c r="I848">
        <v>9</v>
      </c>
      <c r="J848">
        <v>3</v>
      </c>
      <c r="K848" t="s">
        <v>55</v>
      </c>
      <c r="L848">
        <v>1</v>
      </c>
      <c r="M848">
        <v>1</v>
      </c>
      <c r="N848" t="s">
        <v>39</v>
      </c>
      <c r="O848">
        <v>85</v>
      </c>
      <c r="P848">
        <v>1</v>
      </c>
      <c r="Q848">
        <v>2</v>
      </c>
      <c r="R848" t="s">
        <v>40</v>
      </c>
      <c r="S848">
        <v>3</v>
      </c>
      <c r="T848" t="str" cm="1">
        <f t="array" ref="T848">_xlfn.IFS(S848&lt;=2,"Poor",S848&lt;=3,"Fair",S848&gt;=4,"Good")</f>
        <v>Fair</v>
      </c>
      <c r="U848" t="s">
        <v>41</v>
      </c>
      <c r="V848" s="1">
        <v>5346</v>
      </c>
      <c r="W848" t="str" cm="1">
        <f t="array" ref="W848">_xlfn.IFS(V848&lt;=5000,"Low Salary",V848&lt;=12000,"Good Salary",V848&gt;12000,"High Salary")</f>
        <v>Good Salary</v>
      </c>
      <c r="X848">
        <v>9489</v>
      </c>
      <c r="Y848">
        <v>8</v>
      </c>
      <c r="Z848" t="s">
        <v>42</v>
      </c>
      <c r="AA848" t="s">
        <v>35</v>
      </c>
      <c r="AB848">
        <v>13</v>
      </c>
      <c r="AC848">
        <v>3</v>
      </c>
      <c r="AD848" t="str">
        <f t="shared" si="27"/>
        <v>Low Performance</v>
      </c>
      <c r="AE848">
        <v>2</v>
      </c>
      <c r="AF848">
        <v>80</v>
      </c>
      <c r="AG848">
        <v>0</v>
      </c>
      <c r="AH848">
        <v>7</v>
      </c>
      <c r="AI848">
        <v>2</v>
      </c>
      <c r="AJ848">
        <v>2</v>
      </c>
      <c r="AK848" t="str" cm="1">
        <f t="array" ref="AK848">_xlfn.IFS(AJ848&lt;=2,"Poor",AJ848&lt;=3,"Fair",AJ848&gt;3,"Good")</f>
        <v>Poor</v>
      </c>
      <c r="AL848">
        <v>4</v>
      </c>
      <c r="AM848">
        <v>3</v>
      </c>
      <c r="AN848">
        <v>1</v>
      </c>
      <c r="AO848">
        <v>3</v>
      </c>
    </row>
    <row r="849" spans="1:41" x14ac:dyDescent="0.2">
      <c r="A849">
        <v>1089994</v>
      </c>
      <c r="B849">
        <v>32</v>
      </c>
      <c r="C849" t="str" cm="1">
        <f t="array" ref="C849">_xlfn.IFS(B849&lt;=25,"15-25",B849&lt;=35,"26-35",B849&lt;=45,"36-45",B849&lt;=55,"46-55",B849&lt;=65,"56-65")</f>
        <v>26-35</v>
      </c>
      <c r="D849" t="s">
        <v>35</v>
      </c>
      <c r="E849" t="str">
        <f t="shared" si="26"/>
        <v>Current Employee</v>
      </c>
      <c r="F849" t="s">
        <v>52</v>
      </c>
      <c r="G849">
        <v>862</v>
      </c>
      <c r="H849" t="s">
        <v>37</v>
      </c>
      <c r="I849">
        <v>2</v>
      </c>
      <c r="J849">
        <v>1</v>
      </c>
      <c r="K849" t="s">
        <v>38</v>
      </c>
      <c r="L849">
        <v>1</v>
      </c>
      <c r="M849">
        <v>3</v>
      </c>
      <c r="N849" t="s">
        <v>39</v>
      </c>
      <c r="O849">
        <v>76</v>
      </c>
      <c r="P849">
        <v>3</v>
      </c>
      <c r="Q849">
        <v>1</v>
      </c>
      <c r="R849" t="s">
        <v>47</v>
      </c>
      <c r="S849">
        <v>1</v>
      </c>
      <c r="T849" t="str" cm="1">
        <f t="array" ref="T849">_xlfn.IFS(S849&lt;=2,"Poor",S849&lt;=3,"Fair",S849&gt;=4,"Good")</f>
        <v>Poor</v>
      </c>
      <c r="U849" t="s">
        <v>50</v>
      </c>
      <c r="V849" s="1">
        <v>2827</v>
      </c>
      <c r="W849" t="str" cm="1">
        <f t="array" ref="W849">_xlfn.IFS(V849&lt;=5000,"Low Salary",V849&lt;=12000,"Good Salary",V849&gt;12000,"High Salary")</f>
        <v>Low Salary</v>
      </c>
      <c r="X849">
        <v>14947</v>
      </c>
      <c r="Y849">
        <v>1</v>
      </c>
      <c r="Z849" t="s">
        <v>42</v>
      </c>
      <c r="AA849" t="s">
        <v>35</v>
      </c>
      <c r="AB849">
        <v>12</v>
      </c>
      <c r="AC849">
        <v>3</v>
      </c>
      <c r="AD849" t="str">
        <f t="shared" si="27"/>
        <v>Low Performance</v>
      </c>
      <c r="AE849">
        <v>3</v>
      </c>
      <c r="AF849">
        <v>80</v>
      </c>
      <c r="AG849">
        <v>3</v>
      </c>
      <c r="AH849">
        <v>1</v>
      </c>
      <c r="AI849">
        <v>3</v>
      </c>
      <c r="AJ849">
        <v>3</v>
      </c>
      <c r="AK849" t="str" cm="1">
        <f t="array" ref="AK849">_xlfn.IFS(AJ849&lt;=2,"Poor",AJ849&lt;=3,"Fair",AJ849&gt;3,"Good")</f>
        <v>Fair</v>
      </c>
      <c r="AL849">
        <v>1</v>
      </c>
      <c r="AM849">
        <v>0</v>
      </c>
      <c r="AN849">
        <v>0</v>
      </c>
      <c r="AO849">
        <v>0</v>
      </c>
    </row>
    <row r="850" spans="1:41" x14ac:dyDescent="0.2">
      <c r="A850">
        <v>1710657</v>
      </c>
      <c r="B850">
        <v>56</v>
      </c>
      <c r="C850" t="str" cm="1">
        <f t="array" ref="C850">_xlfn.IFS(B850&lt;=25,"15-25",B850&lt;=35,"26-35",B850&lt;=45,"36-45",B850&lt;=55,"46-55",B850&lt;=65,"56-65")</f>
        <v>56-65</v>
      </c>
      <c r="D850" t="s">
        <v>35</v>
      </c>
      <c r="E850" t="str">
        <f t="shared" si="26"/>
        <v>Current Employee</v>
      </c>
      <c r="F850" t="s">
        <v>36</v>
      </c>
      <c r="G850">
        <v>718</v>
      </c>
      <c r="H850" t="s">
        <v>54</v>
      </c>
      <c r="I850">
        <v>4</v>
      </c>
      <c r="J850">
        <v>4</v>
      </c>
      <c r="K850" t="s">
        <v>56</v>
      </c>
      <c r="L850">
        <v>1</v>
      </c>
      <c r="M850">
        <v>4</v>
      </c>
      <c r="N850" t="s">
        <v>39</v>
      </c>
      <c r="O850">
        <v>92</v>
      </c>
      <c r="P850">
        <v>3</v>
      </c>
      <c r="Q850">
        <v>5</v>
      </c>
      <c r="R850" t="s">
        <v>47</v>
      </c>
      <c r="S850">
        <v>1</v>
      </c>
      <c r="T850" t="str" cm="1">
        <f t="array" ref="T850">_xlfn.IFS(S850&lt;=2,"Poor",S850&lt;=3,"Fair",S850&gt;=4,"Good")</f>
        <v>Poor</v>
      </c>
      <c r="U850" t="s">
        <v>50</v>
      </c>
      <c r="V850" s="1">
        <v>19943</v>
      </c>
      <c r="W850" t="str" cm="1">
        <f t="array" ref="W850">_xlfn.IFS(V850&lt;=5000,"Low Salary",V850&lt;=12000,"Good Salary",V850&gt;12000,"High Salary")</f>
        <v>High Salary</v>
      </c>
      <c r="X850">
        <v>18575</v>
      </c>
      <c r="Y850">
        <v>4</v>
      </c>
      <c r="Z850" t="s">
        <v>42</v>
      </c>
      <c r="AA850" t="s">
        <v>35</v>
      </c>
      <c r="AB850">
        <v>13</v>
      </c>
      <c r="AC850">
        <v>3</v>
      </c>
      <c r="AD850" t="str">
        <f t="shared" si="27"/>
        <v>Low Performance</v>
      </c>
      <c r="AE850">
        <v>4</v>
      </c>
      <c r="AF850">
        <v>80</v>
      </c>
      <c r="AG850">
        <v>1</v>
      </c>
      <c r="AH850">
        <v>28</v>
      </c>
      <c r="AI850">
        <v>2</v>
      </c>
      <c r="AJ850">
        <v>3</v>
      </c>
      <c r="AK850" t="str" cm="1">
        <f t="array" ref="AK850">_xlfn.IFS(AJ850&lt;=2,"Poor",AJ850&lt;=3,"Fair",AJ850&gt;3,"Good")</f>
        <v>Fair</v>
      </c>
      <c r="AL850">
        <v>5</v>
      </c>
      <c r="AM850">
        <v>2</v>
      </c>
      <c r="AN850">
        <v>4</v>
      </c>
      <c r="AO850">
        <v>2</v>
      </c>
    </row>
    <row r="851" spans="1:41" x14ac:dyDescent="0.2">
      <c r="A851">
        <v>1511393</v>
      </c>
      <c r="B851">
        <v>29</v>
      </c>
      <c r="C851" t="str" cm="1">
        <f t="array" ref="C851">_xlfn.IFS(B851&lt;=25,"15-25",B851&lt;=35,"26-35",B851&lt;=45,"36-45",B851&lt;=55,"46-55",B851&lt;=65,"56-65")</f>
        <v>26-35</v>
      </c>
      <c r="D851" t="s">
        <v>35</v>
      </c>
      <c r="E851" t="str">
        <f t="shared" si="26"/>
        <v>Current Employee</v>
      </c>
      <c r="F851" t="s">
        <v>36</v>
      </c>
      <c r="G851">
        <v>1401</v>
      </c>
      <c r="H851" t="s">
        <v>45</v>
      </c>
      <c r="I851">
        <v>6</v>
      </c>
      <c r="J851">
        <v>1</v>
      </c>
      <c r="K851" t="s">
        <v>49</v>
      </c>
      <c r="L851">
        <v>1</v>
      </c>
      <c r="M851">
        <v>2</v>
      </c>
      <c r="N851" t="s">
        <v>39</v>
      </c>
      <c r="O851">
        <v>54</v>
      </c>
      <c r="P851">
        <v>3</v>
      </c>
      <c r="Q851">
        <v>1</v>
      </c>
      <c r="R851" t="s">
        <v>40</v>
      </c>
      <c r="S851">
        <v>4</v>
      </c>
      <c r="T851" t="str" cm="1">
        <f t="array" ref="T851">_xlfn.IFS(S851&lt;=2,"Poor",S851&lt;=3,"Fair",S851&gt;=4,"Good")</f>
        <v>Good</v>
      </c>
      <c r="U851" t="s">
        <v>48</v>
      </c>
      <c r="V851" s="1">
        <v>3131</v>
      </c>
      <c r="W851" t="str" cm="1">
        <f t="array" ref="W851">_xlfn.IFS(V851&lt;=5000,"Low Salary",V851&lt;=12000,"Good Salary",V851&gt;12000,"High Salary")</f>
        <v>Low Salary</v>
      </c>
      <c r="X851">
        <v>26342</v>
      </c>
      <c r="Y851">
        <v>1</v>
      </c>
      <c r="Z851" t="s">
        <v>42</v>
      </c>
      <c r="AA851" t="s">
        <v>35</v>
      </c>
      <c r="AB851">
        <v>13</v>
      </c>
      <c r="AC851">
        <v>3</v>
      </c>
      <c r="AD851" t="str">
        <f t="shared" si="27"/>
        <v>Low Performance</v>
      </c>
      <c r="AE851">
        <v>1</v>
      </c>
      <c r="AF851">
        <v>80</v>
      </c>
      <c r="AG851">
        <v>1</v>
      </c>
      <c r="AH851">
        <v>10</v>
      </c>
      <c r="AI851">
        <v>5</v>
      </c>
      <c r="AJ851">
        <v>3</v>
      </c>
      <c r="AK851" t="str" cm="1">
        <f t="array" ref="AK851">_xlfn.IFS(AJ851&lt;=2,"Poor",AJ851&lt;=3,"Fair",AJ851&gt;3,"Good")</f>
        <v>Fair</v>
      </c>
      <c r="AL851">
        <v>10</v>
      </c>
      <c r="AM851">
        <v>8</v>
      </c>
      <c r="AN851">
        <v>0</v>
      </c>
      <c r="AO851">
        <v>8</v>
      </c>
    </row>
    <row r="852" spans="1:41" x14ac:dyDescent="0.2">
      <c r="A852">
        <v>1542698</v>
      </c>
      <c r="B852">
        <v>19</v>
      </c>
      <c r="C852" t="str" cm="1">
        <f t="array" ref="C852">_xlfn.IFS(B852&lt;=25,"15-25",B852&lt;=35,"26-35",B852&lt;=45,"36-45",B852&lt;=55,"46-55",B852&lt;=65,"56-65")</f>
        <v>15-25</v>
      </c>
      <c r="D852" t="s">
        <v>35</v>
      </c>
      <c r="E852" t="str">
        <f t="shared" si="26"/>
        <v>Current Employee</v>
      </c>
      <c r="F852" t="s">
        <v>36</v>
      </c>
      <c r="G852">
        <v>645</v>
      </c>
      <c r="H852" t="s">
        <v>45</v>
      </c>
      <c r="I852">
        <v>9</v>
      </c>
      <c r="J852">
        <v>2</v>
      </c>
      <c r="K852" t="s">
        <v>38</v>
      </c>
      <c r="L852">
        <v>1</v>
      </c>
      <c r="M852">
        <v>3</v>
      </c>
      <c r="N852" t="s">
        <v>46</v>
      </c>
      <c r="O852">
        <v>54</v>
      </c>
      <c r="P852">
        <v>3</v>
      </c>
      <c r="Q852">
        <v>1</v>
      </c>
      <c r="R852" t="s">
        <v>47</v>
      </c>
      <c r="S852">
        <v>1</v>
      </c>
      <c r="T852" t="str" cm="1">
        <f t="array" ref="T852">_xlfn.IFS(S852&lt;=2,"Poor",S852&lt;=3,"Fair",S852&gt;=4,"Good")</f>
        <v>Poor</v>
      </c>
      <c r="U852" t="s">
        <v>41</v>
      </c>
      <c r="V852" s="1">
        <v>2552</v>
      </c>
      <c r="W852" t="str" cm="1">
        <f t="array" ref="W852">_xlfn.IFS(V852&lt;=5000,"Low Salary",V852&lt;=12000,"Good Salary",V852&gt;12000,"High Salary")</f>
        <v>Low Salary</v>
      </c>
      <c r="X852">
        <v>7172</v>
      </c>
      <c r="Y852">
        <v>1</v>
      </c>
      <c r="Z852" t="s">
        <v>42</v>
      </c>
      <c r="AA852" t="s">
        <v>35</v>
      </c>
      <c r="AB852">
        <v>25</v>
      </c>
      <c r="AC852">
        <v>4</v>
      </c>
      <c r="AD852" t="str">
        <f t="shared" si="27"/>
        <v>High Performance</v>
      </c>
      <c r="AE852">
        <v>3</v>
      </c>
      <c r="AF852">
        <v>80</v>
      </c>
      <c r="AG852">
        <v>0</v>
      </c>
      <c r="AH852">
        <v>1</v>
      </c>
      <c r="AI852">
        <v>4</v>
      </c>
      <c r="AJ852">
        <v>3</v>
      </c>
      <c r="AK852" t="str" cm="1">
        <f t="array" ref="AK852">_xlfn.IFS(AJ852&lt;=2,"Poor",AJ852&lt;=3,"Fair",AJ852&gt;3,"Good")</f>
        <v>Fair</v>
      </c>
      <c r="AL852">
        <v>1</v>
      </c>
      <c r="AM852">
        <v>1</v>
      </c>
      <c r="AN852">
        <v>0</v>
      </c>
      <c r="AO852">
        <v>0</v>
      </c>
    </row>
    <row r="853" spans="1:41" x14ac:dyDescent="0.2">
      <c r="A853">
        <v>1764148</v>
      </c>
      <c r="B853">
        <v>45</v>
      </c>
      <c r="C853" t="str" cm="1">
        <f t="array" ref="C853">_xlfn.IFS(B853&lt;=25,"15-25",B853&lt;=35,"26-35",B853&lt;=45,"36-45",B853&lt;=55,"46-55",B853&lt;=65,"56-65")</f>
        <v>36-45</v>
      </c>
      <c r="D853" t="s">
        <v>35</v>
      </c>
      <c r="E853" t="str">
        <f t="shared" si="26"/>
        <v>Current Employee</v>
      </c>
      <c r="F853" t="s">
        <v>36</v>
      </c>
      <c r="G853">
        <v>1457</v>
      </c>
      <c r="H853" t="s">
        <v>45</v>
      </c>
      <c r="I853">
        <v>7</v>
      </c>
      <c r="J853">
        <v>3</v>
      </c>
      <c r="K853" t="s">
        <v>49</v>
      </c>
      <c r="L853">
        <v>1</v>
      </c>
      <c r="M853">
        <v>1</v>
      </c>
      <c r="N853" t="s">
        <v>39</v>
      </c>
      <c r="O853">
        <v>83</v>
      </c>
      <c r="P853">
        <v>3</v>
      </c>
      <c r="Q853">
        <v>1</v>
      </c>
      <c r="R853" t="s">
        <v>47</v>
      </c>
      <c r="S853">
        <v>3</v>
      </c>
      <c r="T853" t="str" cm="1">
        <f t="array" ref="T853">_xlfn.IFS(S853&lt;=2,"Poor",S853&lt;=3,"Fair",S853&gt;=4,"Good")</f>
        <v>Fair</v>
      </c>
      <c r="U853" t="s">
        <v>48</v>
      </c>
      <c r="V853" s="1">
        <v>4477</v>
      </c>
      <c r="W853" t="str" cm="1">
        <f t="array" ref="W853">_xlfn.IFS(V853&lt;=5000,"Low Salary",V853&lt;=12000,"Good Salary",V853&gt;12000,"High Salary")</f>
        <v>Low Salary</v>
      </c>
      <c r="X853">
        <v>20100</v>
      </c>
      <c r="Y853">
        <v>4</v>
      </c>
      <c r="Z853" t="s">
        <v>42</v>
      </c>
      <c r="AA853" t="s">
        <v>43</v>
      </c>
      <c r="AB853">
        <v>19</v>
      </c>
      <c r="AC853">
        <v>3</v>
      </c>
      <c r="AD853" t="str">
        <f t="shared" si="27"/>
        <v>Low Performance</v>
      </c>
      <c r="AE853">
        <v>3</v>
      </c>
      <c r="AF853">
        <v>80</v>
      </c>
      <c r="AG853">
        <v>1</v>
      </c>
      <c r="AH853">
        <v>7</v>
      </c>
      <c r="AI853">
        <v>2</v>
      </c>
      <c r="AJ853">
        <v>2</v>
      </c>
      <c r="AK853" t="str" cm="1">
        <f t="array" ref="AK853">_xlfn.IFS(AJ853&lt;=2,"Poor",AJ853&lt;=3,"Fair",AJ853&gt;3,"Good")</f>
        <v>Poor</v>
      </c>
      <c r="AL853">
        <v>3</v>
      </c>
      <c r="AM853">
        <v>2</v>
      </c>
      <c r="AN853">
        <v>0</v>
      </c>
      <c r="AO853">
        <v>2</v>
      </c>
    </row>
    <row r="854" spans="1:41" x14ac:dyDescent="0.2">
      <c r="A854">
        <v>1334983</v>
      </c>
      <c r="B854">
        <v>37</v>
      </c>
      <c r="C854" t="str" cm="1">
        <f t="array" ref="C854">_xlfn.IFS(B854&lt;=25,"15-25",B854&lt;=35,"26-35",B854&lt;=45,"36-45",B854&lt;=55,"46-55",B854&lt;=65,"56-65")</f>
        <v>36-45</v>
      </c>
      <c r="D854" t="s">
        <v>35</v>
      </c>
      <c r="E854" t="str">
        <f t="shared" si="26"/>
        <v>Current Employee</v>
      </c>
      <c r="F854" t="s">
        <v>36</v>
      </c>
      <c r="G854">
        <v>977</v>
      </c>
      <c r="H854" t="s">
        <v>54</v>
      </c>
      <c r="I854">
        <v>1</v>
      </c>
      <c r="J854">
        <v>3</v>
      </c>
      <c r="K854" t="s">
        <v>38</v>
      </c>
      <c r="L854">
        <v>1</v>
      </c>
      <c r="M854">
        <v>4</v>
      </c>
      <c r="N854" t="s">
        <v>39</v>
      </c>
      <c r="O854">
        <v>56</v>
      </c>
      <c r="P854">
        <v>2</v>
      </c>
      <c r="Q854">
        <v>2</v>
      </c>
      <c r="R854" t="s">
        <v>51</v>
      </c>
      <c r="S854">
        <v>4</v>
      </c>
      <c r="T854" t="str" cm="1">
        <f t="array" ref="T854">_xlfn.IFS(S854&lt;=2,"Poor",S854&lt;=3,"Fair",S854&gt;=4,"Good")</f>
        <v>Good</v>
      </c>
      <c r="U854" t="s">
        <v>48</v>
      </c>
      <c r="V854" s="1">
        <v>6474</v>
      </c>
      <c r="W854" t="str" cm="1">
        <f t="array" ref="W854">_xlfn.IFS(V854&lt;=5000,"Low Salary",V854&lt;=12000,"Good Salary",V854&gt;12000,"High Salary")</f>
        <v>Good Salary</v>
      </c>
      <c r="X854">
        <v>9961</v>
      </c>
      <c r="Y854">
        <v>1</v>
      </c>
      <c r="Z854" t="s">
        <v>42</v>
      </c>
      <c r="AA854" t="s">
        <v>35</v>
      </c>
      <c r="AB854">
        <v>13</v>
      </c>
      <c r="AC854">
        <v>3</v>
      </c>
      <c r="AD854" t="str">
        <f t="shared" si="27"/>
        <v>Low Performance</v>
      </c>
      <c r="AE854">
        <v>2</v>
      </c>
      <c r="AF854">
        <v>80</v>
      </c>
      <c r="AG854">
        <v>1</v>
      </c>
      <c r="AH854">
        <v>14</v>
      </c>
      <c r="AI854">
        <v>2</v>
      </c>
      <c r="AJ854">
        <v>2</v>
      </c>
      <c r="AK854" t="str" cm="1">
        <f t="array" ref="AK854">_xlfn.IFS(AJ854&lt;=2,"Poor",AJ854&lt;=3,"Fair",AJ854&gt;3,"Good")</f>
        <v>Poor</v>
      </c>
      <c r="AL854">
        <v>14</v>
      </c>
      <c r="AM854">
        <v>8</v>
      </c>
      <c r="AN854">
        <v>3</v>
      </c>
      <c r="AO854">
        <v>11</v>
      </c>
    </row>
    <row r="855" spans="1:41" x14ac:dyDescent="0.2">
      <c r="A855">
        <v>1713700</v>
      </c>
      <c r="B855">
        <v>20</v>
      </c>
      <c r="C855" t="str" cm="1">
        <f t="array" ref="C855">_xlfn.IFS(B855&lt;=25,"15-25",B855&lt;=35,"26-35",B855&lt;=45,"36-45",B855&lt;=55,"46-55",B855&lt;=65,"56-65")</f>
        <v>15-25</v>
      </c>
      <c r="D855" t="s">
        <v>43</v>
      </c>
      <c r="E855" t="str">
        <f t="shared" si="26"/>
        <v>Former Employee</v>
      </c>
      <c r="F855" t="s">
        <v>36</v>
      </c>
      <c r="G855">
        <v>805</v>
      </c>
      <c r="H855" t="s">
        <v>45</v>
      </c>
      <c r="I855">
        <v>3</v>
      </c>
      <c r="J855">
        <v>3</v>
      </c>
      <c r="K855" t="s">
        <v>38</v>
      </c>
      <c r="L855">
        <v>1</v>
      </c>
      <c r="M855">
        <v>1</v>
      </c>
      <c r="N855" t="s">
        <v>46</v>
      </c>
      <c r="O855">
        <v>87</v>
      </c>
      <c r="P855">
        <v>2</v>
      </c>
      <c r="Q855">
        <v>1</v>
      </c>
      <c r="R855" t="s">
        <v>40</v>
      </c>
      <c r="S855">
        <v>3</v>
      </c>
      <c r="T855" t="str" cm="1">
        <f t="array" ref="T855">_xlfn.IFS(S855&lt;=2,"Poor",S855&lt;=3,"Fair",S855&gt;=4,"Good")</f>
        <v>Fair</v>
      </c>
      <c r="U855" t="s">
        <v>41</v>
      </c>
      <c r="V855" s="1">
        <v>3033</v>
      </c>
      <c r="W855" t="str" cm="1">
        <f t="array" ref="W855">_xlfn.IFS(V855&lt;=5000,"Low Salary",V855&lt;=12000,"Good Salary",V855&gt;12000,"High Salary")</f>
        <v>Low Salary</v>
      </c>
      <c r="X855">
        <v>12828</v>
      </c>
      <c r="Y855">
        <v>1</v>
      </c>
      <c r="Z855" t="s">
        <v>42</v>
      </c>
      <c r="AA855" t="s">
        <v>35</v>
      </c>
      <c r="AB855">
        <v>12</v>
      </c>
      <c r="AC855">
        <v>3</v>
      </c>
      <c r="AD855" t="str">
        <f t="shared" si="27"/>
        <v>Low Performance</v>
      </c>
      <c r="AE855">
        <v>1</v>
      </c>
      <c r="AF855">
        <v>80</v>
      </c>
      <c r="AG855">
        <v>0</v>
      </c>
      <c r="AH855">
        <v>2</v>
      </c>
      <c r="AI855">
        <v>2</v>
      </c>
      <c r="AJ855">
        <v>2</v>
      </c>
      <c r="AK855" t="str" cm="1">
        <f t="array" ref="AK855">_xlfn.IFS(AJ855&lt;=2,"Poor",AJ855&lt;=3,"Fair",AJ855&gt;3,"Good")</f>
        <v>Poor</v>
      </c>
      <c r="AL855">
        <v>2</v>
      </c>
      <c r="AM855">
        <v>2</v>
      </c>
      <c r="AN855">
        <v>1</v>
      </c>
      <c r="AO855">
        <v>2</v>
      </c>
    </row>
    <row r="856" spans="1:41" x14ac:dyDescent="0.2">
      <c r="A856">
        <v>1476340</v>
      </c>
      <c r="B856">
        <v>44</v>
      </c>
      <c r="C856" t="str" cm="1">
        <f t="array" ref="C856">_xlfn.IFS(B856&lt;=25,"15-25",B856&lt;=35,"26-35",B856&lt;=45,"36-45",B856&lt;=55,"46-55",B856&lt;=65,"56-65")</f>
        <v>36-45</v>
      </c>
      <c r="D856" t="s">
        <v>43</v>
      </c>
      <c r="E856" t="str">
        <f t="shared" si="26"/>
        <v>Former Employee</v>
      </c>
      <c r="F856" t="s">
        <v>36</v>
      </c>
      <c r="G856">
        <v>1097</v>
      </c>
      <c r="H856" t="s">
        <v>45</v>
      </c>
      <c r="I856">
        <v>10</v>
      </c>
      <c r="J856">
        <v>4</v>
      </c>
      <c r="K856" t="s">
        <v>38</v>
      </c>
      <c r="L856">
        <v>1</v>
      </c>
      <c r="M856">
        <v>3</v>
      </c>
      <c r="N856" t="s">
        <v>46</v>
      </c>
      <c r="O856">
        <v>96</v>
      </c>
      <c r="P856">
        <v>3</v>
      </c>
      <c r="Q856">
        <v>1</v>
      </c>
      <c r="R856" t="s">
        <v>47</v>
      </c>
      <c r="S856">
        <v>3</v>
      </c>
      <c r="T856" t="str" cm="1">
        <f t="array" ref="T856">_xlfn.IFS(S856&lt;=2,"Poor",S856&lt;=3,"Fair",S856&gt;=4,"Good")</f>
        <v>Fair</v>
      </c>
      <c r="U856" t="s">
        <v>41</v>
      </c>
      <c r="V856" s="1">
        <v>2936</v>
      </c>
      <c r="W856" t="str" cm="1">
        <f t="array" ref="W856">_xlfn.IFS(V856&lt;=5000,"Low Salary",V856&lt;=12000,"Good Salary",V856&gt;12000,"High Salary")</f>
        <v>Low Salary</v>
      </c>
      <c r="X856">
        <v>10826</v>
      </c>
      <c r="Y856">
        <v>1</v>
      </c>
      <c r="Z856" t="s">
        <v>42</v>
      </c>
      <c r="AA856" t="s">
        <v>43</v>
      </c>
      <c r="AB856">
        <v>11</v>
      </c>
      <c r="AC856">
        <v>3</v>
      </c>
      <c r="AD856" t="str">
        <f t="shared" si="27"/>
        <v>Low Performance</v>
      </c>
      <c r="AE856">
        <v>3</v>
      </c>
      <c r="AF856">
        <v>80</v>
      </c>
      <c r="AG856">
        <v>0</v>
      </c>
      <c r="AH856">
        <v>6</v>
      </c>
      <c r="AI856">
        <v>4</v>
      </c>
      <c r="AJ856">
        <v>3</v>
      </c>
      <c r="AK856" t="str" cm="1">
        <f t="array" ref="AK856">_xlfn.IFS(AJ856&lt;=2,"Poor",AJ856&lt;=3,"Fair",AJ856&gt;3,"Good")</f>
        <v>Fair</v>
      </c>
      <c r="AL856">
        <v>6</v>
      </c>
      <c r="AM856">
        <v>4</v>
      </c>
      <c r="AN856">
        <v>0</v>
      </c>
      <c r="AO856">
        <v>2</v>
      </c>
    </row>
    <row r="857" spans="1:41" x14ac:dyDescent="0.2">
      <c r="A857">
        <v>1795477</v>
      </c>
      <c r="B857">
        <v>53</v>
      </c>
      <c r="C857" t="str" cm="1">
        <f t="array" ref="C857">_xlfn.IFS(B857&lt;=25,"15-25",B857&lt;=35,"26-35",B857&lt;=45,"36-45",B857&lt;=55,"46-55",B857&lt;=65,"56-65")</f>
        <v>46-55</v>
      </c>
      <c r="D857" t="s">
        <v>35</v>
      </c>
      <c r="E857" t="str">
        <f t="shared" si="26"/>
        <v>Current Employee</v>
      </c>
      <c r="F857" t="s">
        <v>36</v>
      </c>
      <c r="G857">
        <v>1223</v>
      </c>
      <c r="H857" t="s">
        <v>54</v>
      </c>
      <c r="I857">
        <v>7</v>
      </c>
      <c r="J857">
        <v>2</v>
      </c>
      <c r="K857" t="s">
        <v>49</v>
      </c>
      <c r="L857">
        <v>1</v>
      </c>
      <c r="M857">
        <v>4</v>
      </c>
      <c r="N857" t="s">
        <v>39</v>
      </c>
      <c r="O857">
        <v>50</v>
      </c>
      <c r="P857">
        <v>3</v>
      </c>
      <c r="Q857">
        <v>5</v>
      </c>
      <c r="R857" t="s">
        <v>47</v>
      </c>
      <c r="S857">
        <v>3</v>
      </c>
      <c r="T857" t="str" cm="1">
        <f t="array" ref="T857">_xlfn.IFS(S857&lt;=2,"Poor",S857&lt;=3,"Fair",S857&gt;=4,"Good")</f>
        <v>Fair</v>
      </c>
      <c r="U857" t="s">
        <v>50</v>
      </c>
      <c r="V857" s="1">
        <v>18606</v>
      </c>
      <c r="W857" t="str" cm="1">
        <f t="array" ref="W857">_xlfn.IFS(V857&lt;=5000,"Low Salary",V857&lt;=12000,"Good Salary",V857&gt;12000,"High Salary")</f>
        <v>High Salary</v>
      </c>
      <c r="X857">
        <v>18640</v>
      </c>
      <c r="Y857">
        <v>3</v>
      </c>
      <c r="Z857" t="s">
        <v>42</v>
      </c>
      <c r="AA857" t="s">
        <v>35</v>
      </c>
      <c r="AB857">
        <v>18</v>
      </c>
      <c r="AC857">
        <v>3</v>
      </c>
      <c r="AD857" t="str">
        <f t="shared" si="27"/>
        <v>Low Performance</v>
      </c>
      <c r="AE857">
        <v>2</v>
      </c>
      <c r="AF857">
        <v>80</v>
      </c>
      <c r="AG857">
        <v>1</v>
      </c>
      <c r="AH857">
        <v>26</v>
      </c>
      <c r="AI857">
        <v>6</v>
      </c>
      <c r="AJ857">
        <v>3</v>
      </c>
      <c r="AK857" t="str" cm="1">
        <f t="array" ref="AK857">_xlfn.IFS(AJ857&lt;=2,"Poor",AJ857&lt;=3,"Fair",AJ857&gt;3,"Good")</f>
        <v>Fair</v>
      </c>
      <c r="AL857">
        <v>7</v>
      </c>
      <c r="AM857">
        <v>7</v>
      </c>
      <c r="AN857">
        <v>4</v>
      </c>
      <c r="AO857">
        <v>7</v>
      </c>
    </row>
    <row r="858" spans="1:41" x14ac:dyDescent="0.2">
      <c r="A858">
        <v>1500784</v>
      </c>
      <c r="B858">
        <v>29</v>
      </c>
      <c r="C858" t="str" cm="1">
        <f t="array" ref="C858">_xlfn.IFS(B858&lt;=25,"15-25",B858&lt;=35,"26-35",B858&lt;=45,"36-45",B858&lt;=55,"46-55",B858&lt;=65,"56-65")</f>
        <v>26-35</v>
      </c>
      <c r="D858" t="s">
        <v>43</v>
      </c>
      <c r="E858" t="str">
        <f t="shared" si="26"/>
        <v>Former Employee</v>
      </c>
      <c r="F858" t="s">
        <v>36</v>
      </c>
      <c r="G858">
        <v>942</v>
      </c>
      <c r="H858" t="s">
        <v>45</v>
      </c>
      <c r="I858">
        <v>15</v>
      </c>
      <c r="J858">
        <v>1</v>
      </c>
      <c r="K858" t="s">
        <v>38</v>
      </c>
      <c r="L858">
        <v>1</v>
      </c>
      <c r="M858">
        <v>2</v>
      </c>
      <c r="N858" t="s">
        <v>39</v>
      </c>
      <c r="O858">
        <v>69</v>
      </c>
      <c r="P858">
        <v>1</v>
      </c>
      <c r="Q858">
        <v>1</v>
      </c>
      <c r="R858" t="s">
        <v>47</v>
      </c>
      <c r="S858">
        <v>4</v>
      </c>
      <c r="T858" t="str" cm="1">
        <f t="array" ref="T858">_xlfn.IFS(S858&lt;=2,"Poor",S858&lt;=3,"Fair",S858&gt;=4,"Good")</f>
        <v>Good</v>
      </c>
      <c r="U858" t="s">
        <v>48</v>
      </c>
      <c r="V858" s="1">
        <v>2168</v>
      </c>
      <c r="W858" t="str" cm="1">
        <f t="array" ref="W858">_xlfn.IFS(V858&lt;=5000,"Low Salary",V858&lt;=12000,"Good Salary",V858&gt;12000,"High Salary")</f>
        <v>Low Salary</v>
      </c>
      <c r="X858">
        <v>26933</v>
      </c>
      <c r="Y858">
        <v>0</v>
      </c>
      <c r="Z858" t="s">
        <v>42</v>
      </c>
      <c r="AA858" t="s">
        <v>43</v>
      </c>
      <c r="AB858">
        <v>18</v>
      </c>
      <c r="AC858">
        <v>3</v>
      </c>
      <c r="AD858" t="str">
        <f t="shared" si="27"/>
        <v>Low Performance</v>
      </c>
      <c r="AE858">
        <v>1</v>
      </c>
      <c r="AF858">
        <v>80</v>
      </c>
      <c r="AG858">
        <v>1</v>
      </c>
      <c r="AH858">
        <v>6</v>
      </c>
      <c r="AI858">
        <v>2</v>
      </c>
      <c r="AJ858">
        <v>2</v>
      </c>
      <c r="AK858" t="str" cm="1">
        <f t="array" ref="AK858">_xlfn.IFS(AJ858&lt;=2,"Poor",AJ858&lt;=3,"Fair",AJ858&gt;3,"Good")</f>
        <v>Poor</v>
      </c>
      <c r="AL858">
        <v>5</v>
      </c>
      <c r="AM858">
        <v>4</v>
      </c>
      <c r="AN858">
        <v>1</v>
      </c>
      <c r="AO858">
        <v>3</v>
      </c>
    </row>
    <row r="859" spans="1:41" x14ac:dyDescent="0.2">
      <c r="A859">
        <v>1455048</v>
      </c>
      <c r="B859">
        <v>22</v>
      </c>
      <c r="C859" t="str" cm="1">
        <f t="array" ref="C859">_xlfn.IFS(B859&lt;=25,"15-25",B859&lt;=35,"26-35",B859&lt;=45,"36-45",B859&lt;=55,"46-55",B859&lt;=65,"56-65")</f>
        <v>15-25</v>
      </c>
      <c r="D859" t="s">
        <v>43</v>
      </c>
      <c r="E859" t="str">
        <f t="shared" si="26"/>
        <v>Former Employee</v>
      </c>
      <c r="F859" t="s">
        <v>44</v>
      </c>
      <c r="G859">
        <v>1256</v>
      </c>
      <c r="H859" t="s">
        <v>45</v>
      </c>
      <c r="I859">
        <v>3</v>
      </c>
      <c r="J859">
        <v>4</v>
      </c>
      <c r="K859" t="s">
        <v>38</v>
      </c>
      <c r="L859">
        <v>1</v>
      </c>
      <c r="M859">
        <v>3</v>
      </c>
      <c r="N859" t="s">
        <v>46</v>
      </c>
      <c r="O859">
        <v>48</v>
      </c>
      <c r="P859">
        <v>2</v>
      </c>
      <c r="Q859">
        <v>1</v>
      </c>
      <c r="R859" t="s">
        <v>47</v>
      </c>
      <c r="S859">
        <v>4</v>
      </c>
      <c r="T859" t="str" cm="1">
        <f t="array" ref="T859">_xlfn.IFS(S859&lt;=2,"Poor",S859&lt;=3,"Fair",S859&gt;=4,"Good")</f>
        <v>Good</v>
      </c>
      <c r="U859" t="s">
        <v>48</v>
      </c>
      <c r="V859" s="1">
        <v>2853</v>
      </c>
      <c r="W859" t="str" cm="1">
        <f t="array" ref="W859">_xlfn.IFS(V859&lt;=5000,"Low Salary",V859&lt;=12000,"Good Salary",V859&gt;12000,"High Salary")</f>
        <v>Low Salary</v>
      </c>
      <c r="X859">
        <v>4223</v>
      </c>
      <c r="Y859">
        <v>0</v>
      </c>
      <c r="Z859" t="s">
        <v>42</v>
      </c>
      <c r="AA859" t="s">
        <v>43</v>
      </c>
      <c r="AB859">
        <v>11</v>
      </c>
      <c r="AC859">
        <v>3</v>
      </c>
      <c r="AD859" t="str">
        <f t="shared" si="27"/>
        <v>Low Performance</v>
      </c>
      <c r="AE859">
        <v>2</v>
      </c>
      <c r="AF859">
        <v>80</v>
      </c>
      <c r="AG859">
        <v>1</v>
      </c>
      <c r="AH859">
        <v>1</v>
      </c>
      <c r="AI859">
        <v>5</v>
      </c>
      <c r="AJ859">
        <v>3</v>
      </c>
      <c r="AK859" t="str" cm="1">
        <f t="array" ref="AK859">_xlfn.IFS(AJ859&lt;=2,"Poor",AJ859&lt;=3,"Fair",AJ859&gt;3,"Good")</f>
        <v>Fair</v>
      </c>
      <c r="AL859">
        <v>0</v>
      </c>
      <c r="AM859">
        <v>0</v>
      </c>
      <c r="AN859">
        <v>0</v>
      </c>
      <c r="AO859">
        <v>0</v>
      </c>
    </row>
    <row r="860" spans="1:41" x14ac:dyDescent="0.2">
      <c r="A860">
        <v>1123335</v>
      </c>
      <c r="B860">
        <v>46</v>
      </c>
      <c r="C860" t="str" cm="1">
        <f t="array" ref="C860">_xlfn.IFS(B860&lt;=25,"15-25",B860&lt;=35,"26-35",B860&lt;=45,"36-45",B860&lt;=55,"46-55",B860&lt;=65,"56-65")</f>
        <v>46-55</v>
      </c>
      <c r="D860" t="s">
        <v>35</v>
      </c>
      <c r="E860" t="str">
        <f t="shared" si="26"/>
        <v>Current Employee</v>
      </c>
      <c r="F860" t="s">
        <v>36</v>
      </c>
      <c r="G860">
        <v>1402</v>
      </c>
      <c r="H860" t="s">
        <v>37</v>
      </c>
      <c r="I860">
        <v>2</v>
      </c>
      <c r="J860">
        <v>3</v>
      </c>
      <c r="K860" t="s">
        <v>55</v>
      </c>
      <c r="L860">
        <v>1</v>
      </c>
      <c r="M860">
        <v>3</v>
      </c>
      <c r="N860" t="s">
        <v>39</v>
      </c>
      <c r="O860">
        <v>69</v>
      </c>
      <c r="P860">
        <v>3</v>
      </c>
      <c r="Q860">
        <v>4</v>
      </c>
      <c r="R860" t="s">
        <v>53</v>
      </c>
      <c r="S860">
        <v>1</v>
      </c>
      <c r="T860" t="str" cm="1">
        <f t="array" ref="T860">_xlfn.IFS(S860&lt;=2,"Poor",S860&lt;=3,"Fair",S860&gt;=4,"Good")</f>
        <v>Poor</v>
      </c>
      <c r="U860" t="s">
        <v>48</v>
      </c>
      <c r="V860" s="1">
        <v>17048</v>
      </c>
      <c r="W860" t="str" cm="1">
        <f t="array" ref="W860">_xlfn.IFS(V860&lt;=5000,"Low Salary",V860&lt;=12000,"Good Salary",V860&gt;12000,"High Salary")</f>
        <v>High Salary</v>
      </c>
      <c r="X860">
        <v>24097</v>
      </c>
      <c r="Y860">
        <v>8</v>
      </c>
      <c r="Z860" t="s">
        <v>42</v>
      </c>
      <c r="AA860" t="s">
        <v>35</v>
      </c>
      <c r="AB860">
        <v>23</v>
      </c>
      <c r="AC860">
        <v>4</v>
      </c>
      <c r="AD860" t="str">
        <f t="shared" si="27"/>
        <v>High Performance</v>
      </c>
      <c r="AE860">
        <v>1</v>
      </c>
      <c r="AF860">
        <v>80</v>
      </c>
      <c r="AG860">
        <v>0</v>
      </c>
      <c r="AH860">
        <v>28</v>
      </c>
      <c r="AI860">
        <v>2</v>
      </c>
      <c r="AJ860">
        <v>3</v>
      </c>
      <c r="AK860" t="str" cm="1">
        <f t="array" ref="AK860">_xlfn.IFS(AJ860&lt;=2,"Poor",AJ860&lt;=3,"Fair",AJ860&gt;3,"Good")</f>
        <v>Fair</v>
      </c>
      <c r="AL860">
        <v>26</v>
      </c>
      <c r="AM860">
        <v>15</v>
      </c>
      <c r="AN860">
        <v>15</v>
      </c>
      <c r="AO860">
        <v>9</v>
      </c>
    </row>
    <row r="861" spans="1:41" x14ac:dyDescent="0.2">
      <c r="A861">
        <v>1285566</v>
      </c>
      <c r="B861">
        <v>44</v>
      </c>
      <c r="C861" t="str" cm="1">
        <f t="array" ref="C861">_xlfn.IFS(B861&lt;=25,"15-25",B861&lt;=35,"26-35",B861&lt;=45,"36-45",B861&lt;=55,"46-55",B861&lt;=65,"56-65")</f>
        <v>36-45</v>
      </c>
      <c r="D861" t="s">
        <v>35</v>
      </c>
      <c r="E861" t="str">
        <f t="shared" si="26"/>
        <v>Current Employee</v>
      </c>
      <c r="F861" t="s">
        <v>52</v>
      </c>
      <c r="G861">
        <v>111</v>
      </c>
      <c r="H861" t="s">
        <v>45</v>
      </c>
      <c r="I861">
        <v>17</v>
      </c>
      <c r="J861">
        <v>3</v>
      </c>
      <c r="K861" t="s">
        <v>38</v>
      </c>
      <c r="L861">
        <v>1</v>
      </c>
      <c r="M861">
        <v>4</v>
      </c>
      <c r="N861" t="s">
        <v>46</v>
      </c>
      <c r="O861">
        <v>74</v>
      </c>
      <c r="P861">
        <v>1</v>
      </c>
      <c r="Q861">
        <v>1</v>
      </c>
      <c r="R861" t="s">
        <v>47</v>
      </c>
      <c r="S861">
        <v>3</v>
      </c>
      <c r="T861" t="str" cm="1">
        <f t="array" ref="T861">_xlfn.IFS(S861&lt;=2,"Poor",S861&lt;=3,"Fair",S861&gt;=4,"Good")</f>
        <v>Fair</v>
      </c>
      <c r="U861" t="s">
        <v>41</v>
      </c>
      <c r="V861" s="1">
        <v>2290</v>
      </c>
      <c r="W861" t="str" cm="1">
        <f t="array" ref="W861">_xlfn.IFS(V861&lt;=5000,"Low Salary",V861&lt;=12000,"Good Salary",V861&gt;12000,"High Salary")</f>
        <v>Low Salary</v>
      </c>
      <c r="X861">
        <v>4279</v>
      </c>
      <c r="Y861">
        <v>2</v>
      </c>
      <c r="Z861" t="s">
        <v>42</v>
      </c>
      <c r="AA861" t="s">
        <v>35</v>
      </c>
      <c r="AB861">
        <v>13</v>
      </c>
      <c r="AC861">
        <v>3</v>
      </c>
      <c r="AD861" t="str">
        <f t="shared" si="27"/>
        <v>Low Performance</v>
      </c>
      <c r="AE861">
        <v>4</v>
      </c>
      <c r="AF861">
        <v>80</v>
      </c>
      <c r="AG861">
        <v>0</v>
      </c>
      <c r="AH861">
        <v>6</v>
      </c>
      <c r="AI861">
        <v>3</v>
      </c>
      <c r="AJ861">
        <v>3</v>
      </c>
      <c r="AK861" t="str" cm="1">
        <f t="array" ref="AK861">_xlfn.IFS(AJ861&lt;=2,"Poor",AJ861&lt;=3,"Fair",AJ861&gt;3,"Good")</f>
        <v>Fair</v>
      </c>
      <c r="AL861">
        <v>0</v>
      </c>
      <c r="AM861">
        <v>0</v>
      </c>
      <c r="AN861">
        <v>0</v>
      </c>
      <c r="AO861">
        <v>0</v>
      </c>
    </row>
    <row r="862" spans="1:41" x14ac:dyDescent="0.2">
      <c r="A862">
        <v>1279649</v>
      </c>
      <c r="B862">
        <v>33</v>
      </c>
      <c r="C862" t="str" cm="1">
        <f t="array" ref="C862">_xlfn.IFS(B862&lt;=25,"15-25",B862&lt;=35,"26-35",B862&lt;=45,"36-45",B862&lt;=55,"46-55",B862&lt;=65,"56-65")</f>
        <v>26-35</v>
      </c>
      <c r="D862" t="s">
        <v>35</v>
      </c>
      <c r="E862" t="str">
        <f t="shared" si="26"/>
        <v>Current Employee</v>
      </c>
      <c r="F862" t="s">
        <v>36</v>
      </c>
      <c r="G862">
        <v>147</v>
      </c>
      <c r="H862" t="s">
        <v>54</v>
      </c>
      <c r="I862">
        <v>2</v>
      </c>
      <c r="J862">
        <v>3</v>
      </c>
      <c r="K862" t="s">
        <v>57</v>
      </c>
      <c r="L862">
        <v>1</v>
      </c>
      <c r="M862">
        <v>2</v>
      </c>
      <c r="N862" t="s">
        <v>46</v>
      </c>
      <c r="O862">
        <v>99</v>
      </c>
      <c r="P862">
        <v>3</v>
      </c>
      <c r="Q862">
        <v>1</v>
      </c>
      <c r="R862" t="s">
        <v>47</v>
      </c>
      <c r="S862">
        <v>3</v>
      </c>
      <c r="T862" t="str" cm="1">
        <f t="array" ref="T862">_xlfn.IFS(S862&lt;=2,"Poor",S862&lt;=3,"Fair",S862&gt;=4,"Good")</f>
        <v>Fair</v>
      </c>
      <c r="U862" t="s">
        <v>48</v>
      </c>
      <c r="V862" s="1">
        <v>3600</v>
      </c>
      <c r="W862" t="str" cm="1">
        <f t="array" ref="W862">_xlfn.IFS(V862&lt;=5000,"Low Salary",V862&lt;=12000,"Good Salary",V862&gt;12000,"High Salary")</f>
        <v>Low Salary</v>
      </c>
      <c r="X862">
        <v>8429</v>
      </c>
      <c r="Y862">
        <v>1</v>
      </c>
      <c r="Z862" t="s">
        <v>42</v>
      </c>
      <c r="AA862" t="s">
        <v>35</v>
      </c>
      <c r="AB862">
        <v>13</v>
      </c>
      <c r="AC862">
        <v>3</v>
      </c>
      <c r="AD862" t="str">
        <f t="shared" si="27"/>
        <v>Low Performance</v>
      </c>
      <c r="AE862">
        <v>4</v>
      </c>
      <c r="AF862">
        <v>80</v>
      </c>
      <c r="AG862">
        <v>1</v>
      </c>
      <c r="AH862">
        <v>5</v>
      </c>
      <c r="AI862">
        <v>2</v>
      </c>
      <c r="AJ862">
        <v>3</v>
      </c>
      <c r="AK862" t="str" cm="1">
        <f t="array" ref="AK862">_xlfn.IFS(AJ862&lt;=2,"Poor",AJ862&lt;=3,"Fair",AJ862&gt;3,"Good")</f>
        <v>Fair</v>
      </c>
      <c r="AL862">
        <v>5</v>
      </c>
      <c r="AM862">
        <v>4</v>
      </c>
      <c r="AN862">
        <v>1</v>
      </c>
      <c r="AO862">
        <v>4</v>
      </c>
    </row>
    <row r="863" spans="1:41" x14ac:dyDescent="0.2">
      <c r="A863">
        <v>1754610</v>
      </c>
      <c r="B863">
        <v>41</v>
      </c>
      <c r="C863" t="str" cm="1">
        <f t="array" ref="C863">_xlfn.IFS(B863&lt;=25,"15-25",B863&lt;=35,"26-35",B863&lt;=45,"36-45",B863&lt;=55,"46-55",B863&lt;=65,"56-65")</f>
        <v>36-45</v>
      </c>
      <c r="D863" t="s">
        <v>43</v>
      </c>
      <c r="E863" t="str">
        <f t="shared" si="26"/>
        <v>Former Employee</v>
      </c>
      <c r="F863" t="s">
        <v>52</v>
      </c>
      <c r="G863">
        <v>906</v>
      </c>
      <c r="H863" t="s">
        <v>45</v>
      </c>
      <c r="I863">
        <v>5</v>
      </c>
      <c r="J863">
        <v>2</v>
      </c>
      <c r="K863" t="s">
        <v>38</v>
      </c>
      <c r="L863">
        <v>1</v>
      </c>
      <c r="M863">
        <v>1</v>
      </c>
      <c r="N863" t="s">
        <v>46</v>
      </c>
      <c r="O863">
        <v>95</v>
      </c>
      <c r="P863">
        <v>2</v>
      </c>
      <c r="Q863">
        <v>1</v>
      </c>
      <c r="R863" t="s">
        <v>47</v>
      </c>
      <c r="S863">
        <v>1</v>
      </c>
      <c r="T863" t="str" cm="1">
        <f t="array" ref="T863">_xlfn.IFS(S863&lt;=2,"Poor",S863&lt;=3,"Fair",S863&gt;=4,"Good")</f>
        <v>Poor</v>
      </c>
      <c r="U863" t="s">
        <v>50</v>
      </c>
      <c r="V863" s="1">
        <v>2107</v>
      </c>
      <c r="W863" t="str" cm="1">
        <f t="array" ref="W863">_xlfn.IFS(V863&lt;=5000,"Low Salary",V863&lt;=12000,"Good Salary",V863&gt;12000,"High Salary")</f>
        <v>Low Salary</v>
      </c>
      <c r="X863">
        <v>20293</v>
      </c>
      <c r="Y863">
        <v>6</v>
      </c>
      <c r="Z863" t="s">
        <v>42</v>
      </c>
      <c r="AA863" t="s">
        <v>35</v>
      </c>
      <c r="AB863">
        <v>17</v>
      </c>
      <c r="AC863">
        <v>3</v>
      </c>
      <c r="AD863" t="str">
        <f t="shared" si="27"/>
        <v>Low Performance</v>
      </c>
      <c r="AE863">
        <v>1</v>
      </c>
      <c r="AF863">
        <v>80</v>
      </c>
      <c r="AG863">
        <v>1</v>
      </c>
      <c r="AH863">
        <v>5</v>
      </c>
      <c r="AI863">
        <v>2</v>
      </c>
      <c r="AJ863">
        <v>1</v>
      </c>
      <c r="AK863" t="str" cm="1">
        <f t="array" ref="AK863">_xlfn.IFS(AJ863&lt;=2,"Poor",AJ863&lt;=3,"Fair",AJ863&gt;3,"Good")</f>
        <v>Poor</v>
      </c>
      <c r="AL863">
        <v>1</v>
      </c>
      <c r="AM863">
        <v>0</v>
      </c>
      <c r="AN863">
        <v>0</v>
      </c>
      <c r="AO863">
        <v>0</v>
      </c>
    </row>
    <row r="864" spans="1:41" x14ac:dyDescent="0.2">
      <c r="A864">
        <v>1260276</v>
      </c>
      <c r="B864">
        <v>30</v>
      </c>
      <c r="C864" t="str" cm="1">
        <f t="array" ref="C864">_xlfn.IFS(B864&lt;=25,"15-25",B864&lt;=35,"26-35",B864&lt;=45,"36-45",B864&lt;=55,"46-55",B864&lt;=65,"56-65")</f>
        <v>26-35</v>
      </c>
      <c r="D864" t="s">
        <v>35</v>
      </c>
      <c r="E864" t="str">
        <f t="shared" si="26"/>
        <v>Current Employee</v>
      </c>
      <c r="F864" t="s">
        <v>36</v>
      </c>
      <c r="G864">
        <v>1329</v>
      </c>
      <c r="H864" t="s">
        <v>37</v>
      </c>
      <c r="I864">
        <v>29</v>
      </c>
      <c r="J864">
        <v>4</v>
      </c>
      <c r="K864" t="s">
        <v>38</v>
      </c>
      <c r="L864">
        <v>1</v>
      </c>
      <c r="M864">
        <v>3</v>
      </c>
      <c r="N864" t="s">
        <v>46</v>
      </c>
      <c r="O864">
        <v>61</v>
      </c>
      <c r="P864">
        <v>3</v>
      </c>
      <c r="Q864">
        <v>2</v>
      </c>
      <c r="R864" t="s">
        <v>40</v>
      </c>
      <c r="S864">
        <v>1</v>
      </c>
      <c r="T864" t="str" cm="1">
        <f t="array" ref="T864">_xlfn.IFS(S864&lt;=2,"Poor",S864&lt;=3,"Fair",S864&gt;=4,"Good")</f>
        <v>Poor</v>
      </c>
      <c r="U864" t="s">
        <v>50</v>
      </c>
      <c r="V864" s="1">
        <v>4115</v>
      </c>
      <c r="W864" t="str" cm="1">
        <f t="array" ref="W864">_xlfn.IFS(V864&lt;=5000,"Low Salary",V864&lt;=12000,"Good Salary",V864&gt;12000,"High Salary")</f>
        <v>Low Salary</v>
      </c>
      <c r="X864">
        <v>13192</v>
      </c>
      <c r="Y864">
        <v>8</v>
      </c>
      <c r="Z864" t="s">
        <v>42</v>
      </c>
      <c r="AA864" t="s">
        <v>35</v>
      </c>
      <c r="AB864">
        <v>19</v>
      </c>
      <c r="AC864">
        <v>3</v>
      </c>
      <c r="AD864" t="str">
        <f t="shared" si="27"/>
        <v>Low Performance</v>
      </c>
      <c r="AE864">
        <v>3</v>
      </c>
      <c r="AF864">
        <v>80</v>
      </c>
      <c r="AG864">
        <v>3</v>
      </c>
      <c r="AH864">
        <v>8</v>
      </c>
      <c r="AI864">
        <v>3</v>
      </c>
      <c r="AJ864">
        <v>3</v>
      </c>
      <c r="AK864" t="str" cm="1">
        <f t="array" ref="AK864">_xlfn.IFS(AJ864&lt;=2,"Poor",AJ864&lt;=3,"Fair",AJ864&gt;3,"Good")</f>
        <v>Fair</v>
      </c>
      <c r="AL864">
        <v>4</v>
      </c>
      <c r="AM864">
        <v>3</v>
      </c>
      <c r="AN864">
        <v>0</v>
      </c>
      <c r="AO864">
        <v>3</v>
      </c>
    </row>
    <row r="865" spans="1:41" x14ac:dyDescent="0.2">
      <c r="A865">
        <v>1313206</v>
      </c>
      <c r="B865">
        <v>40</v>
      </c>
      <c r="C865" t="str" cm="1">
        <f t="array" ref="C865">_xlfn.IFS(B865&lt;=25,"15-25",B865&lt;=35,"26-35",B865&lt;=45,"36-45",B865&lt;=55,"46-55",B865&lt;=65,"56-65")</f>
        <v>36-45</v>
      </c>
      <c r="D865" t="s">
        <v>35</v>
      </c>
      <c r="E865" t="str">
        <f t="shared" si="26"/>
        <v>Current Employee</v>
      </c>
      <c r="F865" t="s">
        <v>44</v>
      </c>
      <c r="G865">
        <v>1184</v>
      </c>
      <c r="H865" t="s">
        <v>37</v>
      </c>
      <c r="I865">
        <v>2</v>
      </c>
      <c r="J865">
        <v>4</v>
      </c>
      <c r="K865" t="s">
        <v>49</v>
      </c>
      <c r="L865">
        <v>1</v>
      </c>
      <c r="M865">
        <v>2</v>
      </c>
      <c r="N865" t="s">
        <v>46</v>
      </c>
      <c r="O865">
        <v>62</v>
      </c>
      <c r="P865">
        <v>3</v>
      </c>
      <c r="Q865">
        <v>2</v>
      </c>
      <c r="R865" t="s">
        <v>40</v>
      </c>
      <c r="S865">
        <v>2</v>
      </c>
      <c r="T865" t="str" cm="1">
        <f t="array" ref="T865">_xlfn.IFS(S865&lt;=2,"Poor",S865&lt;=3,"Fair",S865&gt;=4,"Good")</f>
        <v>Poor</v>
      </c>
      <c r="U865" t="s">
        <v>48</v>
      </c>
      <c r="V865" s="1">
        <v>4327</v>
      </c>
      <c r="W865" t="str" cm="1">
        <f t="array" ref="W865">_xlfn.IFS(V865&lt;=5000,"Low Salary",V865&lt;=12000,"Good Salary",V865&gt;12000,"High Salary")</f>
        <v>Low Salary</v>
      </c>
      <c r="X865">
        <v>25440</v>
      </c>
      <c r="Y865">
        <v>5</v>
      </c>
      <c r="Z865" t="s">
        <v>42</v>
      </c>
      <c r="AA865" t="s">
        <v>35</v>
      </c>
      <c r="AB865">
        <v>12</v>
      </c>
      <c r="AC865">
        <v>3</v>
      </c>
      <c r="AD865" t="str">
        <f t="shared" si="27"/>
        <v>Low Performance</v>
      </c>
      <c r="AE865">
        <v>4</v>
      </c>
      <c r="AF865">
        <v>80</v>
      </c>
      <c r="AG865">
        <v>3</v>
      </c>
      <c r="AH865">
        <v>5</v>
      </c>
      <c r="AI865">
        <v>2</v>
      </c>
      <c r="AJ865">
        <v>3</v>
      </c>
      <c r="AK865" t="str" cm="1">
        <f t="array" ref="AK865">_xlfn.IFS(AJ865&lt;=2,"Poor",AJ865&lt;=3,"Fair",AJ865&gt;3,"Good")</f>
        <v>Fair</v>
      </c>
      <c r="AL865">
        <v>0</v>
      </c>
      <c r="AM865">
        <v>0</v>
      </c>
      <c r="AN865">
        <v>0</v>
      </c>
      <c r="AO865">
        <v>0</v>
      </c>
    </row>
    <row r="866" spans="1:41" x14ac:dyDescent="0.2">
      <c r="A866">
        <v>1562759</v>
      </c>
      <c r="B866">
        <v>50</v>
      </c>
      <c r="C866" t="str" cm="1">
        <f t="array" ref="C866">_xlfn.IFS(B866&lt;=25,"15-25",B866&lt;=35,"26-35",B866&lt;=45,"36-45",B866&lt;=55,"46-55",B866&lt;=65,"56-65")</f>
        <v>46-55</v>
      </c>
      <c r="D866" t="s">
        <v>35</v>
      </c>
      <c r="E866" t="str">
        <f t="shared" si="26"/>
        <v>Current Employee</v>
      </c>
      <c r="F866" t="s">
        <v>44</v>
      </c>
      <c r="G866">
        <v>1421</v>
      </c>
      <c r="H866" t="s">
        <v>54</v>
      </c>
      <c r="I866">
        <v>2</v>
      </c>
      <c r="J866">
        <v>3</v>
      </c>
      <c r="K866" t="s">
        <v>49</v>
      </c>
      <c r="L866">
        <v>1</v>
      </c>
      <c r="M866">
        <v>4</v>
      </c>
      <c r="N866" t="s">
        <v>39</v>
      </c>
      <c r="O866">
        <v>30</v>
      </c>
      <c r="P866">
        <v>3</v>
      </c>
      <c r="Q866">
        <v>4</v>
      </c>
      <c r="R866" t="s">
        <v>47</v>
      </c>
      <c r="S866">
        <v>1</v>
      </c>
      <c r="T866" t="str" cm="1">
        <f t="array" ref="T866">_xlfn.IFS(S866&lt;=2,"Poor",S866&lt;=3,"Fair",S866&gt;=4,"Good")</f>
        <v>Poor</v>
      </c>
      <c r="U866" t="s">
        <v>48</v>
      </c>
      <c r="V866" s="1">
        <v>17856</v>
      </c>
      <c r="W866" t="str" cm="1">
        <f t="array" ref="W866">_xlfn.IFS(V866&lt;=5000,"Low Salary",V866&lt;=12000,"Good Salary",V866&gt;12000,"High Salary")</f>
        <v>High Salary</v>
      </c>
      <c r="X866">
        <v>9490</v>
      </c>
      <c r="Y866">
        <v>2</v>
      </c>
      <c r="Z866" t="s">
        <v>42</v>
      </c>
      <c r="AA866" t="s">
        <v>35</v>
      </c>
      <c r="AB866">
        <v>22</v>
      </c>
      <c r="AC866">
        <v>4</v>
      </c>
      <c r="AD866" t="str">
        <f t="shared" si="27"/>
        <v>High Performance</v>
      </c>
      <c r="AE866">
        <v>3</v>
      </c>
      <c r="AF866">
        <v>80</v>
      </c>
      <c r="AG866">
        <v>1</v>
      </c>
      <c r="AH866">
        <v>32</v>
      </c>
      <c r="AI866">
        <v>3</v>
      </c>
      <c r="AJ866">
        <v>3</v>
      </c>
      <c r="AK866" t="str" cm="1">
        <f t="array" ref="AK866">_xlfn.IFS(AJ866&lt;=2,"Poor",AJ866&lt;=3,"Fair",AJ866&gt;3,"Good")</f>
        <v>Fair</v>
      </c>
      <c r="AL866">
        <v>2</v>
      </c>
      <c r="AM866">
        <v>2</v>
      </c>
      <c r="AN866">
        <v>2</v>
      </c>
      <c r="AO866">
        <v>2</v>
      </c>
    </row>
    <row r="867" spans="1:41" x14ac:dyDescent="0.2">
      <c r="A867">
        <v>1818579</v>
      </c>
      <c r="B867">
        <v>28</v>
      </c>
      <c r="C867" t="str" cm="1">
        <f t="array" ref="C867">_xlfn.IFS(B867&lt;=25,"15-25",B867&lt;=35,"26-35",B867&lt;=45,"36-45",B867&lt;=55,"46-55",B867&lt;=65,"56-65")</f>
        <v>26-35</v>
      </c>
      <c r="D867" t="s">
        <v>35</v>
      </c>
      <c r="E867" t="str">
        <f t="shared" si="26"/>
        <v>Current Employee</v>
      </c>
      <c r="F867" t="s">
        <v>36</v>
      </c>
      <c r="G867">
        <v>1179</v>
      </c>
      <c r="H867" t="s">
        <v>45</v>
      </c>
      <c r="I867">
        <v>19</v>
      </c>
      <c r="J867">
        <v>4</v>
      </c>
      <c r="K867" t="s">
        <v>49</v>
      </c>
      <c r="L867">
        <v>1</v>
      </c>
      <c r="M867">
        <v>4</v>
      </c>
      <c r="N867" t="s">
        <v>46</v>
      </c>
      <c r="O867">
        <v>78</v>
      </c>
      <c r="P867">
        <v>2</v>
      </c>
      <c r="Q867">
        <v>1</v>
      </c>
      <c r="R867" t="s">
        <v>40</v>
      </c>
      <c r="S867">
        <v>1</v>
      </c>
      <c r="T867" t="str" cm="1">
        <f t="array" ref="T867">_xlfn.IFS(S867&lt;=2,"Poor",S867&lt;=3,"Fair",S867&gt;=4,"Good")</f>
        <v>Poor</v>
      </c>
      <c r="U867" t="s">
        <v>48</v>
      </c>
      <c r="V867" s="1">
        <v>3196</v>
      </c>
      <c r="W867" t="str" cm="1">
        <f t="array" ref="W867">_xlfn.IFS(V867&lt;=5000,"Low Salary",V867&lt;=12000,"Good Salary",V867&gt;12000,"High Salary")</f>
        <v>Low Salary</v>
      </c>
      <c r="X867">
        <v>12449</v>
      </c>
      <c r="Y867">
        <v>1</v>
      </c>
      <c r="Z867" t="s">
        <v>42</v>
      </c>
      <c r="AA867" t="s">
        <v>35</v>
      </c>
      <c r="AB867">
        <v>12</v>
      </c>
      <c r="AC867">
        <v>3</v>
      </c>
      <c r="AD867" t="str">
        <f t="shared" si="27"/>
        <v>Low Performance</v>
      </c>
      <c r="AE867">
        <v>3</v>
      </c>
      <c r="AF867">
        <v>80</v>
      </c>
      <c r="AG867">
        <v>3</v>
      </c>
      <c r="AH867">
        <v>6</v>
      </c>
      <c r="AI867">
        <v>2</v>
      </c>
      <c r="AJ867">
        <v>3</v>
      </c>
      <c r="AK867" t="str" cm="1">
        <f t="array" ref="AK867">_xlfn.IFS(AJ867&lt;=2,"Poor",AJ867&lt;=3,"Fair",AJ867&gt;3,"Good")</f>
        <v>Fair</v>
      </c>
      <c r="AL867">
        <v>6</v>
      </c>
      <c r="AM867">
        <v>5</v>
      </c>
      <c r="AN867">
        <v>3</v>
      </c>
      <c r="AO867">
        <v>3</v>
      </c>
    </row>
    <row r="868" spans="1:41" x14ac:dyDescent="0.2">
      <c r="A868">
        <v>1221210</v>
      </c>
      <c r="B868">
        <v>46</v>
      </c>
      <c r="C868" t="str" cm="1">
        <f t="array" ref="C868">_xlfn.IFS(B868&lt;=25,"15-25",B868&lt;=35,"26-35",B868&lt;=45,"36-45",B868&lt;=55,"46-55",B868&lt;=65,"56-65")</f>
        <v>46-55</v>
      </c>
      <c r="D868" t="s">
        <v>35</v>
      </c>
      <c r="E868" t="str">
        <f t="shared" si="26"/>
        <v>Current Employee</v>
      </c>
      <c r="F868" t="s">
        <v>36</v>
      </c>
      <c r="G868">
        <v>1450</v>
      </c>
      <c r="H868" t="s">
        <v>45</v>
      </c>
      <c r="I868">
        <v>15</v>
      </c>
      <c r="J868">
        <v>2</v>
      </c>
      <c r="K868" t="s">
        <v>38</v>
      </c>
      <c r="L868">
        <v>1</v>
      </c>
      <c r="M868">
        <v>4</v>
      </c>
      <c r="N868" t="s">
        <v>46</v>
      </c>
      <c r="O868">
        <v>52</v>
      </c>
      <c r="P868">
        <v>3</v>
      </c>
      <c r="Q868">
        <v>5</v>
      </c>
      <c r="R868" t="s">
        <v>53</v>
      </c>
      <c r="S868">
        <v>2</v>
      </c>
      <c r="T868" t="str" cm="1">
        <f t="array" ref="T868">_xlfn.IFS(S868&lt;=2,"Poor",S868&lt;=3,"Fair",S868&gt;=4,"Good")</f>
        <v>Poor</v>
      </c>
      <c r="U868" t="s">
        <v>48</v>
      </c>
      <c r="V868" s="1">
        <v>19081</v>
      </c>
      <c r="W868" t="str" cm="1">
        <f t="array" ref="W868">_xlfn.IFS(V868&lt;=5000,"Low Salary",V868&lt;=12000,"Good Salary",V868&gt;12000,"High Salary")</f>
        <v>High Salary</v>
      </c>
      <c r="X868">
        <v>10849</v>
      </c>
      <c r="Y868">
        <v>5</v>
      </c>
      <c r="Z868" t="s">
        <v>42</v>
      </c>
      <c r="AA868" t="s">
        <v>35</v>
      </c>
      <c r="AB868">
        <v>11</v>
      </c>
      <c r="AC868">
        <v>3</v>
      </c>
      <c r="AD868" t="str">
        <f t="shared" si="27"/>
        <v>Low Performance</v>
      </c>
      <c r="AE868">
        <v>1</v>
      </c>
      <c r="AF868">
        <v>80</v>
      </c>
      <c r="AG868">
        <v>1</v>
      </c>
      <c r="AH868">
        <v>25</v>
      </c>
      <c r="AI868">
        <v>2</v>
      </c>
      <c r="AJ868">
        <v>3</v>
      </c>
      <c r="AK868" t="str" cm="1">
        <f t="array" ref="AK868">_xlfn.IFS(AJ868&lt;=2,"Poor",AJ868&lt;=3,"Fair",AJ868&gt;3,"Good")</f>
        <v>Fair</v>
      </c>
      <c r="AL868">
        <v>4</v>
      </c>
      <c r="AM868">
        <v>2</v>
      </c>
      <c r="AN868">
        <v>0</v>
      </c>
      <c r="AO868">
        <v>3</v>
      </c>
    </row>
    <row r="869" spans="1:41" x14ac:dyDescent="0.2">
      <c r="A869">
        <v>1285937</v>
      </c>
      <c r="B869">
        <v>35</v>
      </c>
      <c r="C869" t="str" cm="1">
        <f t="array" ref="C869">_xlfn.IFS(B869&lt;=25,"15-25",B869&lt;=35,"26-35",B869&lt;=45,"36-45",B869&lt;=55,"46-55",B869&lt;=65,"56-65")</f>
        <v>26-35</v>
      </c>
      <c r="D869" t="s">
        <v>35</v>
      </c>
      <c r="E869" t="str">
        <f t="shared" si="26"/>
        <v>Current Employee</v>
      </c>
      <c r="F869" t="s">
        <v>36</v>
      </c>
      <c r="G869">
        <v>1361</v>
      </c>
      <c r="H869" t="s">
        <v>37</v>
      </c>
      <c r="I869">
        <v>17</v>
      </c>
      <c r="J869">
        <v>4</v>
      </c>
      <c r="K869" t="s">
        <v>38</v>
      </c>
      <c r="L869">
        <v>1</v>
      </c>
      <c r="M869">
        <v>3</v>
      </c>
      <c r="N869" t="s">
        <v>46</v>
      </c>
      <c r="O869">
        <v>94</v>
      </c>
      <c r="P869">
        <v>3</v>
      </c>
      <c r="Q869">
        <v>2</v>
      </c>
      <c r="R869" t="s">
        <v>40</v>
      </c>
      <c r="S869">
        <v>1</v>
      </c>
      <c r="T869" t="str" cm="1">
        <f t="array" ref="T869">_xlfn.IFS(S869&lt;=2,"Poor",S869&lt;=3,"Fair",S869&gt;=4,"Good")</f>
        <v>Poor</v>
      </c>
      <c r="U869" t="s">
        <v>48</v>
      </c>
      <c r="V869" s="1">
        <v>8966</v>
      </c>
      <c r="W869" t="str" cm="1">
        <f t="array" ref="W869">_xlfn.IFS(V869&lt;=5000,"Low Salary",V869&lt;=12000,"Good Salary",V869&gt;12000,"High Salary")</f>
        <v>Good Salary</v>
      </c>
      <c r="X869">
        <v>21026</v>
      </c>
      <c r="Y869">
        <v>3</v>
      </c>
      <c r="Z869" t="s">
        <v>42</v>
      </c>
      <c r="AA869" t="s">
        <v>43</v>
      </c>
      <c r="AB869">
        <v>15</v>
      </c>
      <c r="AC869">
        <v>3</v>
      </c>
      <c r="AD869" t="str">
        <f t="shared" si="27"/>
        <v>Low Performance</v>
      </c>
      <c r="AE869">
        <v>4</v>
      </c>
      <c r="AF869">
        <v>80</v>
      </c>
      <c r="AG869">
        <v>3</v>
      </c>
      <c r="AH869">
        <v>15</v>
      </c>
      <c r="AI869">
        <v>2</v>
      </c>
      <c r="AJ869">
        <v>3</v>
      </c>
      <c r="AK869" t="str" cm="1">
        <f t="array" ref="AK869">_xlfn.IFS(AJ869&lt;=2,"Poor",AJ869&lt;=3,"Fair",AJ869&gt;3,"Good")</f>
        <v>Fair</v>
      </c>
      <c r="AL869">
        <v>7</v>
      </c>
      <c r="AM869">
        <v>7</v>
      </c>
      <c r="AN869">
        <v>1</v>
      </c>
      <c r="AO869">
        <v>7</v>
      </c>
    </row>
    <row r="870" spans="1:41" x14ac:dyDescent="0.2">
      <c r="A870">
        <v>1063216</v>
      </c>
      <c r="B870">
        <v>24</v>
      </c>
      <c r="C870" t="str" cm="1">
        <f t="array" ref="C870">_xlfn.IFS(B870&lt;=25,"15-25",B870&lt;=35,"26-35",B870&lt;=45,"36-45",B870&lt;=55,"46-55",B870&lt;=65,"56-65")</f>
        <v>15-25</v>
      </c>
      <c r="D870" t="s">
        <v>43</v>
      </c>
      <c r="E870" t="str">
        <f t="shared" si="26"/>
        <v>Former Employee</v>
      </c>
      <c r="F870" t="s">
        <v>36</v>
      </c>
      <c r="G870">
        <v>984</v>
      </c>
      <c r="H870" t="s">
        <v>45</v>
      </c>
      <c r="I870">
        <v>17</v>
      </c>
      <c r="J870">
        <v>2</v>
      </c>
      <c r="K870" t="s">
        <v>38</v>
      </c>
      <c r="L870">
        <v>1</v>
      </c>
      <c r="M870">
        <v>4</v>
      </c>
      <c r="N870" t="s">
        <v>39</v>
      </c>
      <c r="O870">
        <v>97</v>
      </c>
      <c r="P870">
        <v>3</v>
      </c>
      <c r="Q870">
        <v>1</v>
      </c>
      <c r="R870" t="s">
        <v>40</v>
      </c>
      <c r="S870">
        <v>2</v>
      </c>
      <c r="T870" t="str" cm="1">
        <f t="array" ref="T870">_xlfn.IFS(S870&lt;=2,"Poor",S870&lt;=3,"Fair",S870&gt;=4,"Good")</f>
        <v>Poor</v>
      </c>
      <c r="U870" t="s">
        <v>48</v>
      </c>
      <c r="V870" s="1">
        <v>2210</v>
      </c>
      <c r="W870" t="str" cm="1">
        <f t="array" ref="W870">_xlfn.IFS(V870&lt;=5000,"Low Salary",V870&lt;=12000,"Good Salary",V870&gt;12000,"High Salary")</f>
        <v>Low Salary</v>
      </c>
      <c r="X870">
        <v>3372</v>
      </c>
      <c r="Y870">
        <v>1</v>
      </c>
      <c r="Z870" t="s">
        <v>42</v>
      </c>
      <c r="AA870" t="s">
        <v>35</v>
      </c>
      <c r="AB870">
        <v>13</v>
      </c>
      <c r="AC870">
        <v>3</v>
      </c>
      <c r="AD870" t="str">
        <f t="shared" si="27"/>
        <v>Low Performance</v>
      </c>
      <c r="AE870">
        <v>1</v>
      </c>
      <c r="AF870">
        <v>80</v>
      </c>
      <c r="AG870">
        <v>1</v>
      </c>
      <c r="AH870">
        <v>1</v>
      </c>
      <c r="AI870">
        <v>3</v>
      </c>
      <c r="AJ870">
        <v>1</v>
      </c>
      <c r="AK870" t="str" cm="1">
        <f t="array" ref="AK870">_xlfn.IFS(AJ870&lt;=2,"Poor",AJ870&lt;=3,"Fair",AJ870&gt;3,"Good")</f>
        <v>Poor</v>
      </c>
      <c r="AL870">
        <v>1</v>
      </c>
      <c r="AM870">
        <v>0</v>
      </c>
      <c r="AN870">
        <v>0</v>
      </c>
      <c r="AO870">
        <v>0</v>
      </c>
    </row>
    <row r="871" spans="1:41" x14ac:dyDescent="0.2">
      <c r="A871">
        <v>1551282</v>
      </c>
      <c r="B871">
        <v>33</v>
      </c>
      <c r="C871" t="str" cm="1">
        <f t="array" ref="C871">_xlfn.IFS(B871&lt;=25,"15-25",B871&lt;=35,"26-35",B871&lt;=45,"36-45",B871&lt;=55,"46-55",B871&lt;=65,"56-65")</f>
        <v>26-35</v>
      </c>
      <c r="D871" t="s">
        <v>35</v>
      </c>
      <c r="E871" t="str">
        <f t="shared" si="26"/>
        <v>Current Employee</v>
      </c>
      <c r="F871" t="s">
        <v>44</v>
      </c>
      <c r="G871">
        <v>1146</v>
      </c>
      <c r="H871" t="s">
        <v>37</v>
      </c>
      <c r="I871">
        <v>25</v>
      </c>
      <c r="J871">
        <v>3</v>
      </c>
      <c r="K871" t="s">
        <v>49</v>
      </c>
      <c r="L871">
        <v>1</v>
      </c>
      <c r="M871">
        <v>2</v>
      </c>
      <c r="N871" t="s">
        <v>39</v>
      </c>
      <c r="O871">
        <v>82</v>
      </c>
      <c r="P871">
        <v>3</v>
      </c>
      <c r="Q871">
        <v>2</v>
      </c>
      <c r="R871" t="s">
        <v>40</v>
      </c>
      <c r="S871">
        <v>3</v>
      </c>
      <c r="T871" t="str" cm="1">
        <f t="array" ref="T871">_xlfn.IFS(S871&lt;=2,"Poor",S871&lt;=3,"Fair",S871&gt;=4,"Good")</f>
        <v>Fair</v>
      </c>
      <c r="U871" t="s">
        <v>48</v>
      </c>
      <c r="V871" s="1">
        <v>4539</v>
      </c>
      <c r="W871" t="str" cm="1">
        <f t="array" ref="W871">_xlfn.IFS(V871&lt;=5000,"Low Salary",V871&lt;=12000,"Good Salary",V871&gt;12000,"High Salary")</f>
        <v>Low Salary</v>
      </c>
      <c r="X871">
        <v>4905</v>
      </c>
      <c r="Y871">
        <v>1</v>
      </c>
      <c r="Z871" t="s">
        <v>42</v>
      </c>
      <c r="AA871" t="s">
        <v>35</v>
      </c>
      <c r="AB871">
        <v>12</v>
      </c>
      <c r="AC871">
        <v>3</v>
      </c>
      <c r="AD871" t="str">
        <f t="shared" si="27"/>
        <v>Low Performance</v>
      </c>
      <c r="AE871">
        <v>1</v>
      </c>
      <c r="AF871">
        <v>80</v>
      </c>
      <c r="AG871">
        <v>1</v>
      </c>
      <c r="AH871">
        <v>10</v>
      </c>
      <c r="AI871">
        <v>3</v>
      </c>
      <c r="AJ871">
        <v>2</v>
      </c>
      <c r="AK871" t="str" cm="1">
        <f t="array" ref="AK871">_xlfn.IFS(AJ871&lt;=2,"Poor",AJ871&lt;=3,"Fair",AJ871&gt;3,"Good")</f>
        <v>Poor</v>
      </c>
      <c r="AL871">
        <v>10</v>
      </c>
      <c r="AM871">
        <v>7</v>
      </c>
      <c r="AN871">
        <v>0</v>
      </c>
      <c r="AO871">
        <v>1</v>
      </c>
    </row>
    <row r="872" spans="1:41" x14ac:dyDescent="0.2">
      <c r="A872">
        <v>1310719</v>
      </c>
      <c r="B872">
        <v>36</v>
      </c>
      <c r="C872" t="str" cm="1">
        <f t="array" ref="C872">_xlfn.IFS(B872&lt;=25,"15-25",B872&lt;=35,"26-35",B872&lt;=45,"36-45",B872&lt;=55,"46-55",B872&lt;=65,"56-65")</f>
        <v>36-45</v>
      </c>
      <c r="D872" t="s">
        <v>35</v>
      </c>
      <c r="E872" t="str">
        <f t="shared" si="26"/>
        <v>Current Employee</v>
      </c>
      <c r="F872" t="s">
        <v>36</v>
      </c>
      <c r="G872">
        <v>917</v>
      </c>
      <c r="H872" t="s">
        <v>45</v>
      </c>
      <c r="I872">
        <v>6</v>
      </c>
      <c r="J872">
        <v>4</v>
      </c>
      <c r="K872" t="s">
        <v>38</v>
      </c>
      <c r="L872">
        <v>1</v>
      </c>
      <c r="M872">
        <v>3</v>
      </c>
      <c r="N872" t="s">
        <v>46</v>
      </c>
      <c r="O872">
        <v>60</v>
      </c>
      <c r="P872">
        <v>1</v>
      </c>
      <c r="Q872">
        <v>1</v>
      </c>
      <c r="R872" t="s">
        <v>40</v>
      </c>
      <c r="S872">
        <v>3</v>
      </c>
      <c r="T872" t="str" cm="1">
        <f t="array" ref="T872">_xlfn.IFS(S872&lt;=2,"Poor",S872&lt;=3,"Fair",S872&gt;=4,"Good")</f>
        <v>Fair</v>
      </c>
      <c r="U872" t="s">
        <v>50</v>
      </c>
      <c r="V872" s="1">
        <v>2741</v>
      </c>
      <c r="W872" t="str" cm="1">
        <f t="array" ref="W872">_xlfn.IFS(V872&lt;=5000,"Low Salary",V872&lt;=12000,"Good Salary",V872&gt;12000,"High Salary")</f>
        <v>Low Salary</v>
      </c>
      <c r="X872">
        <v>6865</v>
      </c>
      <c r="Y872">
        <v>1</v>
      </c>
      <c r="Z872" t="s">
        <v>42</v>
      </c>
      <c r="AA872" t="s">
        <v>35</v>
      </c>
      <c r="AB872">
        <v>14</v>
      </c>
      <c r="AC872">
        <v>3</v>
      </c>
      <c r="AD872" t="str">
        <f t="shared" si="27"/>
        <v>Low Performance</v>
      </c>
      <c r="AE872">
        <v>3</v>
      </c>
      <c r="AF872">
        <v>80</v>
      </c>
      <c r="AG872">
        <v>1</v>
      </c>
      <c r="AH872">
        <v>7</v>
      </c>
      <c r="AI872">
        <v>4</v>
      </c>
      <c r="AJ872">
        <v>3</v>
      </c>
      <c r="AK872" t="str" cm="1">
        <f t="array" ref="AK872">_xlfn.IFS(AJ872&lt;=2,"Poor",AJ872&lt;=3,"Fair",AJ872&gt;3,"Good")</f>
        <v>Fair</v>
      </c>
      <c r="AL872">
        <v>7</v>
      </c>
      <c r="AM872">
        <v>7</v>
      </c>
      <c r="AN872">
        <v>1</v>
      </c>
      <c r="AO872">
        <v>7</v>
      </c>
    </row>
    <row r="873" spans="1:41" x14ac:dyDescent="0.2">
      <c r="A873">
        <v>1544205</v>
      </c>
      <c r="B873">
        <v>30</v>
      </c>
      <c r="C873" t="str" cm="1">
        <f t="array" ref="C873">_xlfn.IFS(B873&lt;=25,"15-25",B873&lt;=35,"26-35",B873&lt;=45,"36-45",B873&lt;=55,"46-55",B873&lt;=65,"56-65")</f>
        <v>26-35</v>
      </c>
      <c r="D873" t="s">
        <v>35</v>
      </c>
      <c r="E873" t="str">
        <f t="shared" si="26"/>
        <v>Current Employee</v>
      </c>
      <c r="F873" t="s">
        <v>36</v>
      </c>
      <c r="G873">
        <v>853</v>
      </c>
      <c r="H873" t="s">
        <v>45</v>
      </c>
      <c r="I873">
        <v>7</v>
      </c>
      <c r="J873">
        <v>4</v>
      </c>
      <c r="K873" t="s">
        <v>38</v>
      </c>
      <c r="L873">
        <v>1</v>
      </c>
      <c r="M873">
        <v>3</v>
      </c>
      <c r="N873" t="s">
        <v>46</v>
      </c>
      <c r="O873">
        <v>49</v>
      </c>
      <c r="P873">
        <v>3</v>
      </c>
      <c r="Q873">
        <v>2</v>
      </c>
      <c r="R873" t="s">
        <v>40</v>
      </c>
      <c r="S873">
        <v>3</v>
      </c>
      <c r="T873" t="str" cm="1">
        <f t="array" ref="T873">_xlfn.IFS(S873&lt;=2,"Poor",S873&lt;=3,"Fair",S873&gt;=4,"Good")</f>
        <v>Fair</v>
      </c>
      <c r="U873" t="s">
        <v>50</v>
      </c>
      <c r="V873" s="1">
        <v>3491</v>
      </c>
      <c r="W873" t="str" cm="1">
        <f t="array" ref="W873">_xlfn.IFS(V873&lt;=5000,"Low Salary",V873&lt;=12000,"Good Salary",V873&gt;12000,"High Salary")</f>
        <v>Low Salary</v>
      </c>
      <c r="X873">
        <v>11309</v>
      </c>
      <c r="Y873">
        <v>1</v>
      </c>
      <c r="Z873" t="s">
        <v>42</v>
      </c>
      <c r="AA873" t="s">
        <v>35</v>
      </c>
      <c r="AB873">
        <v>13</v>
      </c>
      <c r="AC873">
        <v>3</v>
      </c>
      <c r="AD873" t="str">
        <f t="shared" si="27"/>
        <v>Low Performance</v>
      </c>
      <c r="AE873">
        <v>1</v>
      </c>
      <c r="AF873">
        <v>80</v>
      </c>
      <c r="AG873">
        <v>3</v>
      </c>
      <c r="AH873">
        <v>10</v>
      </c>
      <c r="AI873">
        <v>4</v>
      </c>
      <c r="AJ873">
        <v>2</v>
      </c>
      <c r="AK873" t="str" cm="1">
        <f t="array" ref="AK873">_xlfn.IFS(AJ873&lt;=2,"Poor",AJ873&lt;=3,"Fair",AJ873&gt;3,"Good")</f>
        <v>Poor</v>
      </c>
      <c r="AL873">
        <v>10</v>
      </c>
      <c r="AM873">
        <v>7</v>
      </c>
      <c r="AN873">
        <v>8</v>
      </c>
      <c r="AO873">
        <v>9</v>
      </c>
    </row>
    <row r="874" spans="1:41" x14ac:dyDescent="0.2">
      <c r="A874">
        <v>1503934</v>
      </c>
      <c r="B874">
        <v>44</v>
      </c>
      <c r="C874" t="str" cm="1">
        <f t="array" ref="C874">_xlfn.IFS(B874&lt;=25,"15-25",B874&lt;=35,"26-35",B874&lt;=45,"36-45",B874&lt;=55,"46-55",B874&lt;=65,"56-65")</f>
        <v>36-45</v>
      </c>
      <c r="D874" t="s">
        <v>35</v>
      </c>
      <c r="E874" t="str">
        <f t="shared" si="26"/>
        <v>Current Employee</v>
      </c>
      <c r="F874" t="s">
        <v>36</v>
      </c>
      <c r="G874">
        <v>200</v>
      </c>
      <c r="H874" t="s">
        <v>45</v>
      </c>
      <c r="I874">
        <v>29</v>
      </c>
      <c r="J874">
        <v>4</v>
      </c>
      <c r="K874" t="s">
        <v>47</v>
      </c>
      <c r="L874">
        <v>1</v>
      </c>
      <c r="M874">
        <v>4</v>
      </c>
      <c r="N874" t="s">
        <v>46</v>
      </c>
      <c r="O874">
        <v>32</v>
      </c>
      <c r="P874">
        <v>3</v>
      </c>
      <c r="Q874">
        <v>2</v>
      </c>
      <c r="R874" t="s">
        <v>47</v>
      </c>
      <c r="S874">
        <v>4</v>
      </c>
      <c r="T874" t="str" cm="1">
        <f t="array" ref="T874">_xlfn.IFS(S874&lt;=2,"Poor",S874&lt;=3,"Fair",S874&gt;=4,"Good")</f>
        <v>Good</v>
      </c>
      <c r="U874" t="s">
        <v>41</v>
      </c>
      <c r="V874" s="1">
        <v>4541</v>
      </c>
      <c r="W874" t="str" cm="1">
        <f t="array" ref="W874">_xlfn.IFS(V874&lt;=5000,"Low Salary",V874&lt;=12000,"Good Salary",V874&gt;12000,"High Salary")</f>
        <v>Low Salary</v>
      </c>
      <c r="X874">
        <v>7744</v>
      </c>
      <c r="Y874">
        <v>1</v>
      </c>
      <c r="Z874" t="s">
        <v>42</v>
      </c>
      <c r="AA874" t="s">
        <v>35</v>
      </c>
      <c r="AB874">
        <v>25</v>
      </c>
      <c r="AC874">
        <v>4</v>
      </c>
      <c r="AD874" t="str">
        <f t="shared" si="27"/>
        <v>High Performance</v>
      </c>
      <c r="AE874">
        <v>2</v>
      </c>
      <c r="AF874">
        <v>80</v>
      </c>
      <c r="AG874">
        <v>0</v>
      </c>
      <c r="AH874">
        <v>20</v>
      </c>
      <c r="AI874">
        <v>3</v>
      </c>
      <c r="AJ874">
        <v>3</v>
      </c>
      <c r="AK874" t="str" cm="1">
        <f t="array" ref="AK874">_xlfn.IFS(AJ874&lt;=2,"Poor",AJ874&lt;=3,"Fair",AJ874&gt;3,"Good")</f>
        <v>Fair</v>
      </c>
      <c r="AL874">
        <v>20</v>
      </c>
      <c r="AM874">
        <v>11</v>
      </c>
      <c r="AN874">
        <v>13</v>
      </c>
      <c r="AO874">
        <v>17</v>
      </c>
    </row>
    <row r="875" spans="1:41" x14ac:dyDescent="0.2">
      <c r="A875">
        <v>1531205</v>
      </c>
      <c r="B875">
        <v>20</v>
      </c>
      <c r="C875" t="str" cm="1">
        <f t="array" ref="C875">_xlfn.IFS(B875&lt;=25,"15-25",B875&lt;=35,"26-35",B875&lt;=45,"36-45",B875&lt;=55,"46-55",B875&lt;=65,"56-65")</f>
        <v>15-25</v>
      </c>
      <c r="D875" t="s">
        <v>35</v>
      </c>
      <c r="E875" t="str">
        <f t="shared" si="26"/>
        <v>Current Employee</v>
      </c>
      <c r="F875" t="s">
        <v>36</v>
      </c>
      <c r="G875">
        <v>654</v>
      </c>
      <c r="H875" t="s">
        <v>37</v>
      </c>
      <c r="I875">
        <v>21</v>
      </c>
      <c r="J875">
        <v>3</v>
      </c>
      <c r="K875" t="s">
        <v>55</v>
      </c>
      <c r="L875">
        <v>1</v>
      </c>
      <c r="M875">
        <v>3</v>
      </c>
      <c r="N875" t="s">
        <v>46</v>
      </c>
      <c r="O875">
        <v>43</v>
      </c>
      <c r="P875">
        <v>4</v>
      </c>
      <c r="Q875">
        <v>1</v>
      </c>
      <c r="R875" t="s">
        <v>47</v>
      </c>
      <c r="S875">
        <v>4</v>
      </c>
      <c r="T875" t="str" cm="1">
        <f t="array" ref="T875">_xlfn.IFS(S875&lt;=2,"Poor",S875&lt;=3,"Fair",S875&gt;=4,"Good")</f>
        <v>Good</v>
      </c>
      <c r="U875" t="s">
        <v>41</v>
      </c>
      <c r="V875" s="1">
        <v>2678</v>
      </c>
      <c r="W875" t="str" cm="1">
        <f t="array" ref="W875">_xlfn.IFS(V875&lt;=5000,"Low Salary",V875&lt;=12000,"Good Salary",V875&gt;12000,"High Salary")</f>
        <v>Low Salary</v>
      </c>
      <c r="X875">
        <v>5050</v>
      </c>
      <c r="Y875">
        <v>1</v>
      </c>
      <c r="Z875" t="s">
        <v>42</v>
      </c>
      <c r="AA875" t="s">
        <v>35</v>
      </c>
      <c r="AB875">
        <v>17</v>
      </c>
      <c r="AC875">
        <v>3</v>
      </c>
      <c r="AD875" t="str">
        <f t="shared" si="27"/>
        <v>Low Performance</v>
      </c>
      <c r="AE875">
        <v>4</v>
      </c>
      <c r="AF875">
        <v>80</v>
      </c>
      <c r="AG875">
        <v>0</v>
      </c>
      <c r="AH875">
        <v>2</v>
      </c>
      <c r="AI875">
        <v>2</v>
      </c>
      <c r="AJ875">
        <v>3</v>
      </c>
      <c r="AK875" t="str" cm="1">
        <f t="array" ref="AK875">_xlfn.IFS(AJ875&lt;=2,"Poor",AJ875&lt;=3,"Fair",AJ875&gt;3,"Good")</f>
        <v>Fair</v>
      </c>
      <c r="AL875">
        <v>2</v>
      </c>
      <c r="AM875">
        <v>1</v>
      </c>
      <c r="AN875">
        <v>2</v>
      </c>
      <c r="AO875">
        <v>2</v>
      </c>
    </row>
    <row r="876" spans="1:41" x14ac:dyDescent="0.2">
      <c r="A876">
        <v>1126413</v>
      </c>
      <c r="B876">
        <v>46</v>
      </c>
      <c r="C876" t="str" cm="1">
        <f t="array" ref="C876">_xlfn.IFS(B876&lt;=25,"15-25",B876&lt;=35,"26-35",B876&lt;=45,"36-45",B876&lt;=55,"46-55",B876&lt;=65,"56-65")</f>
        <v>46-55</v>
      </c>
      <c r="D876" t="s">
        <v>35</v>
      </c>
      <c r="E876" t="str">
        <f t="shared" si="26"/>
        <v>Current Employee</v>
      </c>
      <c r="F876" t="s">
        <v>36</v>
      </c>
      <c r="G876">
        <v>150</v>
      </c>
      <c r="H876" t="s">
        <v>54</v>
      </c>
      <c r="I876">
        <v>2</v>
      </c>
      <c r="J876">
        <v>4</v>
      </c>
      <c r="K876" t="s">
        <v>56</v>
      </c>
      <c r="L876">
        <v>1</v>
      </c>
      <c r="M876">
        <v>4</v>
      </c>
      <c r="N876" t="s">
        <v>46</v>
      </c>
      <c r="O876">
        <v>60</v>
      </c>
      <c r="P876">
        <v>3</v>
      </c>
      <c r="Q876">
        <v>2</v>
      </c>
      <c r="R876" t="s">
        <v>51</v>
      </c>
      <c r="S876">
        <v>4</v>
      </c>
      <c r="T876" t="str" cm="1">
        <f t="array" ref="T876">_xlfn.IFS(S876&lt;=2,"Poor",S876&lt;=3,"Fair",S876&gt;=4,"Good")</f>
        <v>Good</v>
      </c>
      <c r="U876" t="s">
        <v>50</v>
      </c>
      <c r="V876" s="1">
        <v>7379</v>
      </c>
      <c r="W876" t="str" cm="1">
        <f t="array" ref="W876">_xlfn.IFS(V876&lt;=5000,"Low Salary",V876&lt;=12000,"Good Salary",V876&gt;12000,"High Salary")</f>
        <v>Good Salary</v>
      </c>
      <c r="X876">
        <v>17433</v>
      </c>
      <c r="Y876">
        <v>2</v>
      </c>
      <c r="Z876" t="s">
        <v>42</v>
      </c>
      <c r="AA876" t="s">
        <v>35</v>
      </c>
      <c r="AB876">
        <v>11</v>
      </c>
      <c r="AC876">
        <v>3</v>
      </c>
      <c r="AD876" t="str">
        <f t="shared" si="27"/>
        <v>Low Performance</v>
      </c>
      <c r="AE876">
        <v>3</v>
      </c>
      <c r="AF876">
        <v>80</v>
      </c>
      <c r="AG876">
        <v>1</v>
      </c>
      <c r="AH876">
        <v>12</v>
      </c>
      <c r="AI876">
        <v>3</v>
      </c>
      <c r="AJ876">
        <v>2</v>
      </c>
      <c r="AK876" t="str" cm="1">
        <f t="array" ref="AK876">_xlfn.IFS(AJ876&lt;=2,"Poor",AJ876&lt;=3,"Fair",AJ876&gt;3,"Good")</f>
        <v>Poor</v>
      </c>
      <c r="AL876">
        <v>6</v>
      </c>
      <c r="AM876">
        <v>3</v>
      </c>
      <c r="AN876">
        <v>1</v>
      </c>
      <c r="AO876">
        <v>4</v>
      </c>
    </row>
    <row r="877" spans="1:41" x14ac:dyDescent="0.2">
      <c r="A877">
        <v>1170535</v>
      </c>
      <c r="B877">
        <v>42</v>
      </c>
      <c r="C877" t="str" cm="1">
        <f t="array" ref="C877">_xlfn.IFS(B877&lt;=25,"15-25",B877&lt;=35,"26-35",B877&lt;=45,"36-45",B877&lt;=55,"46-55",B877&lt;=65,"56-65")</f>
        <v>36-45</v>
      </c>
      <c r="D877" t="s">
        <v>35</v>
      </c>
      <c r="E877" t="str">
        <f t="shared" si="26"/>
        <v>Current Employee</v>
      </c>
      <c r="F877" t="s">
        <v>52</v>
      </c>
      <c r="G877">
        <v>179</v>
      </c>
      <c r="H877" t="s">
        <v>54</v>
      </c>
      <c r="I877">
        <v>2</v>
      </c>
      <c r="J877">
        <v>5</v>
      </c>
      <c r="K877" t="s">
        <v>49</v>
      </c>
      <c r="L877">
        <v>1</v>
      </c>
      <c r="M877">
        <v>4</v>
      </c>
      <c r="N877" t="s">
        <v>46</v>
      </c>
      <c r="O877">
        <v>79</v>
      </c>
      <c r="P877">
        <v>4</v>
      </c>
      <c r="Q877">
        <v>2</v>
      </c>
      <c r="R877" t="s">
        <v>47</v>
      </c>
      <c r="S877">
        <v>1</v>
      </c>
      <c r="T877" t="str" cm="1">
        <f t="array" ref="T877">_xlfn.IFS(S877&lt;=2,"Poor",S877&lt;=3,"Fair",S877&gt;=4,"Good")</f>
        <v>Poor</v>
      </c>
      <c r="U877" t="s">
        <v>48</v>
      </c>
      <c r="V877" s="1">
        <v>6272</v>
      </c>
      <c r="W877" t="str" cm="1">
        <f t="array" ref="W877">_xlfn.IFS(V877&lt;=5000,"Low Salary",V877&lt;=12000,"Good Salary",V877&gt;12000,"High Salary")</f>
        <v>Good Salary</v>
      </c>
      <c r="X877">
        <v>12858</v>
      </c>
      <c r="Y877">
        <v>7</v>
      </c>
      <c r="Z877" t="s">
        <v>42</v>
      </c>
      <c r="AA877" t="s">
        <v>35</v>
      </c>
      <c r="AB877">
        <v>16</v>
      </c>
      <c r="AC877">
        <v>3</v>
      </c>
      <c r="AD877" t="str">
        <f t="shared" si="27"/>
        <v>Low Performance</v>
      </c>
      <c r="AE877">
        <v>1</v>
      </c>
      <c r="AF877">
        <v>80</v>
      </c>
      <c r="AG877">
        <v>1</v>
      </c>
      <c r="AH877">
        <v>10</v>
      </c>
      <c r="AI877">
        <v>3</v>
      </c>
      <c r="AJ877">
        <v>4</v>
      </c>
      <c r="AK877" t="str" cm="1">
        <f t="array" ref="AK877">_xlfn.IFS(AJ877&lt;=2,"Poor",AJ877&lt;=3,"Fair",AJ877&gt;3,"Good")</f>
        <v>Good</v>
      </c>
      <c r="AL877">
        <v>4</v>
      </c>
      <c r="AM877">
        <v>3</v>
      </c>
      <c r="AN877">
        <v>0</v>
      </c>
      <c r="AO877">
        <v>3</v>
      </c>
    </row>
    <row r="878" spans="1:41" x14ac:dyDescent="0.2">
      <c r="A878">
        <v>1520995</v>
      </c>
      <c r="B878">
        <v>60</v>
      </c>
      <c r="C878" t="str" cm="1">
        <f t="array" ref="C878">_xlfn.IFS(B878&lt;=25,"15-25",B878&lt;=35,"26-35",B878&lt;=45,"36-45",B878&lt;=55,"46-55",B878&lt;=65,"56-65")</f>
        <v>56-65</v>
      </c>
      <c r="D878" t="s">
        <v>35</v>
      </c>
      <c r="E878" t="str">
        <f t="shared" si="26"/>
        <v>Current Employee</v>
      </c>
      <c r="F878" t="s">
        <v>36</v>
      </c>
      <c r="G878">
        <v>696</v>
      </c>
      <c r="H878" t="s">
        <v>37</v>
      </c>
      <c r="I878">
        <v>7</v>
      </c>
      <c r="J878">
        <v>4</v>
      </c>
      <c r="K878" t="s">
        <v>55</v>
      </c>
      <c r="L878">
        <v>1</v>
      </c>
      <c r="M878">
        <v>2</v>
      </c>
      <c r="N878" t="s">
        <v>46</v>
      </c>
      <c r="O878">
        <v>52</v>
      </c>
      <c r="P878">
        <v>4</v>
      </c>
      <c r="Q878">
        <v>2</v>
      </c>
      <c r="R878" t="s">
        <v>40</v>
      </c>
      <c r="S878">
        <v>4</v>
      </c>
      <c r="T878" t="str" cm="1">
        <f t="array" ref="T878">_xlfn.IFS(S878&lt;=2,"Poor",S878&lt;=3,"Fair",S878&gt;=4,"Good")</f>
        <v>Good</v>
      </c>
      <c r="U878" t="s">
        <v>50</v>
      </c>
      <c r="V878" s="1">
        <v>5220</v>
      </c>
      <c r="W878" t="str" cm="1">
        <f t="array" ref="W878">_xlfn.IFS(V878&lt;=5000,"Low Salary",V878&lt;=12000,"Good Salary",V878&gt;12000,"High Salary")</f>
        <v>Good Salary</v>
      </c>
      <c r="X878">
        <v>10893</v>
      </c>
      <c r="Y878">
        <v>0</v>
      </c>
      <c r="Z878" t="s">
        <v>42</v>
      </c>
      <c r="AA878" t="s">
        <v>43</v>
      </c>
      <c r="AB878">
        <v>18</v>
      </c>
      <c r="AC878">
        <v>3</v>
      </c>
      <c r="AD878" t="str">
        <f t="shared" si="27"/>
        <v>Low Performance</v>
      </c>
      <c r="AE878">
        <v>2</v>
      </c>
      <c r="AF878">
        <v>80</v>
      </c>
      <c r="AG878">
        <v>1</v>
      </c>
      <c r="AH878">
        <v>12</v>
      </c>
      <c r="AI878">
        <v>3</v>
      </c>
      <c r="AJ878">
        <v>3</v>
      </c>
      <c r="AK878" t="str" cm="1">
        <f t="array" ref="AK878">_xlfn.IFS(AJ878&lt;=2,"Poor",AJ878&lt;=3,"Fair",AJ878&gt;3,"Good")</f>
        <v>Fair</v>
      </c>
      <c r="AL878">
        <v>11</v>
      </c>
      <c r="AM878">
        <v>7</v>
      </c>
      <c r="AN878">
        <v>1</v>
      </c>
      <c r="AO878">
        <v>9</v>
      </c>
    </row>
    <row r="879" spans="1:41" x14ac:dyDescent="0.2">
      <c r="A879">
        <v>1229290</v>
      </c>
      <c r="B879">
        <v>32</v>
      </c>
      <c r="C879" t="str" cm="1">
        <f t="array" ref="C879">_xlfn.IFS(B879&lt;=25,"15-25",B879&lt;=35,"26-35",B879&lt;=45,"36-45",B879&lt;=55,"46-55",B879&lt;=65,"56-65")</f>
        <v>26-35</v>
      </c>
      <c r="D879" t="s">
        <v>35</v>
      </c>
      <c r="E879" t="str">
        <f t="shared" si="26"/>
        <v>Current Employee</v>
      </c>
      <c r="F879" t="s">
        <v>44</v>
      </c>
      <c r="G879">
        <v>116</v>
      </c>
      <c r="H879" t="s">
        <v>45</v>
      </c>
      <c r="I879">
        <v>13</v>
      </c>
      <c r="J879">
        <v>3</v>
      </c>
      <c r="K879" t="s">
        <v>47</v>
      </c>
      <c r="L879">
        <v>1</v>
      </c>
      <c r="M879">
        <v>3</v>
      </c>
      <c r="N879" t="s">
        <v>39</v>
      </c>
      <c r="O879">
        <v>77</v>
      </c>
      <c r="P879">
        <v>2</v>
      </c>
      <c r="Q879">
        <v>1</v>
      </c>
      <c r="R879" t="s">
        <v>40</v>
      </c>
      <c r="S879">
        <v>2</v>
      </c>
      <c r="T879" t="str" cm="1">
        <f t="array" ref="T879">_xlfn.IFS(S879&lt;=2,"Poor",S879&lt;=3,"Fair",S879&gt;=4,"Good")</f>
        <v>Poor</v>
      </c>
      <c r="U879" t="s">
        <v>48</v>
      </c>
      <c r="V879" s="1">
        <v>2743</v>
      </c>
      <c r="W879" t="str" cm="1">
        <f t="array" ref="W879">_xlfn.IFS(V879&lt;=5000,"Low Salary",V879&lt;=12000,"Good Salary",V879&gt;12000,"High Salary")</f>
        <v>Low Salary</v>
      </c>
      <c r="X879">
        <v>7331</v>
      </c>
      <c r="Y879">
        <v>1</v>
      </c>
      <c r="Z879" t="s">
        <v>42</v>
      </c>
      <c r="AA879" t="s">
        <v>35</v>
      </c>
      <c r="AB879">
        <v>20</v>
      </c>
      <c r="AC879">
        <v>4</v>
      </c>
      <c r="AD879" t="str">
        <f t="shared" si="27"/>
        <v>High Performance</v>
      </c>
      <c r="AE879">
        <v>3</v>
      </c>
      <c r="AF879">
        <v>80</v>
      </c>
      <c r="AG879">
        <v>1</v>
      </c>
      <c r="AH879">
        <v>2</v>
      </c>
      <c r="AI879">
        <v>2</v>
      </c>
      <c r="AJ879">
        <v>3</v>
      </c>
      <c r="AK879" t="str" cm="1">
        <f t="array" ref="AK879">_xlfn.IFS(AJ879&lt;=2,"Poor",AJ879&lt;=3,"Fair",AJ879&gt;3,"Good")</f>
        <v>Fair</v>
      </c>
      <c r="AL879">
        <v>2</v>
      </c>
      <c r="AM879">
        <v>2</v>
      </c>
      <c r="AN879">
        <v>2</v>
      </c>
      <c r="AO879">
        <v>2</v>
      </c>
    </row>
    <row r="880" spans="1:41" x14ac:dyDescent="0.2">
      <c r="A880">
        <v>1034448</v>
      </c>
      <c r="B880">
        <v>32</v>
      </c>
      <c r="C880" t="str" cm="1">
        <f t="array" ref="C880">_xlfn.IFS(B880&lt;=25,"15-25",B880&lt;=35,"26-35",B880&lt;=45,"36-45",B880&lt;=55,"46-55",B880&lt;=65,"56-65")</f>
        <v>26-35</v>
      </c>
      <c r="D880" t="s">
        <v>35</v>
      </c>
      <c r="E880" t="str">
        <f t="shared" si="26"/>
        <v>Current Employee</v>
      </c>
      <c r="F880" t="s">
        <v>44</v>
      </c>
      <c r="G880">
        <v>1316</v>
      </c>
      <c r="H880" t="s">
        <v>45</v>
      </c>
      <c r="I880">
        <v>2</v>
      </c>
      <c r="J880">
        <v>2</v>
      </c>
      <c r="K880" t="s">
        <v>38</v>
      </c>
      <c r="L880">
        <v>1</v>
      </c>
      <c r="M880">
        <v>4</v>
      </c>
      <c r="N880" t="s">
        <v>39</v>
      </c>
      <c r="O880">
        <v>38</v>
      </c>
      <c r="P880">
        <v>3</v>
      </c>
      <c r="Q880">
        <v>2</v>
      </c>
      <c r="R880" t="s">
        <v>47</v>
      </c>
      <c r="S880">
        <v>3</v>
      </c>
      <c r="T880" t="str" cm="1">
        <f t="array" ref="T880">_xlfn.IFS(S880&lt;=2,"Poor",S880&lt;=3,"Fair",S880&gt;=4,"Good")</f>
        <v>Fair</v>
      </c>
      <c r="U880" t="s">
        <v>41</v>
      </c>
      <c r="V880" s="1">
        <v>4998</v>
      </c>
      <c r="W880" t="str" cm="1">
        <f t="array" ref="W880">_xlfn.IFS(V880&lt;=5000,"Low Salary",V880&lt;=12000,"Good Salary",V880&gt;12000,"High Salary")</f>
        <v>Low Salary</v>
      </c>
      <c r="X880">
        <v>2338</v>
      </c>
      <c r="Y880">
        <v>4</v>
      </c>
      <c r="Z880" t="s">
        <v>42</v>
      </c>
      <c r="AA880" t="s">
        <v>43</v>
      </c>
      <c r="AB880">
        <v>14</v>
      </c>
      <c r="AC880">
        <v>3</v>
      </c>
      <c r="AD880" t="str">
        <f t="shared" si="27"/>
        <v>Low Performance</v>
      </c>
      <c r="AE880">
        <v>4</v>
      </c>
      <c r="AF880">
        <v>80</v>
      </c>
      <c r="AG880">
        <v>0</v>
      </c>
      <c r="AH880">
        <v>10</v>
      </c>
      <c r="AI880">
        <v>2</v>
      </c>
      <c r="AJ880">
        <v>3</v>
      </c>
      <c r="AK880" t="str" cm="1">
        <f t="array" ref="AK880">_xlfn.IFS(AJ880&lt;=2,"Poor",AJ880&lt;=3,"Fair",AJ880&gt;3,"Good")</f>
        <v>Fair</v>
      </c>
      <c r="AL880">
        <v>8</v>
      </c>
      <c r="AM880">
        <v>7</v>
      </c>
      <c r="AN880">
        <v>0</v>
      </c>
      <c r="AO880">
        <v>7</v>
      </c>
    </row>
    <row r="881" spans="1:41" x14ac:dyDescent="0.2">
      <c r="A881">
        <v>1516924</v>
      </c>
      <c r="B881">
        <v>36</v>
      </c>
      <c r="C881" t="str" cm="1">
        <f t="array" ref="C881">_xlfn.IFS(B881&lt;=25,"15-25",B881&lt;=35,"26-35",B881&lt;=45,"36-45",B881&lt;=55,"46-55",B881&lt;=65,"56-65")</f>
        <v>36-45</v>
      </c>
      <c r="D881" t="s">
        <v>35</v>
      </c>
      <c r="E881" t="str">
        <f t="shared" si="26"/>
        <v>Current Employee</v>
      </c>
      <c r="F881" t="s">
        <v>36</v>
      </c>
      <c r="G881">
        <v>363</v>
      </c>
      <c r="H881" t="s">
        <v>54</v>
      </c>
      <c r="I881">
        <v>1</v>
      </c>
      <c r="J881">
        <v>3</v>
      </c>
      <c r="K881" t="s">
        <v>56</v>
      </c>
      <c r="L881">
        <v>1</v>
      </c>
      <c r="M881">
        <v>3</v>
      </c>
      <c r="N881" t="s">
        <v>39</v>
      </c>
      <c r="O881">
        <v>77</v>
      </c>
      <c r="P881">
        <v>1</v>
      </c>
      <c r="Q881">
        <v>3</v>
      </c>
      <c r="R881" t="s">
        <v>51</v>
      </c>
      <c r="S881">
        <v>1</v>
      </c>
      <c r="T881" t="str" cm="1">
        <f t="array" ref="T881">_xlfn.IFS(S881&lt;=2,"Poor",S881&lt;=3,"Fair",S881&gt;=4,"Good")</f>
        <v>Poor</v>
      </c>
      <c r="U881" t="s">
        <v>50</v>
      </c>
      <c r="V881" s="1">
        <v>10252</v>
      </c>
      <c r="W881" t="str" cm="1">
        <f t="array" ref="W881">_xlfn.IFS(V881&lt;=5000,"Low Salary",V881&lt;=12000,"Good Salary",V881&gt;12000,"High Salary")</f>
        <v>Good Salary</v>
      </c>
      <c r="X881">
        <v>4235</v>
      </c>
      <c r="Y881">
        <v>2</v>
      </c>
      <c r="Z881" t="s">
        <v>42</v>
      </c>
      <c r="AA881" t="s">
        <v>43</v>
      </c>
      <c r="AB881">
        <v>21</v>
      </c>
      <c r="AC881">
        <v>4</v>
      </c>
      <c r="AD881" t="str">
        <f t="shared" si="27"/>
        <v>High Performance</v>
      </c>
      <c r="AE881">
        <v>3</v>
      </c>
      <c r="AF881">
        <v>80</v>
      </c>
      <c r="AG881">
        <v>1</v>
      </c>
      <c r="AH881">
        <v>17</v>
      </c>
      <c r="AI881">
        <v>2</v>
      </c>
      <c r="AJ881">
        <v>3</v>
      </c>
      <c r="AK881" t="str" cm="1">
        <f t="array" ref="AK881">_xlfn.IFS(AJ881&lt;=2,"Poor",AJ881&lt;=3,"Fair",AJ881&gt;3,"Good")</f>
        <v>Fair</v>
      </c>
      <c r="AL881">
        <v>7</v>
      </c>
      <c r="AM881">
        <v>7</v>
      </c>
      <c r="AN881">
        <v>7</v>
      </c>
      <c r="AO881">
        <v>7</v>
      </c>
    </row>
    <row r="882" spans="1:41" x14ac:dyDescent="0.2">
      <c r="A882">
        <v>1487583</v>
      </c>
      <c r="B882">
        <v>33</v>
      </c>
      <c r="C882" t="str" cm="1">
        <f t="array" ref="C882">_xlfn.IFS(B882&lt;=25,"15-25",B882&lt;=35,"26-35",B882&lt;=45,"36-45",B882&lt;=55,"46-55",B882&lt;=65,"56-65")</f>
        <v>26-35</v>
      </c>
      <c r="D882" t="s">
        <v>35</v>
      </c>
      <c r="E882" t="str">
        <f t="shared" si="26"/>
        <v>Current Employee</v>
      </c>
      <c r="F882" t="s">
        <v>36</v>
      </c>
      <c r="G882">
        <v>117</v>
      </c>
      <c r="H882" t="s">
        <v>45</v>
      </c>
      <c r="I882">
        <v>9</v>
      </c>
      <c r="J882">
        <v>3</v>
      </c>
      <c r="K882" t="s">
        <v>49</v>
      </c>
      <c r="L882">
        <v>1</v>
      </c>
      <c r="M882">
        <v>1</v>
      </c>
      <c r="N882" t="s">
        <v>46</v>
      </c>
      <c r="O882">
        <v>60</v>
      </c>
      <c r="P882">
        <v>3</v>
      </c>
      <c r="Q882">
        <v>1</v>
      </c>
      <c r="R882" t="s">
        <v>47</v>
      </c>
      <c r="S882">
        <v>4</v>
      </c>
      <c r="T882" t="str" cm="1">
        <f t="array" ref="T882">_xlfn.IFS(S882&lt;=2,"Poor",S882&lt;=3,"Fair",S882&gt;=4,"Good")</f>
        <v>Good</v>
      </c>
      <c r="U882" t="s">
        <v>48</v>
      </c>
      <c r="V882" s="1">
        <v>2781</v>
      </c>
      <c r="W882" t="str" cm="1">
        <f t="array" ref="W882">_xlfn.IFS(V882&lt;=5000,"Low Salary",V882&lt;=12000,"Good Salary",V882&gt;12000,"High Salary")</f>
        <v>Low Salary</v>
      </c>
      <c r="X882">
        <v>6311</v>
      </c>
      <c r="Y882">
        <v>0</v>
      </c>
      <c r="Z882" t="s">
        <v>42</v>
      </c>
      <c r="AA882" t="s">
        <v>35</v>
      </c>
      <c r="AB882">
        <v>13</v>
      </c>
      <c r="AC882">
        <v>3</v>
      </c>
      <c r="AD882" t="str">
        <f t="shared" si="27"/>
        <v>Low Performance</v>
      </c>
      <c r="AE882">
        <v>2</v>
      </c>
      <c r="AF882">
        <v>80</v>
      </c>
      <c r="AG882">
        <v>1</v>
      </c>
      <c r="AH882">
        <v>15</v>
      </c>
      <c r="AI882">
        <v>5</v>
      </c>
      <c r="AJ882">
        <v>3</v>
      </c>
      <c r="AK882" t="str" cm="1">
        <f t="array" ref="AK882">_xlfn.IFS(AJ882&lt;=2,"Poor",AJ882&lt;=3,"Fair",AJ882&gt;3,"Good")</f>
        <v>Fair</v>
      </c>
      <c r="AL882">
        <v>14</v>
      </c>
      <c r="AM882">
        <v>10</v>
      </c>
      <c r="AN882">
        <v>4</v>
      </c>
      <c r="AO882">
        <v>10</v>
      </c>
    </row>
    <row r="883" spans="1:41" x14ac:dyDescent="0.2">
      <c r="A883">
        <v>1516360</v>
      </c>
      <c r="B883">
        <v>40</v>
      </c>
      <c r="C883" t="str" cm="1">
        <f t="array" ref="C883">_xlfn.IFS(B883&lt;=25,"15-25",B883&lt;=35,"26-35",B883&lt;=45,"36-45",B883&lt;=55,"46-55",B883&lt;=65,"56-65")</f>
        <v>36-45</v>
      </c>
      <c r="D883" t="s">
        <v>35</v>
      </c>
      <c r="E883" t="str">
        <f t="shared" si="26"/>
        <v>Current Employee</v>
      </c>
      <c r="F883" t="s">
        <v>36</v>
      </c>
      <c r="G883">
        <v>107</v>
      </c>
      <c r="H883" t="s">
        <v>37</v>
      </c>
      <c r="I883">
        <v>10</v>
      </c>
      <c r="J883">
        <v>3</v>
      </c>
      <c r="K883" t="s">
        <v>56</v>
      </c>
      <c r="L883">
        <v>1</v>
      </c>
      <c r="M883">
        <v>2</v>
      </c>
      <c r="N883" t="s">
        <v>39</v>
      </c>
      <c r="O883">
        <v>84</v>
      </c>
      <c r="P883">
        <v>2</v>
      </c>
      <c r="Q883">
        <v>2</v>
      </c>
      <c r="R883" t="s">
        <v>40</v>
      </c>
      <c r="S883">
        <v>2</v>
      </c>
      <c r="T883" t="str" cm="1">
        <f t="array" ref="T883">_xlfn.IFS(S883&lt;=2,"Poor",S883&lt;=3,"Fair",S883&gt;=4,"Good")</f>
        <v>Poor</v>
      </c>
      <c r="U883" t="s">
        <v>50</v>
      </c>
      <c r="V883" s="1">
        <v>6852</v>
      </c>
      <c r="W883" t="str" cm="1">
        <f t="array" ref="W883">_xlfn.IFS(V883&lt;=5000,"Low Salary",V883&lt;=12000,"Good Salary",V883&gt;12000,"High Salary")</f>
        <v>Good Salary</v>
      </c>
      <c r="X883">
        <v>11591</v>
      </c>
      <c r="Y883">
        <v>7</v>
      </c>
      <c r="Z883" t="s">
        <v>42</v>
      </c>
      <c r="AA883" t="s">
        <v>35</v>
      </c>
      <c r="AB883">
        <v>12</v>
      </c>
      <c r="AC883">
        <v>3</v>
      </c>
      <c r="AD883" t="str">
        <f t="shared" si="27"/>
        <v>Low Performance</v>
      </c>
      <c r="AE883">
        <v>2</v>
      </c>
      <c r="AF883">
        <v>80</v>
      </c>
      <c r="AG883">
        <v>1</v>
      </c>
      <c r="AH883">
        <v>7</v>
      </c>
      <c r="AI883">
        <v>2</v>
      </c>
      <c r="AJ883">
        <v>4</v>
      </c>
      <c r="AK883" t="str" cm="1">
        <f t="array" ref="AK883">_xlfn.IFS(AJ883&lt;=2,"Poor",AJ883&lt;=3,"Fair",AJ883&gt;3,"Good")</f>
        <v>Good</v>
      </c>
      <c r="AL883">
        <v>5</v>
      </c>
      <c r="AM883">
        <v>1</v>
      </c>
      <c r="AN883">
        <v>1</v>
      </c>
      <c r="AO883">
        <v>3</v>
      </c>
    </row>
    <row r="884" spans="1:41" x14ac:dyDescent="0.2">
      <c r="A884">
        <v>1384279</v>
      </c>
      <c r="B884">
        <v>25</v>
      </c>
      <c r="C884" t="str" cm="1">
        <f t="array" ref="C884">_xlfn.IFS(B884&lt;=25,"15-25",B884&lt;=35,"26-35",B884&lt;=45,"36-45",B884&lt;=55,"46-55",B884&lt;=65,"56-65")</f>
        <v>15-25</v>
      </c>
      <c r="D884" t="s">
        <v>35</v>
      </c>
      <c r="E884" t="str">
        <f t="shared" si="26"/>
        <v>Current Employee</v>
      </c>
      <c r="F884" t="s">
        <v>36</v>
      </c>
      <c r="G884">
        <v>1356</v>
      </c>
      <c r="H884" t="s">
        <v>37</v>
      </c>
      <c r="I884">
        <v>10</v>
      </c>
      <c r="J884">
        <v>4</v>
      </c>
      <c r="K884" t="s">
        <v>38</v>
      </c>
      <c r="L884">
        <v>1</v>
      </c>
      <c r="M884">
        <v>3</v>
      </c>
      <c r="N884" t="s">
        <v>46</v>
      </c>
      <c r="O884">
        <v>57</v>
      </c>
      <c r="P884">
        <v>3</v>
      </c>
      <c r="Q884">
        <v>2</v>
      </c>
      <c r="R884" t="s">
        <v>40</v>
      </c>
      <c r="S884">
        <v>4</v>
      </c>
      <c r="T884" t="str" cm="1">
        <f t="array" ref="T884">_xlfn.IFS(S884&lt;=2,"Poor",S884&lt;=3,"Fair",S884&gt;=4,"Good")</f>
        <v>Good</v>
      </c>
      <c r="U884" t="s">
        <v>41</v>
      </c>
      <c r="V884" s="1">
        <v>4950</v>
      </c>
      <c r="W884" t="str" cm="1">
        <f t="array" ref="W884">_xlfn.IFS(V884&lt;=5000,"Low Salary",V884&lt;=12000,"Good Salary",V884&gt;12000,"High Salary")</f>
        <v>Low Salary</v>
      </c>
      <c r="X884">
        <v>20623</v>
      </c>
      <c r="Y884">
        <v>0</v>
      </c>
      <c r="Z884" t="s">
        <v>42</v>
      </c>
      <c r="AA884" t="s">
        <v>35</v>
      </c>
      <c r="AB884">
        <v>14</v>
      </c>
      <c r="AC884">
        <v>3</v>
      </c>
      <c r="AD884" t="str">
        <f t="shared" si="27"/>
        <v>Low Performance</v>
      </c>
      <c r="AE884">
        <v>2</v>
      </c>
      <c r="AF884">
        <v>80</v>
      </c>
      <c r="AG884">
        <v>0</v>
      </c>
      <c r="AH884">
        <v>5</v>
      </c>
      <c r="AI884">
        <v>4</v>
      </c>
      <c r="AJ884">
        <v>3</v>
      </c>
      <c r="AK884" t="str" cm="1">
        <f t="array" ref="AK884">_xlfn.IFS(AJ884&lt;=2,"Poor",AJ884&lt;=3,"Fair",AJ884&gt;3,"Good")</f>
        <v>Fair</v>
      </c>
      <c r="AL884">
        <v>4</v>
      </c>
      <c r="AM884">
        <v>3</v>
      </c>
      <c r="AN884">
        <v>1</v>
      </c>
      <c r="AO884">
        <v>1</v>
      </c>
    </row>
    <row r="885" spans="1:41" x14ac:dyDescent="0.2">
      <c r="A885">
        <v>1658193</v>
      </c>
      <c r="B885">
        <v>30</v>
      </c>
      <c r="C885" t="str" cm="1">
        <f t="array" ref="C885">_xlfn.IFS(B885&lt;=25,"15-25",B885&lt;=35,"26-35",B885&lt;=45,"36-45",B885&lt;=55,"46-55",B885&lt;=65,"56-65")</f>
        <v>26-35</v>
      </c>
      <c r="D885" t="s">
        <v>35</v>
      </c>
      <c r="E885" t="str">
        <f t="shared" si="26"/>
        <v>Current Employee</v>
      </c>
      <c r="F885" t="s">
        <v>36</v>
      </c>
      <c r="G885">
        <v>1465</v>
      </c>
      <c r="H885" t="s">
        <v>45</v>
      </c>
      <c r="I885">
        <v>1</v>
      </c>
      <c r="J885">
        <v>3</v>
      </c>
      <c r="K885" t="s">
        <v>49</v>
      </c>
      <c r="L885">
        <v>1</v>
      </c>
      <c r="M885">
        <v>4</v>
      </c>
      <c r="N885" t="s">
        <v>46</v>
      </c>
      <c r="O885">
        <v>63</v>
      </c>
      <c r="P885">
        <v>3</v>
      </c>
      <c r="Q885">
        <v>1</v>
      </c>
      <c r="R885" t="s">
        <v>47</v>
      </c>
      <c r="S885">
        <v>2</v>
      </c>
      <c r="T885" t="str" cm="1">
        <f t="array" ref="T885">_xlfn.IFS(S885&lt;=2,"Poor",S885&lt;=3,"Fair",S885&gt;=4,"Good")</f>
        <v>Poor</v>
      </c>
      <c r="U885" t="s">
        <v>48</v>
      </c>
      <c r="V885" s="1">
        <v>3579</v>
      </c>
      <c r="W885" t="str" cm="1">
        <f t="array" ref="W885">_xlfn.IFS(V885&lt;=5000,"Low Salary",V885&lt;=12000,"Good Salary",V885&gt;12000,"High Salary")</f>
        <v>Low Salary</v>
      </c>
      <c r="X885">
        <v>9369</v>
      </c>
      <c r="Y885">
        <v>0</v>
      </c>
      <c r="Z885" t="s">
        <v>42</v>
      </c>
      <c r="AA885" t="s">
        <v>43</v>
      </c>
      <c r="AB885">
        <v>21</v>
      </c>
      <c r="AC885">
        <v>4</v>
      </c>
      <c r="AD885" t="str">
        <f t="shared" si="27"/>
        <v>High Performance</v>
      </c>
      <c r="AE885">
        <v>1</v>
      </c>
      <c r="AF885">
        <v>80</v>
      </c>
      <c r="AG885">
        <v>1</v>
      </c>
      <c r="AH885">
        <v>12</v>
      </c>
      <c r="AI885">
        <v>2</v>
      </c>
      <c r="AJ885">
        <v>3</v>
      </c>
      <c r="AK885" t="str" cm="1">
        <f t="array" ref="AK885">_xlfn.IFS(AJ885&lt;=2,"Poor",AJ885&lt;=3,"Fair",AJ885&gt;3,"Good")</f>
        <v>Fair</v>
      </c>
      <c r="AL885">
        <v>11</v>
      </c>
      <c r="AM885">
        <v>9</v>
      </c>
      <c r="AN885">
        <v>5</v>
      </c>
      <c r="AO885">
        <v>7</v>
      </c>
    </row>
    <row r="886" spans="1:41" x14ac:dyDescent="0.2">
      <c r="A886">
        <v>1645050</v>
      </c>
      <c r="B886">
        <v>42</v>
      </c>
      <c r="C886" t="str" cm="1">
        <f t="array" ref="C886">_xlfn.IFS(B886&lt;=25,"15-25",B886&lt;=35,"26-35",B886&lt;=45,"36-45",B886&lt;=55,"46-55",B886&lt;=65,"56-65")</f>
        <v>36-45</v>
      </c>
      <c r="D886" t="s">
        <v>35</v>
      </c>
      <c r="E886" t="str">
        <f t="shared" si="26"/>
        <v>Current Employee</v>
      </c>
      <c r="F886" t="s">
        <v>44</v>
      </c>
      <c r="G886">
        <v>458</v>
      </c>
      <c r="H886" t="s">
        <v>45</v>
      </c>
      <c r="I886">
        <v>26</v>
      </c>
      <c r="J886">
        <v>5</v>
      </c>
      <c r="K886" t="s">
        <v>49</v>
      </c>
      <c r="L886">
        <v>1</v>
      </c>
      <c r="M886">
        <v>1</v>
      </c>
      <c r="N886" t="s">
        <v>39</v>
      </c>
      <c r="O886">
        <v>60</v>
      </c>
      <c r="P886">
        <v>3</v>
      </c>
      <c r="Q886">
        <v>3</v>
      </c>
      <c r="R886" t="s">
        <v>53</v>
      </c>
      <c r="S886">
        <v>1</v>
      </c>
      <c r="T886" t="str" cm="1">
        <f t="array" ref="T886">_xlfn.IFS(S886&lt;=2,"Poor",S886&lt;=3,"Fair",S886&gt;=4,"Good")</f>
        <v>Poor</v>
      </c>
      <c r="U886" t="s">
        <v>48</v>
      </c>
      <c r="V886" s="1">
        <v>13191</v>
      </c>
      <c r="W886" t="str" cm="1">
        <f t="array" ref="W886">_xlfn.IFS(V886&lt;=5000,"Low Salary",V886&lt;=12000,"Good Salary",V886&gt;12000,"High Salary")</f>
        <v>High Salary</v>
      </c>
      <c r="X886">
        <v>23281</v>
      </c>
      <c r="Y886">
        <v>3</v>
      </c>
      <c r="Z886" t="s">
        <v>42</v>
      </c>
      <c r="AA886" t="s">
        <v>43</v>
      </c>
      <c r="AB886">
        <v>17</v>
      </c>
      <c r="AC886">
        <v>3</v>
      </c>
      <c r="AD886" t="str">
        <f t="shared" si="27"/>
        <v>Low Performance</v>
      </c>
      <c r="AE886">
        <v>3</v>
      </c>
      <c r="AF886">
        <v>80</v>
      </c>
      <c r="AG886">
        <v>0</v>
      </c>
      <c r="AH886">
        <v>20</v>
      </c>
      <c r="AI886">
        <v>6</v>
      </c>
      <c r="AJ886">
        <v>3</v>
      </c>
      <c r="AK886" t="str" cm="1">
        <f t="array" ref="AK886">_xlfn.IFS(AJ886&lt;=2,"Poor",AJ886&lt;=3,"Fair",AJ886&gt;3,"Good")</f>
        <v>Fair</v>
      </c>
      <c r="AL886">
        <v>1</v>
      </c>
      <c r="AM886">
        <v>0</v>
      </c>
      <c r="AN886">
        <v>0</v>
      </c>
      <c r="AO886">
        <v>0</v>
      </c>
    </row>
    <row r="887" spans="1:41" x14ac:dyDescent="0.2">
      <c r="A887">
        <v>1695470</v>
      </c>
      <c r="B887">
        <v>35</v>
      </c>
      <c r="C887" t="str" cm="1">
        <f t="array" ref="C887">_xlfn.IFS(B887&lt;=25,"15-25",B887&lt;=35,"26-35",B887&lt;=45,"36-45",B887&lt;=55,"46-55",B887&lt;=65,"56-65")</f>
        <v>26-35</v>
      </c>
      <c r="D887" t="s">
        <v>35</v>
      </c>
      <c r="E887" t="str">
        <f t="shared" si="26"/>
        <v>Current Employee</v>
      </c>
      <c r="F887" t="s">
        <v>52</v>
      </c>
      <c r="G887">
        <v>1212</v>
      </c>
      <c r="H887" t="s">
        <v>37</v>
      </c>
      <c r="I887">
        <v>8</v>
      </c>
      <c r="J887">
        <v>2</v>
      </c>
      <c r="K887" t="s">
        <v>55</v>
      </c>
      <c r="L887">
        <v>1</v>
      </c>
      <c r="M887">
        <v>3</v>
      </c>
      <c r="N887" t="s">
        <v>39</v>
      </c>
      <c r="O887">
        <v>78</v>
      </c>
      <c r="P887">
        <v>2</v>
      </c>
      <c r="Q887">
        <v>3</v>
      </c>
      <c r="R887" t="s">
        <v>40</v>
      </c>
      <c r="S887">
        <v>4</v>
      </c>
      <c r="T887" t="str" cm="1">
        <f t="array" ref="T887">_xlfn.IFS(S887&lt;=2,"Poor",S887&lt;=3,"Fair",S887&gt;=4,"Good")</f>
        <v>Good</v>
      </c>
      <c r="U887" t="s">
        <v>48</v>
      </c>
      <c r="V887" s="1">
        <v>10377</v>
      </c>
      <c r="W887" t="str" cm="1">
        <f t="array" ref="W887">_xlfn.IFS(V887&lt;=5000,"Low Salary",V887&lt;=12000,"Good Salary",V887&gt;12000,"High Salary")</f>
        <v>Good Salary</v>
      </c>
      <c r="X887">
        <v>13755</v>
      </c>
      <c r="Y887">
        <v>4</v>
      </c>
      <c r="Z887" t="s">
        <v>42</v>
      </c>
      <c r="AA887" t="s">
        <v>43</v>
      </c>
      <c r="AB887">
        <v>11</v>
      </c>
      <c r="AC887">
        <v>3</v>
      </c>
      <c r="AD887" t="str">
        <f t="shared" si="27"/>
        <v>Low Performance</v>
      </c>
      <c r="AE887">
        <v>2</v>
      </c>
      <c r="AF887">
        <v>80</v>
      </c>
      <c r="AG887">
        <v>1</v>
      </c>
      <c r="AH887">
        <v>16</v>
      </c>
      <c r="AI887">
        <v>6</v>
      </c>
      <c r="AJ887">
        <v>2</v>
      </c>
      <c r="AK887" t="str" cm="1">
        <f t="array" ref="AK887">_xlfn.IFS(AJ887&lt;=2,"Poor",AJ887&lt;=3,"Fair",AJ887&gt;3,"Good")</f>
        <v>Poor</v>
      </c>
      <c r="AL887">
        <v>13</v>
      </c>
      <c r="AM887">
        <v>2</v>
      </c>
      <c r="AN887">
        <v>4</v>
      </c>
      <c r="AO887">
        <v>12</v>
      </c>
    </row>
    <row r="888" spans="1:41" x14ac:dyDescent="0.2">
      <c r="A888">
        <v>1362336</v>
      </c>
      <c r="B888">
        <v>27</v>
      </c>
      <c r="C888" t="str" cm="1">
        <f t="array" ref="C888">_xlfn.IFS(B888&lt;=25,"15-25",B888&lt;=35,"26-35",B888&lt;=45,"36-45",B888&lt;=55,"46-55",B888&lt;=65,"56-65")</f>
        <v>26-35</v>
      </c>
      <c r="D888" t="s">
        <v>35</v>
      </c>
      <c r="E888" t="str">
        <f t="shared" si="26"/>
        <v>Current Employee</v>
      </c>
      <c r="F888" t="s">
        <v>36</v>
      </c>
      <c r="G888">
        <v>1103</v>
      </c>
      <c r="H888" t="s">
        <v>45</v>
      </c>
      <c r="I888">
        <v>14</v>
      </c>
      <c r="J888">
        <v>3</v>
      </c>
      <c r="K888" t="s">
        <v>38</v>
      </c>
      <c r="L888">
        <v>1</v>
      </c>
      <c r="M888">
        <v>1</v>
      </c>
      <c r="N888" t="s">
        <v>46</v>
      </c>
      <c r="O888">
        <v>42</v>
      </c>
      <c r="P888">
        <v>3</v>
      </c>
      <c r="Q888">
        <v>1</v>
      </c>
      <c r="R888" t="s">
        <v>47</v>
      </c>
      <c r="S888">
        <v>1</v>
      </c>
      <c r="T888" t="str" cm="1">
        <f t="array" ref="T888">_xlfn.IFS(S888&lt;=2,"Poor",S888&lt;=3,"Fair",S888&gt;=4,"Good")</f>
        <v>Poor</v>
      </c>
      <c r="U888" t="s">
        <v>48</v>
      </c>
      <c r="V888" s="1">
        <v>2235</v>
      </c>
      <c r="W888" t="str" cm="1">
        <f t="array" ref="W888">_xlfn.IFS(V888&lt;=5000,"Low Salary",V888&lt;=12000,"Good Salary",V888&gt;12000,"High Salary")</f>
        <v>Low Salary</v>
      </c>
      <c r="X888">
        <v>14377</v>
      </c>
      <c r="Y888">
        <v>1</v>
      </c>
      <c r="Z888" t="s">
        <v>42</v>
      </c>
      <c r="AA888" t="s">
        <v>43</v>
      </c>
      <c r="AB888">
        <v>14</v>
      </c>
      <c r="AC888">
        <v>3</v>
      </c>
      <c r="AD888" t="str">
        <f t="shared" si="27"/>
        <v>Low Performance</v>
      </c>
      <c r="AE888">
        <v>4</v>
      </c>
      <c r="AF888">
        <v>80</v>
      </c>
      <c r="AG888">
        <v>2</v>
      </c>
      <c r="AH888">
        <v>9</v>
      </c>
      <c r="AI888">
        <v>3</v>
      </c>
      <c r="AJ888">
        <v>2</v>
      </c>
      <c r="AK888" t="str" cm="1">
        <f t="array" ref="AK888">_xlfn.IFS(AJ888&lt;=2,"Poor",AJ888&lt;=3,"Fair",AJ888&gt;3,"Good")</f>
        <v>Poor</v>
      </c>
      <c r="AL888">
        <v>9</v>
      </c>
      <c r="AM888">
        <v>7</v>
      </c>
      <c r="AN888">
        <v>6</v>
      </c>
      <c r="AO888">
        <v>8</v>
      </c>
    </row>
    <row r="889" spans="1:41" x14ac:dyDescent="0.2">
      <c r="A889">
        <v>1442702</v>
      </c>
      <c r="B889">
        <v>54</v>
      </c>
      <c r="C889" t="str" cm="1">
        <f t="array" ref="C889">_xlfn.IFS(B889&lt;=25,"15-25",B889&lt;=35,"26-35",B889&lt;=45,"36-45",B889&lt;=55,"46-55",B889&lt;=65,"56-65")</f>
        <v>46-55</v>
      </c>
      <c r="D889" t="s">
        <v>35</v>
      </c>
      <c r="E889" t="str">
        <f t="shared" si="26"/>
        <v>Current Employee</v>
      </c>
      <c r="F889" t="s">
        <v>44</v>
      </c>
      <c r="G889">
        <v>966</v>
      </c>
      <c r="H889" t="s">
        <v>54</v>
      </c>
      <c r="I889">
        <v>1</v>
      </c>
      <c r="J889">
        <v>4</v>
      </c>
      <c r="K889" t="s">
        <v>38</v>
      </c>
      <c r="L889">
        <v>1</v>
      </c>
      <c r="M889">
        <v>4</v>
      </c>
      <c r="N889" t="s">
        <v>39</v>
      </c>
      <c r="O889">
        <v>53</v>
      </c>
      <c r="P889">
        <v>3</v>
      </c>
      <c r="Q889">
        <v>3</v>
      </c>
      <c r="R889" t="s">
        <v>51</v>
      </c>
      <c r="S889">
        <v>3</v>
      </c>
      <c r="T889" t="str" cm="1">
        <f t="array" ref="T889">_xlfn.IFS(S889&lt;=2,"Poor",S889&lt;=3,"Fair",S889&gt;=4,"Good")</f>
        <v>Fair</v>
      </c>
      <c r="U889" t="s">
        <v>50</v>
      </c>
      <c r="V889" s="1">
        <v>10502</v>
      </c>
      <c r="W889" t="str" cm="1">
        <f t="array" ref="W889">_xlfn.IFS(V889&lt;=5000,"Low Salary",V889&lt;=12000,"Good Salary",V889&gt;12000,"High Salary")</f>
        <v>Good Salary</v>
      </c>
      <c r="X889">
        <v>9659</v>
      </c>
      <c r="Y889">
        <v>7</v>
      </c>
      <c r="Z889" t="s">
        <v>42</v>
      </c>
      <c r="AA889" t="s">
        <v>35</v>
      </c>
      <c r="AB889">
        <v>17</v>
      </c>
      <c r="AC889">
        <v>3</v>
      </c>
      <c r="AD889" t="str">
        <f t="shared" si="27"/>
        <v>Low Performance</v>
      </c>
      <c r="AE889">
        <v>1</v>
      </c>
      <c r="AF889">
        <v>80</v>
      </c>
      <c r="AG889">
        <v>1</v>
      </c>
      <c r="AH889">
        <v>33</v>
      </c>
      <c r="AI889">
        <v>2</v>
      </c>
      <c r="AJ889">
        <v>1</v>
      </c>
      <c r="AK889" t="str" cm="1">
        <f t="array" ref="AK889">_xlfn.IFS(AJ889&lt;=2,"Poor",AJ889&lt;=3,"Fair",AJ889&gt;3,"Good")</f>
        <v>Poor</v>
      </c>
      <c r="AL889">
        <v>5</v>
      </c>
      <c r="AM889">
        <v>4</v>
      </c>
      <c r="AN889">
        <v>1</v>
      </c>
      <c r="AO889">
        <v>4</v>
      </c>
    </row>
    <row r="890" spans="1:41" x14ac:dyDescent="0.2">
      <c r="A890">
        <v>1226564</v>
      </c>
      <c r="B890">
        <v>44</v>
      </c>
      <c r="C890" t="str" cm="1">
        <f t="array" ref="C890">_xlfn.IFS(B890&lt;=25,"15-25",B890&lt;=35,"26-35",B890&lt;=45,"36-45",B890&lt;=55,"46-55",B890&lt;=65,"56-65")</f>
        <v>36-45</v>
      </c>
      <c r="D890" t="s">
        <v>35</v>
      </c>
      <c r="E890" t="str">
        <f t="shared" si="26"/>
        <v>Current Employee</v>
      </c>
      <c r="F890" t="s">
        <v>36</v>
      </c>
      <c r="G890">
        <v>1117</v>
      </c>
      <c r="H890" t="s">
        <v>45</v>
      </c>
      <c r="I890">
        <v>2</v>
      </c>
      <c r="J890">
        <v>1</v>
      </c>
      <c r="K890" t="s">
        <v>38</v>
      </c>
      <c r="L890">
        <v>1</v>
      </c>
      <c r="M890">
        <v>1</v>
      </c>
      <c r="N890" t="s">
        <v>39</v>
      </c>
      <c r="O890">
        <v>72</v>
      </c>
      <c r="P890">
        <v>4</v>
      </c>
      <c r="Q890">
        <v>1</v>
      </c>
      <c r="R890" t="s">
        <v>47</v>
      </c>
      <c r="S890">
        <v>4</v>
      </c>
      <c r="T890" t="str" cm="1">
        <f t="array" ref="T890">_xlfn.IFS(S890&lt;=2,"Poor",S890&lt;=3,"Fair",S890&gt;=4,"Good")</f>
        <v>Good</v>
      </c>
      <c r="U890" t="s">
        <v>48</v>
      </c>
      <c r="V890" s="1">
        <v>2011</v>
      </c>
      <c r="W890" t="str" cm="1">
        <f t="array" ref="W890">_xlfn.IFS(V890&lt;=5000,"Low Salary",V890&lt;=12000,"Good Salary",V890&gt;12000,"High Salary")</f>
        <v>Low Salary</v>
      </c>
      <c r="X890">
        <v>19982</v>
      </c>
      <c r="Y890">
        <v>1</v>
      </c>
      <c r="Z890" t="s">
        <v>42</v>
      </c>
      <c r="AA890" t="s">
        <v>35</v>
      </c>
      <c r="AB890">
        <v>13</v>
      </c>
      <c r="AC890">
        <v>3</v>
      </c>
      <c r="AD890" t="str">
        <f t="shared" si="27"/>
        <v>Low Performance</v>
      </c>
      <c r="AE890">
        <v>4</v>
      </c>
      <c r="AF890">
        <v>80</v>
      </c>
      <c r="AG890">
        <v>1</v>
      </c>
      <c r="AH890">
        <v>10</v>
      </c>
      <c r="AI890">
        <v>5</v>
      </c>
      <c r="AJ890">
        <v>3</v>
      </c>
      <c r="AK890" t="str" cm="1">
        <f t="array" ref="AK890">_xlfn.IFS(AJ890&lt;=2,"Poor",AJ890&lt;=3,"Fair",AJ890&gt;3,"Good")</f>
        <v>Fair</v>
      </c>
      <c r="AL890">
        <v>10</v>
      </c>
      <c r="AM890">
        <v>5</v>
      </c>
      <c r="AN890">
        <v>7</v>
      </c>
      <c r="AO890">
        <v>7</v>
      </c>
    </row>
    <row r="891" spans="1:41" x14ac:dyDescent="0.2">
      <c r="A891">
        <v>1245033</v>
      </c>
      <c r="B891">
        <v>19</v>
      </c>
      <c r="C891" t="str" cm="1">
        <f t="array" ref="C891">_xlfn.IFS(B891&lt;=25,"15-25",B891&lt;=35,"26-35",B891&lt;=45,"36-45",B891&lt;=55,"46-55",B891&lt;=65,"56-65")</f>
        <v>15-25</v>
      </c>
      <c r="D891" t="s">
        <v>43</v>
      </c>
      <c r="E891" t="str">
        <f t="shared" si="26"/>
        <v>Former Employee</v>
      </c>
      <c r="F891" t="s">
        <v>52</v>
      </c>
      <c r="G891">
        <v>504</v>
      </c>
      <c r="H891" t="s">
        <v>45</v>
      </c>
      <c r="I891">
        <v>10</v>
      </c>
      <c r="J891">
        <v>3</v>
      </c>
      <c r="K891" t="s">
        <v>49</v>
      </c>
      <c r="L891">
        <v>1</v>
      </c>
      <c r="M891">
        <v>1</v>
      </c>
      <c r="N891" t="s">
        <v>39</v>
      </c>
      <c r="O891">
        <v>96</v>
      </c>
      <c r="P891">
        <v>2</v>
      </c>
      <c r="Q891">
        <v>1</v>
      </c>
      <c r="R891" t="s">
        <v>47</v>
      </c>
      <c r="S891">
        <v>2</v>
      </c>
      <c r="T891" t="str" cm="1">
        <f t="array" ref="T891">_xlfn.IFS(S891&lt;=2,"Poor",S891&lt;=3,"Fair",S891&gt;=4,"Good")</f>
        <v>Poor</v>
      </c>
      <c r="U891" t="s">
        <v>41</v>
      </c>
      <c r="V891" s="1">
        <v>1859</v>
      </c>
      <c r="W891" t="str" cm="1">
        <f t="array" ref="W891">_xlfn.IFS(V891&lt;=5000,"Low Salary",V891&lt;=12000,"Good Salary",V891&gt;12000,"High Salary")</f>
        <v>Low Salary</v>
      </c>
      <c r="X891">
        <v>6148</v>
      </c>
      <c r="Y891">
        <v>1</v>
      </c>
      <c r="Z891" t="s">
        <v>42</v>
      </c>
      <c r="AA891" t="s">
        <v>43</v>
      </c>
      <c r="AB891">
        <v>25</v>
      </c>
      <c r="AC891">
        <v>4</v>
      </c>
      <c r="AD891" t="str">
        <f t="shared" si="27"/>
        <v>High Performance</v>
      </c>
      <c r="AE891">
        <v>2</v>
      </c>
      <c r="AF891">
        <v>80</v>
      </c>
      <c r="AG891">
        <v>0</v>
      </c>
      <c r="AH891">
        <v>1</v>
      </c>
      <c r="AI891">
        <v>2</v>
      </c>
      <c r="AJ891">
        <v>4</v>
      </c>
      <c r="AK891" t="str" cm="1">
        <f t="array" ref="AK891">_xlfn.IFS(AJ891&lt;=2,"Poor",AJ891&lt;=3,"Fair",AJ891&gt;3,"Good")</f>
        <v>Good</v>
      </c>
      <c r="AL891">
        <v>1</v>
      </c>
      <c r="AM891">
        <v>1</v>
      </c>
      <c r="AN891">
        <v>0</v>
      </c>
      <c r="AO891">
        <v>0</v>
      </c>
    </row>
    <row r="892" spans="1:41" x14ac:dyDescent="0.2">
      <c r="A892">
        <v>1856613</v>
      </c>
      <c r="B892">
        <v>29</v>
      </c>
      <c r="C892" t="str" cm="1">
        <f t="array" ref="C892">_xlfn.IFS(B892&lt;=25,"15-25",B892&lt;=35,"26-35",B892&lt;=45,"36-45",B892&lt;=55,"46-55",B892&lt;=65,"56-65")</f>
        <v>26-35</v>
      </c>
      <c r="D892" t="s">
        <v>35</v>
      </c>
      <c r="E892" t="str">
        <f t="shared" si="26"/>
        <v>Current Employee</v>
      </c>
      <c r="F892" t="s">
        <v>36</v>
      </c>
      <c r="G892">
        <v>1010</v>
      </c>
      <c r="H892" t="s">
        <v>45</v>
      </c>
      <c r="I892">
        <v>1</v>
      </c>
      <c r="J892">
        <v>3</v>
      </c>
      <c r="K892" t="s">
        <v>38</v>
      </c>
      <c r="L892">
        <v>1</v>
      </c>
      <c r="M892">
        <v>1</v>
      </c>
      <c r="N892" t="s">
        <v>39</v>
      </c>
      <c r="O892">
        <v>97</v>
      </c>
      <c r="P892">
        <v>3</v>
      </c>
      <c r="Q892">
        <v>1</v>
      </c>
      <c r="R892" t="s">
        <v>47</v>
      </c>
      <c r="S892">
        <v>4</v>
      </c>
      <c r="T892" t="str" cm="1">
        <f t="array" ref="T892">_xlfn.IFS(S892&lt;=2,"Poor",S892&lt;=3,"Fair",S892&gt;=4,"Good")</f>
        <v>Good</v>
      </c>
      <c r="U892" t="s">
        <v>50</v>
      </c>
      <c r="V892" s="1">
        <v>3760</v>
      </c>
      <c r="W892" t="str" cm="1">
        <f t="array" ref="W892">_xlfn.IFS(V892&lt;=5000,"Low Salary",V892&lt;=12000,"Good Salary",V892&gt;12000,"High Salary")</f>
        <v>Low Salary</v>
      </c>
      <c r="X892">
        <v>5598</v>
      </c>
      <c r="Y892">
        <v>1</v>
      </c>
      <c r="Z892" t="s">
        <v>42</v>
      </c>
      <c r="AA892" t="s">
        <v>35</v>
      </c>
      <c r="AB892">
        <v>15</v>
      </c>
      <c r="AC892">
        <v>3</v>
      </c>
      <c r="AD892" t="str">
        <f t="shared" si="27"/>
        <v>Low Performance</v>
      </c>
      <c r="AE892">
        <v>1</v>
      </c>
      <c r="AF892">
        <v>80</v>
      </c>
      <c r="AG892">
        <v>3</v>
      </c>
      <c r="AH892">
        <v>3</v>
      </c>
      <c r="AI892">
        <v>5</v>
      </c>
      <c r="AJ892">
        <v>3</v>
      </c>
      <c r="AK892" t="str" cm="1">
        <f t="array" ref="AK892">_xlfn.IFS(AJ892&lt;=2,"Poor",AJ892&lt;=3,"Fair",AJ892&gt;3,"Good")</f>
        <v>Fair</v>
      </c>
      <c r="AL892">
        <v>3</v>
      </c>
      <c r="AM892">
        <v>2</v>
      </c>
      <c r="AN892">
        <v>1</v>
      </c>
      <c r="AO892">
        <v>2</v>
      </c>
    </row>
    <row r="893" spans="1:41" x14ac:dyDescent="0.2">
      <c r="A893">
        <v>1559788</v>
      </c>
      <c r="B893">
        <v>54</v>
      </c>
      <c r="C893" t="str" cm="1">
        <f t="array" ref="C893">_xlfn.IFS(B893&lt;=25,"15-25",B893&lt;=35,"26-35",B893&lt;=45,"36-45",B893&lt;=55,"46-55",B893&lt;=65,"56-65")</f>
        <v>46-55</v>
      </c>
      <c r="D893" t="s">
        <v>35</v>
      </c>
      <c r="E893" t="str">
        <f t="shared" si="26"/>
        <v>Current Employee</v>
      </c>
      <c r="F893" t="s">
        <v>36</v>
      </c>
      <c r="G893">
        <v>685</v>
      </c>
      <c r="H893" t="s">
        <v>45</v>
      </c>
      <c r="I893">
        <v>3</v>
      </c>
      <c r="J893">
        <v>3</v>
      </c>
      <c r="K893" t="s">
        <v>38</v>
      </c>
      <c r="L893">
        <v>1</v>
      </c>
      <c r="M893">
        <v>4</v>
      </c>
      <c r="N893" t="s">
        <v>46</v>
      </c>
      <c r="O893">
        <v>85</v>
      </c>
      <c r="P893">
        <v>3</v>
      </c>
      <c r="Q893">
        <v>4</v>
      </c>
      <c r="R893" t="s">
        <v>53</v>
      </c>
      <c r="S893">
        <v>4</v>
      </c>
      <c r="T893" t="str" cm="1">
        <f t="array" ref="T893">_xlfn.IFS(S893&lt;=2,"Poor",S893&lt;=3,"Fair",S893&gt;=4,"Good")</f>
        <v>Good</v>
      </c>
      <c r="U893" t="s">
        <v>48</v>
      </c>
      <c r="V893" s="1">
        <v>17779</v>
      </c>
      <c r="W893" t="str" cm="1">
        <f t="array" ref="W893">_xlfn.IFS(V893&lt;=5000,"Low Salary",V893&lt;=12000,"Good Salary",V893&gt;12000,"High Salary")</f>
        <v>High Salary</v>
      </c>
      <c r="X893">
        <v>23474</v>
      </c>
      <c r="Y893">
        <v>3</v>
      </c>
      <c r="Z893" t="s">
        <v>42</v>
      </c>
      <c r="AA893" t="s">
        <v>35</v>
      </c>
      <c r="AB893">
        <v>14</v>
      </c>
      <c r="AC893">
        <v>3</v>
      </c>
      <c r="AD893" t="str">
        <f t="shared" si="27"/>
        <v>Low Performance</v>
      </c>
      <c r="AE893">
        <v>1</v>
      </c>
      <c r="AF893">
        <v>80</v>
      </c>
      <c r="AG893">
        <v>0</v>
      </c>
      <c r="AH893">
        <v>36</v>
      </c>
      <c r="AI893">
        <v>2</v>
      </c>
      <c r="AJ893">
        <v>3</v>
      </c>
      <c r="AK893" t="str" cm="1">
        <f t="array" ref="AK893">_xlfn.IFS(AJ893&lt;=2,"Poor",AJ893&lt;=3,"Fair",AJ893&gt;3,"Good")</f>
        <v>Fair</v>
      </c>
      <c r="AL893">
        <v>10</v>
      </c>
      <c r="AM893">
        <v>9</v>
      </c>
      <c r="AN893">
        <v>0</v>
      </c>
      <c r="AO893">
        <v>9</v>
      </c>
    </row>
    <row r="894" spans="1:41" x14ac:dyDescent="0.2">
      <c r="A894">
        <v>1845153</v>
      </c>
      <c r="B894">
        <v>31</v>
      </c>
      <c r="C894" t="str" cm="1">
        <f t="array" ref="C894">_xlfn.IFS(B894&lt;=25,"15-25",B894&lt;=35,"26-35",B894&lt;=45,"36-45",B894&lt;=55,"46-55",B894&lt;=65,"56-65")</f>
        <v>26-35</v>
      </c>
      <c r="D894" t="s">
        <v>35</v>
      </c>
      <c r="E894" t="str">
        <f t="shared" si="26"/>
        <v>Current Employee</v>
      </c>
      <c r="F894" t="s">
        <v>36</v>
      </c>
      <c r="G894">
        <v>1332</v>
      </c>
      <c r="H894" t="s">
        <v>45</v>
      </c>
      <c r="I894">
        <v>11</v>
      </c>
      <c r="J894">
        <v>2</v>
      </c>
      <c r="K894" t="s">
        <v>49</v>
      </c>
      <c r="L894">
        <v>1</v>
      </c>
      <c r="M894">
        <v>3</v>
      </c>
      <c r="N894" t="s">
        <v>46</v>
      </c>
      <c r="O894">
        <v>80</v>
      </c>
      <c r="P894">
        <v>3</v>
      </c>
      <c r="Q894">
        <v>2</v>
      </c>
      <c r="R894" t="s">
        <v>40</v>
      </c>
      <c r="S894">
        <v>1</v>
      </c>
      <c r="T894" t="str" cm="1">
        <f t="array" ref="T894">_xlfn.IFS(S894&lt;=2,"Poor",S894&lt;=3,"Fair",S894&gt;=4,"Good")</f>
        <v>Poor</v>
      </c>
      <c r="U894" t="s">
        <v>48</v>
      </c>
      <c r="V894" s="1">
        <v>6833</v>
      </c>
      <c r="W894" t="str" cm="1">
        <f t="array" ref="W894">_xlfn.IFS(V894&lt;=5000,"Low Salary",V894&lt;=12000,"Good Salary",V894&gt;12000,"High Salary")</f>
        <v>Good Salary</v>
      </c>
      <c r="X894">
        <v>17089</v>
      </c>
      <c r="Y894">
        <v>1</v>
      </c>
      <c r="Z894" t="s">
        <v>42</v>
      </c>
      <c r="AA894" t="s">
        <v>43</v>
      </c>
      <c r="AB894">
        <v>12</v>
      </c>
      <c r="AC894">
        <v>3</v>
      </c>
      <c r="AD894" t="str">
        <f t="shared" si="27"/>
        <v>Low Performance</v>
      </c>
      <c r="AE894">
        <v>4</v>
      </c>
      <c r="AF894">
        <v>80</v>
      </c>
      <c r="AG894">
        <v>0</v>
      </c>
      <c r="AH894">
        <v>6</v>
      </c>
      <c r="AI894">
        <v>2</v>
      </c>
      <c r="AJ894">
        <v>2</v>
      </c>
      <c r="AK894" t="str" cm="1">
        <f t="array" ref="AK894">_xlfn.IFS(AJ894&lt;=2,"Poor",AJ894&lt;=3,"Fair",AJ894&gt;3,"Good")</f>
        <v>Poor</v>
      </c>
      <c r="AL894">
        <v>6</v>
      </c>
      <c r="AM894">
        <v>5</v>
      </c>
      <c r="AN894">
        <v>0</v>
      </c>
      <c r="AO894">
        <v>1</v>
      </c>
    </row>
    <row r="895" spans="1:41" x14ac:dyDescent="0.2">
      <c r="A895">
        <v>1216132</v>
      </c>
      <c r="B895">
        <v>31</v>
      </c>
      <c r="C895" t="str" cm="1">
        <f t="array" ref="C895">_xlfn.IFS(B895&lt;=25,"15-25",B895&lt;=35,"26-35",B895&lt;=45,"36-45",B895&lt;=55,"46-55",B895&lt;=65,"56-65")</f>
        <v>26-35</v>
      </c>
      <c r="D895" t="s">
        <v>35</v>
      </c>
      <c r="E895" t="str">
        <f t="shared" si="26"/>
        <v>Current Employee</v>
      </c>
      <c r="F895" t="s">
        <v>36</v>
      </c>
      <c r="G895">
        <v>1062</v>
      </c>
      <c r="H895" t="s">
        <v>45</v>
      </c>
      <c r="I895">
        <v>24</v>
      </c>
      <c r="J895">
        <v>3</v>
      </c>
      <c r="K895" t="s">
        <v>49</v>
      </c>
      <c r="L895">
        <v>1</v>
      </c>
      <c r="M895">
        <v>3</v>
      </c>
      <c r="N895" t="s">
        <v>39</v>
      </c>
      <c r="O895">
        <v>96</v>
      </c>
      <c r="P895">
        <v>2</v>
      </c>
      <c r="Q895">
        <v>2</v>
      </c>
      <c r="R895" t="s">
        <v>40</v>
      </c>
      <c r="S895">
        <v>1</v>
      </c>
      <c r="T895" t="str" cm="1">
        <f t="array" ref="T895">_xlfn.IFS(S895&lt;=2,"Poor",S895&lt;=3,"Fair",S895&gt;=4,"Good")</f>
        <v>Poor</v>
      </c>
      <c r="U895" t="s">
        <v>41</v>
      </c>
      <c r="V895" s="1">
        <v>6812</v>
      </c>
      <c r="W895" t="str" cm="1">
        <f t="array" ref="W895">_xlfn.IFS(V895&lt;=5000,"Low Salary",V895&lt;=12000,"Good Salary",V895&gt;12000,"High Salary")</f>
        <v>Good Salary</v>
      </c>
      <c r="X895">
        <v>17198</v>
      </c>
      <c r="Y895">
        <v>1</v>
      </c>
      <c r="Z895" t="s">
        <v>42</v>
      </c>
      <c r="AA895" t="s">
        <v>35</v>
      </c>
      <c r="AB895">
        <v>19</v>
      </c>
      <c r="AC895">
        <v>3</v>
      </c>
      <c r="AD895" t="str">
        <f t="shared" si="27"/>
        <v>Low Performance</v>
      </c>
      <c r="AE895">
        <v>2</v>
      </c>
      <c r="AF895">
        <v>80</v>
      </c>
      <c r="AG895">
        <v>0</v>
      </c>
      <c r="AH895">
        <v>10</v>
      </c>
      <c r="AI895">
        <v>2</v>
      </c>
      <c r="AJ895">
        <v>3</v>
      </c>
      <c r="AK895" t="str" cm="1">
        <f t="array" ref="AK895">_xlfn.IFS(AJ895&lt;=2,"Poor",AJ895&lt;=3,"Fair",AJ895&gt;3,"Good")</f>
        <v>Fair</v>
      </c>
      <c r="AL895">
        <v>10</v>
      </c>
      <c r="AM895">
        <v>9</v>
      </c>
      <c r="AN895">
        <v>1</v>
      </c>
      <c r="AO895">
        <v>8</v>
      </c>
    </row>
    <row r="896" spans="1:41" x14ac:dyDescent="0.2">
      <c r="A896">
        <v>1718896</v>
      </c>
      <c r="B896">
        <v>59</v>
      </c>
      <c r="C896" t="str" cm="1">
        <f t="array" ref="C896">_xlfn.IFS(B896&lt;=25,"15-25",B896&lt;=35,"26-35",B896&lt;=45,"36-45",B896&lt;=55,"46-55",B896&lt;=65,"56-65")</f>
        <v>56-65</v>
      </c>
      <c r="D896" t="s">
        <v>35</v>
      </c>
      <c r="E896" t="str">
        <f t="shared" si="26"/>
        <v>Current Employee</v>
      </c>
      <c r="F896" t="s">
        <v>36</v>
      </c>
      <c r="G896">
        <v>326</v>
      </c>
      <c r="H896" t="s">
        <v>37</v>
      </c>
      <c r="I896">
        <v>3</v>
      </c>
      <c r="J896">
        <v>3</v>
      </c>
      <c r="K896" t="s">
        <v>38</v>
      </c>
      <c r="L896">
        <v>1</v>
      </c>
      <c r="M896">
        <v>3</v>
      </c>
      <c r="N896" t="s">
        <v>39</v>
      </c>
      <c r="O896">
        <v>48</v>
      </c>
      <c r="P896">
        <v>2</v>
      </c>
      <c r="Q896">
        <v>2</v>
      </c>
      <c r="R896" t="s">
        <v>40</v>
      </c>
      <c r="S896">
        <v>4</v>
      </c>
      <c r="T896" t="str" cm="1">
        <f t="array" ref="T896">_xlfn.IFS(S896&lt;=2,"Poor",S896&lt;=3,"Fair",S896&gt;=4,"Good")</f>
        <v>Good</v>
      </c>
      <c r="U896" t="s">
        <v>41</v>
      </c>
      <c r="V896" s="1">
        <v>5171</v>
      </c>
      <c r="W896" t="str" cm="1">
        <f t="array" ref="W896">_xlfn.IFS(V896&lt;=5000,"Low Salary",V896&lt;=12000,"Good Salary",V896&gt;12000,"High Salary")</f>
        <v>Good Salary</v>
      </c>
      <c r="X896">
        <v>16490</v>
      </c>
      <c r="Y896">
        <v>5</v>
      </c>
      <c r="Z896" t="s">
        <v>42</v>
      </c>
      <c r="AA896" t="s">
        <v>35</v>
      </c>
      <c r="AB896">
        <v>17</v>
      </c>
      <c r="AC896">
        <v>3</v>
      </c>
      <c r="AD896" t="str">
        <f t="shared" si="27"/>
        <v>Low Performance</v>
      </c>
      <c r="AE896">
        <v>4</v>
      </c>
      <c r="AF896">
        <v>80</v>
      </c>
      <c r="AG896">
        <v>0</v>
      </c>
      <c r="AH896">
        <v>13</v>
      </c>
      <c r="AI896">
        <v>2</v>
      </c>
      <c r="AJ896">
        <v>3</v>
      </c>
      <c r="AK896" t="str" cm="1">
        <f t="array" ref="AK896">_xlfn.IFS(AJ896&lt;=2,"Poor",AJ896&lt;=3,"Fair",AJ896&gt;3,"Good")</f>
        <v>Fair</v>
      </c>
      <c r="AL896">
        <v>6</v>
      </c>
      <c r="AM896">
        <v>1</v>
      </c>
      <c r="AN896">
        <v>0</v>
      </c>
      <c r="AO896">
        <v>5</v>
      </c>
    </row>
    <row r="897" spans="1:41" x14ac:dyDescent="0.2">
      <c r="A897">
        <v>1659741</v>
      </c>
      <c r="B897">
        <v>43</v>
      </c>
      <c r="C897" t="str" cm="1">
        <f t="array" ref="C897">_xlfn.IFS(B897&lt;=25,"15-25",B897&lt;=35,"26-35",B897&lt;=45,"36-45",B897&lt;=55,"46-55",B897&lt;=65,"56-65")</f>
        <v>36-45</v>
      </c>
      <c r="D897" t="s">
        <v>35</v>
      </c>
      <c r="E897" t="str">
        <f t="shared" si="26"/>
        <v>Current Employee</v>
      </c>
      <c r="F897" t="s">
        <v>36</v>
      </c>
      <c r="G897">
        <v>920</v>
      </c>
      <c r="H897" t="s">
        <v>45</v>
      </c>
      <c r="I897">
        <v>3</v>
      </c>
      <c r="J897">
        <v>3</v>
      </c>
      <c r="K897" t="s">
        <v>38</v>
      </c>
      <c r="L897">
        <v>1</v>
      </c>
      <c r="M897">
        <v>3</v>
      </c>
      <c r="N897" t="s">
        <v>46</v>
      </c>
      <c r="O897">
        <v>96</v>
      </c>
      <c r="P897">
        <v>1</v>
      </c>
      <c r="Q897">
        <v>5</v>
      </c>
      <c r="R897" t="s">
        <v>53</v>
      </c>
      <c r="S897">
        <v>4</v>
      </c>
      <c r="T897" t="str" cm="1">
        <f t="array" ref="T897">_xlfn.IFS(S897&lt;=2,"Poor",S897&lt;=3,"Fair",S897&gt;=4,"Good")</f>
        <v>Good</v>
      </c>
      <c r="U897" t="s">
        <v>48</v>
      </c>
      <c r="V897" s="1">
        <v>19740</v>
      </c>
      <c r="W897" t="str" cm="1">
        <f t="array" ref="W897">_xlfn.IFS(V897&lt;=5000,"Low Salary",V897&lt;=12000,"Good Salary",V897&gt;12000,"High Salary")</f>
        <v>High Salary</v>
      </c>
      <c r="X897">
        <v>18625</v>
      </c>
      <c r="Y897">
        <v>3</v>
      </c>
      <c r="Z897" t="s">
        <v>42</v>
      </c>
      <c r="AA897" t="s">
        <v>35</v>
      </c>
      <c r="AB897">
        <v>14</v>
      </c>
      <c r="AC897">
        <v>3</v>
      </c>
      <c r="AD897" t="str">
        <f t="shared" si="27"/>
        <v>Low Performance</v>
      </c>
      <c r="AE897">
        <v>2</v>
      </c>
      <c r="AF897">
        <v>80</v>
      </c>
      <c r="AG897">
        <v>1</v>
      </c>
      <c r="AH897">
        <v>25</v>
      </c>
      <c r="AI897">
        <v>2</v>
      </c>
      <c r="AJ897">
        <v>3</v>
      </c>
      <c r="AK897" t="str" cm="1">
        <f t="array" ref="AK897">_xlfn.IFS(AJ897&lt;=2,"Poor",AJ897&lt;=3,"Fair",AJ897&gt;3,"Good")</f>
        <v>Fair</v>
      </c>
      <c r="AL897">
        <v>8</v>
      </c>
      <c r="AM897">
        <v>7</v>
      </c>
      <c r="AN897">
        <v>0</v>
      </c>
      <c r="AO897">
        <v>7</v>
      </c>
    </row>
    <row r="898" spans="1:41" x14ac:dyDescent="0.2">
      <c r="A898">
        <v>1460231</v>
      </c>
      <c r="B898">
        <v>49</v>
      </c>
      <c r="C898" t="str" cm="1">
        <f t="array" ref="C898">_xlfn.IFS(B898&lt;=25,"15-25",B898&lt;=35,"26-35",B898&lt;=45,"36-45",B898&lt;=55,"46-55",B898&lt;=65,"56-65")</f>
        <v>46-55</v>
      </c>
      <c r="D898" t="s">
        <v>35</v>
      </c>
      <c r="E898" t="str">
        <f t="shared" si="26"/>
        <v>Current Employee</v>
      </c>
      <c r="F898" t="s">
        <v>36</v>
      </c>
      <c r="G898">
        <v>1098</v>
      </c>
      <c r="H898" t="s">
        <v>54</v>
      </c>
      <c r="I898">
        <v>4</v>
      </c>
      <c r="J898">
        <v>2</v>
      </c>
      <c r="K898" t="s">
        <v>49</v>
      </c>
      <c r="L898">
        <v>1</v>
      </c>
      <c r="M898">
        <v>1</v>
      </c>
      <c r="N898" t="s">
        <v>46</v>
      </c>
      <c r="O898">
        <v>85</v>
      </c>
      <c r="P898">
        <v>2</v>
      </c>
      <c r="Q898">
        <v>5</v>
      </c>
      <c r="R898" t="s">
        <v>47</v>
      </c>
      <c r="S898">
        <v>3</v>
      </c>
      <c r="T898" t="str" cm="1">
        <f t="array" ref="T898">_xlfn.IFS(S898&lt;=2,"Poor",S898&lt;=3,"Fair",S898&gt;=4,"Good")</f>
        <v>Fair</v>
      </c>
      <c r="U898" t="s">
        <v>48</v>
      </c>
      <c r="V898" s="1">
        <v>18711</v>
      </c>
      <c r="W898" t="str" cm="1">
        <f t="array" ref="W898">_xlfn.IFS(V898&lt;=5000,"Low Salary",V898&lt;=12000,"Good Salary",V898&gt;12000,"High Salary")</f>
        <v>High Salary</v>
      </c>
      <c r="X898">
        <v>12124</v>
      </c>
      <c r="Y898">
        <v>2</v>
      </c>
      <c r="Z898" t="s">
        <v>42</v>
      </c>
      <c r="AA898" t="s">
        <v>35</v>
      </c>
      <c r="AB898">
        <v>13</v>
      </c>
      <c r="AC898">
        <v>3</v>
      </c>
      <c r="AD898" t="str">
        <f t="shared" si="27"/>
        <v>Low Performance</v>
      </c>
      <c r="AE898">
        <v>3</v>
      </c>
      <c r="AF898">
        <v>80</v>
      </c>
      <c r="AG898">
        <v>1</v>
      </c>
      <c r="AH898">
        <v>23</v>
      </c>
      <c r="AI898">
        <v>2</v>
      </c>
      <c r="AJ898">
        <v>4</v>
      </c>
      <c r="AK898" t="str" cm="1">
        <f t="array" ref="AK898">_xlfn.IFS(AJ898&lt;=2,"Poor",AJ898&lt;=3,"Fair",AJ898&gt;3,"Good")</f>
        <v>Good</v>
      </c>
      <c r="AL898">
        <v>1</v>
      </c>
      <c r="AM898">
        <v>0</v>
      </c>
      <c r="AN898">
        <v>0</v>
      </c>
      <c r="AO898">
        <v>0</v>
      </c>
    </row>
    <row r="899" spans="1:41" x14ac:dyDescent="0.2">
      <c r="A899">
        <v>1276743</v>
      </c>
      <c r="B899">
        <v>36</v>
      </c>
      <c r="C899" t="str" cm="1">
        <f t="array" ref="C899">_xlfn.IFS(B899&lt;=25,"15-25",B899&lt;=35,"26-35",B899&lt;=45,"36-45",B899&lt;=55,"46-55",B899&lt;=65,"56-65")</f>
        <v>36-45</v>
      </c>
      <c r="D899" t="s">
        <v>35</v>
      </c>
      <c r="E899" t="str">
        <f t="shared" ref="E899:E962" si="28">IF(D899="No","Current Employee","Former Employee")</f>
        <v>Current Employee</v>
      </c>
      <c r="F899" t="s">
        <v>44</v>
      </c>
      <c r="G899">
        <v>469</v>
      </c>
      <c r="H899" t="s">
        <v>45</v>
      </c>
      <c r="I899">
        <v>3</v>
      </c>
      <c r="J899">
        <v>3</v>
      </c>
      <c r="K899" t="s">
        <v>56</v>
      </c>
      <c r="L899">
        <v>1</v>
      </c>
      <c r="M899">
        <v>3</v>
      </c>
      <c r="N899" t="s">
        <v>46</v>
      </c>
      <c r="O899">
        <v>46</v>
      </c>
      <c r="P899">
        <v>3</v>
      </c>
      <c r="Q899">
        <v>1</v>
      </c>
      <c r="R899" t="s">
        <v>47</v>
      </c>
      <c r="S899">
        <v>2</v>
      </c>
      <c r="T899" t="str" cm="1">
        <f t="array" ref="T899">_xlfn.IFS(S899&lt;=2,"Poor",S899&lt;=3,"Fair",S899&gt;=4,"Good")</f>
        <v>Poor</v>
      </c>
      <c r="U899" t="s">
        <v>48</v>
      </c>
      <c r="V899" s="1">
        <v>3692</v>
      </c>
      <c r="W899" t="str" cm="1">
        <f t="array" ref="W899">_xlfn.IFS(V899&lt;=5000,"Low Salary",V899&lt;=12000,"Good Salary",V899&gt;12000,"High Salary")</f>
        <v>Low Salary</v>
      </c>
      <c r="X899">
        <v>9256</v>
      </c>
      <c r="Y899">
        <v>1</v>
      </c>
      <c r="Z899" t="s">
        <v>42</v>
      </c>
      <c r="AA899" t="s">
        <v>35</v>
      </c>
      <c r="AB899">
        <v>12</v>
      </c>
      <c r="AC899">
        <v>3</v>
      </c>
      <c r="AD899" t="str">
        <f t="shared" ref="AD899:AD962" si="29">IF(AC899&lt;=3,"Low Performance","High Performance")</f>
        <v>Low Performance</v>
      </c>
      <c r="AE899">
        <v>3</v>
      </c>
      <c r="AF899">
        <v>80</v>
      </c>
      <c r="AG899">
        <v>0</v>
      </c>
      <c r="AH899">
        <v>12</v>
      </c>
      <c r="AI899">
        <v>2</v>
      </c>
      <c r="AJ899">
        <v>2</v>
      </c>
      <c r="AK899" t="str" cm="1">
        <f t="array" ref="AK899">_xlfn.IFS(AJ899&lt;=2,"Poor",AJ899&lt;=3,"Fair",AJ899&gt;3,"Good")</f>
        <v>Poor</v>
      </c>
      <c r="AL899">
        <v>11</v>
      </c>
      <c r="AM899">
        <v>10</v>
      </c>
      <c r="AN899">
        <v>0</v>
      </c>
      <c r="AO899">
        <v>7</v>
      </c>
    </row>
    <row r="900" spans="1:41" x14ac:dyDescent="0.2">
      <c r="A900">
        <v>1551418</v>
      </c>
      <c r="B900">
        <v>48</v>
      </c>
      <c r="C900" t="str" cm="1">
        <f t="array" ref="C900">_xlfn.IFS(B900&lt;=25,"15-25",B900&lt;=35,"26-35",B900&lt;=45,"36-45",B900&lt;=55,"46-55",B900&lt;=65,"56-65")</f>
        <v>46-55</v>
      </c>
      <c r="D900" t="s">
        <v>35</v>
      </c>
      <c r="E900" t="str">
        <f t="shared" si="28"/>
        <v>Current Employee</v>
      </c>
      <c r="F900" t="s">
        <v>36</v>
      </c>
      <c r="G900">
        <v>969</v>
      </c>
      <c r="H900" t="s">
        <v>45</v>
      </c>
      <c r="I900">
        <v>2</v>
      </c>
      <c r="J900">
        <v>2</v>
      </c>
      <c r="K900" t="s">
        <v>56</v>
      </c>
      <c r="L900">
        <v>1</v>
      </c>
      <c r="M900">
        <v>4</v>
      </c>
      <c r="N900" t="s">
        <v>46</v>
      </c>
      <c r="O900">
        <v>76</v>
      </c>
      <c r="P900">
        <v>4</v>
      </c>
      <c r="Q900">
        <v>1</v>
      </c>
      <c r="R900" t="s">
        <v>40</v>
      </c>
      <c r="S900">
        <v>2</v>
      </c>
      <c r="T900" t="str" cm="1">
        <f t="array" ref="T900">_xlfn.IFS(S900&lt;=2,"Poor",S900&lt;=3,"Fair",S900&gt;=4,"Good")</f>
        <v>Poor</v>
      </c>
      <c r="U900" t="s">
        <v>41</v>
      </c>
      <c r="V900" s="1">
        <v>2559</v>
      </c>
      <c r="W900" t="str" cm="1">
        <f t="array" ref="W900">_xlfn.IFS(V900&lt;=5000,"Low Salary",V900&lt;=12000,"Good Salary",V900&gt;12000,"High Salary")</f>
        <v>Low Salary</v>
      </c>
      <c r="X900">
        <v>16620</v>
      </c>
      <c r="Y900">
        <v>5</v>
      </c>
      <c r="Z900" t="s">
        <v>42</v>
      </c>
      <c r="AA900" t="s">
        <v>35</v>
      </c>
      <c r="AB900">
        <v>11</v>
      </c>
      <c r="AC900">
        <v>3</v>
      </c>
      <c r="AD900" t="str">
        <f t="shared" si="29"/>
        <v>Low Performance</v>
      </c>
      <c r="AE900">
        <v>3</v>
      </c>
      <c r="AF900">
        <v>80</v>
      </c>
      <c r="AG900">
        <v>0</v>
      </c>
      <c r="AH900">
        <v>7</v>
      </c>
      <c r="AI900">
        <v>4</v>
      </c>
      <c r="AJ900">
        <v>2</v>
      </c>
      <c r="AK900" t="str" cm="1">
        <f t="array" ref="AK900">_xlfn.IFS(AJ900&lt;=2,"Poor",AJ900&lt;=3,"Fair",AJ900&gt;3,"Good")</f>
        <v>Poor</v>
      </c>
      <c r="AL900">
        <v>1</v>
      </c>
      <c r="AM900">
        <v>0</v>
      </c>
      <c r="AN900">
        <v>0</v>
      </c>
      <c r="AO900">
        <v>0</v>
      </c>
    </row>
    <row r="901" spans="1:41" x14ac:dyDescent="0.2">
      <c r="A901">
        <v>1409781</v>
      </c>
      <c r="B901">
        <v>27</v>
      </c>
      <c r="C901" t="str" cm="1">
        <f t="array" ref="C901">_xlfn.IFS(B901&lt;=25,"15-25",B901&lt;=35,"26-35",B901&lt;=45,"36-45",B901&lt;=55,"46-55",B901&lt;=65,"56-65")</f>
        <v>26-35</v>
      </c>
      <c r="D901" t="s">
        <v>35</v>
      </c>
      <c r="E901" t="str">
        <f t="shared" si="28"/>
        <v>Current Employee</v>
      </c>
      <c r="F901" t="s">
        <v>36</v>
      </c>
      <c r="G901">
        <v>1167</v>
      </c>
      <c r="H901" t="s">
        <v>45</v>
      </c>
      <c r="I901">
        <v>4</v>
      </c>
      <c r="J901">
        <v>2</v>
      </c>
      <c r="K901" t="s">
        <v>38</v>
      </c>
      <c r="L901">
        <v>1</v>
      </c>
      <c r="M901">
        <v>1</v>
      </c>
      <c r="N901" t="s">
        <v>46</v>
      </c>
      <c r="O901">
        <v>76</v>
      </c>
      <c r="P901">
        <v>3</v>
      </c>
      <c r="Q901">
        <v>1</v>
      </c>
      <c r="R901" t="s">
        <v>47</v>
      </c>
      <c r="S901">
        <v>3</v>
      </c>
      <c r="T901" t="str" cm="1">
        <f t="array" ref="T901">_xlfn.IFS(S901&lt;=2,"Poor",S901&lt;=3,"Fair",S901&gt;=4,"Good")</f>
        <v>Fair</v>
      </c>
      <c r="U901" t="s">
        <v>50</v>
      </c>
      <c r="V901" s="1">
        <v>2517</v>
      </c>
      <c r="W901" t="str" cm="1">
        <f t="array" ref="W901">_xlfn.IFS(V901&lt;=5000,"Low Salary",V901&lt;=12000,"Good Salary",V901&gt;12000,"High Salary")</f>
        <v>Low Salary</v>
      </c>
      <c r="X901">
        <v>3208</v>
      </c>
      <c r="Y901">
        <v>1</v>
      </c>
      <c r="Z901" t="s">
        <v>42</v>
      </c>
      <c r="AA901" t="s">
        <v>35</v>
      </c>
      <c r="AB901">
        <v>11</v>
      </c>
      <c r="AC901">
        <v>3</v>
      </c>
      <c r="AD901" t="str">
        <f t="shared" si="29"/>
        <v>Low Performance</v>
      </c>
      <c r="AE901">
        <v>2</v>
      </c>
      <c r="AF901">
        <v>80</v>
      </c>
      <c r="AG901">
        <v>3</v>
      </c>
      <c r="AH901">
        <v>5</v>
      </c>
      <c r="AI901">
        <v>2</v>
      </c>
      <c r="AJ901">
        <v>3</v>
      </c>
      <c r="AK901" t="str" cm="1">
        <f t="array" ref="AK901">_xlfn.IFS(AJ901&lt;=2,"Poor",AJ901&lt;=3,"Fair",AJ901&gt;3,"Good")</f>
        <v>Fair</v>
      </c>
      <c r="AL901">
        <v>5</v>
      </c>
      <c r="AM901">
        <v>3</v>
      </c>
      <c r="AN901">
        <v>0</v>
      </c>
      <c r="AO901">
        <v>3</v>
      </c>
    </row>
    <row r="902" spans="1:41" x14ac:dyDescent="0.2">
      <c r="A902">
        <v>1429070</v>
      </c>
      <c r="B902">
        <v>29</v>
      </c>
      <c r="C902" t="str" cm="1">
        <f t="array" ref="C902">_xlfn.IFS(B902&lt;=25,"15-25",B902&lt;=35,"26-35",B902&lt;=45,"36-45",B902&lt;=55,"46-55",B902&lt;=65,"56-65")</f>
        <v>26-35</v>
      </c>
      <c r="D902" t="s">
        <v>35</v>
      </c>
      <c r="E902" t="str">
        <f t="shared" si="28"/>
        <v>Current Employee</v>
      </c>
      <c r="F902" t="s">
        <v>36</v>
      </c>
      <c r="G902">
        <v>1329</v>
      </c>
      <c r="H902" t="s">
        <v>45</v>
      </c>
      <c r="I902">
        <v>7</v>
      </c>
      <c r="J902">
        <v>3</v>
      </c>
      <c r="K902" t="s">
        <v>38</v>
      </c>
      <c r="L902">
        <v>1</v>
      </c>
      <c r="M902">
        <v>3</v>
      </c>
      <c r="N902" t="s">
        <v>46</v>
      </c>
      <c r="O902">
        <v>82</v>
      </c>
      <c r="P902">
        <v>3</v>
      </c>
      <c r="Q902">
        <v>2</v>
      </c>
      <c r="R902" t="s">
        <v>40</v>
      </c>
      <c r="S902">
        <v>4</v>
      </c>
      <c r="T902" t="str" cm="1">
        <f t="array" ref="T902">_xlfn.IFS(S902&lt;=2,"Poor",S902&lt;=3,"Fair",S902&gt;=4,"Good")</f>
        <v>Good</v>
      </c>
      <c r="U902" t="s">
        <v>50</v>
      </c>
      <c r="V902" s="1">
        <v>6623</v>
      </c>
      <c r="W902" t="str" cm="1">
        <f t="array" ref="W902">_xlfn.IFS(V902&lt;=5000,"Low Salary",V902&lt;=12000,"Good Salary",V902&gt;12000,"High Salary")</f>
        <v>Good Salary</v>
      </c>
      <c r="X902">
        <v>4204</v>
      </c>
      <c r="Y902">
        <v>1</v>
      </c>
      <c r="Z902" t="s">
        <v>42</v>
      </c>
      <c r="AA902" t="s">
        <v>43</v>
      </c>
      <c r="AB902">
        <v>11</v>
      </c>
      <c r="AC902">
        <v>3</v>
      </c>
      <c r="AD902" t="str">
        <f t="shared" si="29"/>
        <v>Low Performance</v>
      </c>
      <c r="AE902">
        <v>2</v>
      </c>
      <c r="AF902">
        <v>80</v>
      </c>
      <c r="AG902">
        <v>2</v>
      </c>
      <c r="AH902">
        <v>6</v>
      </c>
      <c r="AI902">
        <v>2</v>
      </c>
      <c r="AJ902">
        <v>3</v>
      </c>
      <c r="AK902" t="str" cm="1">
        <f t="array" ref="AK902">_xlfn.IFS(AJ902&lt;=2,"Poor",AJ902&lt;=3,"Fair",AJ902&gt;3,"Good")</f>
        <v>Fair</v>
      </c>
      <c r="AL902">
        <v>6</v>
      </c>
      <c r="AM902">
        <v>0</v>
      </c>
      <c r="AN902">
        <v>1</v>
      </c>
      <c r="AO902">
        <v>0</v>
      </c>
    </row>
    <row r="903" spans="1:41" x14ac:dyDescent="0.2">
      <c r="A903">
        <v>1149718</v>
      </c>
      <c r="B903">
        <v>48</v>
      </c>
      <c r="C903" t="str" cm="1">
        <f t="array" ref="C903">_xlfn.IFS(B903&lt;=25,"15-25",B903&lt;=35,"26-35",B903&lt;=45,"36-45",B903&lt;=55,"46-55",B903&lt;=65,"56-65")</f>
        <v>46-55</v>
      </c>
      <c r="D903" t="s">
        <v>35</v>
      </c>
      <c r="E903" t="str">
        <f t="shared" si="28"/>
        <v>Current Employee</v>
      </c>
      <c r="F903" t="s">
        <v>36</v>
      </c>
      <c r="G903">
        <v>715</v>
      </c>
      <c r="H903" t="s">
        <v>45</v>
      </c>
      <c r="I903">
        <v>1</v>
      </c>
      <c r="J903">
        <v>3</v>
      </c>
      <c r="K903" t="s">
        <v>38</v>
      </c>
      <c r="L903">
        <v>1</v>
      </c>
      <c r="M903">
        <v>4</v>
      </c>
      <c r="N903" t="s">
        <v>46</v>
      </c>
      <c r="O903">
        <v>76</v>
      </c>
      <c r="P903">
        <v>2</v>
      </c>
      <c r="Q903">
        <v>5</v>
      </c>
      <c r="R903" t="s">
        <v>53</v>
      </c>
      <c r="S903">
        <v>4</v>
      </c>
      <c r="T903" t="str" cm="1">
        <f t="array" ref="T903">_xlfn.IFS(S903&lt;=2,"Poor",S903&lt;=3,"Fair",S903&gt;=4,"Good")</f>
        <v>Good</v>
      </c>
      <c r="U903" t="s">
        <v>41</v>
      </c>
      <c r="V903" s="1">
        <v>18265</v>
      </c>
      <c r="W903" t="str" cm="1">
        <f t="array" ref="W903">_xlfn.IFS(V903&lt;=5000,"Low Salary",V903&lt;=12000,"Good Salary",V903&gt;12000,"High Salary")</f>
        <v>High Salary</v>
      </c>
      <c r="X903">
        <v>8733</v>
      </c>
      <c r="Y903">
        <v>6</v>
      </c>
      <c r="Z903" t="s">
        <v>42</v>
      </c>
      <c r="AA903" t="s">
        <v>35</v>
      </c>
      <c r="AB903">
        <v>12</v>
      </c>
      <c r="AC903">
        <v>3</v>
      </c>
      <c r="AD903" t="str">
        <f t="shared" si="29"/>
        <v>Low Performance</v>
      </c>
      <c r="AE903">
        <v>3</v>
      </c>
      <c r="AF903">
        <v>80</v>
      </c>
      <c r="AG903">
        <v>0</v>
      </c>
      <c r="AH903">
        <v>25</v>
      </c>
      <c r="AI903">
        <v>3</v>
      </c>
      <c r="AJ903">
        <v>4</v>
      </c>
      <c r="AK903" t="str" cm="1">
        <f t="array" ref="AK903">_xlfn.IFS(AJ903&lt;=2,"Poor",AJ903&lt;=3,"Fair",AJ903&gt;3,"Good")</f>
        <v>Good</v>
      </c>
      <c r="AL903">
        <v>1</v>
      </c>
      <c r="AM903">
        <v>0</v>
      </c>
      <c r="AN903">
        <v>0</v>
      </c>
      <c r="AO903">
        <v>0</v>
      </c>
    </row>
    <row r="904" spans="1:41" x14ac:dyDescent="0.2">
      <c r="A904">
        <v>1593907</v>
      </c>
      <c r="B904">
        <v>29</v>
      </c>
      <c r="C904" t="str" cm="1">
        <f t="array" ref="C904">_xlfn.IFS(B904&lt;=25,"15-25",B904&lt;=35,"26-35",B904&lt;=45,"36-45",B904&lt;=55,"46-55",B904&lt;=65,"56-65")</f>
        <v>26-35</v>
      </c>
      <c r="D904" t="s">
        <v>35</v>
      </c>
      <c r="E904" t="str">
        <f t="shared" si="28"/>
        <v>Current Employee</v>
      </c>
      <c r="F904" t="s">
        <v>36</v>
      </c>
      <c r="G904">
        <v>694</v>
      </c>
      <c r="H904" t="s">
        <v>45</v>
      </c>
      <c r="I904">
        <v>1</v>
      </c>
      <c r="J904">
        <v>3</v>
      </c>
      <c r="K904" t="s">
        <v>38</v>
      </c>
      <c r="L904">
        <v>1</v>
      </c>
      <c r="M904">
        <v>4</v>
      </c>
      <c r="N904" t="s">
        <v>39</v>
      </c>
      <c r="O904">
        <v>87</v>
      </c>
      <c r="P904">
        <v>2</v>
      </c>
      <c r="Q904">
        <v>4</v>
      </c>
      <c r="R904" t="s">
        <v>53</v>
      </c>
      <c r="S904">
        <v>4</v>
      </c>
      <c r="T904" t="str" cm="1">
        <f t="array" ref="T904">_xlfn.IFS(S904&lt;=2,"Poor",S904&lt;=3,"Fair",S904&gt;=4,"Good")</f>
        <v>Good</v>
      </c>
      <c r="U904" t="s">
        <v>50</v>
      </c>
      <c r="V904" s="1">
        <v>16124</v>
      </c>
      <c r="W904" t="str" cm="1">
        <f t="array" ref="W904">_xlfn.IFS(V904&lt;=5000,"Low Salary",V904&lt;=12000,"Good Salary",V904&gt;12000,"High Salary")</f>
        <v>High Salary</v>
      </c>
      <c r="X904">
        <v>3423</v>
      </c>
      <c r="Y904">
        <v>3</v>
      </c>
      <c r="Z904" t="s">
        <v>42</v>
      </c>
      <c r="AA904" t="s">
        <v>35</v>
      </c>
      <c r="AB904">
        <v>14</v>
      </c>
      <c r="AC904">
        <v>3</v>
      </c>
      <c r="AD904" t="str">
        <f t="shared" si="29"/>
        <v>Low Performance</v>
      </c>
      <c r="AE904">
        <v>2</v>
      </c>
      <c r="AF904">
        <v>80</v>
      </c>
      <c r="AG904">
        <v>2</v>
      </c>
      <c r="AH904">
        <v>9</v>
      </c>
      <c r="AI904">
        <v>2</v>
      </c>
      <c r="AJ904">
        <v>2</v>
      </c>
      <c r="AK904" t="str" cm="1">
        <f t="array" ref="AK904">_xlfn.IFS(AJ904&lt;=2,"Poor",AJ904&lt;=3,"Fair",AJ904&gt;3,"Good")</f>
        <v>Poor</v>
      </c>
      <c r="AL904">
        <v>7</v>
      </c>
      <c r="AM904">
        <v>7</v>
      </c>
      <c r="AN904">
        <v>1</v>
      </c>
      <c r="AO904">
        <v>7</v>
      </c>
    </row>
    <row r="905" spans="1:41" x14ac:dyDescent="0.2">
      <c r="A905">
        <v>1346366</v>
      </c>
      <c r="B905">
        <v>34</v>
      </c>
      <c r="C905" t="str" cm="1">
        <f t="array" ref="C905">_xlfn.IFS(B905&lt;=25,"15-25",B905&lt;=35,"26-35",B905&lt;=45,"36-45",B905&lt;=55,"46-55",B905&lt;=65,"56-65")</f>
        <v>26-35</v>
      </c>
      <c r="D905" t="s">
        <v>35</v>
      </c>
      <c r="E905" t="str">
        <f t="shared" si="28"/>
        <v>Current Employee</v>
      </c>
      <c r="F905" t="s">
        <v>36</v>
      </c>
      <c r="G905">
        <v>1320</v>
      </c>
      <c r="H905" t="s">
        <v>45</v>
      </c>
      <c r="I905">
        <v>20</v>
      </c>
      <c r="J905">
        <v>3</v>
      </c>
      <c r="K905" t="s">
        <v>56</v>
      </c>
      <c r="L905">
        <v>1</v>
      </c>
      <c r="M905">
        <v>3</v>
      </c>
      <c r="N905" t="s">
        <v>39</v>
      </c>
      <c r="O905">
        <v>89</v>
      </c>
      <c r="P905">
        <v>4</v>
      </c>
      <c r="Q905">
        <v>1</v>
      </c>
      <c r="R905" t="s">
        <v>47</v>
      </c>
      <c r="S905">
        <v>3</v>
      </c>
      <c r="T905" t="str" cm="1">
        <f t="array" ref="T905">_xlfn.IFS(S905&lt;=2,"Poor",S905&lt;=3,"Fair",S905&gt;=4,"Good")</f>
        <v>Fair</v>
      </c>
      <c r="U905" t="s">
        <v>48</v>
      </c>
      <c r="V905" s="1">
        <v>2585</v>
      </c>
      <c r="W905" t="str" cm="1">
        <f t="array" ref="W905">_xlfn.IFS(V905&lt;=5000,"Low Salary",V905&lt;=12000,"Good Salary",V905&gt;12000,"High Salary")</f>
        <v>Low Salary</v>
      </c>
      <c r="X905">
        <v>21643</v>
      </c>
      <c r="Y905">
        <v>0</v>
      </c>
      <c r="Z905" t="s">
        <v>42</v>
      </c>
      <c r="AA905" t="s">
        <v>35</v>
      </c>
      <c r="AB905">
        <v>17</v>
      </c>
      <c r="AC905">
        <v>3</v>
      </c>
      <c r="AD905" t="str">
        <f t="shared" si="29"/>
        <v>Low Performance</v>
      </c>
      <c r="AE905">
        <v>4</v>
      </c>
      <c r="AF905">
        <v>80</v>
      </c>
      <c r="AG905">
        <v>0</v>
      </c>
      <c r="AH905">
        <v>2</v>
      </c>
      <c r="AI905">
        <v>5</v>
      </c>
      <c r="AJ905">
        <v>2</v>
      </c>
      <c r="AK905" t="str" cm="1">
        <f t="array" ref="AK905">_xlfn.IFS(AJ905&lt;=2,"Poor",AJ905&lt;=3,"Fair",AJ905&gt;3,"Good")</f>
        <v>Poor</v>
      </c>
      <c r="AL905">
        <v>1</v>
      </c>
      <c r="AM905">
        <v>0</v>
      </c>
      <c r="AN905">
        <v>0</v>
      </c>
      <c r="AO905">
        <v>0</v>
      </c>
    </row>
    <row r="906" spans="1:41" x14ac:dyDescent="0.2">
      <c r="A906">
        <v>1471840</v>
      </c>
      <c r="B906">
        <v>44</v>
      </c>
      <c r="C906" t="str" cm="1">
        <f t="array" ref="C906">_xlfn.IFS(B906&lt;=25,"15-25",B906&lt;=35,"26-35",B906&lt;=45,"36-45",B906&lt;=55,"46-55",B906&lt;=65,"56-65")</f>
        <v>36-45</v>
      </c>
      <c r="D906" t="s">
        <v>35</v>
      </c>
      <c r="E906" t="str">
        <f t="shared" si="28"/>
        <v>Current Employee</v>
      </c>
      <c r="F906" t="s">
        <v>36</v>
      </c>
      <c r="G906">
        <v>1099</v>
      </c>
      <c r="H906" t="s">
        <v>37</v>
      </c>
      <c r="I906">
        <v>5</v>
      </c>
      <c r="J906">
        <v>3</v>
      </c>
      <c r="K906" t="s">
        <v>55</v>
      </c>
      <c r="L906">
        <v>1</v>
      </c>
      <c r="M906">
        <v>2</v>
      </c>
      <c r="N906" t="s">
        <v>46</v>
      </c>
      <c r="O906">
        <v>88</v>
      </c>
      <c r="P906">
        <v>3</v>
      </c>
      <c r="Q906">
        <v>5</v>
      </c>
      <c r="R906" t="s">
        <v>53</v>
      </c>
      <c r="S906">
        <v>2</v>
      </c>
      <c r="T906" t="str" cm="1">
        <f t="array" ref="T906">_xlfn.IFS(S906&lt;=2,"Poor",S906&lt;=3,"Fair",S906&gt;=4,"Good")</f>
        <v>Poor</v>
      </c>
      <c r="U906" t="s">
        <v>48</v>
      </c>
      <c r="V906" s="1">
        <v>18213</v>
      </c>
      <c r="W906" t="str" cm="1">
        <f t="array" ref="W906">_xlfn.IFS(V906&lt;=5000,"Low Salary",V906&lt;=12000,"Good Salary",V906&gt;12000,"High Salary")</f>
        <v>High Salary</v>
      </c>
      <c r="X906">
        <v>8751</v>
      </c>
      <c r="Y906">
        <v>7</v>
      </c>
      <c r="Z906" t="s">
        <v>42</v>
      </c>
      <c r="AA906" t="s">
        <v>35</v>
      </c>
      <c r="AB906">
        <v>11</v>
      </c>
      <c r="AC906">
        <v>3</v>
      </c>
      <c r="AD906" t="str">
        <f t="shared" si="29"/>
        <v>Low Performance</v>
      </c>
      <c r="AE906">
        <v>3</v>
      </c>
      <c r="AF906">
        <v>80</v>
      </c>
      <c r="AG906">
        <v>1</v>
      </c>
      <c r="AH906">
        <v>26</v>
      </c>
      <c r="AI906">
        <v>5</v>
      </c>
      <c r="AJ906">
        <v>3</v>
      </c>
      <c r="AK906" t="str" cm="1">
        <f t="array" ref="AK906">_xlfn.IFS(AJ906&lt;=2,"Poor",AJ906&lt;=3,"Fair",AJ906&gt;3,"Good")</f>
        <v>Fair</v>
      </c>
      <c r="AL906">
        <v>22</v>
      </c>
      <c r="AM906">
        <v>9</v>
      </c>
      <c r="AN906">
        <v>3</v>
      </c>
      <c r="AO906">
        <v>10</v>
      </c>
    </row>
    <row r="907" spans="1:41" x14ac:dyDescent="0.2">
      <c r="A907">
        <v>1081187</v>
      </c>
      <c r="B907">
        <v>33</v>
      </c>
      <c r="C907" t="str" cm="1">
        <f t="array" ref="C907">_xlfn.IFS(B907&lt;=25,"15-25",B907&lt;=35,"26-35",B907&lt;=45,"36-45",B907&lt;=55,"46-55",B907&lt;=65,"56-65")</f>
        <v>26-35</v>
      </c>
      <c r="D907" t="s">
        <v>35</v>
      </c>
      <c r="E907" t="str">
        <f t="shared" si="28"/>
        <v>Current Employee</v>
      </c>
      <c r="F907" t="s">
        <v>36</v>
      </c>
      <c r="G907">
        <v>536</v>
      </c>
      <c r="H907" t="s">
        <v>37</v>
      </c>
      <c r="I907">
        <v>10</v>
      </c>
      <c r="J907">
        <v>5</v>
      </c>
      <c r="K907" t="s">
        <v>55</v>
      </c>
      <c r="L907">
        <v>1</v>
      </c>
      <c r="M907">
        <v>4</v>
      </c>
      <c r="N907" t="s">
        <v>46</v>
      </c>
      <c r="O907">
        <v>82</v>
      </c>
      <c r="P907">
        <v>4</v>
      </c>
      <c r="Q907">
        <v>3</v>
      </c>
      <c r="R907" t="s">
        <v>40</v>
      </c>
      <c r="S907">
        <v>3</v>
      </c>
      <c r="T907" t="str" cm="1">
        <f t="array" ref="T907">_xlfn.IFS(S907&lt;=2,"Poor",S907&lt;=3,"Fair",S907&gt;=4,"Good")</f>
        <v>Fair</v>
      </c>
      <c r="U907" t="s">
        <v>50</v>
      </c>
      <c r="V907" s="1">
        <v>8380</v>
      </c>
      <c r="W907" t="str" cm="1">
        <f t="array" ref="W907">_xlfn.IFS(V907&lt;=5000,"Low Salary",V907&lt;=12000,"Good Salary",V907&gt;12000,"High Salary")</f>
        <v>Good Salary</v>
      </c>
      <c r="X907">
        <v>21708</v>
      </c>
      <c r="Y907">
        <v>0</v>
      </c>
      <c r="Z907" t="s">
        <v>42</v>
      </c>
      <c r="AA907" t="s">
        <v>43</v>
      </c>
      <c r="AB907">
        <v>14</v>
      </c>
      <c r="AC907">
        <v>3</v>
      </c>
      <c r="AD907" t="str">
        <f t="shared" si="29"/>
        <v>Low Performance</v>
      </c>
      <c r="AE907">
        <v>4</v>
      </c>
      <c r="AF907">
        <v>80</v>
      </c>
      <c r="AG907">
        <v>2</v>
      </c>
      <c r="AH907">
        <v>10</v>
      </c>
      <c r="AI907">
        <v>3</v>
      </c>
      <c r="AJ907">
        <v>3</v>
      </c>
      <c r="AK907" t="str" cm="1">
        <f t="array" ref="AK907">_xlfn.IFS(AJ907&lt;=2,"Poor",AJ907&lt;=3,"Fair",AJ907&gt;3,"Good")</f>
        <v>Fair</v>
      </c>
      <c r="AL907">
        <v>9</v>
      </c>
      <c r="AM907">
        <v>8</v>
      </c>
      <c r="AN907">
        <v>0</v>
      </c>
      <c r="AO907">
        <v>8</v>
      </c>
    </row>
    <row r="908" spans="1:41" x14ac:dyDescent="0.2">
      <c r="A908">
        <v>1237363</v>
      </c>
      <c r="B908">
        <v>19</v>
      </c>
      <c r="C908" t="str" cm="1">
        <f t="array" ref="C908">_xlfn.IFS(B908&lt;=25,"15-25",B908&lt;=35,"26-35",B908&lt;=45,"36-45",B908&lt;=55,"46-55",B908&lt;=65,"56-65")</f>
        <v>15-25</v>
      </c>
      <c r="D908" t="s">
        <v>35</v>
      </c>
      <c r="E908" t="str">
        <f t="shared" si="28"/>
        <v>Current Employee</v>
      </c>
      <c r="F908" t="s">
        <v>36</v>
      </c>
      <c r="G908">
        <v>265</v>
      </c>
      <c r="H908" t="s">
        <v>45</v>
      </c>
      <c r="I908">
        <v>25</v>
      </c>
      <c r="J908">
        <v>3</v>
      </c>
      <c r="K908" t="s">
        <v>38</v>
      </c>
      <c r="L908">
        <v>1</v>
      </c>
      <c r="M908">
        <v>2</v>
      </c>
      <c r="N908" t="s">
        <v>39</v>
      </c>
      <c r="O908">
        <v>57</v>
      </c>
      <c r="P908">
        <v>4</v>
      </c>
      <c r="Q908">
        <v>1</v>
      </c>
      <c r="R908" t="s">
        <v>47</v>
      </c>
      <c r="S908">
        <v>4</v>
      </c>
      <c r="T908" t="str" cm="1">
        <f t="array" ref="T908">_xlfn.IFS(S908&lt;=2,"Poor",S908&lt;=3,"Fair",S908&gt;=4,"Good")</f>
        <v>Good</v>
      </c>
      <c r="U908" t="s">
        <v>41</v>
      </c>
      <c r="V908" s="1">
        <v>2994</v>
      </c>
      <c r="W908" t="str" cm="1">
        <f t="array" ref="W908">_xlfn.IFS(V908&lt;=5000,"Low Salary",V908&lt;=12000,"Good Salary",V908&gt;12000,"High Salary")</f>
        <v>Low Salary</v>
      </c>
      <c r="X908">
        <v>21221</v>
      </c>
      <c r="Y908">
        <v>1</v>
      </c>
      <c r="Z908" t="s">
        <v>42</v>
      </c>
      <c r="AA908" t="s">
        <v>43</v>
      </c>
      <c r="AB908">
        <v>12</v>
      </c>
      <c r="AC908">
        <v>3</v>
      </c>
      <c r="AD908" t="str">
        <f t="shared" si="29"/>
        <v>Low Performance</v>
      </c>
      <c r="AE908">
        <v>4</v>
      </c>
      <c r="AF908">
        <v>80</v>
      </c>
      <c r="AG908">
        <v>0</v>
      </c>
      <c r="AH908">
        <v>1</v>
      </c>
      <c r="AI908">
        <v>2</v>
      </c>
      <c r="AJ908">
        <v>3</v>
      </c>
      <c r="AK908" t="str" cm="1">
        <f t="array" ref="AK908">_xlfn.IFS(AJ908&lt;=2,"Poor",AJ908&lt;=3,"Fair",AJ908&gt;3,"Good")</f>
        <v>Fair</v>
      </c>
      <c r="AL908">
        <v>1</v>
      </c>
      <c r="AM908">
        <v>0</v>
      </c>
      <c r="AN908">
        <v>0</v>
      </c>
      <c r="AO908">
        <v>1</v>
      </c>
    </row>
    <row r="909" spans="1:41" x14ac:dyDescent="0.2">
      <c r="A909">
        <v>1473069</v>
      </c>
      <c r="B909">
        <v>23</v>
      </c>
      <c r="C909" t="str" cm="1">
        <f t="array" ref="C909">_xlfn.IFS(B909&lt;=25,"15-25",B909&lt;=35,"26-35",B909&lt;=45,"36-45",B909&lt;=55,"46-55",B909&lt;=65,"56-65")</f>
        <v>15-25</v>
      </c>
      <c r="D909" t="s">
        <v>35</v>
      </c>
      <c r="E909" t="str">
        <f t="shared" si="28"/>
        <v>Current Employee</v>
      </c>
      <c r="F909" t="s">
        <v>36</v>
      </c>
      <c r="G909">
        <v>373</v>
      </c>
      <c r="H909" t="s">
        <v>45</v>
      </c>
      <c r="I909">
        <v>1</v>
      </c>
      <c r="J909">
        <v>2</v>
      </c>
      <c r="K909" t="s">
        <v>38</v>
      </c>
      <c r="L909">
        <v>1</v>
      </c>
      <c r="M909">
        <v>4</v>
      </c>
      <c r="N909" t="s">
        <v>46</v>
      </c>
      <c r="O909">
        <v>47</v>
      </c>
      <c r="P909">
        <v>3</v>
      </c>
      <c r="Q909">
        <v>1</v>
      </c>
      <c r="R909" t="s">
        <v>47</v>
      </c>
      <c r="S909">
        <v>3</v>
      </c>
      <c r="T909" t="str" cm="1">
        <f t="array" ref="T909">_xlfn.IFS(S909&lt;=2,"Poor",S909&lt;=3,"Fair",S909&gt;=4,"Good")</f>
        <v>Fair</v>
      </c>
      <c r="U909" t="s">
        <v>48</v>
      </c>
      <c r="V909" s="1">
        <v>1223</v>
      </c>
      <c r="W909" t="str" cm="1">
        <f t="array" ref="W909">_xlfn.IFS(V909&lt;=5000,"Low Salary",V909&lt;=12000,"Good Salary",V909&gt;12000,"High Salary")</f>
        <v>Low Salary</v>
      </c>
      <c r="X909">
        <v>16901</v>
      </c>
      <c r="Y909">
        <v>1</v>
      </c>
      <c r="Z909" t="s">
        <v>42</v>
      </c>
      <c r="AA909" t="s">
        <v>35</v>
      </c>
      <c r="AB909">
        <v>22</v>
      </c>
      <c r="AC909">
        <v>4</v>
      </c>
      <c r="AD909" t="str">
        <f t="shared" si="29"/>
        <v>High Performance</v>
      </c>
      <c r="AE909">
        <v>4</v>
      </c>
      <c r="AF909">
        <v>80</v>
      </c>
      <c r="AG909">
        <v>1</v>
      </c>
      <c r="AH909">
        <v>1</v>
      </c>
      <c r="AI909">
        <v>2</v>
      </c>
      <c r="AJ909">
        <v>3</v>
      </c>
      <c r="AK909" t="str" cm="1">
        <f t="array" ref="AK909">_xlfn.IFS(AJ909&lt;=2,"Poor",AJ909&lt;=3,"Fair",AJ909&gt;3,"Good")</f>
        <v>Fair</v>
      </c>
      <c r="AL909">
        <v>1</v>
      </c>
      <c r="AM909">
        <v>0</v>
      </c>
      <c r="AN909">
        <v>0</v>
      </c>
      <c r="AO909">
        <v>1</v>
      </c>
    </row>
    <row r="910" spans="1:41" x14ac:dyDescent="0.2">
      <c r="A910">
        <v>1322371</v>
      </c>
      <c r="B910">
        <v>25</v>
      </c>
      <c r="C910" t="str" cm="1">
        <f t="array" ref="C910">_xlfn.IFS(B910&lt;=25,"15-25",B910&lt;=35,"26-35",B910&lt;=45,"36-45",B910&lt;=55,"46-55",B910&lt;=65,"56-65")</f>
        <v>15-25</v>
      </c>
      <c r="D910" t="s">
        <v>43</v>
      </c>
      <c r="E910" t="str">
        <f t="shared" si="28"/>
        <v>Former Employee</v>
      </c>
      <c r="F910" t="s">
        <v>44</v>
      </c>
      <c r="G910">
        <v>599</v>
      </c>
      <c r="H910" t="s">
        <v>37</v>
      </c>
      <c r="I910">
        <v>24</v>
      </c>
      <c r="J910">
        <v>1</v>
      </c>
      <c r="K910" t="s">
        <v>38</v>
      </c>
      <c r="L910">
        <v>1</v>
      </c>
      <c r="M910">
        <v>3</v>
      </c>
      <c r="N910" t="s">
        <v>46</v>
      </c>
      <c r="O910">
        <v>73</v>
      </c>
      <c r="P910">
        <v>1</v>
      </c>
      <c r="Q910">
        <v>1</v>
      </c>
      <c r="R910" t="s">
        <v>47</v>
      </c>
      <c r="S910">
        <v>4</v>
      </c>
      <c r="T910" t="str" cm="1">
        <f t="array" ref="T910">_xlfn.IFS(S910&lt;=2,"Poor",S910&lt;=3,"Fair",S910&gt;=4,"Good")</f>
        <v>Good</v>
      </c>
      <c r="U910" t="s">
        <v>41</v>
      </c>
      <c r="V910" s="1">
        <v>1118</v>
      </c>
      <c r="W910" t="str" cm="1">
        <f t="array" ref="W910">_xlfn.IFS(V910&lt;=5000,"Low Salary",V910&lt;=12000,"Good Salary",V910&gt;12000,"High Salary")</f>
        <v>Low Salary</v>
      </c>
      <c r="X910">
        <v>8040</v>
      </c>
      <c r="Y910">
        <v>1</v>
      </c>
      <c r="Z910" t="s">
        <v>42</v>
      </c>
      <c r="AA910" t="s">
        <v>43</v>
      </c>
      <c r="AB910">
        <v>14</v>
      </c>
      <c r="AC910">
        <v>3</v>
      </c>
      <c r="AD910" t="str">
        <f t="shared" si="29"/>
        <v>Low Performance</v>
      </c>
      <c r="AE910">
        <v>4</v>
      </c>
      <c r="AF910">
        <v>80</v>
      </c>
      <c r="AG910">
        <v>0</v>
      </c>
      <c r="AH910">
        <v>1</v>
      </c>
      <c r="AI910">
        <v>4</v>
      </c>
      <c r="AJ910">
        <v>3</v>
      </c>
      <c r="AK910" t="str" cm="1">
        <f t="array" ref="AK910">_xlfn.IFS(AJ910&lt;=2,"Poor",AJ910&lt;=3,"Fair",AJ910&gt;3,"Good")</f>
        <v>Fair</v>
      </c>
      <c r="AL910">
        <v>1</v>
      </c>
      <c r="AM910">
        <v>0</v>
      </c>
      <c r="AN910">
        <v>1</v>
      </c>
      <c r="AO910">
        <v>0</v>
      </c>
    </row>
    <row r="911" spans="1:41" x14ac:dyDescent="0.2">
      <c r="A911">
        <v>1574047</v>
      </c>
      <c r="B911">
        <v>26</v>
      </c>
      <c r="C911" t="str" cm="1">
        <f t="array" ref="C911">_xlfn.IFS(B911&lt;=25,"15-25",B911&lt;=35,"26-35",B911&lt;=45,"36-45",B911&lt;=55,"46-55",B911&lt;=65,"56-65")</f>
        <v>26-35</v>
      </c>
      <c r="D911" t="s">
        <v>35</v>
      </c>
      <c r="E911" t="str">
        <f t="shared" si="28"/>
        <v>Current Employee</v>
      </c>
      <c r="F911" t="s">
        <v>36</v>
      </c>
      <c r="G911">
        <v>583</v>
      </c>
      <c r="H911" t="s">
        <v>45</v>
      </c>
      <c r="I911">
        <v>4</v>
      </c>
      <c r="J911">
        <v>2</v>
      </c>
      <c r="K911" t="s">
        <v>38</v>
      </c>
      <c r="L911">
        <v>1</v>
      </c>
      <c r="M911">
        <v>3</v>
      </c>
      <c r="N911" t="s">
        <v>46</v>
      </c>
      <c r="O911">
        <v>53</v>
      </c>
      <c r="P911">
        <v>3</v>
      </c>
      <c r="Q911">
        <v>1</v>
      </c>
      <c r="R911" t="s">
        <v>47</v>
      </c>
      <c r="S911">
        <v>4</v>
      </c>
      <c r="T911" t="str" cm="1">
        <f t="array" ref="T911">_xlfn.IFS(S911&lt;=2,"Poor",S911&lt;=3,"Fair",S911&gt;=4,"Good")</f>
        <v>Good</v>
      </c>
      <c r="U911" t="s">
        <v>41</v>
      </c>
      <c r="V911" s="1">
        <v>2875</v>
      </c>
      <c r="W911" t="str" cm="1">
        <f t="array" ref="W911">_xlfn.IFS(V911&lt;=5000,"Low Salary",V911&lt;=12000,"Good Salary",V911&gt;12000,"High Salary")</f>
        <v>Low Salary</v>
      </c>
      <c r="X911">
        <v>9973</v>
      </c>
      <c r="Y911">
        <v>1</v>
      </c>
      <c r="Z911" t="s">
        <v>42</v>
      </c>
      <c r="AA911" t="s">
        <v>43</v>
      </c>
      <c r="AB911">
        <v>20</v>
      </c>
      <c r="AC911">
        <v>4</v>
      </c>
      <c r="AD911" t="str">
        <f t="shared" si="29"/>
        <v>High Performance</v>
      </c>
      <c r="AE911">
        <v>2</v>
      </c>
      <c r="AF911">
        <v>80</v>
      </c>
      <c r="AG911">
        <v>0</v>
      </c>
      <c r="AH911">
        <v>8</v>
      </c>
      <c r="AI911">
        <v>2</v>
      </c>
      <c r="AJ911">
        <v>2</v>
      </c>
      <c r="AK911" t="str" cm="1">
        <f t="array" ref="AK911">_xlfn.IFS(AJ911&lt;=2,"Poor",AJ911&lt;=3,"Fair",AJ911&gt;3,"Good")</f>
        <v>Poor</v>
      </c>
      <c r="AL911">
        <v>8</v>
      </c>
      <c r="AM911">
        <v>5</v>
      </c>
      <c r="AN911">
        <v>2</v>
      </c>
      <c r="AO911">
        <v>2</v>
      </c>
    </row>
    <row r="912" spans="1:41" x14ac:dyDescent="0.2">
      <c r="A912">
        <v>1588094</v>
      </c>
      <c r="B912">
        <v>45</v>
      </c>
      <c r="C912" t="str" cm="1">
        <f t="array" ref="C912">_xlfn.IFS(B912&lt;=25,"15-25",B912&lt;=35,"26-35",B912&lt;=45,"36-45",B912&lt;=55,"46-55",B912&lt;=65,"56-65")</f>
        <v>36-45</v>
      </c>
      <c r="D912" t="s">
        <v>35</v>
      </c>
      <c r="E912" t="str">
        <f t="shared" si="28"/>
        <v>Current Employee</v>
      </c>
      <c r="F912" t="s">
        <v>36</v>
      </c>
      <c r="G912">
        <v>1449</v>
      </c>
      <c r="H912" t="s">
        <v>37</v>
      </c>
      <c r="I912">
        <v>2</v>
      </c>
      <c r="J912">
        <v>3</v>
      </c>
      <c r="K912" t="s">
        <v>55</v>
      </c>
      <c r="L912">
        <v>1</v>
      </c>
      <c r="M912">
        <v>1</v>
      </c>
      <c r="N912" t="s">
        <v>39</v>
      </c>
      <c r="O912">
        <v>94</v>
      </c>
      <c r="P912">
        <v>1</v>
      </c>
      <c r="Q912">
        <v>5</v>
      </c>
      <c r="R912" t="s">
        <v>53</v>
      </c>
      <c r="S912">
        <v>2</v>
      </c>
      <c r="T912" t="str" cm="1">
        <f t="array" ref="T912">_xlfn.IFS(S912&lt;=2,"Poor",S912&lt;=3,"Fair",S912&gt;=4,"Good")</f>
        <v>Poor</v>
      </c>
      <c r="U912" t="s">
        <v>41</v>
      </c>
      <c r="V912" s="1">
        <v>18824</v>
      </c>
      <c r="W912" t="str" cm="1">
        <f t="array" ref="W912">_xlfn.IFS(V912&lt;=5000,"Low Salary",V912&lt;=12000,"Good Salary",V912&gt;12000,"High Salary")</f>
        <v>High Salary</v>
      </c>
      <c r="X912">
        <v>2493</v>
      </c>
      <c r="Y912">
        <v>2</v>
      </c>
      <c r="Z912" t="s">
        <v>42</v>
      </c>
      <c r="AA912" t="s">
        <v>43</v>
      </c>
      <c r="AB912">
        <v>16</v>
      </c>
      <c r="AC912">
        <v>3</v>
      </c>
      <c r="AD912" t="str">
        <f t="shared" si="29"/>
        <v>Low Performance</v>
      </c>
      <c r="AE912">
        <v>1</v>
      </c>
      <c r="AF912">
        <v>80</v>
      </c>
      <c r="AG912">
        <v>0</v>
      </c>
      <c r="AH912">
        <v>26</v>
      </c>
      <c r="AI912">
        <v>2</v>
      </c>
      <c r="AJ912">
        <v>3</v>
      </c>
      <c r="AK912" t="str" cm="1">
        <f t="array" ref="AK912">_xlfn.IFS(AJ912&lt;=2,"Poor",AJ912&lt;=3,"Fair",AJ912&gt;3,"Good")</f>
        <v>Fair</v>
      </c>
      <c r="AL912">
        <v>24</v>
      </c>
      <c r="AM912">
        <v>10</v>
      </c>
      <c r="AN912">
        <v>1</v>
      </c>
      <c r="AO912">
        <v>11</v>
      </c>
    </row>
    <row r="913" spans="1:41" x14ac:dyDescent="0.2">
      <c r="A913">
        <v>1364438</v>
      </c>
      <c r="B913">
        <v>55</v>
      </c>
      <c r="C913" t="str" cm="1">
        <f t="array" ref="C913">_xlfn.IFS(B913&lt;=25,"15-25",B913&lt;=35,"26-35",B913&lt;=45,"36-45",B913&lt;=55,"46-55",B913&lt;=65,"56-65")</f>
        <v>46-55</v>
      </c>
      <c r="D913" t="s">
        <v>35</v>
      </c>
      <c r="E913" t="str">
        <f t="shared" si="28"/>
        <v>Current Employee</v>
      </c>
      <c r="F913" t="s">
        <v>52</v>
      </c>
      <c r="G913">
        <v>177</v>
      </c>
      <c r="H913" t="s">
        <v>45</v>
      </c>
      <c r="I913">
        <v>8</v>
      </c>
      <c r="J913">
        <v>1</v>
      </c>
      <c r="K913" t="s">
        <v>49</v>
      </c>
      <c r="L913">
        <v>1</v>
      </c>
      <c r="M913">
        <v>4</v>
      </c>
      <c r="N913" t="s">
        <v>46</v>
      </c>
      <c r="O913">
        <v>37</v>
      </c>
      <c r="P913">
        <v>2</v>
      </c>
      <c r="Q913">
        <v>4</v>
      </c>
      <c r="R913" t="s">
        <v>40</v>
      </c>
      <c r="S913">
        <v>2</v>
      </c>
      <c r="T913" t="str" cm="1">
        <f t="array" ref="T913">_xlfn.IFS(S913&lt;=2,"Poor",S913&lt;=3,"Fair",S913&gt;=4,"Good")</f>
        <v>Poor</v>
      </c>
      <c r="U913" t="s">
        <v>50</v>
      </c>
      <c r="V913" s="1">
        <v>13577</v>
      </c>
      <c r="W913" t="str" cm="1">
        <f t="array" ref="W913">_xlfn.IFS(V913&lt;=5000,"Low Salary",V913&lt;=12000,"Good Salary",V913&gt;12000,"High Salary")</f>
        <v>High Salary</v>
      </c>
      <c r="X913">
        <v>25592</v>
      </c>
      <c r="Y913">
        <v>1</v>
      </c>
      <c r="Z913" t="s">
        <v>42</v>
      </c>
      <c r="AA913" t="s">
        <v>43</v>
      </c>
      <c r="AB913">
        <v>15</v>
      </c>
      <c r="AC913">
        <v>3</v>
      </c>
      <c r="AD913" t="str">
        <f t="shared" si="29"/>
        <v>Low Performance</v>
      </c>
      <c r="AE913">
        <v>4</v>
      </c>
      <c r="AF913">
        <v>80</v>
      </c>
      <c r="AG913">
        <v>1</v>
      </c>
      <c r="AH913">
        <v>34</v>
      </c>
      <c r="AI913">
        <v>3</v>
      </c>
      <c r="AJ913">
        <v>3</v>
      </c>
      <c r="AK913" t="str" cm="1">
        <f t="array" ref="AK913">_xlfn.IFS(AJ913&lt;=2,"Poor",AJ913&lt;=3,"Fair",AJ913&gt;3,"Good")</f>
        <v>Fair</v>
      </c>
      <c r="AL913">
        <v>33</v>
      </c>
      <c r="AM913">
        <v>9</v>
      </c>
      <c r="AN913">
        <v>15</v>
      </c>
      <c r="AO913">
        <v>0</v>
      </c>
    </row>
    <row r="914" spans="1:41" x14ac:dyDescent="0.2">
      <c r="A914">
        <v>1724855</v>
      </c>
      <c r="B914">
        <v>21</v>
      </c>
      <c r="C914" t="str" cm="1">
        <f t="array" ref="C914">_xlfn.IFS(B914&lt;=25,"15-25",B914&lt;=35,"26-35",B914&lt;=45,"36-45",B914&lt;=55,"46-55",B914&lt;=65,"56-65")</f>
        <v>15-25</v>
      </c>
      <c r="D914" t="s">
        <v>43</v>
      </c>
      <c r="E914" t="str">
        <f t="shared" si="28"/>
        <v>Former Employee</v>
      </c>
      <c r="F914" t="s">
        <v>44</v>
      </c>
      <c r="G914">
        <v>251</v>
      </c>
      <c r="H914" t="s">
        <v>45</v>
      </c>
      <c r="I914">
        <v>10</v>
      </c>
      <c r="J914">
        <v>2</v>
      </c>
      <c r="K914" t="s">
        <v>38</v>
      </c>
      <c r="L914">
        <v>1</v>
      </c>
      <c r="M914">
        <v>1</v>
      </c>
      <c r="N914" t="s">
        <v>39</v>
      </c>
      <c r="O914">
        <v>45</v>
      </c>
      <c r="P914">
        <v>2</v>
      </c>
      <c r="Q914">
        <v>1</v>
      </c>
      <c r="R914" t="s">
        <v>40</v>
      </c>
      <c r="S914">
        <v>3</v>
      </c>
      <c r="T914" t="str" cm="1">
        <f t="array" ref="T914">_xlfn.IFS(S914&lt;=2,"Poor",S914&lt;=3,"Fair",S914&gt;=4,"Good")</f>
        <v>Fair</v>
      </c>
      <c r="U914" t="s">
        <v>41</v>
      </c>
      <c r="V914" s="1">
        <v>2625</v>
      </c>
      <c r="W914" t="str" cm="1">
        <f t="array" ref="W914">_xlfn.IFS(V914&lt;=5000,"Low Salary",V914&lt;=12000,"Good Salary",V914&gt;12000,"High Salary")</f>
        <v>Low Salary</v>
      </c>
      <c r="X914">
        <v>25308</v>
      </c>
      <c r="Y914">
        <v>1</v>
      </c>
      <c r="Z914" t="s">
        <v>42</v>
      </c>
      <c r="AA914" t="s">
        <v>35</v>
      </c>
      <c r="AB914">
        <v>20</v>
      </c>
      <c r="AC914">
        <v>4</v>
      </c>
      <c r="AD914" t="str">
        <f t="shared" si="29"/>
        <v>High Performance</v>
      </c>
      <c r="AE914">
        <v>3</v>
      </c>
      <c r="AF914">
        <v>80</v>
      </c>
      <c r="AG914">
        <v>0</v>
      </c>
      <c r="AH914">
        <v>2</v>
      </c>
      <c r="AI914">
        <v>2</v>
      </c>
      <c r="AJ914">
        <v>1</v>
      </c>
      <c r="AK914" t="str" cm="1">
        <f t="array" ref="AK914">_xlfn.IFS(AJ914&lt;=2,"Poor",AJ914&lt;=3,"Fair",AJ914&gt;3,"Good")</f>
        <v>Poor</v>
      </c>
      <c r="AL914">
        <v>2</v>
      </c>
      <c r="AM914">
        <v>2</v>
      </c>
      <c r="AN914">
        <v>2</v>
      </c>
      <c r="AO914">
        <v>2</v>
      </c>
    </row>
    <row r="915" spans="1:41" x14ac:dyDescent="0.2">
      <c r="A915">
        <v>1032289</v>
      </c>
      <c r="B915">
        <v>46</v>
      </c>
      <c r="C915" t="str" cm="1">
        <f t="array" ref="C915">_xlfn.IFS(B915&lt;=25,"15-25",B915&lt;=35,"26-35",B915&lt;=45,"36-45",B915&lt;=55,"46-55",B915&lt;=65,"56-65")</f>
        <v>46-55</v>
      </c>
      <c r="D915" t="s">
        <v>35</v>
      </c>
      <c r="E915" t="str">
        <f t="shared" si="28"/>
        <v>Current Employee</v>
      </c>
      <c r="F915" t="s">
        <v>36</v>
      </c>
      <c r="G915">
        <v>168</v>
      </c>
      <c r="H915" t="s">
        <v>37</v>
      </c>
      <c r="I915">
        <v>4</v>
      </c>
      <c r="J915">
        <v>2</v>
      </c>
      <c r="K915" t="s">
        <v>55</v>
      </c>
      <c r="L915">
        <v>1</v>
      </c>
      <c r="M915">
        <v>4</v>
      </c>
      <c r="N915" t="s">
        <v>39</v>
      </c>
      <c r="O915">
        <v>33</v>
      </c>
      <c r="P915">
        <v>2</v>
      </c>
      <c r="Q915">
        <v>5</v>
      </c>
      <c r="R915" t="s">
        <v>53</v>
      </c>
      <c r="S915">
        <v>2</v>
      </c>
      <c r="T915" t="str" cm="1">
        <f t="array" ref="T915">_xlfn.IFS(S915&lt;=2,"Poor",S915&lt;=3,"Fair",S915&gt;=4,"Good")</f>
        <v>Poor</v>
      </c>
      <c r="U915" t="s">
        <v>48</v>
      </c>
      <c r="V915" s="1">
        <v>18789</v>
      </c>
      <c r="W915" t="str" cm="1">
        <f t="array" ref="W915">_xlfn.IFS(V915&lt;=5000,"Low Salary",V915&lt;=12000,"Good Salary",V915&gt;12000,"High Salary")</f>
        <v>High Salary</v>
      </c>
      <c r="X915">
        <v>9946</v>
      </c>
      <c r="Y915">
        <v>2</v>
      </c>
      <c r="Z915" t="s">
        <v>42</v>
      </c>
      <c r="AA915" t="s">
        <v>35</v>
      </c>
      <c r="AB915">
        <v>14</v>
      </c>
      <c r="AC915">
        <v>3</v>
      </c>
      <c r="AD915" t="str">
        <f t="shared" si="29"/>
        <v>Low Performance</v>
      </c>
      <c r="AE915">
        <v>3</v>
      </c>
      <c r="AF915">
        <v>80</v>
      </c>
      <c r="AG915">
        <v>1</v>
      </c>
      <c r="AH915">
        <v>26</v>
      </c>
      <c r="AI915">
        <v>2</v>
      </c>
      <c r="AJ915">
        <v>3</v>
      </c>
      <c r="AK915" t="str" cm="1">
        <f t="array" ref="AK915">_xlfn.IFS(AJ915&lt;=2,"Poor",AJ915&lt;=3,"Fair",AJ915&gt;3,"Good")</f>
        <v>Fair</v>
      </c>
      <c r="AL915">
        <v>11</v>
      </c>
      <c r="AM915">
        <v>4</v>
      </c>
      <c r="AN915">
        <v>0</v>
      </c>
      <c r="AO915">
        <v>8</v>
      </c>
    </row>
    <row r="916" spans="1:41" x14ac:dyDescent="0.2">
      <c r="A916">
        <v>1826524</v>
      </c>
      <c r="B916">
        <v>34</v>
      </c>
      <c r="C916" t="str" cm="1">
        <f t="array" ref="C916">_xlfn.IFS(B916&lt;=25,"15-25",B916&lt;=35,"26-35",B916&lt;=45,"36-45",B916&lt;=55,"46-55",B916&lt;=65,"56-65")</f>
        <v>26-35</v>
      </c>
      <c r="D916" t="s">
        <v>35</v>
      </c>
      <c r="E916" t="str">
        <f t="shared" si="28"/>
        <v>Current Employee</v>
      </c>
      <c r="F916" t="s">
        <v>36</v>
      </c>
      <c r="G916">
        <v>131</v>
      </c>
      <c r="H916" t="s">
        <v>37</v>
      </c>
      <c r="I916">
        <v>2</v>
      </c>
      <c r="J916">
        <v>3</v>
      </c>
      <c r="K916" t="s">
        <v>55</v>
      </c>
      <c r="L916">
        <v>1</v>
      </c>
      <c r="M916">
        <v>3</v>
      </c>
      <c r="N916" t="s">
        <v>39</v>
      </c>
      <c r="O916">
        <v>86</v>
      </c>
      <c r="P916">
        <v>3</v>
      </c>
      <c r="Q916">
        <v>2</v>
      </c>
      <c r="R916" t="s">
        <v>40</v>
      </c>
      <c r="S916">
        <v>1</v>
      </c>
      <c r="T916" t="str" cm="1">
        <f t="array" ref="T916">_xlfn.IFS(S916&lt;=2,"Poor",S916&lt;=3,"Fair",S916&gt;=4,"Good")</f>
        <v>Poor</v>
      </c>
      <c r="U916" t="s">
        <v>41</v>
      </c>
      <c r="V916" s="1">
        <v>4538</v>
      </c>
      <c r="W916" t="str" cm="1">
        <f t="array" ref="W916">_xlfn.IFS(V916&lt;=5000,"Low Salary",V916&lt;=12000,"Good Salary",V916&gt;12000,"High Salary")</f>
        <v>Low Salary</v>
      </c>
      <c r="X916">
        <v>6039</v>
      </c>
      <c r="Y916">
        <v>0</v>
      </c>
      <c r="Z916" t="s">
        <v>42</v>
      </c>
      <c r="AA916" t="s">
        <v>43</v>
      </c>
      <c r="AB916">
        <v>12</v>
      </c>
      <c r="AC916">
        <v>3</v>
      </c>
      <c r="AD916" t="str">
        <f t="shared" si="29"/>
        <v>Low Performance</v>
      </c>
      <c r="AE916">
        <v>4</v>
      </c>
      <c r="AF916">
        <v>80</v>
      </c>
      <c r="AG916">
        <v>0</v>
      </c>
      <c r="AH916">
        <v>4</v>
      </c>
      <c r="AI916">
        <v>3</v>
      </c>
      <c r="AJ916">
        <v>3</v>
      </c>
      <c r="AK916" t="str" cm="1">
        <f t="array" ref="AK916">_xlfn.IFS(AJ916&lt;=2,"Poor",AJ916&lt;=3,"Fair",AJ916&gt;3,"Good")</f>
        <v>Fair</v>
      </c>
      <c r="AL916">
        <v>3</v>
      </c>
      <c r="AM916">
        <v>2</v>
      </c>
      <c r="AN916">
        <v>0</v>
      </c>
      <c r="AO916">
        <v>2</v>
      </c>
    </row>
    <row r="917" spans="1:41" x14ac:dyDescent="0.2">
      <c r="A917">
        <v>1426682</v>
      </c>
      <c r="B917">
        <v>51</v>
      </c>
      <c r="C917" t="str" cm="1">
        <f t="array" ref="C917">_xlfn.IFS(B917&lt;=25,"15-25",B917&lt;=35,"26-35",B917&lt;=45,"36-45",B917&lt;=55,"46-55",B917&lt;=65,"56-65")</f>
        <v>46-55</v>
      </c>
      <c r="D917" t="s">
        <v>35</v>
      </c>
      <c r="E917" t="str">
        <f t="shared" si="28"/>
        <v>Current Employee</v>
      </c>
      <c r="F917" t="s">
        <v>44</v>
      </c>
      <c r="G917">
        <v>237</v>
      </c>
      <c r="H917" t="s">
        <v>37</v>
      </c>
      <c r="I917">
        <v>9</v>
      </c>
      <c r="J917">
        <v>3</v>
      </c>
      <c r="K917" t="s">
        <v>38</v>
      </c>
      <c r="L917">
        <v>1</v>
      </c>
      <c r="M917">
        <v>4</v>
      </c>
      <c r="N917" t="s">
        <v>46</v>
      </c>
      <c r="O917">
        <v>83</v>
      </c>
      <c r="P917">
        <v>3</v>
      </c>
      <c r="Q917">
        <v>5</v>
      </c>
      <c r="R917" t="s">
        <v>53</v>
      </c>
      <c r="S917">
        <v>2</v>
      </c>
      <c r="T917" t="str" cm="1">
        <f t="array" ref="T917">_xlfn.IFS(S917&lt;=2,"Poor",S917&lt;=3,"Fair",S917&gt;=4,"Good")</f>
        <v>Poor</v>
      </c>
      <c r="U917" t="s">
        <v>50</v>
      </c>
      <c r="V917" s="1">
        <v>19847</v>
      </c>
      <c r="W917" t="str" cm="1">
        <f t="array" ref="W917">_xlfn.IFS(V917&lt;=5000,"Low Salary",V917&lt;=12000,"Good Salary",V917&gt;12000,"High Salary")</f>
        <v>High Salary</v>
      </c>
      <c r="X917">
        <v>19196</v>
      </c>
      <c r="Y917">
        <v>4</v>
      </c>
      <c r="Z917" t="s">
        <v>42</v>
      </c>
      <c r="AA917" t="s">
        <v>43</v>
      </c>
      <c r="AB917">
        <v>24</v>
      </c>
      <c r="AC917">
        <v>4</v>
      </c>
      <c r="AD917" t="str">
        <f t="shared" si="29"/>
        <v>High Performance</v>
      </c>
      <c r="AE917">
        <v>1</v>
      </c>
      <c r="AF917">
        <v>80</v>
      </c>
      <c r="AG917">
        <v>1</v>
      </c>
      <c r="AH917">
        <v>31</v>
      </c>
      <c r="AI917">
        <v>5</v>
      </c>
      <c r="AJ917">
        <v>2</v>
      </c>
      <c r="AK917" t="str" cm="1">
        <f t="array" ref="AK917">_xlfn.IFS(AJ917&lt;=2,"Poor",AJ917&lt;=3,"Fair",AJ917&gt;3,"Good")</f>
        <v>Poor</v>
      </c>
      <c r="AL917">
        <v>29</v>
      </c>
      <c r="AM917">
        <v>10</v>
      </c>
      <c r="AN917">
        <v>11</v>
      </c>
      <c r="AO917">
        <v>10</v>
      </c>
    </row>
    <row r="918" spans="1:41" x14ac:dyDescent="0.2">
      <c r="A918">
        <v>1826449</v>
      </c>
      <c r="B918">
        <v>59</v>
      </c>
      <c r="C918" t="str" cm="1">
        <f t="array" ref="C918">_xlfn.IFS(B918&lt;=25,"15-25",B918&lt;=35,"26-35",B918&lt;=45,"36-45",B918&lt;=55,"46-55",B918&lt;=65,"56-65")</f>
        <v>56-65</v>
      </c>
      <c r="D918" t="s">
        <v>35</v>
      </c>
      <c r="E918" t="str">
        <f t="shared" si="28"/>
        <v>Current Employee</v>
      </c>
      <c r="F918" t="s">
        <v>36</v>
      </c>
      <c r="G918">
        <v>1429</v>
      </c>
      <c r="H918" t="s">
        <v>45</v>
      </c>
      <c r="I918">
        <v>18</v>
      </c>
      <c r="J918">
        <v>4</v>
      </c>
      <c r="K918" t="s">
        <v>49</v>
      </c>
      <c r="L918">
        <v>1</v>
      </c>
      <c r="M918">
        <v>4</v>
      </c>
      <c r="N918" t="s">
        <v>46</v>
      </c>
      <c r="O918">
        <v>67</v>
      </c>
      <c r="P918">
        <v>3</v>
      </c>
      <c r="Q918">
        <v>3</v>
      </c>
      <c r="R918" t="s">
        <v>51</v>
      </c>
      <c r="S918">
        <v>4</v>
      </c>
      <c r="T918" t="str" cm="1">
        <f t="array" ref="T918">_xlfn.IFS(S918&lt;=2,"Poor",S918&lt;=3,"Fair",S918&gt;=4,"Good")</f>
        <v>Good</v>
      </c>
      <c r="U918" t="s">
        <v>41</v>
      </c>
      <c r="V918" s="1">
        <v>10512</v>
      </c>
      <c r="W918" t="str" cm="1">
        <f t="array" ref="W918">_xlfn.IFS(V918&lt;=5000,"Low Salary",V918&lt;=12000,"Good Salary",V918&gt;12000,"High Salary")</f>
        <v>Good Salary</v>
      </c>
      <c r="X918">
        <v>20002</v>
      </c>
      <c r="Y918">
        <v>6</v>
      </c>
      <c r="Z918" t="s">
        <v>42</v>
      </c>
      <c r="AA918" t="s">
        <v>35</v>
      </c>
      <c r="AB918">
        <v>12</v>
      </c>
      <c r="AC918">
        <v>3</v>
      </c>
      <c r="AD918" t="str">
        <f t="shared" si="29"/>
        <v>Low Performance</v>
      </c>
      <c r="AE918">
        <v>4</v>
      </c>
      <c r="AF918">
        <v>80</v>
      </c>
      <c r="AG918">
        <v>0</v>
      </c>
      <c r="AH918">
        <v>25</v>
      </c>
      <c r="AI918">
        <v>6</v>
      </c>
      <c r="AJ918">
        <v>2</v>
      </c>
      <c r="AK918" t="str" cm="1">
        <f t="array" ref="AK918">_xlfn.IFS(AJ918&lt;=2,"Poor",AJ918&lt;=3,"Fair",AJ918&gt;3,"Good")</f>
        <v>Poor</v>
      </c>
      <c r="AL918">
        <v>9</v>
      </c>
      <c r="AM918">
        <v>7</v>
      </c>
      <c r="AN918">
        <v>5</v>
      </c>
      <c r="AO918">
        <v>4</v>
      </c>
    </row>
    <row r="919" spans="1:41" x14ac:dyDescent="0.2">
      <c r="A919">
        <v>1319702</v>
      </c>
      <c r="B919">
        <v>34</v>
      </c>
      <c r="C919" t="str" cm="1">
        <f t="array" ref="C919">_xlfn.IFS(B919&lt;=25,"15-25",B919&lt;=35,"26-35",B919&lt;=45,"36-45",B919&lt;=55,"46-55",B919&lt;=65,"56-65")</f>
        <v>26-35</v>
      </c>
      <c r="D919" t="s">
        <v>35</v>
      </c>
      <c r="E919" t="str">
        <f t="shared" si="28"/>
        <v>Current Employee</v>
      </c>
      <c r="F919" t="s">
        <v>44</v>
      </c>
      <c r="G919">
        <v>135</v>
      </c>
      <c r="H919" t="s">
        <v>45</v>
      </c>
      <c r="I919">
        <v>19</v>
      </c>
      <c r="J919">
        <v>3</v>
      </c>
      <c r="K919" t="s">
        <v>49</v>
      </c>
      <c r="L919">
        <v>1</v>
      </c>
      <c r="M919">
        <v>3</v>
      </c>
      <c r="N919" t="s">
        <v>39</v>
      </c>
      <c r="O919">
        <v>46</v>
      </c>
      <c r="P919">
        <v>3</v>
      </c>
      <c r="Q919">
        <v>2</v>
      </c>
      <c r="R919" t="s">
        <v>40</v>
      </c>
      <c r="S919">
        <v>2</v>
      </c>
      <c r="T919" t="str" cm="1">
        <f t="array" ref="T919">_xlfn.IFS(S919&lt;=2,"Poor",S919&lt;=3,"Fair",S919&gt;=4,"Good")</f>
        <v>Poor</v>
      </c>
      <c r="U919" t="s">
        <v>50</v>
      </c>
      <c r="V919" s="1">
        <v>4444</v>
      </c>
      <c r="W919" t="str" cm="1">
        <f t="array" ref="W919">_xlfn.IFS(V919&lt;=5000,"Low Salary",V919&lt;=12000,"Good Salary",V919&gt;12000,"High Salary")</f>
        <v>Low Salary</v>
      </c>
      <c r="X919">
        <v>22534</v>
      </c>
      <c r="Y919">
        <v>4</v>
      </c>
      <c r="Z919" t="s">
        <v>42</v>
      </c>
      <c r="AA919" t="s">
        <v>35</v>
      </c>
      <c r="AB919">
        <v>13</v>
      </c>
      <c r="AC919">
        <v>3</v>
      </c>
      <c r="AD919" t="str">
        <f t="shared" si="29"/>
        <v>Low Performance</v>
      </c>
      <c r="AE919">
        <v>3</v>
      </c>
      <c r="AF919">
        <v>80</v>
      </c>
      <c r="AG919">
        <v>2</v>
      </c>
      <c r="AH919">
        <v>15</v>
      </c>
      <c r="AI919">
        <v>2</v>
      </c>
      <c r="AJ919">
        <v>4</v>
      </c>
      <c r="AK919" t="str" cm="1">
        <f t="array" ref="AK919">_xlfn.IFS(AJ919&lt;=2,"Poor",AJ919&lt;=3,"Fair",AJ919&gt;3,"Good")</f>
        <v>Good</v>
      </c>
      <c r="AL919">
        <v>11</v>
      </c>
      <c r="AM919">
        <v>8</v>
      </c>
      <c r="AN919">
        <v>5</v>
      </c>
      <c r="AO919">
        <v>10</v>
      </c>
    </row>
    <row r="920" spans="1:41" x14ac:dyDescent="0.2">
      <c r="A920">
        <v>1668404</v>
      </c>
      <c r="B920">
        <v>28</v>
      </c>
      <c r="C920" t="str" cm="1">
        <f t="array" ref="C920">_xlfn.IFS(B920&lt;=25,"15-25",B920&lt;=35,"26-35",B920&lt;=45,"36-45",B920&lt;=55,"46-55",B920&lt;=65,"56-65")</f>
        <v>26-35</v>
      </c>
      <c r="D920" t="s">
        <v>43</v>
      </c>
      <c r="E920" t="str">
        <f t="shared" si="28"/>
        <v>Former Employee</v>
      </c>
      <c r="F920" t="s">
        <v>44</v>
      </c>
      <c r="G920">
        <v>791</v>
      </c>
      <c r="H920" t="s">
        <v>45</v>
      </c>
      <c r="I920">
        <v>1</v>
      </c>
      <c r="J920">
        <v>4</v>
      </c>
      <c r="K920" t="s">
        <v>49</v>
      </c>
      <c r="L920">
        <v>1</v>
      </c>
      <c r="M920">
        <v>4</v>
      </c>
      <c r="N920" t="s">
        <v>46</v>
      </c>
      <c r="O920">
        <v>44</v>
      </c>
      <c r="P920">
        <v>3</v>
      </c>
      <c r="Q920">
        <v>1</v>
      </c>
      <c r="R920" t="s">
        <v>40</v>
      </c>
      <c r="S920">
        <v>3</v>
      </c>
      <c r="T920" t="str" cm="1">
        <f t="array" ref="T920">_xlfn.IFS(S920&lt;=2,"Poor",S920&lt;=3,"Fair",S920&gt;=4,"Good")</f>
        <v>Fair</v>
      </c>
      <c r="U920" t="s">
        <v>41</v>
      </c>
      <c r="V920" s="1">
        <v>2154</v>
      </c>
      <c r="W920" t="str" cm="1">
        <f t="array" ref="W920">_xlfn.IFS(V920&lt;=5000,"Low Salary",V920&lt;=12000,"Good Salary",V920&gt;12000,"High Salary")</f>
        <v>Low Salary</v>
      </c>
      <c r="X920">
        <v>6842</v>
      </c>
      <c r="Y920">
        <v>0</v>
      </c>
      <c r="Z920" t="s">
        <v>42</v>
      </c>
      <c r="AA920" t="s">
        <v>43</v>
      </c>
      <c r="AB920">
        <v>11</v>
      </c>
      <c r="AC920">
        <v>3</v>
      </c>
      <c r="AD920" t="str">
        <f t="shared" si="29"/>
        <v>Low Performance</v>
      </c>
      <c r="AE920">
        <v>3</v>
      </c>
      <c r="AF920">
        <v>80</v>
      </c>
      <c r="AG920">
        <v>0</v>
      </c>
      <c r="AH920">
        <v>5</v>
      </c>
      <c r="AI920">
        <v>2</v>
      </c>
      <c r="AJ920">
        <v>2</v>
      </c>
      <c r="AK920" t="str" cm="1">
        <f t="array" ref="AK920">_xlfn.IFS(AJ920&lt;=2,"Poor",AJ920&lt;=3,"Fair",AJ920&gt;3,"Good")</f>
        <v>Poor</v>
      </c>
      <c r="AL920">
        <v>4</v>
      </c>
      <c r="AM920">
        <v>2</v>
      </c>
      <c r="AN920">
        <v>0</v>
      </c>
      <c r="AO920">
        <v>2</v>
      </c>
    </row>
    <row r="921" spans="1:41" x14ac:dyDescent="0.2">
      <c r="A921">
        <v>1459186</v>
      </c>
      <c r="B921">
        <v>44</v>
      </c>
      <c r="C921" t="str" cm="1">
        <f t="array" ref="C921">_xlfn.IFS(B921&lt;=25,"15-25",B921&lt;=35,"26-35",B921&lt;=45,"36-45",B921&lt;=55,"46-55",B921&lt;=65,"56-65")</f>
        <v>36-45</v>
      </c>
      <c r="D921" t="s">
        <v>35</v>
      </c>
      <c r="E921" t="str">
        <f t="shared" si="28"/>
        <v>Current Employee</v>
      </c>
      <c r="F921" t="s">
        <v>36</v>
      </c>
      <c r="G921">
        <v>1199</v>
      </c>
      <c r="H921" t="s">
        <v>54</v>
      </c>
      <c r="I921">
        <v>4</v>
      </c>
      <c r="J921">
        <v>2</v>
      </c>
      <c r="K921" t="s">
        <v>38</v>
      </c>
      <c r="L921">
        <v>1</v>
      </c>
      <c r="M921">
        <v>3</v>
      </c>
      <c r="N921" t="s">
        <v>46</v>
      </c>
      <c r="O921">
        <v>92</v>
      </c>
      <c r="P921">
        <v>4</v>
      </c>
      <c r="Q921">
        <v>5</v>
      </c>
      <c r="R921" t="s">
        <v>47</v>
      </c>
      <c r="S921">
        <v>1</v>
      </c>
      <c r="T921" t="str" cm="1">
        <f t="array" ref="T921">_xlfn.IFS(S921&lt;=2,"Poor",S921&lt;=3,"Fair",S921&gt;=4,"Good")</f>
        <v>Poor</v>
      </c>
      <c r="U921" t="s">
        <v>50</v>
      </c>
      <c r="V921" s="1">
        <v>19190</v>
      </c>
      <c r="W921" t="str" cm="1">
        <f t="array" ref="W921">_xlfn.IFS(V921&lt;=5000,"Low Salary",V921&lt;=12000,"Good Salary",V921&gt;12000,"High Salary")</f>
        <v>High Salary</v>
      </c>
      <c r="X921">
        <v>17477</v>
      </c>
      <c r="Y921">
        <v>1</v>
      </c>
      <c r="Z921" t="s">
        <v>42</v>
      </c>
      <c r="AA921" t="s">
        <v>35</v>
      </c>
      <c r="AB921">
        <v>14</v>
      </c>
      <c r="AC921">
        <v>3</v>
      </c>
      <c r="AD921" t="str">
        <f t="shared" si="29"/>
        <v>Low Performance</v>
      </c>
      <c r="AE921">
        <v>4</v>
      </c>
      <c r="AF921">
        <v>80</v>
      </c>
      <c r="AG921">
        <v>2</v>
      </c>
      <c r="AH921">
        <v>26</v>
      </c>
      <c r="AI921">
        <v>4</v>
      </c>
      <c r="AJ921">
        <v>2</v>
      </c>
      <c r="AK921" t="str" cm="1">
        <f t="array" ref="AK921">_xlfn.IFS(AJ921&lt;=2,"Poor",AJ921&lt;=3,"Fair",AJ921&gt;3,"Good")</f>
        <v>Poor</v>
      </c>
      <c r="AL921">
        <v>25</v>
      </c>
      <c r="AM921">
        <v>9</v>
      </c>
      <c r="AN921">
        <v>14</v>
      </c>
      <c r="AO921">
        <v>13</v>
      </c>
    </row>
    <row r="922" spans="1:41" x14ac:dyDescent="0.2">
      <c r="A922">
        <v>1488640</v>
      </c>
      <c r="B922">
        <v>34</v>
      </c>
      <c r="C922" t="str" cm="1">
        <f t="array" ref="C922">_xlfn.IFS(B922&lt;=25,"15-25",B922&lt;=35,"26-35",B922&lt;=45,"36-45",B922&lt;=55,"46-55",B922&lt;=65,"56-65")</f>
        <v>26-35</v>
      </c>
      <c r="D922" t="s">
        <v>35</v>
      </c>
      <c r="E922" t="str">
        <f t="shared" si="28"/>
        <v>Current Employee</v>
      </c>
      <c r="F922" t="s">
        <v>44</v>
      </c>
      <c r="G922">
        <v>648</v>
      </c>
      <c r="H922" t="s">
        <v>54</v>
      </c>
      <c r="I922">
        <v>11</v>
      </c>
      <c r="J922">
        <v>3</v>
      </c>
      <c r="K922" t="s">
        <v>38</v>
      </c>
      <c r="L922">
        <v>1</v>
      </c>
      <c r="M922">
        <v>3</v>
      </c>
      <c r="N922" t="s">
        <v>46</v>
      </c>
      <c r="O922">
        <v>56</v>
      </c>
      <c r="P922">
        <v>2</v>
      </c>
      <c r="Q922">
        <v>2</v>
      </c>
      <c r="R922" t="s">
        <v>47</v>
      </c>
      <c r="S922">
        <v>2</v>
      </c>
      <c r="T922" t="str" cm="1">
        <f t="array" ref="T922">_xlfn.IFS(S922&lt;=2,"Poor",S922&lt;=3,"Fair",S922&gt;=4,"Good")</f>
        <v>Poor</v>
      </c>
      <c r="U922" t="s">
        <v>48</v>
      </c>
      <c r="V922" s="1">
        <v>4490</v>
      </c>
      <c r="W922" t="str" cm="1">
        <f t="array" ref="W922">_xlfn.IFS(V922&lt;=5000,"Low Salary",V922&lt;=12000,"Good Salary",V922&gt;12000,"High Salary")</f>
        <v>Low Salary</v>
      </c>
      <c r="X922">
        <v>21833</v>
      </c>
      <c r="Y922">
        <v>4</v>
      </c>
      <c r="Z922" t="s">
        <v>42</v>
      </c>
      <c r="AA922" t="s">
        <v>35</v>
      </c>
      <c r="AB922">
        <v>11</v>
      </c>
      <c r="AC922">
        <v>3</v>
      </c>
      <c r="AD922" t="str">
        <f t="shared" si="29"/>
        <v>Low Performance</v>
      </c>
      <c r="AE922">
        <v>4</v>
      </c>
      <c r="AF922">
        <v>80</v>
      </c>
      <c r="AG922">
        <v>2</v>
      </c>
      <c r="AH922">
        <v>14</v>
      </c>
      <c r="AI922">
        <v>5</v>
      </c>
      <c r="AJ922">
        <v>4</v>
      </c>
      <c r="AK922" t="str" cm="1">
        <f t="array" ref="AK922">_xlfn.IFS(AJ922&lt;=2,"Poor",AJ922&lt;=3,"Fair",AJ922&gt;3,"Good")</f>
        <v>Good</v>
      </c>
      <c r="AL922">
        <v>10</v>
      </c>
      <c r="AM922">
        <v>9</v>
      </c>
      <c r="AN922">
        <v>1</v>
      </c>
      <c r="AO922">
        <v>8</v>
      </c>
    </row>
    <row r="923" spans="1:41" x14ac:dyDescent="0.2">
      <c r="A923">
        <v>1711208</v>
      </c>
      <c r="B923">
        <v>35</v>
      </c>
      <c r="C923" t="str" cm="1">
        <f t="array" ref="C923">_xlfn.IFS(B923&lt;=25,"15-25",B923&lt;=35,"26-35",B923&lt;=45,"36-45",B923&lt;=55,"46-55",B923&lt;=65,"56-65")</f>
        <v>26-35</v>
      </c>
      <c r="D923" t="s">
        <v>35</v>
      </c>
      <c r="E923" t="str">
        <f t="shared" si="28"/>
        <v>Current Employee</v>
      </c>
      <c r="F923" t="s">
        <v>36</v>
      </c>
      <c r="G923">
        <v>735</v>
      </c>
      <c r="H923" t="s">
        <v>45</v>
      </c>
      <c r="I923">
        <v>6</v>
      </c>
      <c r="J923">
        <v>1</v>
      </c>
      <c r="K923" t="s">
        <v>38</v>
      </c>
      <c r="L923">
        <v>1</v>
      </c>
      <c r="M923">
        <v>3</v>
      </c>
      <c r="N923" t="s">
        <v>46</v>
      </c>
      <c r="O923">
        <v>66</v>
      </c>
      <c r="P923">
        <v>3</v>
      </c>
      <c r="Q923">
        <v>1</v>
      </c>
      <c r="R923" t="s">
        <v>47</v>
      </c>
      <c r="S923">
        <v>3</v>
      </c>
      <c r="T923" t="str" cm="1">
        <f t="array" ref="T923">_xlfn.IFS(S923&lt;=2,"Poor",S923&lt;=3,"Fair",S923&gt;=4,"Good")</f>
        <v>Fair</v>
      </c>
      <c r="U923" t="s">
        <v>48</v>
      </c>
      <c r="V923" s="1">
        <v>3506</v>
      </c>
      <c r="W923" t="str" cm="1">
        <f t="array" ref="W923">_xlfn.IFS(V923&lt;=5000,"Low Salary",V923&lt;=12000,"Good Salary",V923&gt;12000,"High Salary")</f>
        <v>Low Salary</v>
      </c>
      <c r="X923">
        <v>6020</v>
      </c>
      <c r="Y923">
        <v>0</v>
      </c>
      <c r="Z923" t="s">
        <v>42</v>
      </c>
      <c r="AA923" t="s">
        <v>43</v>
      </c>
      <c r="AB923">
        <v>14</v>
      </c>
      <c r="AC923">
        <v>3</v>
      </c>
      <c r="AD923" t="str">
        <f t="shared" si="29"/>
        <v>Low Performance</v>
      </c>
      <c r="AE923">
        <v>4</v>
      </c>
      <c r="AF923">
        <v>80</v>
      </c>
      <c r="AG923">
        <v>0</v>
      </c>
      <c r="AH923">
        <v>4</v>
      </c>
      <c r="AI923">
        <v>3</v>
      </c>
      <c r="AJ923">
        <v>3</v>
      </c>
      <c r="AK923" t="str" cm="1">
        <f t="array" ref="AK923">_xlfn.IFS(AJ923&lt;=2,"Poor",AJ923&lt;=3,"Fair",AJ923&gt;3,"Good")</f>
        <v>Fair</v>
      </c>
      <c r="AL923">
        <v>3</v>
      </c>
      <c r="AM923">
        <v>2</v>
      </c>
      <c r="AN923">
        <v>2</v>
      </c>
      <c r="AO923">
        <v>2</v>
      </c>
    </row>
    <row r="924" spans="1:41" x14ac:dyDescent="0.2">
      <c r="A924">
        <v>1619962</v>
      </c>
      <c r="B924">
        <v>42</v>
      </c>
      <c r="C924" t="str" cm="1">
        <f t="array" ref="C924">_xlfn.IFS(B924&lt;=25,"15-25",B924&lt;=35,"26-35",B924&lt;=45,"36-45",B924&lt;=55,"46-55",B924&lt;=65,"56-65")</f>
        <v>36-45</v>
      </c>
      <c r="D924" t="s">
        <v>35</v>
      </c>
      <c r="E924" t="str">
        <f t="shared" si="28"/>
        <v>Current Employee</v>
      </c>
      <c r="F924" t="s">
        <v>36</v>
      </c>
      <c r="G924">
        <v>603</v>
      </c>
      <c r="H924" t="s">
        <v>45</v>
      </c>
      <c r="I924">
        <v>7</v>
      </c>
      <c r="J924">
        <v>4</v>
      </c>
      <c r="K924" t="s">
        <v>49</v>
      </c>
      <c r="L924">
        <v>1</v>
      </c>
      <c r="M924">
        <v>2</v>
      </c>
      <c r="N924" t="s">
        <v>39</v>
      </c>
      <c r="O924">
        <v>78</v>
      </c>
      <c r="P924">
        <v>4</v>
      </c>
      <c r="Q924">
        <v>2</v>
      </c>
      <c r="R924" t="s">
        <v>47</v>
      </c>
      <c r="S924">
        <v>2</v>
      </c>
      <c r="T924" t="str" cm="1">
        <f t="array" ref="T924">_xlfn.IFS(S924&lt;=2,"Poor",S924&lt;=3,"Fair",S924&gt;=4,"Good")</f>
        <v>Poor</v>
      </c>
      <c r="U924" t="s">
        <v>48</v>
      </c>
      <c r="V924" s="1">
        <v>2372</v>
      </c>
      <c r="W924" t="str" cm="1">
        <f t="array" ref="W924">_xlfn.IFS(V924&lt;=5000,"Low Salary",V924&lt;=12000,"Good Salary",V924&gt;12000,"High Salary")</f>
        <v>Low Salary</v>
      </c>
      <c r="X924">
        <v>5628</v>
      </c>
      <c r="Y924">
        <v>6</v>
      </c>
      <c r="Z924" t="s">
        <v>42</v>
      </c>
      <c r="AA924" t="s">
        <v>43</v>
      </c>
      <c r="AB924">
        <v>16</v>
      </c>
      <c r="AC924">
        <v>3</v>
      </c>
      <c r="AD924" t="str">
        <f t="shared" si="29"/>
        <v>Low Performance</v>
      </c>
      <c r="AE924">
        <v>4</v>
      </c>
      <c r="AF924">
        <v>80</v>
      </c>
      <c r="AG924">
        <v>0</v>
      </c>
      <c r="AH924">
        <v>18</v>
      </c>
      <c r="AI924">
        <v>2</v>
      </c>
      <c r="AJ924">
        <v>3</v>
      </c>
      <c r="AK924" t="str" cm="1">
        <f t="array" ref="AK924">_xlfn.IFS(AJ924&lt;=2,"Poor",AJ924&lt;=3,"Fair",AJ924&gt;3,"Good")</f>
        <v>Fair</v>
      </c>
      <c r="AL924">
        <v>1</v>
      </c>
      <c r="AM924">
        <v>0</v>
      </c>
      <c r="AN924">
        <v>0</v>
      </c>
      <c r="AO924">
        <v>0</v>
      </c>
    </row>
    <row r="925" spans="1:41" x14ac:dyDescent="0.2">
      <c r="A925">
        <v>1411176</v>
      </c>
      <c r="B925">
        <v>43</v>
      </c>
      <c r="C925" t="str" cm="1">
        <f t="array" ref="C925">_xlfn.IFS(B925&lt;=25,"15-25",B925&lt;=35,"26-35",B925&lt;=45,"36-45",B925&lt;=55,"46-55",B925&lt;=65,"56-65")</f>
        <v>36-45</v>
      </c>
      <c r="D925" t="s">
        <v>35</v>
      </c>
      <c r="E925" t="str">
        <f t="shared" si="28"/>
        <v>Current Employee</v>
      </c>
      <c r="F925" t="s">
        <v>36</v>
      </c>
      <c r="G925">
        <v>531</v>
      </c>
      <c r="H925" t="s">
        <v>37</v>
      </c>
      <c r="I925">
        <v>4</v>
      </c>
      <c r="J925">
        <v>4</v>
      </c>
      <c r="K925" t="s">
        <v>55</v>
      </c>
      <c r="L925">
        <v>1</v>
      </c>
      <c r="M925">
        <v>4</v>
      </c>
      <c r="N925" t="s">
        <v>39</v>
      </c>
      <c r="O925">
        <v>56</v>
      </c>
      <c r="P925">
        <v>2</v>
      </c>
      <c r="Q925">
        <v>3</v>
      </c>
      <c r="R925" t="s">
        <v>40</v>
      </c>
      <c r="S925">
        <v>4</v>
      </c>
      <c r="T925" t="str" cm="1">
        <f t="array" ref="T925">_xlfn.IFS(S925&lt;=2,"Poor",S925&lt;=3,"Fair",S925&gt;=4,"Good")</f>
        <v>Good</v>
      </c>
      <c r="U925" t="s">
        <v>41</v>
      </c>
      <c r="V925" s="1">
        <v>10231</v>
      </c>
      <c r="W925" t="str" cm="1">
        <f t="array" ref="W925">_xlfn.IFS(V925&lt;=5000,"Low Salary",V925&lt;=12000,"Good Salary",V925&gt;12000,"High Salary")</f>
        <v>Good Salary</v>
      </c>
      <c r="X925">
        <v>20364</v>
      </c>
      <c r="Y925">
        <v>3</v>
      </c>
      <c r="Z925" t="s">
        <v>42</v>
      </c>
      <c r="AA925" t="s">
        <v>35</v>
      </c>
      <c r="AB925">
        <v>14</v>
      </c>
      <c r="AC925">
        <v>3</v>
      </c>
      <c r="AD925" t="str">
        <f t="shared" si="29"/>
        <v>Low Performance</v>
      </c>
      <c r="AE925">
        <v>4</v>
      </c>
      <c r="AF925">
        <v>80</v>
      </c>
      <c r="AG925">
        <v>0</v>
      </c>
      <c r="AH925">
        <v>23</v>
      </c>
      <c r="AI925">
        <v>3</v>
      </c>
      <c r="AJ925">
        <v>4</v>
      </c>
      <c r="AK925" t="str" cm="1">
        <f t="array" ref="AK925">_xlfn.IFS(AJ925&lt;=2,"Poor",AJ925&lt;=3,"Fair",AJ925&gt;3,"Good")</f>
        <v>Good</v>
      </c>
      <c r="AL925">
        <v>21</v>
      </c>
      <c r="AM925">
        <v>7</v>
      </c>
      <c r="AN925">
        <v>15</v>
      </c>
      <c r="AO925">
        <v>17</v>
      </c>
    </row>
    <row r="926" spans="1:41" x14ac:dyDescent="0.2">
      <c r="A926">
        <v>1702814</v>
      </c>
      <c r="B926">
        <v>36</v>
      </c>
      <c r="C926" t="str" cm="1">
        <f t="array" ref="C926">_xlfn.IFS(B926&lt;=25,"15-25",B926&lt;=35,"26-35",B926&lt;=45,"36-45",B926&lt;=55,"46-55",B926&lt;=65,"56-65")</f>
        <v>36-45</v>
      </c>
      <c r="D926" t="s">
        <v>35</v>
      </c>
      <c r="E926" t="str">
        <f t="shared" si="28"/>
        <v>Current Employee</v>
      </c>
      <c r="F926" t="s">
        <v>36</v>
      </c>
      <c r="G926">
        <v>429</v>
      </c>
      <c r="H926" t="s">
        <v>54</v>
      </c>
      <c r="I926">
        <v>2</v>
      </c>
      <c r="J926">
        <v>4</v>
      </c>
      <c r="K926" t="s">
        <v>38</v>
      </c>
      <c r="L926">
        <v>1</v>
      </c>
      <c r="M926">
        <v>3</v>
      </c>
      <c r="N926" t="s">
        <v>39</v>
      </c>
      <c r="O926">
        <v>53</v>
      </c>
      <c r="P926">
        <v>3</v>
      </c>
      <c r="Q926">
        <v>2</v>
      </c>
      <c r="R926" t="s">
        <v>51</v>
      </c>
      <c r="S926">
        <v>2</v>
      </c>
      <c r="T926" t="str" cm="1">
        <f t="array" ref="T926">_xlfn.IFS(S926&lt;=2,"Poor",S926&lt;=3,"Fair",S926&gt;=4,"Good")</f>
        <v>Poor</v>
      </c>
      <c r="U926" t="s">
        <v>41</v>
      </c>
      <c r="V926" s="1">
        <v>5410</v>
      </c>
      <c r="W926" t="str" cm="1">
        <f t="array" ref="W926">_xlfn.IFS(V926&lt;=5000,"Low Salary",V926&lt;=12000,"Good Salary",V926&gt;12000,"High Salary")</f>
        <v>Good Salary</v>
      </c>
      <c r="X926">
        <v>2323</v>
      </c>
      <c r="Y926">
        <v>9</v>
      </c>
      <c r="Z926" t="s">
        <v>42</v>
      </c>
      <c r="AA926" t="s">
        <v>43</v>
      </c>
      <c r="AB926">
        <v>11</v>
      </c>
      <c r="AC926">
        <v>3</v>
      </c>
      <c r="AD926" t="str">
        <f t="shared" si="29"/>
        <v>Low Performance</v>
      </c>
      <c r="AE926">
        <v>4</v>
      </c>
      <c r="AF926">
        <v>80</v>
      </c>
      <c r="AG926">
        <v>0</v>
      </c>
      <c r="AH926">
        <v>18</v>
      </c>
      <c r="AI926">
        <v>2</v>
      </c>
      <c r="AJ926">
        <v>3</v>
      </c>
      <c r="AK926" t="str" cm="1">
        <f t="array" ref="AK926">_xlfn.IFS(AJ926&lt;=2,"Poor",AJ926&lt;=3,"Fair",AJ926&gt;3,"Good")</f>
        <v>Fair</v>
      </c>
      <c r="AL926">
        <v>16</v>
      </c>
      <c r="AM926">
        <v>14</v>
      </c>
      <c r="AN926">
        <v>5</v>
      </c>
      <c r="AO926">
        <v>12</v>
      </c>
    </row>
    <row r="927" spans="1:41" x14ac:dyDescent="0.2">
      <c r="A927">
        <v>1059499</v>
      </c>
      <c r="B927">
        <v>44</v>
      </c>
      <c r="C927" t="str" cm="1">
        <f t="array" ref="C927">_xlfn.IFS(B927&lt;=25,"15-25",B927&lt;=35,"26-35",B927&lt;=45,"36-45",B927&lt;=55,"46-55",B927&lt;=65,"56-65")</f>
        <v>36-45</v>
      </c>
      <c r="D927" t="s">
        <v>35</v>
      </c>
      <c r="E927" t="str">
        <f t="shared" si="28"/>
        <v>Current Employee</v>
      </c>
      <c r="F927" t="s">
        <v>36</v>
      </c>
      <c r="G927">
        <v>621</v>
      </c>
      <c r="H927" t="s">
        <v>45</v>
      </c>
      <c r="I927">
        <v>15</v>
      </c>
      <c r="J927">
        <v>3</v>
      </c>
      <c r="K927" t="s">
        <v>49</v>
      </c>
      <c r="L927">
        <v>1</v>
      </c>
      <c r="M927">
        <v>1</v>
      </c>
      <c r="N927" t="s">
        <v>39</v>
      </c>
      <c r="O927">
        <v>73</v>
      </c>
      <c r="P927">
        <v>3</v>
      </c>
      <c r="Q927">
        <v>3</v>
      </c>
      <c r="R927" t="s">
        <v>40</v>
      </c>
      <c r="S927">
        <v>4</v>
      </c>
      <c r="T927" t="str" cm="1">
        <f t="array" ref="T927">_xlfn.IFS(S927&lt;=2,"Poor",S927&lt;=3,"Fair",S927&gt;=4,"Good")</f>
        <v>Good</v>
      </c>
      <c r="U927" t="s">
        <v>48</v>
      </c>
      <c r="V927" s="1">
        <v>7978</v>
      </c>
      <c r="W927" t="str" cm="1">
        <f t="array" ref="W927">_xlfn.IFS(V927&lt;=5000,"Low Salary",V927&lt;=12000,"Good Salary",V927&gt;12000,"High Salary")</f>
        <v>Good Salary</v>
      </c>
      <c r="X927">
        <v>14075</v>
      </c>
      <c r="Y927">
        <v>1</v>
      </c>
      <c r="Z927" t="s">
        <v>42</v>
      </c>
      <c r="AA927" t="s">
        <v>35</v>
      </c>
      <c r="AB927">
        <v>11</v>
      </c>
      <c r="AC927">
        <v>3</v>
      </c>
      <c r="AD927" t="str">
        <f t="shared" si="29"/>
        <v>Low Performance</v>
      </c>
      <c r="AE927">
        <v>4</v>
      </c>
      <c r="AF927">
        <v>80</v>
      </c>
      <c r="AG927">
        <v>1</v>
      </c>
      <c r="AH927">
        <v>10</v>
      </c>
      <c r="AI927">
        <v>2</v>
      </c>
      <c r="AJ927">
        <v>3</v>
      </c>
      <c r="AK927" t="str" cm="1">
        <f t="array" ref="AK927">_xlfn.IFS(AJ927&lt;=2,"Poor",AJ927&lt;=3,"Fair",AJ927&gt;3,"Good")</f>
        <v>Fair</v>
      </c>
      <c r="AL927">
        <v>10</v>
      </c>
      <c r="AM927">
        <v>7</v>
      </c>
      <c r="AN927">
        <v>0</v>
      </c>
      <c r="AO927">
        <v>5</v>
      </c>
    </row>
    <row r="928" spans="1:41" x14ac:dyDescent="0.2">
      <c r="A928">
        <v>1612685</v>
      </c>
      <c r="B928">
        <v>28</v>
      </c>
      <c r="C928" t="str" cm="1">
        <f t="array" ref="C928">_xlfn.IFS(B928&lt;=25,"15-25",B928&lt;=35,"26-35",B928&lt;=45,"36-45",B928&lt;=55,"46-55",B928&lt;=65,"56-65")</f>
        <v>26-35</v>
      </c>
      <c r="D928" t="s">
        <v>35</v>
      </c>
      <c r="E928" t="str">
        <f t="shared" si="28"/>
        <v>Current Employee</v>
      </c>
      <c r="F928" t="s">
        <v>44</v>
      </c>
      <c r="G928">
        <v>193</v>
      </c>
      <c r="H928" t="s">
        <v>45</v>
      </c>
      <c r="I928">
        <v>2</v>
      </c>
      <c r="J928">
        <v>3</v>
      </c>
      <c r="K928" t="s">
        <v>38</v>
      </c>
      <c r="L928">
        <v>1</v>
      </c>
      <c r="M928">
        <v>4</v>
      </c>
      <c r="N928" t="s">
        <v>46</v>
      </c>
      <c r="O928">
        <v>52</v>
      </c>
      <c r="P928">
        <v>2</v>
      </c>
      <c r="Q928">
        <v>1</v>
      </c>
      <c r="R928" t="s">
        <v>40</v>
      </c>
      <c r="S928">
        <v>4</v>
      </c>
      <c r="T928" t="str" cm="1">
        <f t="array" ref="T928">_xlfn.IFS(S928&lt;=2,"Poor",S928&lt;=3,"Fair",S928&gt;=4,"Good")</f>
        <v>Good</v>
      </c>
      <c r="U928" t="s">
        <v>48</v>
      </c>
      <c r="V928" s="1">
        <v>3867</v>
      </c>
      <c r="W928" t="str" cm="1">
        <f t="array" ref="W928">_xlfn.IFS(V928&lt;=5000,"Low Salary",V928&lt;=12000,"Good Salary",V928&gt;12000,"High Salary")</f>
        <v>Low Salary</v>
      </c>
      <c r="X928">
        <v>14222</v>
      </c>
      <c r="Y928">
        <v>1</v>
      </c>
      <c r="Z928" t="s">
        <v>42</v>
      </c>
      <c r="AA928" t="s">
        <v>43</v>
      </c>
      <c r="AB928">
        <v>12</v>
      </c>
      <c r="AC928">
        <v>3</v>
      </c>
      <c r="AD928" t="str">
        <f t="shared" si="29"/>
        <v>Low Performance</v>
      </c>
      <c r="AE928">
        <v>2</v>
      </c>
      <c r="AF928">
        <v>80</v>
      </c>
      <c r="AG928">
        <v>1</v>
      </c>
      <c r="AH928">
        <v>2</v>
      </c>
      <c r="AI928">
        <v>2</v>
      </c>
      <c r="AJ928">
        <v>3</v>
      </c>
      <c r="AK928" t="str" cm="1">
        <f t="array" ref="AK928">_xlfn.IFS(AJ928&lt;=2,"Poor",AJ928&lt;=3,"Fair",AJ928&gt;3,"Good")</f>
        <v>Fair</v>
      </c>
      <c r="AL928">
        <v>2</v>
      </c>
      <c r="AM928">
        <v>2</v>
      </c>
      <c r="AN928">
        <v>2</v>
      </c>
      <c r="AO928">
        <v>2</v>
      </c>
    </row>
    <row r="929" spans="1:41" x14ac:dyDescent="0.2">
      <c r="A929">
        <v>1744003</v>
      </c>
      <c r="B929">
        <v>51</v>
      </c>
      <c r="C929" t="str" cm="1">
        <f t="array" ref="C929">_xlfn.IFS(B929&lt;=25,"15-25",B929&lt;=35,"26-35",B929&lt;=45,"36-45",B929&lt;=55,"46-55",B929&lt;=65,"56-65")</f>
        <v>46-55</v>
      </c>
      <c r="D929" t="s">
        <v>35</v>
      </c>
      <c r="E929" t="str">
        <f t="shared" si="28"/>
        <v>Current Employee</v>
      </c>
      <c r="F929" t="s">
        <v>44</v>
      </c>
      <c r="G929">
        <v>968</v>
      </c>
      <c r="H929" t="s">
        <v>45</v>
      </c>
      <c r="I929">
        <v>6</v>
      </c>
      <c r="J929">
        <v>2</v>
      </c>
      <c r="K929" t="s">
        <v>49</v>
      </c>
      <c r="L929">
        <v>1</v>
      </c>
      <c r="M929">
        <v>2</v>
      </c>
      <c r="N929" t="s">
        <v>39</v>
      </c>
      <c r="O929">
        <v>40</v>
      </c>
      <c r="P929">
        <v>2</v>
      </c>
      <c r="Q929">
        <v>1</v>
      </c>
      <c r="R929" t="s">
        <v>40</v>
      </c>
      <c r="S929">
        <v>3</v>
      </c>
      <c r="T929" t="str" cm="1">
        <f t="array" ref="T929">_xlfn.IFS(S929&lt;=2,"Poor",S929&lt;=3,"Fair",S929&gt;=4,"Good")</f>
        <v>Fair</v>
      </c>
      <c r="U929" t="s">
        <v>41</v>
      </c>
      <c r="V929" s="1">
        <v>2838</v>
      </c>
      <c r="W929" t="str" cm="1">
        <f t="array" ref="W929">_xlfn.IFS(V929&lt;=5000,"Low Salary",V929&lt;=12000,"Good Salary",V929&gt;12000,"High Salary")</f>
        <v>Low Salary</v>
      </c>
      <c r="X929">
        <v>4257</v>
      </c>
      <c r="Y929">
        <v>0</v>
      </c>
      <c r="Z929" t="s">
        <v>42</v>
      </c>
      <c r="AA929" t="s">
        <v>35</v>
      </c>
      <c r="AB929">
        <v>14</v>
      </c>
      <c r="AC929">
        <v>3</v>
      </c>
      <c r="AD929" t="str">
        <f t="shared" si="29"/>
        <v>Low Performance</v>
      </c>
      <c r="AE929">
        <v>2</v>
      </c>
      <c r="AF929">
        <v>80</v>
      </c>
      <c r="AG929">
        <v>0</v>
      </c>
      <c r="AH929">
        <v>8</v>
      </c>
      <c r="AI929">
        <v>6</v>
      </c>
      <c r="AJ929">
        <v>2</v>
      </c>
      <c r="AK929" t="str" cm="1">
        <f t="array" ref="AK929">_xlfn.IFS(AJ929&lt;=2,"Poor",AJ929&lt;=3,"Fair",AJ929&gt;3,"Good")</f>
        <v>Poor</v>
      </c>
      <c r="AL929">
        <v>7</v>
      </c>
      <c r="AM929">
        <v>0</v>
      </c>
      <c r="AN929">
        <v>7</v>
      </c>
      <c r="AO929">
        <v>7</v>
      </c>
    </row>
    <row r="930" spans="1:41" x14ac:dyDescent="0.2">
      <c r="A930">
        <v>1825727</v>
      </c>
      <c r="B930">
        <v>30</v>
      </c>
      <c r="C930" t="str" cm="1">
        <f t="array" ref="C930">_xlfn.IFS(B930&lt;=25,"15-25",B930&lt;=35,"26-35",B930&lt;=45,"36-45",B930&lt;=55,"46-55",B930&lt;=65,"56-65")</f>
        <v>26-35</v>
      </c>
      <c r="D930" t="s">
        <v>35</v>
      </c>
      <c r="E930" t="str">
        <f t="shared" si="28"/>
        <v>Current Employee</v>
      </c>
      <c r="F930" t="s">
        <v>52</v>
      </c>
      <c r="G930">
        <v>879</v>
      </c>
      <c r="H930" t="s">
        <v>45</v>
      </c>
      <c r="I930">
        <v>9</v>
      </c>
      <c r="J930">
        <v>2</v>
      </c>
      <c r="K930" t="s">
        <v>49</v>
      </c>
      <c r="L930">
        <v>1</v>
      </c>
      <c r="M930">
        <v>3</v>
      </c>
      <c r="N930" t="s">
        <v>39</v>
      </c>
      <c r="O930">
        <v>72</v>
      </c>
      <c r="P930">
        <v>3</v>
      </c>
      <c r="Q930">
        <v>2</v>
      </c>
      <c r="R930" t="s">
        <v>51</v>
      </c>
      <c r="S930">
        <v>3</v>
      </c>
      <c r="T930" t="str" cm="1">
        <f t="array" ref="T930">_xlfn.IFS(S930&lt;=2,"Poor",S930&lt;=3,"Fair",S930&gt;=4,"Good")</f>
        <v>Fair</v>
      </c>
      <c r="U930" t="s">
        <v>41</v>
      </c>
      <c r="V930" s="1">
        <v>4695</v>
      </c>
      <c r="W930" t="str" cm="1">
        <f t="array" ref="W930">_xlfn.IFS(V930&lt;=5000,"Low Salary",V930&lt;=12000,"Good Salary",V930&gt;12000,"High Salary")</f>
        <v>Low Salary</v>
      </c>
      <c r="X930">
        <v>12858</v>
      </c>
      <c r="Y930">
        <v>7</v>
      </c>
      <c r="Z930" t="s">
        <v>42</v>
      </c>
      <c r="AA930" t="s">
        <v>43</v>
      </c>
      <c r="AB930">
        <v>18</v>
      </c>
      <c r="AC930">
        <v>3</v>
      </c>
      <c r="AD930" t="str">
        <f t="shared" si="29"/>
        <v>Low Performance</v>
      </c>
      <c r="AE930">
        <v>3</v>
      </c>
      <c r="AF930">
        <v>80</v>
      </c>
      <c r="AG930">
        <v>0</v>
      </c>
      <c r="AH930">
        <v>10</v>
      </c>
      <c r="AI930">
        <v>3</v>
      </c>
      <c r="AJ930">
        <v>3</v>
      </c>
      <c r="AK930" t="str" cm="1">
        <f t="array" ref="AK930">_xlfn.IFS(AJ930&lt;=2,"Poor",AJ930&lt;=3,"Fair",AJ930&gt;3,"Good")</f>
        <v>Fair</v>
      </c>
      <c r="AL930">
        <v>8</v>
      </c>
      <c r="AM930">
        <v>4</v>
      </c>
      <c r="AN930">
        <v>1</v>
      </c>
      <c r="AO930">
        <v>7</v>
      </c>
    </row>
    <row r="931" spans="1:41" x14ac:dyDescent="0.2">
      <c r="A931">
        <v>1100849</v>
      </c>
      <c r="B931">
        <v>29</v>
      </c>
      <c r="C931" t="str" cm="1">
        <f t="array" ref="C931">_xlfn.IFS(B931&lt;=25,"15-25",B931&lt;=35,"26-35",B931&lt;=45,"36-45",B931&lt;=55,"46-55",B931&lt;=65,"56-65")</f>
        <v>26-35</v>
      </c>
      <c r="D931" t="s">
        <v>43</v>
      </c>
      <c r="E931" t="str">
        <f t="shared" si="28"/>
        <v>Former Employee</v>
      </c>
      <c r="F931" t="s">
        <v>36</v>
      </c>
      <c r="G931">
        <v>806</v>
      </c>
      <c r="H931" t="s">
        <v>45</v>
      </c>
      <c r="I931">
        <v>7</v>
      </c>
      <c r="J931">
        <v>3</v>
      </c>
      <c r="K931" t="s">
        <v>56</v>
      </c>
      <c r="L931">
        <v>1</v>
      </c>
      <c r="M931">
        <v>2</v>
      </c>
      <c r="N931" t="s">
        <v>39</v>
      </c>
      <c r="O931">
        <v>39</v>
      </c>
      <c r="P931">
        <v>3</v>
      </c>
      <c r="Q931">
        <v>1</v>
      </c>
      <c r="R931" t="s">
        <v>40</v>
      </c>
      <c r="S931">
        <v>3</v>
      </c>
      <c r="T931" t="str" cm="1">
        <f t="array" ref="T931">_xlfn.IFS(S931&lt;=2,"Poor",S931&lt;=3,"Fair",S931&gt;=4,"Good")</f>
        <v>Fair</v>
      </c>
      <c r="U931" t="s">
        <v>50</v>
      </c>
      <c r="V931" s="1">
        <v>3339</v>
      </c>
      <c r="W931" t="str" cm="1">
        <f t="array" ref="W931">_xlfn.IFS(V931&lt;=5000,"Low Salary",V931&lt;=12000,"Good Salary",V931&gt;12000,"High Salary")</f>
        <v>Low Salary</v>
      </c>
      <c r="X931">
        <v>17285</v>
      </c>
      <c r="Y931">
        <v>3</v>
      </c>
      <c r="Z931" t="s">
        <v>42</v>
      </c>
      <c r="AA931" t="s">
        <v>43</v>
      </c>
      <c r="AB931">
        <v>13</v>
      </c>
      <c r="AC931">
        <v>3</v>
      </c>
      <c r="AD931" t="str">
        <f t="shared" si="29"/>
        <v>Low Performance</v>
      </c>
      <c r="AE931">
        <v>1</v>
      </c>
      <c r="AF931">
        <v>80</v>
      </c>
      <c r="AG931">
        <v>2</v>
      </c>
      <c r="AH931">
        <v>10</v>
      </c>
      <c r="AI931">
        <v>2</v>
      </c>
      <c r="AJ931">
        <v>3</v>
      </c>
      <c r="AK931" t="str" cm="1">
        <f t="array" ref="AK931">_xlfn.IFS(AJ931&lt;=2,"Poor",AJ931&lt;=3,"Fair",AJ931&gt;3,"Good")</f>
        <v>Fair</v>
      </c>
      <c r="AL931">
        <v>7</v>
      </c>
      <c r="AM931">
        <v>7</v>
      </c>
      <c r="AN931">
        <v>7</v>
      </c>
      <c r="AO931">
        <v>7</v>
      </c>
    </row>
    <row r="932" spans="1:41" x14ac:dyDescent="0.2">
      <c r="A932">
        <v>1165880</v>
      </c>
      <c r="B932">
        <v>28</v>
      </c>
      <c r="C932" t="str" cm="1">
        <f t="array" ref="C932">_xlfn.IFS(B932&lt;=25,"15-25",B932&lt;=35,"26-35",B932&lt;=45,"36-45",B932&lt;=55,"46-55",B932&lt;=65,"56-65")</f>
        <v>26-35</v>
      </c>
      <c r="D932" t="s">
        <v>35</v>
      </c>
      <c r="E932" t="str">
        <f t="shared" si="28"/>
        <v>Current Employee</v>
      </c>
      <c r="F932" t="s">
        <v>36</v>
      </c>
      <c r="G932">
        <v>640</v>
      </c>
      <c r="H932" t="s">
        <v>45</v>
      </c>
      <c r="I932">
        <v>1</v>
      </c>
      <c r="J932">
        <v>3</v>
      </c>
      <c r="K932" t="s">
        <v>56</v>
      </c>
      <c r="L932">
        <v>1</v>
      </c>
      <c r="M932">
        <v>4</v>
      </c>
      <c r="N932" t="s">
        <v>46</v>
      </c>
      <c r="O932">
        <v>84</v>
      </c>
      <c r="P932">
        <v>3</v>
      </c>
      <c r="Q932">
        <v>1</v>
      </c>
      <c r="R932" t="s">
        <v>47</v>
      </c>
      <c r="S932">
        <v>1</v>
      </c>
      <c r="T932" t="str" cm="1">
        <f t="array" ref="T932">_xlfn.IFS(S932&lt;=2,"Poor",S932&lt;=3,"Fair",S932&gt;=4,"Good")</f>
        <v>Poor</v>
      </c>
      <c r="U932" t="s">
        <v>41</v>
      </c>
      <c r="V932" s="1">
        <v>2080</v>
      </c>
      <c r="W932" t="str" cm="1">
        <f t="array" ref="W932">_xlfn.IFS(V932&lt;=5000,"Low Salary",V932&lt;=12000,"Good Salary",V932&gt;12000,"High Salary")</f>
        <v>Low Salary</v>
      </c>
      <c r="X932">
        <v>4732</v>
      </c>
      <c r="Y932">
        <v>2</v>
      </c>
      <c r="Z932" t="s">
        <v>42</v>
      </c>
      <c r="AA932" t="s">
        <v>35</v>
      </c>
      <c r="AB932">
        <v>11</v>
      </c>
      <c r="AC932">
        <v>3</v>
      </c>
      <c r="AD932" t="str">
        <f t="shared" si="29"/>
        <v>Low Performance</v>
      </c>
      <c r="AE932">
        <v>2</v>
      </c>
      <c r="AF932">
        <v>80</v>
      </c>
      <c r="AG932">
        <v>0</v>
      </c>
      <c r="AH932">
        <v>5</v>
      </c>
      <c r="AI932">
        <v>2</v>
      </c>
      <c r="AJ932">
        <v>2</v>
      </c>
      <c r="AK932" t="str" cm="1">
        <f t="array" ref="AK932">_xlfn.IFS(AJ932&lt;=2,"Poor",AJ932&lt;=3,"Fair",AJ932&gt;3,"Good")</f>
        <v>Poor</v>
      </c>
      <c r="AL932">
        <v>3</v>
      </c>
      <c r="AM932">
        <v>2</v>
      </c>
      <c r="AN932">
        <v>1</v>
      </c>
      <c r="AO932">
        <v>2</v>
      </c>
    </row>
    <row r="933" spans="1:41" x14ac:dyDescent="0.2">
      <c r="A933">
        <v>1386101</v>
      </c>
      <c r="B933">
        <v>25</v>
      </c>
      <c r="C933" t="str" cm="1">
        <f t="array" ref="C933">_xlfn.IFS(B933&lt;=25,"15-25",B933&lt;=35,"26-35",B933&lt;=45,"36-45",B933&lt;=55,"46-55",B933&lt;=65,"56-65")</f>
        <v>15-25</v>
      </c>
      <c r="D933" t="s">
        <v>35</v>
      </c>
      <c r="E933" t="str">
        <f t="shared" si="28"/>
        <v>Current Employee</v>
      </c>
      <c r="F933" t="s">
        <v>36</v>
      </c>
      <c r="G933">
        <v>266</v>
      </c>
      <c r="H933" t="s">
        <v>45</v>
      </c>
      <c r="I933">
        <v>1</v>
      </c>
      <c r="J933">
        <v>3</v>
      </c>
      <c r="K933" t="s">
        <v>49</v>
      </c>
      <c r="L933">
        <v>1</v>
      </c>
      <c r="M933">
        <v>4</v>
      </c>
      <c r="N933" t="s">
        <v>39</v>
      </c>
      <c r="O933">
        <v>40</v>
      </c>
      <c r="P933">
        <v>3</v>
      </c>
      <c r="Q933">
        <v>1</v>
      </c>
      <c r="R933" t="s">
        <v>47</v>
      </c>
      <c r="S933">
        <v>2</v>
      </c>
      <c r="T933" t="str" cm="1">
        <f t="array" ref="T933">_xlfn.IFS(S933&lt;=2,"Poor",S933&lt;=3,"Fair",S933&gt;=4,"Good")</f>
        <v>Poor</v>
      </c>
      <c r="U933" t="s">
        <v>41</v>
      </c>
      <c r="V933" s="1">
        <v>2096</v>
      </c>
      <c r="W933" t="str" cm="1">
        <f t="array" ref="W933">_xlfn.IFS(V933&lt;=5000,"Low Salary",V933&lt;=12000,"Good Salary",V933&gt;12000,"High Salary")</f>
        <v>Low Salary</v>
      </c>
      <c r="X933">
        <v>18830</v>
      </c>
      <c r="Y933">
        <v>1</v>
      </c>
      <c r="Z933" t="s">
        <v>42</v>
      </c>
      <c r="AA933" t="s">
        <v>35</v>
      </c>
      <c r="AB933">
        <v>18</v>
      </c>
      <c r="AC933">
        <v>3</v>
      </c>
      <c r="AD933" t="str">
        <f t="shared" si="29"/>
        <v>Low Performance</v>
      </c>
      <c r="AE933">
        <v>4</v>
      </c>
      <c r="AF933">
        <v>80</v>
      </c>
      <c r="AG933">
        <v>0</v>
      </c>
      <c r="AH933">
        <v>2</v>
      </c>
      <c r="AI933">
        <v>3</v>
      </c>
      <c r="AJ933">
        <v>2</v>
      </c>
      <c r="AK933" t="str" cm="1">
        <f t="array" ref="AK933">_xlfn.IFS(AJ933&lt;=2,"Poor",AJ933&lt;=3,"Fair",AJ933&gt;3,"Good")</f>
        <v>Poor</v>
      </c>
      <c r="AL933">
        <v>2</v>
      </c>
      <c r="AM933">
        <v>2</v>
      </c>
      <c r="AN933">
        <v>2</v>
      </c>
      <c r="AO933">
        <v>1</v>
      </c>
    </row>
    <row r="934" spans="1:41" x14ac:dyDescent="0.2">
      <c r="A934">
        <v>1053739</v>
      </c>
      <c r="B934">
        <v>32</v>
      </c>
      <c r="C934" t="str" cm="1">
        <f t="array" ref="C934">_xlfn.IFS(B934&lt;=25,"15-25",B934&lt;=35,"26-35",B934&lt;=45,"36-45",B934&lt;=55,"46-55",B934&lt;=65,"56-65")</f>
        <v>26-35</v>
      </c>
      <c r="D934" t="s">
        <v>35</v>
      </c>
      <c r="E934" t="str">
        <f t="shared" si="28"/>
        <v>Current Employee</v>
      </c>
      <c r="F934" t="s">
        <v>36</v>
      </c>
      <c r="G934">
        <v>604</v>
      </c>
      <c r="H934" t="s">
        <v>37</v>
      </c>
      <c r="I934">
        <v>8</v>
      </c>
      <c r="J934">
        <v>3</v>
      </c>
      <c r="K934" t="s">
        <v>49</v>
      </c>
      <c r="L934">
        <v>1</v>
      </c>
      <c r="M934">
        <v>3</v>
      </c>
      <c r="N934" t="s">
        <v>46</v>
      </c>
      <c r="O934">
        <v>56</v>
      </c>
      <c r="P934">
        <v>4</v>
      </c>
      <c r="Q934">
        <v>2</v>
      </c>
      <c r="R934" t="s">
        <v>40</v>
      </c>
      <c r="S934">
        <v>4</v>
      </c>
      <c r="T934" t="str" cm="1">
        <f t="array" ref="T934">_xlfn.IFS(S934&lt;=2,"Poor",S934&lt;=3,"Fair",S934&gt;=4,"Good")</f>
        <v>Good</v>
      </c>
      <c r="U934" t="s">
        <v>48</v>
      </c>
      <c r="V934" s="1">
        <v>6209</v>
      </c>
      <c r="W934" t="str" cm="1">
        <f t="array" ref="W934">_xlfn.IFS(V934&lt;=5000,"Low Salary",V934&lt;=12000,"Good Salary",V934&gt;12000,"High Salary")</f>
        <v>Good Salary</v>
      </c>
      <c r="X934">
        <v>11693</v>
      </c>
      <c r="Y934">
        <v>1</v>
      </c>
      <c r="Z934" t="s">
        <v>42</v>
      </c>
      <c r="AA934" t="s">
        <v>35</v>
      </c>
      <c r="AB934">
        <v>15</v>
      </c>
      <c r="AC934">
        <v>3</v>
      </c>
      <c r="AD934" t="str">
        <f t="shared" si="29"/>
        <v>Low Performance</v>
      </c>
      <c r="AE934">
        <v>3</v>
      </c>
      <c r="AF934">
        <v>80</v>
      </c>
      <c r="AG934">
        <v>2</v>
      </c>
      <c r="AH934">
        <v>10</v>
      </c>
      <c r="AI934">
        <v>4</v>
      </c>
      <c r="AJ934">
        <v>4</v>
      </c>
      <c r="AK934" t="str" cm="1">
        <f t="array" ref="AK934">_xlfn.IFS(AJ934&lt;=2,"Poor",AJ934&lt;=3,"Fair",AJ934&gt;3,"Good")</f>
        <v>Good</v>
      </c>
      <c r="AL934">
        <v>10</v>
      </c>
      <c r="AM934">
        <v>7</v>
      </c>
      <c r="AN934">
        <v>0</v>
      </c>
      <c r="AO934">
        <v>8</v>
      </c>
    </row>
    <row r="935" spans="1:41" x14ac:dyDescent="0.2">
      <c r="A935">
        <v>1259785</v>
      </c>
      <c r="B935">
        <v>45</v>
      </c>
      <c r="C935" t="str" cm="1">
        <f t="array" ref="C935">_xlfn.IFS(B935&lt;=25,"15-25",B935&lt;=35,"26-35",B935&lt;=45,"36-45",B935&lt;=55,"46-55",B935&lt;=65,"56-65")</f>
        <v>36-45</v>
      </c>
      <c r="D935" t="s">
        <v>35</v>
      </c>
      <c r="E935" t="str">
        <f t="shared" si="28"/>
        <v>Current Employee</v>
      </c>
      <c r="F935" t="s">
        <v>44</v>
      </c>
      <c r="G935">
        <v>364</v>
      </c>
      <c r="H935" t="s">
        <v>54</v>
      </c>
      <c r="I935">
        <v>25</v>
      </c>
      <c r="J935">
        <v>3</v>
      </c>
      <c r="K935" t="s">
        <v>49</v>
      </c>
      <c r="L935">
        <v>1</v>
      </c>
      <c r="M935">
        <v>2</v>
      </c>
      <c r="N935" t="s">
        <v>39</v>
      </c>
      <c r="O935">
        <v>83</v>
      </c>
      <c r="P935">
        <v>3</v>
      </c>
      <c r="Q935">
        <v>5</v>
      </c>
      <c r="R935" t="s">
        <v>47</v>
      </c>
      <c r="S935">
        <v>2</v>
      </c>
      <c r="T935" t="str" cm="1">
        <f t="array" ref="T935">_xlfn.IFS(S935&lt;=2,"Poor",S935&lt;=3,"Fair",S935&gt;=4,"Good")</f>
        <v>Poor</v>
      </c>
      <c r="U935" t="s">
        <v>41</v>
      </c>
      <c r="V935" s="1">
        <v>18061</v>
      </c>
      <c r="W935" t="str" cm="1">
        <f t="array" ref="W935">_xlfn.IFS(V935&lt;=5000,"Low Salary",V935&lt;=12000,"Good Salary",V935&gt;12000,"High Salary")</f>
        <v>High Salary</v>
      </c>
      <c r="X935">
        <v>13035</v>
      </c>
      <c r="Y935">
        <v>3</v>
      </c>
      <c r="Z935" t="s">
        <v>42</v>
      </c>
      <c r="AA935" t="s">
        <v>35</v>
      </c>
      <c r="AB935">
        <v>22</v>
      </c>
      <c r="AC935">
        <v>4</v>
      </c>
      <c r="AD935" t="str">
        <f t="shared" si="29"/>
        <v>High Performance</v>
      </c>
      <c r="AE935">
        <v>3</v>
      </c>
      <c r="AF935">
        <v>80</v>
      </c>
      <c r="AG935">
        <v>0</v>
      </c>
      <c r="AH935">
        <v>22</v>
      </c>
      <c r="AI935">
        <v>4</v>
      </c>
      <c r="AJ935">
        <v>3</v>
      </c>
      <c r="AK935" t="str" cm="1">
        <f t="array" ref="AK935">_xlfn.IFS(AJ935&lt;=2,"Poor",AJ935&lt;=3,"Fair",AJ935&gt;3,"Good")</f>
        <v>Fair</v>
      </c>
      <c r="AL935">
        <v>0</v>
      </c>
      <c r="AM935">
        <v>0</v>
      </c>
      <c r="AN935">
        <v>0</v>
      </c>
      <c r="AO935">
        <v>0</v>
      </c>
    </row>
    <row r="936" spans="1:41" x14ac:dyDescent="0.2">
      <c r="A936">
        <v>1772045</v>
      </c>
      <c r="B936">
        <v>39</v>
      </c>
      <c r="C936" t="str" cm="1">
        <f t="array" ref="C936">_xlfn.IFS(B936&lt;=25,"15-25",B936&lt;=35,"26-35",B936&lt;=45,"36-45",B936&lt;=55,"46-55",B936&lt;=65,"56-65")</f>
        <v>36-45</v>
      </c>
      <c r="D936" t="s">
        <v>35</v>
      </c>
      <c r="E936" t="str">
        <f t="shared" si="28"/>
        <v>Current Employee</v>
      </c>
      <c r="F936" t="s">
        <v>36</v>
      </c>
      <c r="G936">
        <v>412</v>
      </c>
      <c r="H936" t="s">
        <v>54</v>
      </c>
      <c r="I936">
        <v>13</v>
      </c>
      <c r="J936">
        <v>4</v>
      </c>
      <c r="K936" t="s">
        <v>49</v>
      </c>
      <c r="L936">
        <v>1</v>
      </c>
      <c r="M936">
        <v>3</v>
      </c>
      <c r="N936" t="s">
        <v>39</v>
      </c>
      <c r="O936">
        <v>94</v>
      </c>
      <c r="P936">
        <v>2</v>
      </c>
      <c r="Q936">
        <v>4</v>
      </c>
      <c r="R936" t="s">
        <v>47</v>
      </c>
      <c r="S936">
        <v>2</v>
      </c>
      <c r="T936" t="str" cm="1">
        <f t="array" ref="T936">_xlfn.IFS(S936&lt;=2,"Poor",S936&lt;=3,"Fair",S936&gt;=4,"Good")</f>
        <v>Poor</v>
      </c>
      <c r="U936" t="s">
        <v>50</v>
      </c>
      <c r="V936" s="1">
        <v>17123</v>
      </c>
      <c r="W936" t="str" cm="1">
        <f t="array" ref="W936">_xlfn.IFS(V936&lt;=5000,"Low Salary",V936&lt;=12000,"Good Salary",V936&gt;12000,"High Salary")</f>
        <v>High Salary</v>
      </c>
      <c r="X936">
        <v>17334</v>
      </c>
      <c r="Y936">
        <v>6</v>
      </c>
      <c r="Z936" t="s">
        <v>42</v>
      </c>
      <c r="AA936" t="s">
        <v>43</v>
      </c>
      <c r="AB936">
        <v>13</v>
      </c>
      <c r="AC936">
        <v>3</v>
      </c>
      <c r="AD936" t="str">
        <f t="shared" si="29"/>
        <v>Low Performance</v>
      </c>
      <c r="AE936">
        <v>4</v>
      </c>
      <c r="AF936">
        <v>80</v>
      </c>
      <c r="AG936">
        <v>2</v>
      </c>
      <c r="AH936">
        <v>21</v>
      </c>
      <c r="AI936">
        <v>4</v>
      </c>
      <c r="AJ936">
        <v>3</v>
      </c>
      <c r="AK936" t="str" cm="1">
        <f t="array" ref="AK936">_xlfn.IFS(AJ936&lt;=2,"Poor",AJ936&lt;=3,"Fair",AJ936&gt;3,"Good")</f>
        <v>Fair</v>
      </c>
      <c r="AL936">
        <v>19</v>
      </c>
      <c r="AM936">
        <v>9</v>
      </c>
      <c r="AN936">
        <v>15</v>
      </c>
      <c r="AO936">
        <v>2</v>
      </c>
    </row>
    <row r="937" spans="1:41" x14ac:dyDescent="0.2">
      <c r="A937">
        <v>1153402</v>
      </c>
      <c r="B937">
        <v>58</v>
      </c>
      <c r="C937" t="str" cm="1">
        <f t="array" ref="C937">_xlfn.IFS(B937&lt;=25,"15-25",B937&lt;=35,"26-35",B937&lt;=45,"36-45",B937&lt;=55,"46-55",B937&lt;=65,"56-65")</f>
        <v>56-65</v>
      </c>
      <c r="D937" t="s">
        <v>35</v>
      </c>
      <c r="E937" t="str">
        <f t="shared" si="28"/>
        <v>Current Employee</v>
      </c>
      <c r="F937" t="s">
        <v>36</v>
      </c>
      <c r="G937">
        <v>848</v>
      </c>
      <c r="H937" t="s">
        <v>45</v>
      </c>
      <c r="I937">
        <v>23</v>
      </c>
      <c r="J937">
        <v>4</v>
      </c>
      <c r="K937" t="s">
        <v>38</v>
      </c>
      <c r="L937">
        <v>1</v>
      </c>
      <c r="M937">
        <v>1</v>
      </c>
      <c r="N937" t="s">
        <v>46</v>
      </c>
      <c r="O937">
        <v>88</v>
      </c>
      <c r="P937">
        <v>3</v>
      </c>
      <c r="Q937">
        <v>1</v>
      </c>
      <c r="R937" t="s">
        <v>47</v>
      </c>
      <c r="S937">
        <v>3</v>
      </c>
      <c r="T937" t="str" cm="1">
        <f t="array" ref="T937">_xlfn.IFS(S937&lt;=2,"Poor",S937&lt;=3,"Fair",S937&gt;=4,"Good")</f>
        <v>Fair</v>
      </c>
      <c r="U937" t="s">
        <v>50</v>
      </c>
      <c r="V937" s="1">
        <v>2372</v>
      </c>
      <c r="W937" t="str" cm="1">
        <f t="array" ref="W937">_xlfn.IFS(V937&lt;=5000,"Low Salary",V937&lt;=12000,"Good Salary",V937&gt;12000,"High Salary")</f>
        <v>Low Salary</v>
      </c>
      <c r="X937">
        <v>26076</v>
      </c>
      <c r="Y937">
        <v>1</v>
      </c>
      <c r="Z937" t="s">
        <v>42</v>
      </c>
      <c r="AA937" t="s">
        <v>35</v>
      </c>
      <c r="AB937">
        <v>12</v>
      </c>
      <c r="AC937">
        <v>3</v>
      </c>
      <c r="AD937" t="str">
        <f t="shared" si="29"/>
        <v>Low Performance</v>
      </c>
      <c r="AE937">
        <v>4</v>
      </c>
      <c r="AF937">
        <v>80</v>
      </c>
      <c r="AG937">
        <v>2</v>
      </c>
      <c r="AH937">
        <v>2</v>
      </c>
      <c r="AI937">
        <v>3</v>
      </c>
      <c r="AJ937">
        <v>3</v>
      </c>
      <c r="AK937" t="str" cm="1">
        <f t="array" ref="AK937">_xlfn.IFS(AJ937&lt;=2,"Poor",AJ937&lt;=3,"Fair",AJ937&gt;3,"Good")</f>
        <v>Fair</v>
      </c>
      <c r="AL937">
        <v>2</v>
      </c>
      <c r="AM937">
        <v>2</v>
      </c>
      <c r="AN937">
        <v>2</v>
      </c>
      <c r="AO937">
        <v>2</v>
      </c>
    </row>
    <row r="938" spans="1:41" x14ac:dyDescent="0.2">
      <c r="A938">
        <v>1111156</v>
      </c>
      <c r="B938">
        <v>32</v>
      </c>
      <c r="C938" t="str" cm="1">
        <f t="array" ref="C938">_xlfn.IFS(B938&lt;=25,"15-25",B938&lt;=35,"26-35",B938&lt;=45,"36-45",B938&lt;=55,"46-55",B938&lt;=65,"56-65")</f>
        <v>26-35</v>
      </c>
      <c r="D938" t="s">
        <v>35</v>
      </c>
      <c r="E938" t="str">
        <f t="shared" si="28"/>
        <v>Current Employee</v>
      </c>
      <c r="F938" t="s">
        <v>36</v>
      </c>
      <c r="G938">
        <v>1089</v>
      </c>
      <c r="H938" t="s">
        <v>45</v>
      </c>
      <c r="I938">
        <v>7</v>
      </c>
      <c r="J938">
        <v>2</v>
      </c>
      <c r="K938" t="s">
        <v>38</v>
      </c>
      <c r="L938">
        <v>1</v>
      </c>
      <c r="M938">
        <v>4</v>
      </c>
      <c r="N938" t="s">
        <v>46</v>
      </c>
      <c r="O938">
        <v>79</v>
      </c>
      <c r="P938">
        <v>3</v>
      </c>
      <c r="Q938">
        <v>2</v>
      </c>
      <c r="R938" t="s">
        <v>40</v>
      </c>
      <c r="S938">
        <v>3</v>
      </c>
      <c r="T938" t="str" cm="1">
        <f t="array" ref="T938">_xlfn.IFS(S938&lt;=2,"Poor",S938&lt;=3,"Fair",S938&gt;=4,"Good")</f>
        <v>Fair</v>
      </c>
      <c r="U938" t="s">
        <v>48</v>
      </c>
      <c r="V938" s="1">
        <v>4883</v>
      </c>
      <c r="W938" t="str" cm="1">
        <f t="array" ref="W938">_xlfn.IFS(V938&lt;=5000,"Low Salary",V938&lt;=12000,"Good Salary",V938&gt;12000,"High Salary")</f>
        <v>Low Salary</v>
      </c>
      <c r="X938">
        <v>22845</v>
      </c>
      <c r="Y938">
        <v>1</v>
      </c>
      <c r="Z938" t="s">
        <v>42</v>
      </c>
      <c r="AA938" t="s">
        <v>35</v>
      </c>
      <c r="AB938">
        <v>18</v>
      </c>
      <c r="AC938">
        <v>3</v>
      </c>
      <c r="AD938" t="str">
        <f t="shared" si="29"/>
        <v>Low Performance</v>
      </c>
      <c r="AE938">
        <v>1</v>
      </c>
      <c r="AF938">
        <v>80</v>
      </c>
      <c r="AG938">
        <v>1</v>
      </c>
      <c r="AH938">
        <v>10</v>
      </c>
      <c r="AI938">
        <v>3</v>
      </c>
      <c r="AJ938">
        <v>3</v>
      </c>
      <c r="AK938" t="str" cm="1">
        <f t="array" ref="AK938">_xlfn.IFS(AJ938&lt;=2,"Poor",AJ938&lt;=3,"Fair",AJ938&gt;3,"Good")</f>
        <v>Fair</v>
      </c>
      <c r="AL938">
        <v>10</v>
      </c>
      <c r="AM938">
        <v>4</v>
      </c>
      <c r="AN938">
        <v>1</v>
      </c>
      <c r="AO938">
        <v>1</v>
      </c>
    </row>
    <row r="939" spans="1:41" x14ac:dyDescent="0.2">
      <c r="A939">
        <v>1191511</v>
      </c>
      <c r="B939">
        <v>39</v>
      </c>
      <c r="C939" t="str" cm="1">
        <f t="array" ref="C939">_xlfn.IFS(B939&lt;=25,"15-25",B939&lt;=35,"26-35",B939&lt;=45,"36-45",B939&lt;=55,"46-55",B939&lt;=65,"56-65")</f>
        <v>36-45</v>
      </c>
      <c r="D939" t="s">
        <v>43</v>
      </c>
      <c r="E939" t="str">
        <f t="shared" si="28"/>
        <v>Former Employee</v>
      </c>
      <c r="F939" t="s">
        <v>36</v>
      </c>
      <c r="G939">
        <v>360</v>
      </c>
      <c r="H939" t="s">
        <v>45</v>
      </c>
      <c r="I939">
        <v>23</v>
      </c>
      <c r="J939">
        <v>3</v>
      </c>
      <c r="K939" t="s">
        <v>49</v>
      </c>
      <c r="L939">
        <v>1</v>
      </c>
      <c r="M939">
        <v>3</v>
      </c>
      <c r="N939" t="s">
        <v>46</v>
      </c>
      <c r="O939">
        <v>93</v>
      </c>
      <c r="P939">
        <v>3</v>
      </c>
      <c r="Q939">
        <v>1</v>
      </c>
      <c r="R939" t="s">
        <v>47</v>
      </c>
      <c r="S939">
        <v>1</v>
      </c>
      <c r="T939" t="str" cm="1">
        <f t="array" ref="T939">_xlfn.IFS(S939&lt;=2,"Poor",S939&lt;=3,"Fair",S939&gt;=4,"Good")</f>
        <v>Poor</v>
      </c>
      <c r="U939" t="s">
        <v>41</v>
      </c>
      <c r="V939" s="1">
        <v>3904</v>
      </c>
      <c r="W939" t="str" cm="1">
        <f t="array" ref="W939">_xlfn.IFS(V939&lt;=5000,"Low Salary",V939&lt;=12000,"Good Salary",V939&gt;12000,"High Salary")</f>
        <v>Low Salary</v>
      </c>
      <c r="X939">
        <v>22154</v>
      </c>
      <c r="Y939">
        <v>0</v>
      </c>
      <c r="Z939" t="s">
        <v>42</v>
      </c>
      <c r="AA939" t="s">
        <v>35</v>
      </c>
      <c r="AB939">
        <v>13</v>
      </c>
      <c r="AC939">
        <v>3</v>
      </c>
      <c r="AD939" t="str">
        <f t="shared" si="29"/>
        <v>Low Performance</v>
      </c>
      <c r="AE939">
        <v>1</v>
      </c>
      <c r="AF939">
        <v>80</v>
      </c>
      <c r="AG939">
        <v>0</v>
      </c>
      <c r="AH939">
        <v>6</v>
      </c>
      <c r="AI939">
        <v>2</v>
      </c>
      <c r="AJ939">
        <v>3</v>
      </c>
      <c r="AK939" t="str" cm="1">
        <f t="array" ref="AK939">_xlfn.IFS(AJ939&lt;=2,"Poor",AJ939&lt;=3,"Fair",AJ939&gt;3,"Good")</f>
        <v>Fair</v>
      </c>
      <c r="AL939">
        <v>5</v>
      </c>
      <c r="AM939">
        <v>2</v>
      </c>
      <c r="AN939">
        <v>0</v>
      </c>
      <c r="AO939">
        <v>3</v>
      </c>
    </row>
    <row r="940" spans="1:41" x14ac:dyDescent="0.2">
      <c r="A940">
        <v>1391589</v>
      </c>
      <c r="B940">
        <v>30</v>
      </c>
      <c r="C940" t="str" cm="1">
        <f t="array" ref="C940">_xlfn.IFS(B940&lt;=25,"15-25",B940&lt;=35,"26-35",B940&lt;=45,"36-45",B940&lt;=55,"46-55",B940&lt;=65,"56-65")</f>
        <v>26-35</v>
      </c>
      <c r="D940" t="s">
        <v>35</v>
      </c>
      <c r="E940" t="str">
        <f t="shared" si="28"/>
        <v>Current Employee</v>
      </c>
      <c r="F940" t="s">
        <v>36</v>
      </c>
      <c r="G940">
        <v>1138</v>
      </c>
      <c r="H940" t="s">
        <v>45</v>
      </c>
      <c r="I940">
        <v>6</v>
      </c>
      <c r="J940">
        <v>3</v>
      </c>
      <c r="K940" t="s">
        <v>56</v>
      </c>
      <c r="L940">
        <v>1</v>
      </c>
      <c r="M940">
        <v>1</v>
      </c>
      <c r="N940" t="s">
        <v>39</v>
      </c>
      <c r="O940">
        <v>48</v>
      </c>
      <c r="P940">
        <v>2</v>
      </c>
      <c r="Q940">
        <v>2</v>
      </c>
      <c r="R940" t="s">
        <v>40</v>
      </c>
      <c r="S940">
        <v>4</v>
      </c>
      <c r="T940" t="str" cm="1">
        <f t="array" ref="T940">_xlfn.IFS(S940&lt;=2,"Poor",S940&lt;=3,"Fair",S940&gt;=4,"Good")</f>
        <v>Good</v>
      </c>
      <c r="U940" t="s">
        <v>48</v>
      </c>
      <c r="V940" s="1">
        <v>4627</v>
      </c>
      <c r="W940" t="str" cm="1">
        <f t="array" ref="W940">_xlfn.IFS(V940&lt;=5000,"Low Salary",V940&lt;=12000,"Good Salary",V940&gt;12000,"High Salary")</f>
        <v>Low Salary</v>
      </c>
      <c r="X940">
        <v>23631</v>
      </c>
      <c r="Y940">
        <v>0</v>
      </c>
      <c r="Z940" t="s">
        <v>42</v>
      </c>
      <c r="AA940" t="s">
        <v>35</v>
      </c>
      <c r="AB940">
        <v>12</v>
      </c>
      <c r="AC940">
        <v>3</v>
      </c>
      <c r="AD940" t="str">
        <f t="shared" si="29"/>
        <v>Low Performance</v>
      </c>
      <c r="AE940">
        <v>1</v>
      </c>
      <c r="AF940">
        <v>80</v>
      </c>
      <c r="AG940">
        <v>1</v>
      </c>
      <c r="AH940">
        <v>10</v>
      </c>
      <c r="AI940">
        <v>6</v>
      </c>
      <c r="AJ940">
        <v>3</v>
      </c>
      <c r="AK940" t="str" cm="1">
        <f t="array" ref="AK940">_xlfn.IFS(AJ940&lt;=2,"Poor",AJ940&lt;=3,"Fair",AJ940&gt;3,"Good")</f>
        <v>Fair</v>
      </c>
      <c r="AL940">
        <v>9</v>
      </c>
      <c r="AM940">
        <v>2</v>
      </c>
      <c r="AN940">
        <v>6</v>
      </c>
      <c r="AO940">
        <v>7</v>
      </c>
    </row>
    <row r="941" spans="1:41" x14ac:dyDescent="0.2">
      <c r="A941">
        <v>1474475</v>
      </c>
      <c r="B941">
        <v>36</v>
      </c>
      <c r="C941" t="str" cm="1">
        <f t="array" ref="C941">_xlfn.IFS(B941&lt;=25,"15-25",B941&lt;=35,"26-35",B941&lt;=45,"36-45",B941&lt;=55,"46-55",B941&lt;=65,"56-65")</f>
        <v>36-45</v>
      </c>
      <c r="D941" t="s">
        <v>35</v>
      </c>
      <c r="E941" t="str">
        <f t="shared" si="28"/>
        <v>Current Employee</v>
      </c>
      <c r="F941" t="s">
        <v>36</v>
      </c>
      <c r="G941">
        <v>325</v>
      </c>
      <c r="H941" t="s">
        <v>45</v>
      </c>
      <c r="I941">
        <v>10</v>
      </c>
      <c r="J941">
        <v>4</v>
      </c>
      <c r="K941" t="s">
        <v>56</v>
      </c>
      <c r="L941">
        <v>1</v>
      </c>
      <c r="M941">
        <v>4</v>
      </c>
      <c r="N941" t="s">
        <v>39</v>
      </c>
      <c r="O941">
        <v>63</v>
      </c>
      <c r="P941">
        <v>3</v>
      </c>
      <c r="Q941">
        <v>3</v>
      </c>
      <c r="R941" t="s">
        <v>40</v>
      </c>
      <c r="S941">
        <v>3</v>
      </c>
      <c r="T941" t="str" cm="1">
        <f t="array" ref="T941">_xlfn.IFS(S941&lt;=2,"Poor",S941&lt;=3,"Fair",S941&gt;=4,"Good")</f>
        <v>Fair</v>
      </c>
      <c r="U941" t="s">
        <v>48</v>
      </c>
      <c r="V941" s="1">
        <v>7094</v>
      </c>
      <c r="W941" t="str" cm="1">
        <f t="array" ref="W941">_xlfn.IFS(V941&lt;=5000,"Low Salary",V941&lt;=12000,"Good Salary",V941&gt;12000,"High Salary")</f>
        <v>Good Salary</v>
      </c>
      <c r="X941">
        <v>5747</v>
      </c>
      <c r="Y941">
        <v>3</v>
      </c>
      <c r="Z941" t="s">
        <v>42</v>
      </c>
      <c r="AA941" t="s">
        <v>35</v>
      </c>
      <c r="AB941">
        <v>12</v>
      </c>
      <c r="AC941">
        <v>3</v>
      </c>
      <c r="AD941" t="str">
        <f t="shared" si="29"/>
        <v>Low Performance</v>
      </c>
      <c r="AE941">
        <v>1</v>
      </c>
      <c r="AF941">
        <v>80</v>
      </c>
      <c r="AG941">
        <v>0</v>
      </c>
      <c r="AH941">
        <v>10</v>
      </c>
      <c r="AI941">
        <v>0</v>
      </c>
      <c r="AJ941">
        <v>3</v>
      </c>
      <c r="AK941" t="str" cm="1">
        <f t="array" ref="AK941">_xlfn.IFS(AJ941&lt;=2,"Poor",AJ941&lt;=3,"Fair",AJ941&gt;3,"Good")</f>
        <v>Fair</v>
      </c>
      <c r="AL941">
        <v>7</v>
      </c>
      <c r="AM941">
        <v>7</v>
      </c>
      <c r="AN941">
        <v>1</v>
      </c>
      <c r="AO941">
        <v>7</v>
      </c>
    </row>
    <row r="942" spans="1:41" x14ac:dyDescent="0.2">
      <c r="A942">
        <v>1211290</v>
      </c>
      <c r="B942">
        <v>46</v>
      </c>
      <c r="C942" t="str" cm="1">
        <f t="array" ref="C942">_xlfn.IFS(B942&lt;=25,"15-25",B942&lt;=35,"26-35",B942&lt;=45,"36-45",B942&lt;=55,"46-55",B942&lt;=65,"56-65")</f>
        <v>46-55</v>
      </c>
      <c r="D942" t="s">
        <v>35</v>
      </c>
      <c r="E942" t="str">
        <f t="shared" si="28"/>
        <v>Current Employee</v>
      </c>
      <c r="F942" t="s">
        <v>36</v>
      </c>
      <c r="G942">
        <v>991</v>
      </c>
      <c r="H942" t="s">
        <v>54</v>
      </c>
      <c r="I942">
        <v>1</v>
      </c>
      <c r="J942">
        <v>2</v>
      </c>
      <c r="K942" t="s">
        <v>38</v>
      </c>
      <c r="L942">
        <v>1</v>
      </c>
      <c r="M942">
        <v>4</v>
      </c>
      <c r="N942" t="s">
        <v>39</v>
      </c>
      <c r="O942">
        <v>44</v>
      </c>
      <c r="P942">
        <v>3</v>
      </c>
      <c r="Q942">
        <v>1</v>
      </c>
      <c r="R942" t="s">
        <v>47</v>
      </c>
      <c r="S942">
        <v>1</v>
      </c>
      <c r="T942" t="str" cm="1">
        <f t="array" ref="T942">_xlfn.IFS(S942&lt;=2,"Poor",S942&lt;=3,"Fair",S942&gt;=4,"Good")</f>
        <v>Poor</v>
      </c>
      <c r="U942" t="s">
        <v>41</v>
      </c>
      <c r="V942" s="1">
        <v>3423</v>
      </c>
      <c r="W942" t="str" cm="1">
        <f t="array" ref="W942">_xlfn.IFS(V942&lt;=5000,"Low Salary",V942&lt;=12000,"Good Salary",V942&gt;12000,"High Salary")</f>
        <v>Low Salary</v>
      </c>
      <c r="X942">
        <v>22957</v>
      </c>
      <c r="Y942">
        <v>6</v>
      </c>
      <c r="Z942" t="s">
        <v>42</v>
      </c>
      <c r="AA942" t="s">
        <v>35</v>
      </c>
      <c r="AB942">
        <v>12</v>
      </c>
      <c r="AC942">
        <v>3</v>
      </c>
      <c r="AD942" t="str">
        <f t="shared" si="29"/>
        <v>Low Performance</v>
      </c>
      <c r="AE942">
        <v>3</v>
      </c>
      <c r="AF942">
        <v>80</v>
      </c>
      <c r="AG942">
        <v>0</v>
      </c>
      <c r="AH942">
        <v>10</v>
      </c>
      <c r="AI942">
        <v>3</v>
      </c>
      <c r="AJ942">
        <v>4</v>
      </c>
      <c r="AK942" t="str" cm="1">
        <f t="array" ref="AK942">_xlfn.IFS(AJ942&lt;=2,"Poor",AJ942&lt;=3,"Fair",AJ942&gt;3,"Good")</f>
        <v>Good</v>
      </c>
      <c r="AL942">
        <v>7</v>
      </c>
      <c r="AM942">
        <v>6</v>
      </c>
      <c r="AN942">
        <v>5</v>
      </c>
      <c r="AO942">
        <v>7</v>
      </c>
    </row>
    <row r="943" spans="1:41" x14ac:dyDescent="0.2">
      <c r="A943">
        <v>1193428</v>
      </c>
      <c r="B943">
        <v>28</v>
      </c>
      <c r="C943" t="str" cm="1">
        <f t="array" ref="C943">_xlfn.IFS(B943&lt;=25,"15-25",B943&lt;=35,"26-35",B943&lt;=45,"36-45",B943&lt;=55,"46-55",B943&lt;=65,"56-65")</f>
        <v>26-35</v>
      </c>
      <c r="D943" t="s">
        <v>35</v>
      </c>
      <c r="E943" t="str">
        <f t="shared" si="28"/>
        <v>Current Employee</v>
      </c>
      <c r="F943" t="s">
        <v>52</v>
      </c>
      <c r="G943">
        <v>1476</v>
      </c>
      <c r="H943" t="s">
        <v>45</v>
      </c>
      <c r="I943">
        <v>1</v>
      </c>
      <c r="J943">
        <v>3</v>
      </c>
      <c r="K943" t="s">
        <v>38</v>
      </c>
      <c r="L943">
        <v>1</v>
      </c>
      <c r="M943">
        <v>3</v>
      </c>
      <c r="N943" t="s">
        <v>39</v>
      </c>
      <c r="O943">
        <v>55</v>
      </c>
      <c r="P943">
        <v>1</v>
      </c>
      <c r="Q943">
        <v>2</v>
      </c>
      <c r="R943" t="s">
        <v>40</v>
      </c>
      <c r="S943">
        <v>4</v>
      </c>
      <c r="T943" t="str" cm="1">
        <f t="array" ref="T943">_xlfn.IFS(S943&lt;=2,"Poor",S943&lt;=3,"Fair",S943&gt;=4,"Good")</f>
        <v>Good</v>
      </c>
      <c r="U943" t="s">
        <v>48</v>
      </c>
      <c r="V943" s="1">
        <v>6674</v>
      </c>
      <c r="W943" t="str" cm="1">
        <f t="array" ref="W943">_xlfn.IFS(V943&lt;=5000,"Low Salary",V943&lt;=12000,"Good Salary",V943&gt;12000,"High Salary")</f>
        <v>Good Salary</v>
      </c>
      <c r="X943">
        <v>16392</v>
      </c>
      <c r="Y943">
        <v>0</v>
      </c>
      <c r="Z943" t="s">
        <v>42</v>
      </c>
      <c r="AA943" t="s">
        <v>35</v>
      </c>
      <c r="AB943">
        <v>11</v>
      </c>
      <c r="AC943">
        <v>3</v>
      </c>
      <c r="AD943" t="str">
        <f t="shared" si="29"/>
        <v>Low Performance</v>
      </c>
      <c r="AE943">
        <v>1</v>
      </c>
      <c r="AF943">
        <v>80</v>
      </c>
      <c r="AG943">
        <v>3</v>
      </c>
      <c r="AH943">
        <v>10</v>
      </c>
      <c r="AI943">
        <v>6</v>
      </c>
      <c r="AJ943">
        <v>3</v>
      </c>
      <c r="AK943" t="str" cm="1">
        <f t="array" ref="AK943">_xlfn.IFS(AJ943&lt;=2,"Poor",AJ943&lt;=3,"Fair",AJ943&gt;3,"Good")</f>
        <v>Fair</v>
      </c>
      <c r="AL943">
        <v>9</v>
      </c>
      <c r="AM943">
        <v>8</v>
      </c>
      <c r="AN943">
        <v>7</v>
      </c>
      <c r="AO943">
        <v>5</v>
      </c>
    </row>
    <row r="944" spans="1:41" x14ac:dyDescent="0.2">
      <c r="A944">
        <v>1545703</v>
      </c>
      <c r="B944">
        <v>50</v>
      </c>
      <c r="C944" t="str" cm="1">
        <f t="array" ref="C944">_xlfn.IFS(B944&lt;=25,"15-25",B944&lt;=35,"26-35",B944&lt;=45,"36-45",B944&lt;=55,"46-55",B944&lt;=65,"56-65")</f>
        <v>46-55</v>
      </c>
      <c r="D944" t="s">
        <v>35</v>
      </c>
      <c r="E944" t="str">
        <f t="shared" si="28"/>
        <v>Current Employee</v>
      </c>
      <c r="F944" t="s">
        <v>36</v>
      </c>
      <c r="G944">
        <v>1322</v>
      </c>
      <c r="H944" t="s">
        <v>45</v>
      </c>
      <c r="I944">
        <v>28</v>
      </c>
      <c r="J944">
        <v>3</v>
      </c>
      <c r="K944" t="s">
        <v>38</v>
      </c>
      <c r="L944">
        <v>1</v>
      </c>
      <c r="M944">
        <v>4</v>
      </c>
      <c r="N944" t="s">
        <v>39</v>
      </c>
      <c r="O944">
        <v>43</v>
      </c>
      <c r="P944">
        <v>3</v>
      </c>
      <c r="Q944">
        <v>4</v>
      </c>
      <c r="R944" t="s">
        <v>53</v>
      </c>
      <c r="S944">
        <v>1</v>
      </c>
      <c r="T944" t="str" cm="1">
        <f t="array" ref="T944">_xlfn.IFS(S944&lt;=2,"Poor",S944&lt;=3,"Fair",S944&gt;=4,"Good")</f>
        <v>Poor</v>
      </c>
      <c r="U944" t="s">
        <v>48</v>
      </c>
      <c r="V944" s="1">
        <v>16880</v>
      </c>
      <c r="W944" t="str" cm="1">
        <f t="array" ref="W944">_xlfn.IFS(V944&lt;=5000,"Low Salary",V944&lt;=12000,"Good Salary",V944&gt;12000,"High Salary")</f>
        <v>High Salary</v>
      </c>
      <c r="X944">
        <v>22422</v>
      </c>
      <c r="Y944">
        <v>4</v>
      </c>
      <c r="Z944" t="s">
        <v>42</v>
      </c>
      <c r="AA944" t="s">
        <v>43</v>
      </c>
      <c r="AB944">
        <v>11</v>
      </c>
      <c r="AC944">
        <v>3</v>
      </c>
      <c r="AD944" t="str">
        <f t="shared" si="29"/>
        <v>Low Performance</v>
      </c>
      <c r="AE944">
        <v>2</v>
      </c>
      <c r="AF944">
        <v>80</v>
      </c>
      <c r="AG944">
        <v>0</v>
      </c>
      <c r="AH944">
        <v>25</v>
      </c>
      <c r="AI944">
        <v>2</v>
      </c>
      <c r="AJ944">
        <v>3</v>
      </c>
      <c r="AK944" t="str" cm="1">
        <f t="array" ref="AK944">_xlfn.IFS(AJ944&lt;=2,"Poor",AJ944&lt;=3,"Fair",AJ944&gt;3,"Good")</f>
        <v>Fair</v>
      </c>
      <c r="AL944">
        <v>3</v>
      </c>
      <c r="AM944">
        <v>2</v>
      </c>
      <c r="AN944">
        <v>1</v>
      </c>
      <c r="AO944">
        <v>2</v>
      </c>
    </row>
    <row r="945" spans="1:41" x14ac:dyDescent="0.2">
      <c r="A945">
        <v>1202936</v>
      </c>
      <c r="B945">
        <v>40</v>
      </c>
      <c r="C945" t="str" cm="1">
        <f t="array" ref="C945">_xlfn.IFS(B945&lt;=25,"15-25",B945&lt;=35,"26-35",B945&lt;=45,"36-45",B945&lt;=55,"46-55",B945&lt;=65,"56-65")</f>
        <v>36-45</v>
      </c>
      <c r="D945" t="s">
        <v>43</v>
      </c>
      <c r="E945" t="str">
        <f t="shared" si="28"/>
        <v>Former Employee</v>
      </c>
      <c r="F945" t="s">
        <v>36</v>
      </c>
      <c r="G945">
        <v>299</v>
      </c>
      <c r="H945" t="s">
        <v>37</v>
      </c>
      <c r="I945">
        <v>25</v>
      </c>
      <c r="J945">
        <v>4</v>
      </c>
      <c r="K945" t="s">
        <v>55</v>
      </c>
      <c r="L945">
        <v>1</v>
      </c>
      <c r="M945">
        <v>4</v>
      </c>
      <c r="N945" t="s">
        <v>46</v>
      </c>
      <c r="O945">
        <v>57</v>
      </c>
      <c r="P945">
        <v>2</v>
      </c>
      <c r="Q945">
        <v>3</v>
      </c>
      <c r="R945" t="s">
        <v>40</v>
      </c>
      <c r="S945">
        <v>2</v>
      </c>
      <c r="T945" t="str" cm="1">
        <f t="array" ref="T945">_xlfn.IFS(S945&lt;=2,"Poor",S945&lt;=3,"Fair",S945&gt;=4,"Good")</f>
        <v>Poor</v>
      </c>
      <c r="U945" t="s">
        <v>41</v>
      </c>
      <c r="V945" s="1">
        <v>9094</v>
      </c>
      <c r="W945" t="str" cm="1">
        <f t="array" ref="W945">_xlfn.IFS(V945&lt;=5000,"Low Salary",V945&lt;=12000,"Good Salary",V945&gt;12000,"High Salary")</f>
        <v>Good Salary</v>
      </c>
      <c r="X945">
        <v>17235</v>
      </c>
      <c r="Y945">
        <v>2</v>
      </c>
      <c r="Z945" t="s">
        <v>42</v>
      </c>
      <c r="AA945" t="s">
        <v>43</v>
      </c>
      <c r="AB945">
        <v>12</v>
      </c>
      <c r="AC945">
        <v>3</v>
      </c>
      <c r="AD945" t="str">
        <f t="shared" si="29"/>
        <v>Low Performance</v>
      </c>
      <c r="AE945">
        <v>3</v>
      </c>
      <c r="AF945">
        <v>80</v>
      </c>
      <c r="AG945">
        <v>0</v>
      </c>
      <c r="AH945">
        <v>9</v>
      </c>
      <c r="AI945">
        <v>2</v>
      </c>
      <c r="AJ945">
        <v>3</v>
      </c>
      <c r="AK945" t="str" cm="1">
        <f t="array" ref="AK945">_xlfn.IFS(AJ945&lt;=2,"Poor",AJ945&lt;=3,"Fair",AJ945&gt;3,"Good")</f>
        <v>Fair</v>
      </c>
      <c r="AL945">
        <v>5</v>
      </c>
      <c r="AM945">
        <v>4</v>
      </c>
      <c r="AN945">
        <v>1</v>
      </c>
      <c r="AO945">
        <v>0</v>
      </c>
    </row>
    <row r="946" spans="1:41" x14ac:dyDescent="0.2">
      <c r="A946">
        <v>1171299</v>
      </c>
      <c r="B946">
        <v>52</v>
      </c>
      <c r="C946" t="str" cm="1">
        <f t="array" ref="C946">_xlfn.IFS(B946&lt;=25,"15-25",B946&lt;=35,"26-35",B946&lt;=45,"36-45",B946&lt;=55,"46-55",B946&lt;=65,"56-65")</f>
        <v>46-55</v>
      </c>
      <c r="D946" t="s">
        <v>43</v>
      </c>
      <c r="E946" t="str">
        <f t="shared" si="28"/>
        <v>Former Employee</v>
      </c>
      <c r="F946" t="s">
        <v>36</v>
      </c>
      <c r="G946">
        <v>1030</v>
      </c>
      <c r="H946" t="s">
        <v>37</v>
      </c>
      <c r="I946">
        <v>5</v>
      </c>
      <c r="J946">
        <v>3</v>
      </c>
      <c r="K946" t="s">
        <v>38</v>
      </c>
      <c r="L946">
        <v>1</v>
      </c>
      <c r="M946">
        <v>2</v>
      </c>
      <c r="N946" t="s">
        <v>46</v>
      </c>
      <c r="O946">
        <v>64</v>
      </c>
      <c r="P946">
        <v>3</v>
      </c>
      <c r="Q946">
        <v>3</v>
      </c>
      <c r="R946" t="s">
        <v>40</v>
      </c>
      <c r="S946">
        <v>2</v>
      </c>
      <c r="T946" t="str" cm="1">
        <f t="array" ref="T946">_xlfn.IFS(S946&lt;=2,"Poor",S946&lt;=3,"Fair",S946&gt;=4,"Good")</f>
        <v>Poor</v>
      </c>
      <c r="U946" t="s">
        <v>41</v>
      </c>
      <c r="V946" s="1">
        <v>8446</v>
      </c>
      <c r="W946" t="str" cm="1">
        <f t="array" ref="W946">_xlfn.IFS(V946&lt;=5000,"Low Salary",V946&lt;=12000,"Good Salary",V946&gt;12000,"High Salary")</f>
        <v>Good Salary</v>
      </c>
      <c r="X946">
        <v>21534</v>
      </c>
      <c r="Y946">
        <v>9</v>
      </c>
      <c r="Z946" t="s">
        <v>42</v>
      </c>
      <c r="AA946" t="s">
        <v>43</v>
      </c>
      <c r="AB946">
        <v>19</v>
      </c>
      <c r="AC946">
        <v>3</v>
      </c>
      <c r="AD946" t="str">
        <f t="shared" si="29"/>
        <v>Low Performance</v>
      </c>
      <c r="AE946">
        <v>3</v>
      </c>
      <c r="AF946">
        <v>80</v>
      </c>
      <c r="AG946">
        <v>0</v>
      </c>
      <c r="AH946">
        <v>10</v>
      </c>
      <c r="AI946">
        <v>2</v>
      </c>
      <c r="AJ946">
        <v>2</v>
      </c>
      <c r="AK946" t="str" cm="1">
        <f t="array" ref="AK946">_xlfn.IFS(AJ946&lt;=2,"Poor",AJ946&lt;=3,"Fair",AJ946&gt;3,"Good")</f>
        <v>Poor</v>
      </c>
      <c r="AL946">
        <v>8</v>
      </c>
      <c r="AM946">
        <v>7</v>
      </c>
      <c r="AN946">
        <v>7</v>
      </c>
      <c r="AO946">
        <v>7</v>
      </c>
    </row>
    <row r="947" spans="1:41" x14ac:dyDescent="0.2">
      <c r="A947">
        <v>1277861</v>
      </c>
      <c r="B947">
        <v>30</v>
      </c>
      <c r="C947" t="str" cm="1">
        <f t="array" ref="C947">_xlfn.IFS(B947&lt;=25,"15-25",B947&lt;=35,"26-35",B947&lt;=45,"36-45",B947&lt;=55,"46-55",B947&lt;=65,"56-65")</f>
        <v>26-35</v>
      </c>
      <c r="D947" t="s">
        <v>35</v>
      </c>
      <c r="E947" t="str">
        <f t="shared" si="28"/>
        <v>Current Employee</v>
      </c>
      <c r="F947" t="s">
        <v>36</v>
      </c>
      <c r="G947">
        <v>634</v>
      </c>
      <c r="H947" t="s">
        <v>54</v>
      </c>
      <c r="I947">
        <v>17</v>
      </c>
      <c r="J947">
        <v>4</v>
      </c>
      <c r="K947" t="s">
        <v>49</v>
      </c>
      <c r="L947">
        <v>1</v>
      </c>
      <c r="M947">
        <v>2</v>
      </c>
      <c r="N947" t="s">
        <v>39</v>
      </c>
      <c r="O947">
        <v>95</v>
      </c>
      <c r="P947">
        <v>3</v>
      </c>
      <c r="Q947">
        <v>3</v>
      </c>
      <c r="R947" t="s">
        <v>47</v>
      </c>
      <c r="S947">
        <v>1</v>
      </c>
      <c r="T947" t="str" cm="1">
        <f t="array" ref="T947">_xlfn.IFS(S947&lt;=2,"Poor",S947&lt;=3,"Fair",S947&gt;=4,"Good")</f>
        <v>Poor</v>
      </c>
      <c r="U947" t="s">
        <v>48</v>
      </c>
      <c r="V947" s="1">
        <v>11916</v>
      </c>
      <c r="W947" t="str" cm="1">
        <f t="array" ref="W947">_xlfn.IFS(V947&lt;=5000,"Low Salary",V947&lt;=12000,"Good Salary",V947&gt;12000,"High Salary")</f>
        <v>Good Salary</v>
      </c>
      <c r="X947">
        <v>25927</v>
      </c>
      <c r="Y947">
        <v>1</v>
      </c>
      <c r="Z947" t="s">
        <v>42</v>
      </c>
      <c r="AA947" t="s">
        <v>43</v>
      </c>
      <c r="AB947">
        <v>23</v>
      </c>
      <c r="AC947">
        <v>4</v>
      </c>
      <c r="AD947" t="str">
        <f t="shared" si="29"/>
        <v>High Performance</v>
      </c>
      <c r="AE947">
        <v>4</v>
      </c>
      <c r="AF947">
        <v>80</v>
      </c>
      <c r="AG947">
        <v>2</v>
      </c>
      <c r="AH947">
        <v>9</v>
      </c>
      <c r="AI947">
        <v>2</v>
      </c>
      <c r="AJ947">
        <v>3</v>
      </c>
      <c r="AK947" t="str" cm="1">
        <f t="array" ref="AK947">_xlfn.IFS(AJ947&lt;=2,"Poor",AJ947&lt;=3,"Fair",AJ947&gt;3,"Good")</f>
        <v>Fair</v>
      </c>
      <c r="AL947">
        <v>9</v>
      </c>
      <c r="AM947">
        <v>1</v>
      </c>
      <c r="AN947">
        <v>0</v>
      </c>
      <c r="AO947">
        <v>8</v>
      </c>
    </row>
    <row r="948" spans="1:41" x14ac:dyDescent="0.2">
      <c r="A948">
        <v>1622014</v>
      </c>
      <c r="B948">
        <v>39</v>
      </c>
      <c r="C948" t="str" cm="1">
        <f t="array" ref="C948">_xlfn.IFS(B948&lt;=25,"15-25",B948&lt;=35,"26-35",B948&lt;=45,"36-45",B948&lt;=55,"46-55",B948&lt;=65,"56-65")</f>
        <v>36-45</v>
      </c>
      <c r="D948" t="s">
        <v>35</v>
      </c>
      <c r="E948" t="str">
        <f t="shared" si="28"/>
        <v>Current Employee</v>
      </c>
      <c r="F948" t="s">
        <v>36</v>
      </c>
      <c r="G948">
        <v>524</v>
      </c>
      <c r="H948" t="s">
        <v>45</v>
      </c>
      <c r="I948">
        <v>18</v>
      </c>
      <c r="J948">
        <v>2</v>
      </c>
      <c r="K948" t="s">
        <v>38</v>
      </c>
      <c r="L948">
        <v>1</v>
      </c>
      <c r="M948">
        <v>1</v>
      </c>
      <c r="N948" t="s">
        <v>46</v>
      </c>
      <c r="O948">
        <v>32</v>
      </c>
      <c r="P948">
        <v>3</v>
      </c>
      <c r="Q948">
        <v>2</v>
      </c>
      <c r="R948" t="s">
        <v>51</v>
      </c>
      <c r="S948">
        <v>3</v>
      </c>
      <c r="T948" t="str" cm="1">
        <f t="array" ref="T948">_xlfn.IFS(S948&lt;=2,"Poor",S948&lt;=3,"Fair",S948&gt;=4,"Good")</f>
        <v>Fair</v>
      </c>
      <c r="U948" t="s">
        <v>41</v>
      </c>
      <c r="V948" s="1">
        <v>4534</v>
      </c>
      <c r="W948" t="str" cm="1">
        <f t="array" ref="W948">_xlfn.IFS(V948&lt;=5000,"Low Salary",V948&lt;=12000,"Good Salary",V948&gt;12000,"High Salary")</f>
        <v>Low Salary</v>
      </c>
      <c r="X948">
        <v>13352</v>
      </c>
      <c r="Y948">
        <v>0</v>
      </c>
      <c r="Z948" t="s">
        <v>42</v>
      </c>
      <c r="AA948" t="s">
        <v>35</v>
      </c>
      <c r="AB948">
        <v>11</v>
      </c>
      <c r="AC948">
        <v>3</v>
      </c>
      <c r="AD948" t="str">
        <f t="shared" si="29"/>
        <v>Low Performance</v>
      </c>
      <c r="AE948">
        <v>1</v>
      </c>
      <c r="AF948">
        <v>80</v>
      </c>
      <c r="AG948">
        <v>0</v>
      </c>
      <c r="AH948">
        <v>9</v>
      </c>
      <c r="AI948">
        <v>6</v>
      </c>
      <c r="AJ948">
        <v>3</v>
      </c>
      <c r="AK948" t="str" cm="1">
        <f t="array" ref="AK948">_xlfn.IFS(AJ948&lt;=2,"Poor",AJ948&lt;=3,"Fair",AJ948&gt;3,"Good")</f>
        <v>Fair</v>
      </c>
      <c r="AL948">
        <v>8</v>
      </c>
      <c r="AM948">
        <v>7</v>
      </c>
      <c r="AN948">
        <v>1</v>
      </c>
      <c r="AO948">
        <v>7</v>
      </c>
    </row>
    <row r="949" spans="1:41" x14ac:dyDescent="0.2">
      <c r="A949">
        <v>1379068</v>
      </c>
      <c r="B949">
        <v>31</v>
      </c>
      <c r="C949" t="str" cm="1">
        <f t="array" ref="C949">_xlfn.IFS(B949&lt;=25,"15-25",B949&lt;=35,"26-35",B949&lt;=45,"36-45",B949&lt;=55,"46-55",B949&lt;=65,"56-65")</f>
        <v>26-35</v>
      </c>
      <c r="D949" t="s">
        <v>35</v>
      </c>
      <c r="E949" t="str">
        <f t="shared" si="28"/>
        <v>Current Employee</v>
      </c>
      <c r="F949" t="s">
        <v>52</v>
      </c>
      <c r="G949">
        <v>587</v>
      </c>
      <c r="H949" t="s">
        <v>37</v>
      </c>
      <c r="I949">
        <v>2</v>
      </c>
      <c r="J949">
        <v>4</v>
      </c>
      <c r="K949" t="s">
        <v>38</v>
      </c>
      <c r="L949">
        <v>1</v>
      </c>
      <c r="M949">
        <v>4</v>
      </c>
      <c r="N949" t="s">
        <v>39</v>
      </c>
      <c r="O949">
        <v>57</v>
      </c>
      <c r="P949">
        <v>3</v>
      </c>
      <c r="Q949">
        <v>3</v>
      </c>
      <c r="R949" t="s">
        <v>40</v>
      </c>
      <c r="S949">
        <v>3</v>
      </c>
      <c r="T949" t="str" cm="1">
        <f t="array" ref="T949">_xlfn.IFS(S949&lt;=2,"Poor",S949&lt;=3,"Fair",S949&gt;=4,"Good")</f>
        <v>Fair</v>
      </c>
      <c r="U949" t="s">
        <v>50</v>
      </c>
      <c r="V949" s="1">
        <v>9852</v>
      </c>
      <c r="W949" t="str" cm="1">
        <f t="array" ref="W949">_xlfn.IFS(V949&lt;=5000,"Low Salary",V949&lt;=12000,"Good Salary",V949&gt;12000,"High Salary")</f>
        <v>Good Salary</v>
      </c>
      <c r="X949">
        <v>8935</v>
      </c>
      <c r="Y949">
        <v>1</v>
      </c>
      <c r="Z949" t="s">
        <v>42</v>
      </c>
      <c r="AA949" t="s">
        <v>43</v>
      </c>
      <c r="AB949">
        <v>19</v>
      </c>
      <c r="AC949">
        <v>3</v>
      </c>
      <c r="AD949" t="str">
        <f t="shared" si="29"/>
        <v>Low Performance</v>
      </c>
      <c r="AE949">
        <v>1</v>
      </c>
      <c r="AF949">
        <v>80</v>
      </c>
      <c r="AG949">
        <v>1</v>
      </c>
      <c r="AH949">
        <v>10</v>
      </c>
      <c r="AI949">
        <v>5</v>
      </c>
      <c r="AJ949">
        <v>2</v>
      </c>
      <c r="AK949" t="str" cm="1">
        <f t="array" ref="AK949">_xlfn.IFS(AJ949&lt;=2,"Poor",AJ949&lt;=3,"Fair",AJ949&gt;3,"Good")</f>
        <v>Poor</v>
      </c>
      <c r="AL949">
        <v>10</v>
      </c>
      <c r="AM949">
        <v>8</v>
      </c>
      <c r="AN949">
        <v>9</v>
      </c>
      <c r="AO949">
        <v>6</v>
      </c>
    </row>
    <row r="950" spans="1:41" x14ac:dyDescent="0.2">
      <c r="A950">
        <v>1546275</v>
      </c>
      <c r="B950">
        <v>41</v>
      </c>
      <c r="C950" t="str" cm="1">
        <f t="array" ref="C950">_xlfn.IFS(B950&lt;=25,"15-25",B950&lt;=35,"26-35",B950&lt;=45,"36-45",B950&lt;=55,"46-55",B950&lt;=65,"56-65")</f>
        <v>36-45</v>
      </c>
      <c r="D950" t="s">
        <v>35</v>
      </c>
      <c r="E950" t="str">
        <f t="shared" si="28"/>
        <v>Current Employee</v>
      </c>
      <c r="F950" t="s">
        <v>52</v>
      </c>
      <c r="G950">
        <v>256</v>
      </c>
      <c r="H950" t="s">
        <v>37</v>
      </c>
      <c r="I950">
        <v>10</v>
      </c>
      <c r="J950">
        <v>2</v>
      </c>
      <c r="K950" t="s">
        <v>49</v>
      </c>
      <c r="L950">
        <v>1</v>
      </c>
      <c r="M950">
        <v>3</v>
      </c>
      <c r="N950" t="s">
        <v>46</v>
      </c>
      <c r="O950">
        <v>40</v>
      </c>
      <c r="P950">
        <v>1</v>
      </c>
      <c r="Q950">
        <v>2</v>
      </c>
      <c r="R950" t="s">
        <v>40</v>
      </c>
      <c r="S950">
        <v>2</v>
      </c>
      <c r="T950" t="str" cm="1">
        <f t="array" ref="T950">_xlfn.IFS(S950&lt;=2,"Poor",S950&lt;=3,"Fair",S950&gt;=4,"Good")</f>
        <v>Poor</v>
      </c>
      <c r="U950" t="s">
        <v>41</v>
      </c>
      <c r="V950" s="1">
        <v>6151</v>
      </c>
      <c r="W950" t="str" cm="1">
        <f t="array" ref="W950">_xlfn.IFS(V950&lt;=5000,"Low Salary",V950&lt;=12000,"Good Salary",V950&gt;12000,"High Salary")</f>
        <v>Good Salary</v>
      </c>
      <c r="X950">
        <v>22074</v>
      </c>
      <c r="Y950">
        <v>1</v>
      </c>
      <c r="Z950" t="s">
        <v>42</v>
      </c>
      <c r="AA950" t="s">
        <v>35</v>
      </c>
      <c r="AB950">
        <v>13</v>
      </c>
      <c r="AC950">
        <v>3</v>
      </c>
      <c r="AD950" t="str">
        <f t="shared" si="29"/>
        <v>Low Performance</v>
      </c>
      <c r="AE950">
        <v>1</v>
      </c>
      <c r="AF950">
        <v>80</v>
      </c>
      <c r="AG950">
        <v>0</v>
      </c>
      <c r="AH950">
        <v>19</v>
      </c>
      <c r="AI950">
        <v>4</v>
      </c>
      <c r="AJ950">
        <v>3</v>
      </c>
      <c r="AK950" t="str" cm="1">
        <f t="array" ref="AK950">_xlfn.IFS(AJ950&lt;=2,"Poor",AJ950&lt;=3,"Fair",AJ950&gt;3,"Good")</f>
        <v>Fair</v>
      </c>
      <c r="AL950">
        <v>19</v>
      </c>
      <c r="AM950">
        <v>2</v>
      </c>
      <c r="AN950">
        <v>11</v>
      </c>
      <c r="AO950">
        <v>9</v>
      </c>
    </row>
    <row r="951" spans="1:41" x14ac:dyDescent="0.2">
      <c r="A951">
        <v>1288105</v>
      </c>
      <c r="B951">
        <v>31</v>
      </c>
      <c r="C951" t="str" cm="1">
        <f t="array" ref="C951">_xlfn.IFS(B951&lt;=25,"15-25",B951&lt;=35,"26-35",B951&lt;=45,"36-45",B951&lt;=55,"46-55",B951&lt;=65,"56-65")</f>
        <v>26-35</v>
      </c>
      <c r="D951" t="s">
        <v>43</v>
      </c>
      <c r="E951" t="str">
        <f t="shared" si="28"/>
        <v>Former Employee</v>
      </c>
      <c r="F951" t="s">
        <v>44</v>
      </c>
      <c r="G951">
        <v>1060</v>
      </c>
      <c r="H951" t="s">
        <v>37</v>
      </c>
      <c r="I951">
        <v>1</v>
      </c>
      <c r="J951">
        <v>3</v>
      </c>
      <c r="K951" t="s">
        <v>38</v>
      </c>
      <c r="L951">
        <v>1</v>
      </c>
      <c r="M951">
        <v>4</v>
      </c>
      <c r="N951" t="s">
        <v>39</v>
      </c>
      <c r="O951">
        <v>54</v>
      </c>
      <c r="P951">
        <v>3</v>
      </c>
      <c r="Q951">
        <v>1</v>
      </c>
      <c r="R951" t="s">
        <v>47</v>
      </c>
      <c r="S951">
        <v>2</v>
      </c>
      <c r="T951" t="str" cm="1">
        <f t="array" ref="T951">_xlfn.IFS(S951&lt;=2,"Poor",S951&lt;=3,"Fair",S951&gt;=4,"Good")</f>
        <v>Poor</v>
      </c>
      <c r="U951" t="s">
        <v>41</v>
      </c>
      <c r="V951" s="1">
        <v>2302</v>
      </c>
      <c r="W951" t="str" cm="1">
        <f t="array" ref="W951">_xlfn.IFS(V951&lt;=5000,"Low Salary",V951&lt;=12000,"Good Salary",V951&gt;12000,"High Salary")</f>
        <v>Low Salary</v>
      </c>
      <c r="X951">
        <v>8319</v>
      </c>
      <c r="Y951">
        <v>1</v>
      </c>
      <c r="Z951" t="s">
        <v>42</v>
      </c>
      <c r="AA951" t="s">
        <v>43</v>
      </c>
      <c r="AB951">
        <v>11</v>
      </c>
      <c r="AC951">
        <v>3</v>
      </c>
      <c r="AD951" t="str">
        <f t="shared" si="29"/>
        <v>Low Performance</v>
      </c>
      <c r="AE951">
        <v>1</v>
      </c>
      <c r="AF951">
        <v>80</v>
      </c>
      <c r="AG951">
        <v>0</v>
      </c>
      <c r="AH951">
        <v>3</v>
      </c>
      <c r="AI951">
        <v>2</v>
      </c>
      <c r="AJ951">
        <v>4</v>
      </c>
      <c r="AK951" t="str" cm="1">
        <f t="array" ref="AK951">_xlfn.IFS(AJ951&lt;=2,"Poor",AJ951&lt;=3,"Fair",AJ951&gt;3,"Good")</f>
        <v>Good</v>
      </c>
      <c r="AL951">
        <v>3</v>
      </c>
      <c r="AM951">
        <v>2</v>
      </c>
      <c r="AN951">
        <v>2</v>
      </c>
      <c r="AO951">
        <v>2</v>
      </c>
    </row>
    <row r="952" spans="1:41" x14ac:dyDescent="0.2">
      <c r="A952">
        <v>1518688</v>
      </c>
      <c r="B952">
        <v>44</v>
      </c>
      <c r="C952" t="str" cm="1">
        <f t="array" ref="C952">_xlfn.IFS(B952&lt;=25,"15-25",B952&lt;=35,"26-35",B952&lt;=45,"36-45",B952&lt;=55,"46-55",B952&lt;=65,"56-65")</f>
        <v>36-45</v>
      </c>
      <c r="D952" t="s">
        <v>35</v>
      </c>
      <c r="E952" t="str">
        <f t="shared" si="28"/>
        <v>Current Employee</v>
      </c>
      <c r="F952" t="s">
        <v>36</v>
      </c>
      <c r="G952">
        <v>935</v>
      </c>
      <c r="H952" t="s">
        <v>45</v>
      </c>
      <c r="I952">
        <v>3</v>
      </c>
      <c r="J952">
        <v>3</v>
      </c>
      <c r="K952" t="s">
        <v>38</v>
      </c>
      <c r="L952">
        <v>1</v>
      </c>
      <c r="M952">
        <v>1</v>
      </c>
      <c r="N952" t="s">
        <v>46</v>
      </c>
      <c r="O952">
        <v>89</v>
      </c>
      <c r="P952">
        <v>3</v>
      </c>
      <c r="Q952">
        <v>1</v>
      </c>
      <c r="R952" t="s">
        <v>40</v>
      </c>
      <c r="S952">
        <v>1</v>
      </c>
      <c r="T952" t="str" cm="1">
        <f t="array" ref="T952">_xlfn.IFS(S952&lt;=2,"Poor",S952&lt;=3,"Fair",S952&gt;=4,"Good")</f>
        <v>Poor</v>
      </c>
      <c r="U952" t="s">
        <v>48</v>
      </c>
      <c r="V952" s="1">
        <v>2362</v>
      </c>
      <c r="W952" t="str" cm="1">
        <f t="array" ref="W952">_xlfn.IFS(V952&lt;=5000,"Low Salary",V952&lt;=12000,"Good Salary",V952&gt;12000,"High Salary")</f>
        <v>Low Salary</v>
      </c>
      <c r="X952">
        <v>14669</v>
      </c>
      <c r="Y952">
        <v>4</v>
      </c>
      <c r="Z952" t="s">
        <v>42</v>
      </c>
      <c r="AA952" t="s">
        <v>35</v>
      </c>
      <c r="AB952">
        <v>12</v>
      </c>
      <c r="AC952">
        <v>3</v>
      </c>
      <c r="AD952" t="str">
        <f t="shared" si="29"/>
        <v>Low Performance</v>
      </c>
      <c r="AE952">
        <v>3</v>
      </c>
      <c r="AF952">
        <v>80</v>
      </c>
      <c r="AG952">
        <v>0</v>
      </c>
      <c r="AH952">
        <v>10</v>
      </c>
      <c r="AI952">
        <v>4</v>
      </c>
      <c r="AJ952">
        <v>4</v>
      </c>
      <c r="AK952" t="str" cm="1">
        <f t="array" ref="AK952">_xlfn.IFS(AJ952&lt;=2,"Poor",AJ952&lt;=3,"Fair",AJ952&gt;3,"Good")</f>
        <v>Good</v>
      </c>
      <c r="AL952">
        <v>3</v>
      </c>
      <c r="AM952">
        <v>2</v>
      </c>
      <c r="AN952">
        <v>1</v>
      </c>
      <c r="AO952">
        <v>2</v>
      </c>
    </row>
    <row r="953" spans="1:41" x14ac:dyDescent="0.2">
      <c r="A953">
        <v>1071499</v>
      </c>
      <c r="B953">
        <v>42</v>
      </c>
      <c r="C953" t="str" cm="1">
        <f t="array" ref="C953">_xlfn.IFS(B953&lt;=25,"15-25",B953&lt;=35,"26-35",B953&lt;=45,"36-45",B953&lt;=55,"46-55",B953&lt;=65,"56-65")</f>
        <v>36-45</v>
      </c>
      <c r="D953" t="s">
        <v>35</v>
      </c>
      <c r="E953" t="str">
        <f t="shared" si="28"/>
        <v>Current Employee</v>
      </c>
      <c r="F953" t="s">
        <v>52</v>
      </c>
      <c r="G953">
        <v>495</v>
      </c>
      <c r="H953" t="s">
        <v>54</v>
      </c>
      <c r="I953">
        <v>2</v>
      </c>
      <c r="J953">
        <v>1</v>
      </c>
      <c r="K953" t="s">
        <v>38</v>
      </c>
      <c r="L953">
        <v>1</v>
      </c>
      <c r="M953">
        <v>3</v>
      </c>
      <c r="N953" t="s">
        <v>46</v>
      </c>
      <c r="O953">
        <v>37</v>
      </c>
      <c r="P953">
        <v>3</v>
      </c>
      <c r="Q953">
        <v>4</v>
      </c>
      <c r="R953" t="s">
        <v>47</v>
      </c>
      <c r="S953">
        <v>3</v>
      </c>
      <c r="T953" t="str" cm="1">
        <f t="array" ref="T953">_xlfn.IFS(S953&lt;=2,"Poor",S953&lt;=3,"Fair",S953&gt;=4,"Good")</f>
        <v>Fair</v>
      </c>
      <c r="U953" t="s">
        <v>48</v>
      </c>
      <c r="V953" s="1">
        <v>17861</v>
      </c>
      <c r="W953" t="str" cm="1">
        <f t="array" ref="W953">_xlfn.IFS(V953&lt;=5000,"Low Salary",V953&lt;=12000,"Good Salary",V953&gt;12000,"High Salary")</f>
        <v>High Salary</v>
      </c>
      <c r="X953">
        <v>26582</v>
      </c>
      <c r="Y953">
        <v>0</v>
      </c>
      <c r="Z953" t="s">
        <v>42</v>
      </c>
      <c r="AA953" t="s">
        <v>43</v>
      </c>
      <c r="AB953">
        <v>13</v>
      </c>
      <c r="AC953">
        <v>3</v>
      </c>
      <c r="AD953" t="str">
        <f t="shared" si="29"/>
        <v>Low Performance</v>
      </c>
      <c r="AE953">
        <v>4</v>
      </c>
      <c r="AF953">
        <v>80</v>
      </c>
      <c r="AG953">
        <v>0</v>
      </c>
      <c r="AH953">
        <v>21</v>
      </c>
      <c r="AI953">
        <v>3</v>
      </c>
      <c r="AJ953">
        <v>2</v>
      </c>
      <c r="AK953" t="str" cm="1">
        <f t="array" ref="AK953">_xlfn.IFS(AJ953&lt;=2,"Poor",AJ953&lt;=3,"Fair",AJ953&gt;3,"Good")</f>
        <v>Poor</v>
      </c>
      <c r="AL953">
        <v>20</v>
      </c>
      <c r="AM953">
        <v>8</v>
      </c>
      <c r="AN953">
        <v>2</v>
      </c>
      <c r="AO953">
        <v>10</v>
      </c>
    </row>
    <row r="954" spans="1:41" x14ac:dyDescent="0.2">
      <c r="A954">
        <v>1704652</v>
      </c>
      <c r="B954">
        <v>55</v>
      </c>
      <c r="C954" t="str" cm="1">
        <f t="array" ref="C954">_xlfn.IFS(B954&lt;=25,"15-25",B954&lt;=35,"26-35",B954&lt;=45,"36-45",B954&lt;=55,"46-55",B954&lt;=65,"56-65")</f>
        <v>46-55</v>
      </c>
      <c r="D954" t="s">
        <v>35</v>
      </c>
      <c r="E954" t="str">
        <f t="shared" si="28"/>
        <v>Current Employee</v>
      </c>
      <c r="F954" t="s">
        <v>36</v>
      </c>
      <c r="G954">
        <v>282</v>
      </c>
      <c r="H954" t="s">
        <v>54</v>
      </c>
      <c r="I954">
        <v>2</v>
      </c>
      <c r="J954">
        <v>2</v>
      </c>
      <c r="K954" t="s">
        <v>49</v>
      </c>
      <c r="L954">
        <v>1</v>
      </c>
      <c r="M954">
        <v>4</v>
      </c>
      <c r="N954" t="s">
        <v>39</v>
      </c>
      <c r="O954">
        <v>58</v>
      </c>
      <c r="P954">
        <v>1</v>
      </c>
      <c r="Q954">
        <v>5</v>
      </c>
      <c r="R954" t="s">
        <v>47</v>
      </c>
      <c r="S954">
        <v>3</v>
      </c>
      <c r="T954" t="str" cm="1">
        <f t="array" ref="T954">_xlfn.IFS(S954&lt;=2,"Poor",S954&lt;=3,"Fair",S954&gt;=4,"Good")</f>
        <v>Fair</v>
      </c>
      <c r="U954" t="s">
        <v>48</v>
      </c>
      <c r="V954" s="1">
        <v>19187</v>
      </c>
      <c r="W954" t="str" cm="1">
        <f t="array" ref="W954">_xlfn.IFS(V954&lt;=5000,"Low Salary",V954&lt;=12000,"Good Salary",V954&gt;12000,"High Salary")</f>
        <v>High Salary</v>
      </c>
      <c r="X954">
        <v>6992</v>
      </c>
      <c r="Y954">
        <v>4</v>
      </c>
      <c r="Z954" t="s">
        <v>42</v>
      </c>
      <c r="AA954" t="s">
        <v>35</v>
      </c>
      <c r="AB954">
        <v>14</v>
      </c>
      <c r="AC954">
        <v>3</v>
      </c>
      <c r="AD954" t="str">
        <f t="shared" si="29"/>
        <v>Low Performance</v>
      </c>
      <c r="AE954">
        <v>4</v>
      </c>
      <c r="AF954">
        <v>80</v>
      </c>
      <c r="AG954">
        <v>1</v>
      </c>
      <c r="AH954">
        <v>23</v>
      </c>
      <c r="AI954">
        <v>5</v>
      </c>
      <c r="AJ954">
        <v>3</v>
      </c>
      <c r="AK954" t="str" cm="1">
        <f t="array" ref="AK954">_xlfn.IFS(AJ954&lt;=2,"Poor",AJ954&lt;=3,"Fair",AJ954&gt;3,"Good")</f>
        <v>Fair</v>
      </c>
      <c r="AL954">
        <v>19</v>
      </c>
      <c r="AM954">
        <v>9</v>
      </c>
      <c r="AN954">
        <v>9</v>
      </c>
      <c r="AO954">
        <v>11</v>
      </c>
    </row>
    <row r="955" spans="1:41" x14ac:dyDescent="0.2">
      <c r="A955">
        <v>1074172</v>
      </c>
      <c r="B955">
        <v>56</v>
      </c>
      <c r="C955" t="str" cm="1">
        <f t="array" ref="C955">_xlfn.IFS(B955&lt;=25,"15-25",B955&lt;=35,"26-35",B955&lt;=45,"36-45",B955&lt;=55,"46-55",B955&lt;=65,"56-65")</f>
        <v>56-65</v>
      </c>
      <c r="D955" t="s">
        <v>35</v>
      </c>
      <c r="E955" t="str">
        <f t="shared" si="28"/>
        <v>Current Employee</v>
      </c>
      <c r="F955" t="s">
        <v>36</v>
      </c>
      <c r="G955">
        <v>206</v>
      </c>
      <c r="H955" t="s">
        <v>54</v>
      </c>
      <c r="I955">
        <v>8</v>
      </c>
      <c r="J955">
        <v>4</v>
      </c>
      <c r="K955" t="s">
        <v>38</v>
      </c>
      <c r="L955">
        <v>1</v>
      </c>
      <c r="M955">
        <v>4</v>
      </c>
      <c r="N955" t="s">
        <v>46</v>
      </c>
      <c r="O955">
        <v>99</v>
      </c>
      <c r="P955">
        <v>3</v>
      </c>
      <c r="Q955">
        <v>5</v>
      </c>
      <c r="R955" t="s">
        <v>53</v>
      </c>
      <c r="S955">
        <v>2</v>
      </c>
      <c r="T955" t="str" cm="1">
        <f t="array" ref="T955">_xlfn.IFS(S955&lt;=2,"Poor",S955&lt;=3,"Fair",S955&gt;=4,"Good")</f>
        <v>Poor</v>
      </c>
      <c r="U955" t="s">
        <v>41</v>
      </c>
      <c r="V955" s="1">
        <v>19717</v>
      </c>
      <c r="W955" t="str" cm="1">
        <f t="array" ref="W955">_xlfn.IFS(V955&lt;=5000,"Low Salary",V955&lt;=12000,"Good Salary",V955&gt;12000,"High Salary")</f>
        <v>High Salary</v>
      </c>
      <c r="X955">
        <v>4022</v>
      </c>
      <c r="Y955">
        <v>6</v>
      </c>
      <c r="Z955" t="s">
        <v>42</v>
      </c>
      <c r="AA955" t="s">
        <v>35</v>
      </c>
      <c r="AB955">
        <v>14</v>
      </c>
      <c r="AC955">
        <v>3</v>
      </c>
      <c r="AD955" t="str">
        <f t="shared" si="29"/>
        <v>Low Performance</v>
      </c>
      <c r="AE955">
        <v>1</v>
      </c>
      <c r="AF955">
        <v>80</v>
      </c>
      <c r="AG955">
        <v>0</v>
      </c>
      <c r="AH955">
        <v>36</v>
      </c>
      <c r="AI955">
        <v>4</v>
      </c>
      <c r="AJ955">
        <v>3</v>
      </c>
      <c r="AK955" t="str" cm="1">
        <f t="array" ref="AK955">_xlfn.IFS(AJ955&lt;=2,"Poor",AJ955&lt;=3,"Fair",AJ955&gt;3,"Good")</f>
        <v>Fair</v>
      </c>
      <c r="AL955">
        <v>7</v>
      </c>
      <c r="AM955">
        <v>3</v>
      </c>
      <c r="AN955">
        <v>7</v>
      </c>
      <c r="AO955">
        <v>7</v>
      </c>
    </row>
    <row r="956" spans="1:41" x14ac:dyDescent="0.2">
      <c r="A956">
        <v>1415953</v>
      </c>
      <c r="B956">
        <v>40</v>
      </c>
      <c r="C956" t="str" cm="1">
        <f t="array" ref="C956">_xlfn.IFS(B956&lt;=25,"15-25",B956&lt;=35,"26-35",B956&lt;=45,"36-45",B956&lt;=55,"46-55",B956&lt;=65,"56-65")</f>
        <v>36-45</v>
      </c>
      <c r="D956" t="s">
        <v>35</v>
      </c>
      <c r="E956" t="str">
        <f t="shared" si="28"/>
        <v>Current Employee</v>
      </c>
      <c r="F956" t="s">
        <v>52</v>
      </c>
      <c r="G956">
        <v>458</v>
      </c>
      <c r="H956" t="s">
        <v>45</v>
      </c>
      <c r="I956">
        <v>16</v>
      </c>
      <c r="J956">
        <v>2</v>
      </c>
      <c r="K956" t="s">
        <v>38</v>
      </c>
      <c r="L956">
        <v>1</v>
      </c>
      <c r="M956">
        <v>3</v>
      </c>
      <c r="N956" t="s">
        <v>46</v>
      </c>
      <c r="O956">
        <v>74</v>
      </c>
      <c r="P956">
        <v>3</v>
      </c>
      <c r="Q956">
        <v>1</v>
      </c>
      <c r="R956" t="s">
        <v>47</v>
      </c>
      <c r="S956">
        <v>3</v>
      </c>
      <c r="T956" t="str" cm="1">
        <f t="array" ref="T956">_xlfn.IFS(S956&lt;=2,"Poor",S956&lt;=3,"Fair",S956&gt;=4,"Good")</f>
        <v>Fair</v>
      </c>
      <c r="U956" t="s">
        <v>50</v>
      </c>
      <c r="V956" s="1">
        <v>3544</v>
      </c>
      <c r="W956" t="str" cm="1">
        <f t="array" ref="W956">_xlfn.IFS(V956&lt;=5000,"Low Salary",V956&lt;=12000,"Good Salary",V956&gt;12000,"High Salary")</f>
        <v>Low Salary</v>
      </c>
      <c r="X956">
        <v>8532</v>
      </c>
      <c r="Y956">
        <v>9</v>
      </c>
      <c r="Z956" t="s">
        <v>42</v>
      </c>
      <c r="AA956" t="s">
        <v>35</v>
      </c>
      <c r="AB956">
        <v>16</v>
      </c>
      <c r="AC956">
        <v>3</v>
      </c>
      <c r="AD956" t="str">
        <f t="shared" si="29"/>
        <v>Low Performance</v>
      </c>
      <c r="AE956">
        <v>2</v>
      </c>
      <c r="AF956">
        <v>80</v>
      </c>
      <c r="AG956">
        <v>1</v>
      </c>
      <c r="AH956">
        <v>6</v>
      </c>
      <c r="AI956">
        <v>0</v>
      </c>
      <c r="AJ956">
        <v>3</v>
      </c>
      <c r="AK956" t="str" cm="1">
        <f t="array" ref="AK956">_xlfn.IFS(AJ956&lt;=2,"Poor",AJ956&lt;=3,"Fair",AJ956&gt;3,"Good")</f>
        <v>Fair</v>
      </c>
      <c r="AL956">
        <v>4</v>
      </c>
      <c r="AM956">
        <v>2</v>
      </c>
      <c r="AN956">
        <v>0</v>
      </c>
      <c r="AO956">
        <v>0</v>
      </c>
    </row>
    <row r="957" spans="1:41" x14ac:dyDescent="0.2">
      <c r="A957">
        <v>1492244</v>
      </c>
      <c r="B957">
        <v>34</v>
      </c>
      <c r="C957" t="str" cm="1">
        <f t="array" ref="C957">_xlfn.IFS(B957&lt;=25,"15-25",B957&lt;=35,"26-35",B957&lt;=45,"36-45",B957&lt;=55,"46-55",B957&lt;=65,"56-65")</f>
        <v>26-35</v>
      </c>
      <c r="D957" t="s">
        <v>35</v>
      </c>
      <c r="E957" t="str">
        <f t="shared" si="28"/>
        <v>Current Employee</v>
      </c>
      <c r="F957" t="s">
        <v>36</v>
      </c>
      <c r="G957">
        <v>943</v>
      </c>
      <c r="H957" t="s">
        <v>45</v>
      </c>
      <c r="I957">
        <v>9</v>
      </c>
      <c r="J957">
        <v>3</v>
      </c>
      <c r="K957" t="s">
        <v>38</v>
      </c>
      <c r="L957">
        <v>1</v>
      </c>
      <c r="M957">
        <v>4</v>
      </c>
      <c r="N957" t="s">
        <v>46</v>
      </c>
      <c r="O957">
        <v>86</v>
      </c>
      <c r="P957">
        <v>3</v>
      </c>
      <c r="Q957">
        <v>3</v>
      </c>
      <c r="R957" t="s">
        <v>40</v>
      </c>
      <c r="S957">
        <v>4</v>
      </c>
      <c r="T957" t="str" cm="1">
        <f t="array" ref="T957">_xlfn.IFS(S957&lt;=2,"Poor",S957&lt;=3,"Fair",S957&gt;=4,"Good")</f>
        <v>Good</v>
      </c>
      <c r="U957" t="s">
        <v>50</v>
      </c>
      <c r="V957" s="1">
        <v>8500</v>
      </c>
      <c r="W957" t="str" cm="1">
        <f t="array" ref="W957">_xlfn.IFS(V957&lt;=5000,"Low Salary",V957&lt;=12000,"Good Salary",V957&gt;12000,"High Salary")</f>
        <v>Good Salary</v>
      </c>
      <c r="X957">
        <v>5494</v>
      </c>
      <c r="Y957">
        <v>0</v>
      </c>
      <c r="Z957" t="s">
        <v>42</v>
      </c>
      <c r="AA957" t="s">
        <v>35</v>
      </c>
      <c r="AB957">
        <v>11</v>
      </c>
      <c r="AC957">
        <v>3</v>
      </c>
      <c r="AD957" t="str">
        <f t="shared" si="29"/>
        <v>Low Performance</v>
      </c>
      <c r="AE957">
        <v>4</v>
      </c>
      <c r="AF957">
        <v>80</v>
      </c>
      <c r="AG957">
        <v>1</v>
      </c>
      <c r="AH957">
        <v>10</v>
      </c>
      <c r="AI957">
        <v>0</v>
      </c>
      <c r="AJ957">
        <v>2</v>
      </c>
      <c r="AK957" t="str" cm="1">
        <f t="array" ref="AK957">_xlfn.IFS(AJ957&lt;=2,"Poor",AJ957&lt;=3,"Fair",AJ957&gt;3,"Good")</f>
        <v>Poor</v>
      </c>
      <c r="AL957">
        <v>9</v>
      </c>
      <c r="AM957">
        <v>7</v>
      </c>
      <c r="AN957">
        <v>1</v>
      </c>
      <c r="AO957">
        <v>6</v>
      </c>
    </row>
    <row r="958" spans="1:41" x14ac:dyDescent="0.2">
      <c r="A958">
        <v>1510065</v>
      </c>
      <c r="B958">
        <v>40</v>
      </c>
      <c r="C958" t="str" cm="1">
        <f t="array" ref="C958">_xlfn.IFS(B958&lt;=25,"15-25",B958&lt;=35,"26-35",B958&lt;=45,"36-45",B958&lt;=55,"46-55",B958&lt;=65,"56-65")</f>
        <v>36-45</v>
      </c>
      <c r="D958" t="s">
        <v>35</v>
      </c>
      <c r="E958" t="str">
        <f t="shared" si="28"/>
        <v>Current Employee</v>
      </c>
      <c r="F958" t="s">
        <v>36</v>
      </c>
      <c r="G958">
        <v>523</v>
      </c>
      <c r="H958" t="s">
        <v>45</v>
      </c>
      <c r="I958">
        <v>2</v>
      </c>
      <c r="J958">
        <v>3</v>
      </c>
      <c r="K958" t="s">
        <v>38</v>
      </c>
      <c r="L958">
        <v>1</v>
      </c>
      <c r="M958">
        <v>3</v>
      </c>
      <c r="N958" t="s">
        <v>46</v>
      </c>
      <c r="O958">
        <v>98</v>
      </c>
      <c r="P958">
        <v>3</v>
      </c>
      <c r="Q958">
        <v>2</v>
      </c>
      <c r="R958" t="s">
        <v>47</v>
      </c>
      <c r="S958">
        <v>4</v>
      </c>
      <c r="T958" t="str" cm="1">
        <f t="array" ref="T958">_xlfn.IFS(S958&lt;=2,"Poor",S958&lt;=3,"Fair",S958&gt;=4,"Good")</f>
        <v>Good</v>
      </c>
      <c r="U958" t="s">
        <v>41</v>
      </c>
      <c r="V958" s="1">
        <v>4661</v>
      </c>
      <c r="W958" t="str" cm="1">
        <f t="array" ref="W958">_xlfn.IFS(V958&lt;=5000,"Low Salary",V958&lt;=12000,"Good Salary",V958&gt;12000,"High Salary")</f>
        <v>Low Salary</v>
      </c>
      <c r="X958">
        <v>22455</v>
      </c>
      <c r="Y958">
        <v>1</v>
      </c>
      <c r="Z958" t="s">
        <v>42</v>
      </c>
      <c r="AA958" t="s">
        <v>35</v>
      </c>
      <c r="AB958">
        <v>13</v>
      </c>
      <c r="AC958">
        <v>3</v>
      </c>
      <c r="AD958" t="str">
        <f t="shared" si="29"/>
        <v>Low Performance</v>
      </c>
      <c r="AE958">
        <v>3</v>
      </c>
      <c r="AF958">
        <v>80</v>
      </c>
      <c r="AG958">
        <v>0</v>
      </c>
      <c r="AH958">
        <v>9</v>
      </c>
      <c r="AI958">
        <v>4</v>
      </c>
      <c r="AJ958">
        <v>3</v>
      </c>
      <c r="AK958" t="str" cm="1">
        <f t="array" ref="AK958">_xlfn.IFS(AJ958&lt;=2,"Poor",AJ958&lt;=3,"Fair",AJ958&gt;3,"Good")</f>
        <v>Fair</v>
      </c>
      <c r="AL958">
        <v>9</v>
      </c>
      <c r="AM958">
        <v>8</v>
      </c>
      <c r="AN958">
        <v>8</v>
      </c>
      <c r="AO958">
        <v>8</v>
      </c>
    </row>
    <row r="959" spans="1:41" x14ac:dyDescent="0.2">
      <c r="A959">
        <v>1338493</v>
      </c>
      <c r="B959">
        <v>41</v>
      </c>
      <c r="C959" t="str" cm="1">
        <f t="array" ref="C959">_xlfn.IFS(B959&lt;=25,"15-25",B959&lt;=35,"26-35",B959&lt;=45,"36-45",B959&lt;=55,"46-55",B959&lt;=65,"56-65")</f>
        <v>36-45</v>
      </c>
      <c r="D959" t="s">
        <v>35</v>
      </c>
      <c r="E959" t="str">
        <f t="shared" si="28"/>
        <v>Current Employee</v>
      </c>
      <c r="F959" t="s">
        <v>44</v>
      </c>
      <c r="G959">
        <v>1018</v>
      </c>
      <c r="H959" t="s">
        <v>37</v>
      </c>
      <c r="I959">
        <v>1</v>
      </c>
      <c r="J959">
        <v>3</v>
      </c>
      <c r="K959" t="s">
        <v>55</v>
      </c>
      <c r="L959">
        <v>1</v>
      </c>
      <c r="M959">
        <v>3</v>
      </c>
      <c r="N959" t="s">
        <v>39</v>
      </c>
      <c r="O959">
        <v>66</v>
      </c>
      <c r="P959">
        <v>3</v>
      </c>
      <c r="Q959">
        <v>2</v>
      </c>
      <c r="R959" t="s">
        <v>40</v>
      </c>
      <c r="S959">
        <v>1</v>
      </c>
      <c r="T959" t="str" cm="1">
        <f t="array" ref="T959">_xlfn.IFS(S959&lt;=2,"Poor",S959&lt;=3,"Fair",S959&gt;=4,"Good")</f>
        <v>Poor</v>
      </c>
      <c r="U959" t="s">
        <v>50</v>
      </c>
      <c r="V959" s="1">
        <v>4103</v>
      </c>
      <c r="W959" t="str" cm="1">
        <f t="array" ref="W959">_xlfn.IFS(V959&lt;=5000,"Low Salary",V959&lt;=12000,"Good Salary",V959&gt;12000,"High Salary")</f>
        <v>Low Salary</v>
      </c>
      <c r="X959">
        <v>4297</v>
      </c>
      <c r="Y959">
        <v>0</v>
      </c>
      <c r="Z959" t="s">
        <v>42</v>
      </c>
      <c r="AA959" t="s">
        <v>35</v>
      </c>
      <c r="AB959">
        <v>17</v>
      </c>
      <c r="AC959">
        <v>3</v>
      </c>
      <c r="AD959" t="str">
        <f t="shared" si="29"/>
        <v>Low Performance</v>
      </c>
      <c r="AE959">
        <v>4</v>
      </c>
      <c r="AF959">
        <v>80</v>
      </c>
      <c r="AG959">
        <v>1</v>
      </c>
      <c r="AH959">
        <v>10</v>
      </c>
      <c r="AI959">
        <v>2</v>
      </c>
      <c r="AJ959">
        <v>3</v>
      </c>
      <c r="AK959" t="str" cm="1">
        <f t="array" ref="AK959">_xlfn.IFS(AJ959&lt;=2,"Poor",AJ959&lt;=3,"Fair",AJ959&gt;3,"Good")</f>
        <v>Fair</v>
      </c>
      <c r="AL959">
        <v>9</v>
      </c>
      <c r="AM959">
        <v>3</v>
      </c>
      <c r="AN959">
        <v>1</v>
      </c>
      <c r="AO959">
        <v>7</v>
      </c>
    </row>
    <row r="960" spans="1:41" x14ac:dyDescent="0.2">
      <c r="A960">
        <v>1451242</v>
      </c>
      <c r="B960">
        <v>35</v>
      </c>
      <c r="C960" t="str" cm="1">
        <f t="array" ref="C960">_xlfn.IFS(B960&lt;=25,"15-25",B960&lt;=35,"26-35",B960&lt;=45,"36-45",B960&lt;=55,"46-55",B960&lt;=65,"56-65")</f>
        <v>26-35</v>
      </c>
      <c r="D960" t="s">
        <v>35</v>
      </c>
      <c r="E960" t="str">
        <f t="shared" si="28"/>
        <v>Current Employee</v>
      </c>
      <c r="F960" t="s">
        <v>44</v>
      </c>
      <c r="G960">
        <v>482</v>
      </c>
      <c r="H960" t="s">
        <v>45</v>
      </c>
      <c r="I960">
        <v>4</v>
      </c>
      <c r="J960">
        <v>4</v>
      </c>
      <c r="K960" t="s">
        <v>38</v>
      </c>
      <c r="L960">
        <v>1</v>
      </c>
      <c r="M960">
        <v>3</v>
      </c>
      <c r="N960" t="s">
        <v>46</v>
      </c>
      <c r="O960">
        <v>87</v>
      </c>
      <c r="P960">
        <v>3</v>
      </c>
      <c r="Q960">
        <v>2</v>
      </c>
      <c r="R960" t="s">
        <v>47</v>
      </c>
      <c r="S960">
        <v>3</v>
      </c>
      <c r="T960" t="str" cm="1">
        <f t="array" ref="T960">_xlfn.IFS(S960&lt;=2,"Poor",S960&lt;=3,"Fair",S960&gt;=4,"Good")</f>
        <v>Fair</v>
      </c>
      <c r="U960" t="s">
        <v>41</v>
      </c>
      <c r="V960" s="1">
        <v>4249</v>
      </c>
      <c r="W960" t="str" cm="1">
        <f t="array" ref="W960">_xlfn.IFS(V960&lt;=5000,"Low Salary",V960&lt;=12000,"Good Salary",V960&gt;12000,"High Salary")</f>
        <v>Low Salary</v>
      </c>
      <c r="X960">
        <v>2690</v>
      </c>
      <c r="Y960">
        <v>1</v>
      </c>
      <c r="Z960" t="s">
        <v>42</v>
      </c>
      <c r="AA960" t="s">
        <v>43</v>
      </c>
      <c r="AB960">
        <v>11</v>
      </c>
      <c r="AC960">
        <v>3</v>
      </c>
      <c r="AD960" t="str">
        <f t="shared" si="29"/>
        <v>Low Performance</v>
      </c>
      <c r="AE960">
        <v>2</v>
      </c>
      <c r="AF960">
        <v>80</v>
      </c>
      <c r="AG960">
        <v>0</v>
      </c>
      <c r="AH960">
        <v>9</v>
      </c>
      <c r="AI960">
        <v>3</v>
      </c>
      <c r="AJ960">
        <v>3</v>
      </c>
      <c r="AK960" t="str" cm="1">
        <f t="array" ref="AK960">_xlfn.IFS(AJ960&lt;=2,"Poor",AJ960&lt;=3,"Fair",AJ960&gt;3,"Good")</f>
        <v>Fair</v>
      </c>
      <c r="AL960">
        <v>9</v>
      </c>
      <c r="AM960">
        <v>6</v>
      </c>
      <c r="AN960">
        <v>1</v>
      </c>
      <c r="AO960">
        <v>1</v>
      </c>
    </row>
    <row r="961" spans="1:41" x14ac:dyDescent="0.2">
      <c r="A961">
        <v>1265137</v>
      </c>
      <c r="B961">
        <v>51</v>
      </c>
      <c r="C961" t="str" cm="1">
        <f t="array" ref="C961">_xlfn.IFS(B961&lt;=25,"15-25",B961&lt;=35,"26-35",B961&lt;=45,"36-45",B961&lt;=55,"46-55",B961&lt;=65,"56-65")</f>
        <v>46-55</v>
      </c>
      <c r="D961" t="s">
        <v>35</v>
      </c>
      <c r="E961" t="str">
        <f t="shared" si="28"/>
        <v>Current Employee</v>
      </c>
      <c r="F961" t="s">
        <v>36</v>
      </c>
      <c r="G961">
        <v>770</v>
      </c>
      <c r="H961" t="s">
        <v>54</v>
      </c>
      <c r="I961">
        <v>5</v>
      </c>
      <c r="J961">
        <v>3</v>
      </c>
      <c r="K961" t="s">
        <v>38</v>
      </c>
      <c r="L961">
        <v>1</v>
      </c>
      <c r="M961">
        <v>3</v>
      </c>
      <c r="N961" t="s">
        <v>46</v>
      </c>
      <c r="O961">
        <v>84</v>
      </c>
      <c r="P961">
        <v>3</v>
      </c>
      <c r="Q961">
        <v>4</v>
      </c>
      <c r="R961" t="s">
        <v>53</v>
      </c>
      <c r="S961">
        <v>2</v>
      </c>
      <c r="T961" t="str" cm="1">
        <f t="array" ref="T961">_xlfn.IFS(S961&lt;=2,"Poor",S961&lt;=3,"Fair",S961&gt;=4,"Good")</f>
        <v>Poor</v>
      </c>
      <c r="U961" t="s">
        <v>50</v>
      </c>
      <c r="V961" s="1">
        <v>14026</v>
      </c>
      <c r="W961" t="str" cm="1">
        <f t="array" ref="W961">_xlfn.IFS(V961&lt;=5000,"Low Salary",V961&lt;=12000,"Good Salary",V961&gt;12000,"High Salary")</f>
        <v>High Salary</v>
      </c>
      <c r="X961">
        <v>17588</v>
      </c>
      <c r="Y961">
        <v>1</v>
      </c>
      <c r="Z961" t="s">
        <v>42</v>
      </c>
      <c r="AA961" t="s">
        <v>43</v>
      </c>
      <c r="AB961">
        <v>11</v>
      </c>
      <c r="AC961">
        <v>3</v>
      </c>
      <c r="AD961" t="str">
        <f t="shared" si="29"/>
        <v>Low Performance</v>
      </c>
      <c r="AE961">
        <v>2</v>
      </c>
      <c r="AF961">
        <v>80</v>
      </c>
      <c r="AG961">
        <v>1</v>
      </c>
      <c r="AH961">
        <v>33</v>
      </c>
      <c r="AI961">
        <v>2</v>
      </c>
      <c r="AJ961">
        <v>3</v>
      </c>
      <c r="AK961" t="str" cm="1">
        <f t="array" ref="AK961">_xlfn.IFS(AJ961&lt;=2,"Poor",AJ961&lt;=3,"Fair",AJ961&gt;3,"Good")</f>
        <v>Fair</v>
      </c>
      <c r="AL961">
        <v>33</v>
      </c>
      <c r="AM961">
        <v>9</v>
      </c>
      <c r="AN961">
        <v>0</v>
      </c>
      <c r="AO961">
        <v>10</v>
      </c>
    </row>
    <row r="962" spans="1:41" x14ac:dyDescent="0.2">
      <c r="A962">
        <v>1465164</v>
      </c>
      <c r="B962">
        <v>38</v>
      </c>
      <c r="C962" t="str" cm="1">
        <f t="array" ref="C962">_xlfn.IFS(B962&lt;=25,"15-25",B962&lt;=35,"26-35",B962&lt;=45,"36-45",B962&lt;=55,"46-55",B962&lt;=65,"56-65")</f>
        <v>36-45</v>
      </c>
      <c r="D962" t="s">
        <v>35</v>
      </c>
      <c r="E962" t="str">
        <f t="shared" si="28"/>
        <v>Current Employee</v>
      </c>
      <c r="F962" t="s">
        <v>36</v>
      </c>
      <c r="G962">
        <v>1009</v>
      </c>
      <c r="H962" t="s">
        <v>37</v>
      </c>
      <c r="I962">
        <v>2</v>
      </c>
      <c r="J962">
        <v>2</v>
      </c>
      <c r="K962" t="s">
        <v>38</v>
      </c>
      <c r="L962">
        <v>1</v>
      </c>
      <c r="M962">
        <v>2</v>
      </c>
      <c r="N962" t="s">
        <v>39</v>
      </c>
      <c r="O962">
        <v>31</v>
      </c>
      <c r="P962">
        <v>3</v>
      </c>
      <c r="Q962">
        <v>2</v>
      </c>
      <c r="R962" t="s">
        <v>40</v>
      </c>
      <c r="S962">
        <v>1</v>
      </c>
      <c r="T962" t="str" cm="1">
        <f t="array" ref="T962">_xlfn.IFS(S962&lt;=2,"Poor",S962&lt;=3,"Fair",S962&gt;=4,"Good")</f>
        <v>Poor</v>
      </c>
      <c r="U962" t="s">
        <v>50</v>
      </c>
      <c r="V962" s="1">
        <v>6893</v>
      </c>
      <c r="W962" t="str" cm="1">
        <f t="array" ref="W962">_xlfn.IFS(V962&lt;=5000,"Low Salary",V962&lt;=12000,"Good Salary",V962&gt;12000,"High Salary")</f>
        <v>Good Salary</v>
      </c>
      <c r="X962">
        <v>19461</v>
      </c>
      <c r="Y962">
        <v>3</v>
      </c>
      <c r="Z962" t="s">
        <v>42</v>
      </c>
      <c r="AA962" t="s">
        <v>35</v>
      </c>
      <c r="AB962">
        <v>15</v>
      </c>
      <c r="AC962">
        <v>3</v>
      </c>
      <c r="AD962" t="str">
        <f t="shared" si="29"/>
        <v>Low Performance</v>
      </c>
      <c r="AE962">
        <v>4</v>
      </c>
      <c r="AF962">
        <v>80</v>
      </c>
      <c r="AG962">
        <v>1</v>
      </c>
      <c r="AH962">
        <v>11</v>
      </c>
      <c r="AI962">
        <v>3</v>
      </c>
      <c r="AJ962">
        <v>3</v>
      </c>
      <c r="AK962" t="str" cm="1">
        <f t="array" ref="AK962">_xlfn.IFS(AJ962&lt;=2,"Poor",AJ962&lt;=3,"Fair",AJ962&gt;3,"Good")</f>
        <v>Fair</v>
      </c>
      <c r="AL962">
        <v>7</v>
      </c>
      <c r="AM962">
        <v>7</v>
      </c>
      <c r="AN962">
        <v>1</v>
      </c>
      <c r="AO962">
        <v>7</v>
      </c>
    </row>
    <row r="963" spans="1:41" x14ac:dyDescent="0.2">
      <c r="A963">
        <v>1420569</v>
      </c>
      <c r="B963">
        <v>34</v>
      </c>
      <c r="C963" t="str" cm="1">
        <f t="array" ref="C963">_xlfn.IFS(B963&lt;=25,"15-25",B963&lt;=35,"26-35",B963&lt;=45,"36-45",B963&lt;=55,"46-55",B963&lt;=65,"56-65")</f>
        <v>26-35</v>
      </c>
      <c r="D963" t="s">
        <v>35</v>
      </c>
      <c r="E963" t="str">
        <f t="shared" ref="E963:E1026" si="30">IF(D963="No","Current Employee","Former Employee")</f>
        <v>Current Employee</v>
      </c>
      <c r="F963" t="s">
        <v>36</v>
      </c>
      <c r="G963">
        <v>507</v>
      </c>
      <c r="H963" t="s">
        <v>37</v>
      </c>
      <c r="I963">
        <v>15</v>
      </c>
      <c r="J963">
        <v>2</v>
      </c>
      <c r="K963" t="s">
        <v>49</v>
      </c>
      <c r="L963">
        <v>1</v>
      </c>
      <c r="M963">
        <v>3</v>
      </c>
      <c r="N963" t="s">
        <v>39</v>
      </c>
      <c r="O963">
        <v>66</v>
      </c>
      <c r="P963">
        <v>3</v>
      </c>
      <c r="Q963">
        <v>2</v>
      </c>
      <c r="R963" t="s">
        <v>40</v>
      </c>
      <c r="S963">
        <v>1</v>
      </c>
      <c r="T963" t="str" cm="1">
        <f t="array" ref="T963">_xlfn.IFS(S963&lt;=2,"Poor",S963&lt;=3,"Fair",S963&gt;=4,"Good")</f>
        <v>Poor</v>
      </c>
      <c r="U963" t="s">
        <v>41</v>
      </c>
      <c r="V963" s="1">
        <v>6125</v>
      </c>
      <c r="W963" t="str" cm="1">
        <f t="array" ref="W963">_xlfn.IFS(V963&lt;=5000,"Low Salary",V963&lt;=12000,"Good Salary",V963&gt;12000,"High Salary")</f>
        <v>Good Salary</v>
      </c>
      <c r="X963">
        <v>23553</v>
      </c>
      <c r="Y963">
        <v>1</v>
      </c>
      <c r="Z963" t="s">
        <v>42</v>
      </c>
      <c r="AA963" t="s">
        <v>35</v>
      </c>
      <c r="AB963">
        <v>12</v>
      </c>
      <c r="AC963">
        <v>3</v>
      </c>
      <c r="AD963" t="str">
        <f t="shared" ref="AD963:AD1026" si="31">IF(AC963&lt;=3,"Low Performance","High Performance")</f>
        <v>Low Performance</v>
      </c>
      <c r="AE963">
        <v>4</v>
      </c>
      <c r="AF963">
        <v>80</v>
      </c>
      <c r="AG963">
        <v>0</v>
      </c>
      <c r="AH963">
        <v>10</v>
      </c>
      <c r="AI963">
        <v>6</v>
      </c>
      <c r="AJ963">
        <v>4</v>
      </c>
      <c r="AK963" t="str" cm="1">
        <f t="array" ref="AK963">_xlfn.IFS(AJ963&lt;=2,"Poor",AJ963&lt;=3,"Fair",AJ963&gt;3,"Good")</f>
        <v>Good</v>
      </c>
      <c r="AL963">
        <v>10</v>
      </c>
      <c r="AM963">
        <v>8</v>
      </c>
      <c r="AN963">
        <v>9</v>
      </c>
      <c r="AO963">
        <v>6</v>
      </c>
    </row>
    <row r="964" spans="1:41" x14ac:dyDescent="0.2">
      <c r="A964">
        <v>1796375</v>
      </c>
      <c r="B964">
        <v>25</v>
      </c>
      <c r="C964" t="str" cm="1">
        <f t="array" ref="C964">_xlfn.IFS(B964&lt;=25,"15-25",B964&lt;=35,"26-35",B964&lt;=45,"36-45",B964&lt;=55,"46-55",B964&lt;=65,"56-65")</f>
        <v>15-25</v>
      </c>
      <c r="D964" t="s">
        <v>35</v>
      </c>
      <c r="E964" t="str">
        <f t="shared" si="30"/>
        <v>Current Employee</v>
      </c>
      <c r="F964" t="s">
        <v>36</v>
      </c>
      <c r="G964">
        <v>882</v>
      </c>
      <c r="H964" t="s">
        <v>45</v>
      </c>
      <c r="I964">
        <v>19</v>
      </c>
      <c r="J964">
        <v>1</v>
      </c>
      <c r="K964" t="s">
        <v>49</v>
      </c>
      <c r="L964">
        <v>1</v>
      </c>
      <c r="M964">
        <v>4</v>
      </c>
      <c r="N964" t="s">
        <v>46</v>
      </c>
      <c r="O964">
        <v>67</v>
      </c>
      <c r="P964">
        <v>3</v>
      </c>
      <c r="Q964">
        <v>1</v>
      </c>
      <c r="R964" t="s">
        <v>40</v>
      </c>
      <c r="S964">
        <v>4</v>
      </c>
      <c r="T964" t="str" cm="1">
        <f t="array" ref="T964">_xlfn.IFS(S964&lt;=2,"Poor",S964&lt;=3,"Fair",S964&gt;=4,"Good")</f>
        <v>Good</v>
      </c>
      <c r="U964" t="s">
        <v>48</v>
      </c>
      <c r="V964" s="1">
        <v>3669</v>
      </c>
      <c r="W964" t="str" cm="1">
        <f t="array" ref="W964">_xlfn.IFS(V964&lt;=5000,"Low Salary",V964&lt;=12000,"Good Salary",V964&gt;12000,"High Salary")</f>
        <v>Low Salary</v>
      </c>
      <c r="X964">
        <v>9075</v>
      </c>
      <c r="Y964">
        <v>3</v>
      </c>
      <c r="Z964" t="s">
        <v>42</v>
      </c>
      <c r="AA964" t="s">
        <v>35</v>
      </c>
      <c r="AB964">
        <v>11</v>
      </c>
      <c r="AC964">
        <v>3</v>
      </c>
      <c r="AD964" t="str">
        <f t="shared" si="31"/>
        <v>Low Performance</v>
      </c>
      <c r="AE964">
        <v>3</v>
      </c>
      <c r="AF964">
        <v>80</v>
      </c>
      <c r="AG964">
        <v>3</v>
      </c>
      <c r="AH964">
        <v>7</v>
      </c>
      <c r="AI964">
        <v>6</v>
      </c>
      <c r="AJ964">
        <v>2</v>
      </c>
      <c r="AK964" t="str" cm="1">
        <f t="array" ref="AK964">_xlfn.IFS(AJ964&lt;=2,"Poor",AJ964&lt;=3,"Fair",AJ964&gt;3,"Good")</f>
        <v>Poor</v>
      </c>
      <c r="AL964">
        <v>3</v>
      </c>
      <c r="AM964">
        <v>2</v>
      </c>
      <c r="AN964">
        <v>1</v>
      </c>
      <c r="AO964">
        <v>2</v>
      </c>
    </row>
    <row r="965" spans="1:41" x14ac:dyDescent="0.2">
      <c r="A965">
        <v>1536328</v>
      </c>
      <c r="B965">
        <v>58</v>
      </c>
      <c r="C965" t="str" cm="1">
        <f t="array" ref="C965">_xlfn.IFS(B965&lt;=25,"15-25",B965&lt;=35,"26-35",B965&lt;=45,"36-45",B965&lt;=55,"46-55",B965&lt;=65,"56-65")</f>
        <v>56-65</v>
      </c>
      <c r="D965" t="s">
        <v>43</v>
      </c>
      <c r="E965" t="str">
        <f t="shared" si="30"/>
        <v>Former Employee</v>
      </c>
      <c r="F965" t="s">
        <v>36</v>
      </c>
      <c r="G965">
        <v>601</v>
      </c>
      <c r="H965" t="s">
        <v>37</v>
      </c>
      <c r="I965">
        <v>7</v>
      </c>
      <c r="J965">
        <v>4</v>
      </c>
      <c r="K965" t="s">
        <v>49</v>
      </c>
      <c r="L965">
        <v>1</v>
      </c>
      <c r="M965">
        <v>3</v>
      </c>
      <c r="N965" t="s">
        <v>39</v>
      </c>
      <c r="O965">
        <v>53</v>
      </c>
      <c r="P965">
        <v>2</v>
      </c>
      <c r="Q965">
        <v>3</v>
      </c>
      <c r="R965" t="s">
        <v>51</v>
      </c>
      <c r="S965">
        <v>1</v>
      </c>
      <c r="T965" t="str" cm="1">
        <f t="array" ref="T965">_xlfn.IFS(S965&lt;=2,"Poor",S965&lt;=3,"Fair",S965&gt;=4,"Good")</f>
        <v>Poor</v>
      </c>
      <c r="U965" t="s">
        <v>48</v>
      </c>
      <c r="V965" s="1">
        <v>10008</v>
      </c>
      <c r="W965" t="str" cm="1">
        <f t="array" ref="W965">_xlfn.IFS(V965&lt;=5000,"Low Salary",V965&lt;=12000,"Good Salary",V965&gt;12000,"High Salary")</f>
        <v>Good Salary</v>
      </c>
      <c r="X965">
        <v>12023</v>
      </c>
      <c r="Y965">
        <v>7</v>
      </c>
      <c r="Z965" t="s">
        <v>42</v>
      </c>
      <c r="AA965" t="s">
        <v>43</v>
      </c>
      <c r="AB965">
        <v>14</v>
      </c>
      <c r="AC965">
        <v>3</v>
      </c>
      <c r="AD965" t="str">
        <f t="shared" si="31"/>
        <v>Low Performance</v>
      </c>
      <c r="AE965">
        <v>4</v>
      </c>
      <c r="AF965">
        <v>80</v>
      </c>
      <c r="AG965">
        <v>0</v>
      </c>
      <c r="AH965">
        <v>31</v>
      </c>
      <c r="AI965">
        <v>0</v>
      </c>
      <c r="AJ965">
        <v>2</v>
      </c>
      <c r="AK965" t="str" cm="1">
        <f t="array" ref="AK965">_xlfn.IFS(AJ965&lt;=2,"Poor",AJ965&lt;=3,"Fair",AJ965&gt;3,"Good")</f>
        <v>Poor</v>
      </c>
      <c r="AL965">
        <v>10</v>
      </c>
      <c r="AM965">
        <v>9</v>
      </c>
      <c r="AN965">
        <v>5</v>
      </c>
      <c r="AO965">
        <v>9</v>
      </c>
    </row>
    <row r="966" spans="1:41" x14ac:dyDescent="0.2">
      <c r="A966">
        <v>1346672</v>
      </c>
      <c r="B966">
        <v>40</v>
      </c>
      <c r="C966" t="str" cm="1">
        <f t="array" ref="C966">_xlfn.IFS(B966&lt;=25,"15-25",B966&lt;=35,"26-35",B966&lt;=45,"36-45",B966&lt;=55,"46-55",B966&lt;=65,"56-65")</f>
        <v>36-45</v>
      </c>
      <c r="D966" t="s">
        <v>35</v>
      </c>
      <c r="E966" t="str">
        <f t="shared" si="30"/>
        <v>Current Employee</v>
      </c>
      <c r="F966" t="s">
        <v>36</v>
      </c>
      <c r="G966">
        <v>329</v>
      </c>
      <c r="H966" t="s">
        <v>45</v>
      </c>
      <c r="I966">
        <v>1</v>
      </c>
      <c r="J966">
        <v>4</v>
      </c>
      <c r="K966" t="s">
        <v>38</v>
      </c>
      <c r="L966">
        <v>1</v>
      </c>
      <c r="M966">
        <v>2</v>
      </c>
      <c r="N966" t="s">
        <v>46</v>
      </c>
      <c r="O966">
        <v>88</v>
      </c>
      <c r="P966">
        <v>3</v>
      </c>
      <c r="Q966">
        <v>1</v>
      </c>
      <c r="R966" t="s">
        <v>40</v>
      </c>
      <c r="S966">
        <v>2</v>
      </c>
      <c r="T966" t="str" cm="1">
        <f t="array" ref="T966">_xlfn.IFS(S966&lt;=2,"Poor",S966&lt;=3,"Fair",S966&gt;=4,"Good")</f>
        <v>Poor</v>
      </c>
      <c r="U966" t="s">
        <v>48</v>
      </c>
      <c r="V966" s="1">
        <v>2387</v>
      </c>
      <c r="W966" t="str" cm="1">
        <f t="array" ref="W966">_xlfn.IFS(V966&lt;=5000,"Low Salary",V966&lt;=12000,"Good Salary",V966&gt;12000,"High Salary")</f>
        <v>Low Salary</v>
      </c>
      <c r="X966">
        <v>6762</v>
      </c>
      <c r="Y966">
        <v>3</v>
      </c>
      <c r="Z966" t="s">
        <v>42</v>
      </c>
      <c r="AA966" t="s">
        <v>35</v>
      </c>
      <c r="AB966">
        <v>22</v>
      </c>
      <c r="AC966">
        <v>4</v>
      </c>
      <c r="AD966" t="str">
        <f t="shared" si="31"/>
        <v>High Performance</v>
      </c>
      <c r="AE966">
        <v>3</v>
      </c>
      <c r="AF966">
        <v>80</v>
      </c>
      <c r="AG966">
        <v>1</v>
      </c>
      <c r="AH966">
        <v>7</v>
      </c>
      <c r="AI966">
        <v>3</v>
      </c>
      <c r="AJ966">
        <v>3</v>
      </c>
      <c r="AK966" t="str" cm="1">
        <f t="array" ref="AK966">_xlfn.IFS(AJ966&lt;=2,"Poor",AJ966&lt;=3,"Fair",AJ966&gt;3,"Good")</f>
        <v>Fair</v>
      </c>
      <c r="AL966">
        <v>4</v>
      </c>
      <c r="AM966">
        <v>2</v>
      </c>
      <c r="AN966">
        <v>0</v>
      </c>
      <c r="AO966">
        <v>3</v>
      </c>
    </row>
    <row r="967" spans="1:41" x14ac:dyDescent="0.2">
      <c r="A967">
        <v>1408258</v>
      </c>
      <c r="B967">
        <v>36</v>
      </c>
      <c r="C967" t="str" cm="1">
        <f t="array" ref="C967">_xlfn.IFS(B967&lt;=25,"15-25",B967&lt;=35,"26-35",B967&lt;=45,"36-45",B967&lt;=55,"46-55",B967&lt;=65,"56-65")</f>
        <v>36-45</v>
      </c>
      <c r="D967" t="s">
        <v>35</v>
      </c>
      <c r="E967" t="str">
        <f t="shared" si="30"/>
        <v>Current Employee</v>
      </c>
      <c r="F967" t="s">
        <v>44</v>
      </c>
      <c r="G967">
        <v>607</v>
      </c>
      <c r="H967" t="s">
        <v>37</v>
      </c>
      <c r="I967">
        <v>7</v>
      </c>
      <c r="J967">
        <v>3</v>
      </c>
      <c r="K967" t="s">
        <v>55</v>
      </c>
      <c r="L967">
        <v>1</v>
      </c>
      <c r="M967">
        <v>1</v>
      </c>
      <c r="N967" t="s">
        <v>39</v>
      </c>
      <c r="O967">
        <v>83</v>
      </c>
      <c r="P967">
        <v>4</v>
      </c>
      <c r="Q967">
        <v>2</v>
      </c>
      <c r="R967" t="s">
        <v>40</v>
      </c>
      <c r="S967">
        <v>1</v>
      </c>
      <c r="T967" t="str" cm="1">
        <f t="array" ref="T967">_xlfn.IFS(S967&lt;=2,"Poor",S967&lt;=3,"Fair",S967&gt;=4,"Good")</f>
        <v>Poor</v>
      </c>
      <c r="U967" t="s">
        <v>48</v>
      </c>
      <c r="V967" s="1">
        <v>4639</v>
      </c>
      <c r="W967" t="str" cm="1">
        <f t="array" ref="W967">_xlfn.IFS(V967&lt;=5000,"Low Salary",V967&lt;=12000,"Good Salary",V967&gt;12000,"High Salary")</f>
        <v>Low Salary</v>
      </c>
      <c r="X967">
        <v>2261</v>
      </c>
      <c r="Y967">
        <v>2</v>
      </c>
      <c r="Z967" t="s">
        <v>42</v>
      </c>
      <c r="AA967" t="s">
        <v>35</v>
      </c>
      <c r="AB967">
        <v>16</v>
      </c>
      <c r="AC967">
        <v>3</v>
      </c>
      <c r="AD967" t="str">
        <f t="shared" si="31"/>
        <v>Low Performance</v>
      </c>
      <c r="AE967">
        <v>4</v>
      </c>
      <c r="AF967">
        <v>80</v>
      </c>
      <c r="AG967">
        <v>1</v>
      </c>
      <c r="AH967">
        <v>17</v>
      </c>
      <c r="AI967">
        <v>2</v>
      </c>
      <c r="AJ967">
        <v>2</v>
      </c>
      <c r="AK967" t="str" cm="1">
        <f t="array" ref="AK967">_xlfn.IFS(AJ967&lt;=2,"Poor",AJ967&lt;=3,"Fair",AJ967&gt;3,"Good")</f>
        <v>Poor</v>
      </c>
      <c r="AL967">
        <v>15</v>
      </c>
      <c r="AM967">
        <v>7</v>
      </c>
      <c r="AN967">
        <v>6</v>
      </c>
      <c r="AO967">
        <v>13</v>
      </c>
    </row>
    <row r="968" spans="1:41" x14ac:dyDescent="0.2">
      <c r="A968">
        <v>1172129</v>
      </c>
      <c r="B968">
        <v>48</v>
      </c>
      <c r="C968" t="str" cm="1">
        <f t="array" ref="C968">_xlfn.IFS(B968&lt;=25,"15-25",B968&lt;=35,"26-35",B968&lt;=45,"36-45",B968&lt;=55,"46-55",B968&lt;=65,"56-65")</f>
        <v>46-55</v>
      </c>
      <c r="D968" t="s">
        <v>35</v>
      </c>
      <c r="E968" t="str">
        <f t="shared" si="30"/>
        <v>Current Employee</v>
      </c>
      <c r="F968" t="s">
        <v>36</v>
      </c>
      <c r="G968">
        <v>855</v>
      </c>
      <c r="H968" t="s">
        <v>54</v>
      </c>
      <c r="I968">
        <v>4</v>
      </c>
      <c r="J968">
        <v>3</v>
      </c>
      <c r="K968" t="s">
        <v>38</v>
      </c>
      <c r="L968">
        <v>1</v>
      </c>
      <c r="M968">
        <v>4</v>
      </c>
      <c r="N968" t="s">
        <v>46</v>
      </c>
      <c r="O968">
        <v>54</v>
      </c>
      <c r="P968">
        <v>3</v>
      </c>
      <c r="Q968">
        <v>3</v>
      </c>
      <c r="R968" t="s">
        <v>51</v>
      </c>
      <c r="S968">
        <v>4</v>
      </c>
      <c r="T968" t="str" cm="1">
        <f t="array" ref="T968">_xlfn.IFS(S968&lt;=2,"Poor",S968&lt;=3,"Fair",S968&gt;=4,"Good")</f>
        <v>Good</v>
      </c>
      <c r="U968" t="s">
        <v>41</v>
      </c>
      <c r="V968" s="1">
        <v>7898</v>
      </c>
      <c r="W968" t="str" cm="1">
        <f t="array" ref="W968">_xlfn.IFS(V968&lt;=5000,"Low Salary",V968&lt;=12000,"Good Salary",V968&gt;12000,"High Salary")</f>
        <v>Good Salary</v>
      </c>
      <c r="X968">
        <v>18706</v>
      </c>
      <c r="Y968">
        <v>1</v>
      </c>
      <c r="Z968" t="s">
        <v>42</v>
      </c>
      <c r="AA968" t="s">
        <v>35</v>
      </c>
      <c r="AB968">
        <v>11</v>
      </c>
      <c r="AC968">
        <v>3</v>
      </c>
      <c r="AD968" t="str">
        <f t="shared" si="31"/>
        <v>Low Performance</v>
      </c>
      <c r="AE968">
        <v>3</v>
      </c>
      <c r="AF968">
        <v>80</v>
      </c>
      <c r="AG968">
        <v>0</v>
      </c>
      <c r="AH968">
        <v>11</v>
      </c>
      <c r="AI968">
        <v>2</v>
      </c>
      <c r="AJ968">
        <v>3</v>
      </c>
      <c r="AK968" t="str" cm="1">
        <f t="array" ref="AK968">_xlfn.IFS(AJ968&lt;=2,"Poor",AJ968&lt;=3,"Fair",AJ968&gt;3,"Good")</f>
        <v>Fair</v>
      </c>
      <c r="AL968">
        <v>10</v>
      </c>
      <c r="AM968">
        <v>9</v>
      </c>
      <c r="AN968">
        <v>0</v>
      </c>
      <c r="AO968">
        <v>8</v>
      </c>
    </row>
    <row r="969" spans="1:41" x14ac:dyDescent="0.2">
      <c r="A969">
        <v>1525335</v>
      </c>
      <c r="B969">
        <v>27</v>
      </c>
      <c r="C969" t="str" cm="1">
        <f t="array" ref="C969">_xlfn.IFS(B969&lt;=25,"15-25",B969&lt;=35,"26-35",B969&lt;=45,"36-45",B969&lt;=55,"46-55",B969&lt;=65,"56-65")</f>
        <v>26-35</v>
      </c>
      <c r="D969" t="s">
        <v>35</v>
      </c>
      <c r="E969" t="str">
        <f t="shared" si="30"/>
        <v>Current Employee</v>
      </c>
      <c r="F969" t="s">
        <v>36</v>
      </c>
      <c r="G969">
        <v>1291</v>
      </c>
      <c r="H969" t="s">
        <v>37</v>
      </c>
      <c r="I969">
        <v>11</v>
      </c>
      <c r="J969">
        <v>3</v>
      </c>
      <c r="K969" t="s">
        <v>49</v>
      </c>
      <c r="L969">
        <v>1</v>
      </c>
      <c r="M969">
        <v>3</v>
      </c>
      <c r="N969" t="s">
        <v>39</v>
      </c>
      <c r="O969">
        <v>98</v>
      </c>
      <c r="P969">
        <v>4</v>
      </c>
      <c r="Q969">
        <v>1</v>
      </c>
      <c r="R969" t="s">
        <v>47</v>
      </c>
      <c r="S969">
        <v>4</v>
      </c>
      <c r="T969" t="str" cm="1">
        <f t="array" ref="T969">_xlfn.IFS(S969&lt;=2,"Poor",S969&lt;=3,"Fair",S969&gt;=4,"Good")</f>
        <v>Good</v>
      </c>
      <c r="U969" t="s">
        <v>48</v>
      </c>
      <c r="V969" s="1">
        <v>2534</v>
      </c>
      <c r="W969" t="str" cm="1">
        <f t="array" ref="W969">_xlfn.IFS(V969&lt;=5000,"Low Salary",V969&lt;=12000,"Good Salary",V969&gt;12000,"High Salary")</f>
        <v>Low Salary</v>
      </c>
      <c r="X969">
        <v>6527</v>
      </c>
      <c r="Y969">
        <v>8</v>
      </c>
      <c r="Z969" t="s">
        <v>42</v>
      </c>
      <c r="AA969" t="s">
        <v>35</v>
      </c>
      <c r="AB969">
        <v>14</v>
      </c>
      <c r="AC969">
        <v>3</v>
      </c>
      <c r="AD969" t="str">
        <f t="shared" si="31"/>
        <v>Low Performance</v>
      </c>
      <c r="AE969">
        <v>2</v>
      </c>
      <c r="AF969">
        <v>80</v>
      </c>
      <c r="AG969">
        <v>1</v>
      </c>
      <c r="AH969">
        <v>5</v>
      </c>
      <c r="AI969">
        <v>4</v>
      </c>
      <c r="AJ969">
        <v>3</v>
      </c>
      <c r="AK969" t="str" cm="1">
        <f t="array" ref="AK969">_xlfn.IFS(AJ969&lt;=2,"Poor",AJ969&lt;=3,"Fair",AJ969&gt;3,"Good")</f>
        <v>Fair</v>
      </c>
      <c r="AL969">
        <v>1</v>
      </c>
      <c r="AM969">
        <v>0</v>
      </c>
      <c r="AN969">
        <v>0</v>
      </c>
      <c r="AO969">
        <v>0</v>
      </c>
    </row>
    <row r="970" spans="1:41" x14ac:dyDescent="0.2">
      <c r="A970">
        <v>1138505</v>
      </c>
      <c r="B970">
        <v>51</v>
      </c>
      <c r="C970" t="str" cm="1">
        <f t="array" ref="C970">_xlfn.IFS(B970&lt;=25,"15-25",B970&lt;=35,"26-35",B970&lt;=45,"36-45",B970&lt;=55,"46-55",B970&lt;=65,"56-65")</f>
        <v>46-55</v>
      </c>
      <c r="D970" t="s">
        <v>35</v>
      </c>
      <c r="E970" t="str">
        <f t="shared" si="30"/>
        <v>Current Employee</v>
      </c>
      <c r="F970" t="s">
        <v>36</v>
      </c>
      <c r="G970">
        <v>1405</v>
      </c>
      <c r="H970" t="s">
        <v>45</v>
      </c>
      <c r="I970">
        <v>11</v>
      </c>
      <c r="J970">
        <v>2</v>
      </c>
      <c r="K970" t="s">
        <v>56</v>
      </c>
      <c r="L970">
        <v>1</v>
      </c>
      <c r="M970">
        <v>4</v>
      </c>
      <c r="N970" t="s">
        <v>39</v>
      </c>
      <c r="O970">
        <v>82</v>
      </c>
      <c r="P970">
        <v>2</v>
      </c>
      <c r="Q970">
        <v>4</v>
      </c>
      <c r="R970" t="s">
        <v>51</v>
      </c>
      <c r="S970">
        <v>2</v>
      </c>
      <c r="T970" t="str" cm="1">
        <f t="array" ref="T970">_xlfn.IFS(S970&lt;=2,"Poor",S970&lt;=3,"Fair",S970&gt;=4,"Good")</f>
        <v>Poor</v>
      </c>
      <c r="U970" t="s">
        <v>41</v>
      </c>
      <c r="V970" s="1">
        <v>13142</v>
      </c>
      <c r="W970" t="str" cm="1">
        <f t="array" ref="W970">_xlfn.IFS(V970&lt;=5000,"Low Salary",V970&lt;=12000,"Good Salary",V970&gt;12000,"High Salary")</f>
        <v>High Salary</v>
      </c>
      <c r="X970">
        <v>24439</v>
      </c>
      <c r="Y970">
        <v>3</v>
      </c>
      <c r="Z970" t="s">
        <v>42</v>
      </c>
      <c r="AA970" t="s">
        <v>35</v>
      </c>
      <c r="AB970">
        <v>16</v>
      </c>
      <c r="AC970">
        <v>3</v>
      </c>
      <c r="AD970" t="str">
        <f t="shared" si="31"/>
        <v>Low Performance</v>
      </c>
      <c r="AE970">
        <v>2</v>
      </c>
      <c r="AF970">
        <v>80</v>
      </c>
      <c r="AG970">
        <v>0</v>
      </c>
      <c r="AH970">
        <v>29</v>
      </c>
      <c r="AI970">
        <v>1</v>
      </c>
      <c r="AJ970">
        <v>2</v>
      </c>
      <c r="AK970" t="str" cm="1">
        <f t="array" ref="AK970">_xlfn.IFS(AJ970&lt;=2,"Poor",AJ970&lt;=3,"Fair",AJ970&gt;3,"Good")</f>
        <v>Poor</v>
      </c>
      <c r="AL970">
        <v>5</v>
      </c>
      <c r="AM970">
        <v>2</v>
      </c>
      <c r="AN970">
        <v>0</v>
      </c>
      <c r="AO970">
        <v>3</v>
      </c>
    </row>
    <row r="971" spans="1:41" x14ac:dyDescent="0.2">
      <c r="A971">
        <v>1792003</v>
      </c>
      <c r="B971">
        <v>18</v>
      </c>
      <c r="C971" t="str" cm="1">
        <f t="array" ref="C971">_xlfn.IFS(B971&lt;=25,"15-25",B971&lt;=35,"26-35",B971&lt;=45,"36-45",B971&lt;=55,"46-55",B971&lt;=65,"56-65")</f>
        <v>15-25</v>
      </c>
      <c r="D971" t="s">
        <v>35</v>
      </c>
      <c r="E971" t="str">
        <f t="shared" si="30"/>
        <v>Current Employee</v>
      </c>
      <c r="F971" t="s">
        <v>52</v>
      </c>
      <c r="G971">
        <v>1124</v>
      </c>
      <c r="H971" t="s">
        <v>45</v>
      </c>
      <c r="I971">
        <v>1</v>
      </c>
      <c r="J971">
        <v>3</v>
      </c>
      <c r="K971" t="s">
        <v>38</v>
      </c>
      <c r="L971">
        <v>1</v>
      </c>
      <c r="M971">
        <v>4</v>
      </c>
      <c r="N971" t="s">
        <v>39</v>
      </c>
      <c r="O971">
        <v>97</v>
      </c>
      <c r="P971">
        <v>3</v>
      </c>
      <c r="Q971">
        <v>1</v>
      </c>
      <c r="R971" t="s">
        <v>40</v>
      </c>
      <c r="S971">
        <v>4</v>
      </c>
      <c r="T971" t="str" cm="1">
        <f t="array" ref="T971">_xlfn.IFS(S971&lt;=2,"Poor",S971&lt;=3,"Fair",S971&gt;=4,"Good")</f>
        <v>Good</v>
      </c>
      <c r="U971" t="s">
        <v>41</v>
      </c>
      <c r="V971" s="1">
        <v>1611</v>
      </c>
      <c r="W971" t="str" cm="1">
        <f t="array" ref="W971">_xlfn.IFS(V971&lt;=5000,"Low Salary",V971&lt;=12000,"Good Salary",V971&gt;12000,"High Salary")</f>
        <v>Low Salary</v>
      </c>
      <c r="X971">
        <v>19305</v>
      </c>
      <c r="Y971">
        <v>1</v>
      </c>
      <c r="Z971" t="s">
        <v>42</v>
      </c>
      <c r="AA971" t="s">
        <v>35</v>
      </c>
      <c r="AB971">
        <v>15</v>
      </c>
      <c r="AC971">
        <v>3</v>
      </c>
      <c r="AD971" t="str">
        <f t="shared" si="31"/>
        <v>Low Performance</v>
      </c>
      <c r="AE971">
        <v>3</v>
      </c>
      <c r="AF971">
        <v>80</v>
      </c>
      <c r="AG971">
        <v>0</v>
      </c>
      <c r="AH971">
        <v>0</v>
      </c>
      <c r="AI971">
        <v>5</v>
      </c>
      <c r="AJ971">
        <v>4</v>
      </c>
      <c r="AK971" t="str" cm="1">
        <f t="array" ref="AK971">_xlfn.IFS(AJ971&lt;=2,"Poor",AJ971&lt;=3,"Fair",AJ971&gt;3,"Good")</f>
        <v>Good</v>
      </c>
      <c r="AL971">
        <v>0</v>
      </c>
      <c r="AM971">
        <v>0</v>
      </c>
      <c r="AN971">
        <v>0</v>
      </c>
      <c r="AO971">
        <v>0</v>
      </c>
    </row>
    <row r="972" spans="1:41" x14ac:dyDescent="0.2">
      <c r="A972">
        <v>1584366</v>
      </c>
      <c r="B972">
        <v>35</v>
      </c>
      <c r="C972" t="str" cm="1">
        <f t="array" ref="C972">_xlfn.IFS(B972&lt;=25,"15-25",B972&lt;=35,"26-35",B972&lt;=45,"36-45",B972&lt;=55,"46-55",B972&lt;=65,"56-65")</f>
        <v>26-35</v>
      </c>
      <c r="D972" t="s">
        <v>35</v>
      </c>
      <c r="E972" t="str">
        <f t="shared" si="30"/>
        <v>Current Employee</v>
      </c>
      <c r="F972" t="s">
        <v>36</v>
      </c>
      <c r="G972">
        <v>817</v>
      </c>
      <c r="H972" t="s">
        <v>45</v>
      </c>
      <c r="I972">
        <v>1</v>
      </c>
      <c r="J972">
        <v>3</v>
      </c>
      <c r="K972" t="s">
        <v>49</v>
      </c>
      <c r="L972">
        <v>1</v>
      </c>
      <c r="M972">
        <v>4</v>
      </c>
      <c r="N972" t="s">
        <v>39</v>
      </c>
      <c r="O972">
        <v>60</v>
      </c>
      <c r="P972">
        <v>2</v>
      </c>
      <c r="Q972">
        <v>2</v>
      </c>
      <c r="R972" t="s">
        <v>40</v>
      </c>
      <c r="S972">
        <v>4</v>
      </c>
      <c r="T972" t="str" cm="1">
        <f t="array" ref="T972">_xlfn.IFS(S972&lt;=2,"Poor",S972&lt;=3,"Fair",S972&gt;=4,"Good")</f>
        <v>Good</v>
      </c>
      <c r="U972" t="s">
        <v>48</v>
      </c>
      <c r="V972" s="1">
        <v>5363</v>
      </c>
      <c r="W972" t="str" cm="1">
        <f t="array" ref="W972">_xlfn.IFS(V972&lt;=5000,"Low Salary",V972&lt;=12000,"Good Salary",V972&gt;12000,"High Salary")</f>
        <v>Good Salary</v>
      </c>
      <c r="X972">
        <v>10846</v>
      </c>
      <c r="Y972">
        <v>0</v>
      </c>
      <c r="Z972" t="s">
        <v>42</v>
      </c>
      <c r="AA972" t="s">
        <v>35</v>
      </c>
      <c r="AB972">
        <v>12</v>
      </c>
      <c r="AC972">
        <v>3</v>
      </c>
      <c r="AD972" t="str">
        <f t="shared" si="31"/>
        <v>Low Performance</v>
      </c>
      <c r="AE972">
        <v>2</v>
      </c>
      <c r="AF972">
        <v>80</v>
      </c>
      <c r="AG972">
        <v>1</v>
      </c>
      <c r="AH972">
        <v>10</v>
      </c>
      <c r="AI972">
        <v>0</v>
      </c>
      <c r="AJ972">
        <v>3</v>
      </c>
      <c r="AK972" t="str" cm="1">
        <f t="array" ref="AK972">_xlfn.IFS(AJ972&lt;=2,"Poor",AJ972&lt;=3,"Fair",AJ972&gt;3,"Good")</f>
        <v>Fair</v>
      </c>
      <c r="AL972">
        <v>9</v>
      </c>
      <c r="AM972">
        <v>7</v>
      </c>
      <c r="AN972">
        <v>0</v>
      </c>
      <c r="AO972">
        <v>0</v>
      </c>
    </row>
    <row r="973" spans="1:41" x14ac:dyDescent="0.2">
      <c r="A973">
        <v>1224247</v>
      </c>
      <c r="B973">
        <v>27</v>
      </c>
      <c r="C973" t="str" cm="1">
        <f t="array" ref="C973">_xlfn.IFS(B973&lt;=25,"15-25",B973&lt;=35,"26-35",B973&lt;=45,"36-45",B973&lt;=55,"46-55",B973&lt;=65,"56-65")</f>
        <v>26-35</v>
      </c>
      <c r="D973" t="s">
        <v>35</v>
      </c>
      <c r="E973" t="str">
        <f t="shared" si="30"/>
        <v>Current Employee</v>
      </c>
      <c r="F973" t="s">
        <v>44</v>
      </c>
      <c r="G973">
        <v>793</v>
      </c>
      <c r="H973" t="s">
        <v>37</v>
      </c>
      <c r="I973">
        <v>2</v>
      </c>
      <c r="J973">
        <v>1</v>
      </c>
      <c r="K973" t="s">
        <v>38</v>
      </c>
      <c r="L973">
        <v>1</v>
      </c>
      <c r="M973">
        <v>4</v>
      </c>
      <c r="N973" t="s">
        <v>46</v>
      </c>
      <c r="O973">
        <v>43</v>
      </c>
      <c r="P973">
        <v>1</v>
      </c>
      <c r="Q973">
        <v>2</v>
      </c>
      <c r="R973" t="s">
        <v>40</v>
      </c>
      <c r="S973">
        <v>4</v>
      </c>
      <c r="T973" t="str" cm="1">
        <f t="array" ref="T973">_xlfn.IFS(S973&lt;=2,"Poor",S973&lt;=3,"Fair",S973&gt;=4,"Good")</f>
        <v>Good</v>
      </c>
      <c r="U973" t="s">
        <v>41</v>
      </c>
      <c r="V973" s="1">
        <v>5071</v>
      </c>
      <c r="W973" t="str" cm="1">
        <f t="array" ref="W973">_xlfn.IFS(V973&lt;=5000,"Low Salary",V973&lt;=12000,"Good Salary",V973&gt;12000,"High Salary")</f>
        <v>Good Salary</v>
      </c>
      <c r="X973">
        <v>20392</v>
      </c>
      <c r="Y973">
        <v>3</v>
      </c>
      <c r="Z973" t="s">
        <v>42</v>
      </c>
      <c r="AA973" t="s">
        <v>35</v>
      </c>
      <c r="AB973">
        <v>20</v>
      </c>
      <c r="AC973">
        <v>4</v>
      </c>
      <c r="AD973" t="str">
        <f t="shared" si="31"/>
        <v>High Performance</v>
      </c>
      <c r="AE973">
        <v>2</v>
      </c>
      <c r="AF973">
        <v>80</v>
      </c>
      <c r="AG973">
        <v>0</v>
      </c>
      <c r="AH973">
        <v>8</v>
      </c>
      <c r="AI973">
        <v>3</v>
      </c>
      <c r="AJ973">
        <v>3</v>
      </c>
      <c r="AK973" t="str" cm="1">
        <f t="array" ref="AK973">_xlfn.IFS(AJ973&lt;=2,"Poor",AJ973&lt;=3,"Fair",AJ973&gt;3,"Good")</f>
        <v>Fair</v>
      </c>
      <c r="AL973">
        <v>6</v>
      </c>
      <c r="AM973">
        <v>2</v>
      </c>
      <c r="AN973">
        <v>0</v>
      </c>
      <c r="AO973">
        <v>0</v>
      </c>
    </row>
    <row r="974" spans="1:41" x14ac:dyDescent="0.2">
      <c r="A974">
        <v>1081600</v>
      </c>
      <c r="B974">
        <v>55</v>
      </c>
      <c r="C974" t="str" cm="1">
        <f t="array" ref="C974">_xlfn.IFS(B974&lt;=25,"15-25",B974&lt;=35,"26-35",B974&lt;=45,"36-45",B974&lt;=55,"46-55",B974&lt;=65,"56-65")</f>
        <v>46-55</v>
      </c>
      <c r="D974" t="s">
        <v>43</v>
      </c>
      <c r="E974" t="str">
        <f t="shared" si="30"/>
        <v>Former Employee</v>
      </c>
      <c r="F974" t="s">
        <v>36</v>
      </c>
      <c r="G974">
        <v>267</v>
      </c>
      <c r="H974" t="s">
        <v>37</v>
      </c>
      <c r="I974">
        <v>13</v>
      </c>
      <c r="J974">
        <v>4</v>
      </c>
      <c r="K974" t="s">
        <v>55</v>
      </c>
      <c r="L974">
        <v>1</v>
      </c>
      <c r="M974">
        <v>1</v>
      </c>
      <c r="N974" t="s">
        <v>46</v>
      </c>
      <c r="O974">
        <v>85</v>
      </c>
      <c r="P974">
        <v>4</v>
      </c>
      <c r="Q974">
        <v>4</v>
      </c>
      <c r="R974" t="s">
        <v>40</v>
      </c>
      <c r="S974">
        <v>3</v>
      </c>
      <c r="T974" t="str" cm="1">
        <f t="array" ref="T974">_xlfn.IFS(S974&lt;=2,"Poor",S974&lt;=3,"Fair",S974&gt;=4,"Good")</f>
        <v>Fair</v>
      </c>
      <c r="U974" t="s">
        <v>41</v>
      </c>
      <c r="V974" s="1">
        <v>13695</v>
      </c>
      <c r="W974" t="str" cm="1">
        <f t="array" ref="W974">_xlfn.IFS(V974&lt;=5000,"Low Salary",V974&lt;=12000,"Good Salary",V974&gt;12000,"High Salary")</f>
        <v>High Salary</v>
      </c>
      <c r="X974">
        <v>9277</v>
      </c>
      <c r="Y974">
        <v>6</v>
      </c>
      <c r="Z974" t="s">
        <v>42</v>
      </c>
      <c r="AA974" t="s">
        <v>43</v>
      </c>
      <c r="AB974">
        <v>17</v>
      </c>
      <c r="AC974">
        <v>3</v>
      </c>
      <c r="AD974" t="str">
        <f t="shared" si="31"/>
        <v>Low Performance</v>
      </c>
      <c r="AE974">
        <v>3</v>
      </c>
      <c r="AF974">
        <v>80</v>
      </c>
      <c r="AG974">
        <v>0</v>
      </c>
      <c r="AH974">
        <v>24</v>
      </c>
      <c r="AI974">
        <v>2</v>
      </c>
      <c r="AJ974">
        <v>2</v>
      </c>
      <c r="AK974" t="str" cm="1">
        <f t="array" ref="AK974">_xlfn.IFS(AJ974&lt;=2,"Poor",AJ974&lt;=3,"Fair",AJ974&gt;3,"Good")</f>
        <v>Poor</v>
      </c>
      <c r="AL974">
        <v>19</v>
      </c>
      <c r="AM974">
        <v>7</v>
      </c>
      <c r="AN974">
        <v>3</v>
      </c>
      <c r="AO974">
        <v>8</v>
      </c>
    </row>
    <row r="975" spans="1:41" x14ac:dyDescent="0.2">
      <c r="A975">
        <v>1665397</v>
      </c>
      <c r="B975">
        <v>56</v>
      </c>
      <c r="C975" t="str" cm="1">
        <f t="array" ref="C975">_xlfn.IFS(B975&lt;=25,"15-25",B975&lt;=35,"26-35",B975&lt;=45,"36-45",B975&lt;=55,"46-55",B975&lt;=65,"56-65")</f>
        <v>56-65</v>
      </c>
      <c r="D975" t="s">
        <v>35</v>
      </c>
      <c r="E975" t="str">
        <f t="shared" si="30"/>
        <v>Current Employee</v>
      </c>
      <c r="F975" t="s">
        <v>36</v>
      </c>
      <c r="G975">
        <v>1369</v>
      </c>
      <c r="H975" t="s">
        <v>45</v>
      </c>
      <c r="I975">
        <v>23</v>
      </c>
      <c r="J975">
        <v>3</v>
      </c>
      <c r="K975" t="s">
        <v>38</v>
      </c>
      <c r="L975">
        <v>1</v>
      </c>
      <c r="M975">
        <v>4</v>
      </c>
      <c r="N975" t="s">
        <v>46</v>
      </c>
      <c r="O975">
        <v>68</v>
      </c>
      <c r="P975">
        <v>3</v>
      </c>
      <c r="Q975">
        <v>4</v>
      </c>
      <c r="R975" t="s">
        <v>51</v>
      </c>
      <c r="S975">
        <v>2</v>
      </c>
      <c r="T975" t="str" cm="1">
        <f t="array" ref="T975">_xlfn.IFS(S975&lt;=2,"Poor",S975&lt;=3,"Fair",S975&gt;=4,"Good")</f>
        <v>Poor</v>
      </c>
      <c r="U975" t="s">
        <v>48</v>
      </c>
      <c r="V975" s="1">
        <v>13402</v>
      </c>
      <c r="W975" t="str" cm="1">
        <f t="array" ref="W975">_xlfn.IFS(V975&lt;=5000,"Low Salary",V975&lt;=12000,"Good Salary",V975&gt;12000,"High Salary")</f>
        <v>High Salary</v>
      </c>
      <c r="X975">
        <v>18235</v>
      </c>
      <c r="Y975">
        <v>4</v>
      </c>
      <c r="Z975" t="s">
        <v>42</v>
      </c>
      <c r="AA975" t="s">
        <v>43</v>
      </c>
      <c r="AB975">
        <v>12</v>
      </c>
      <c r="AC975">
        <v>3</v>
      </c>
      <c r="AD975" t="str">
        <f t="shared" si="31"/>
        <v>Low Performance</v>
      </c>
      <c r="AE975">
        <v>1</v>
      </c>
      <c r="AF975">
        <v>80</v>
      </c>
      <c r="AG975">
        <v>1</v>
      </c>
      <c r="AH975">
        <v>33</v>
      </c>
      <c r="AI975">
        <v>0</v>
      </c>
      <c r="AJ975">
        <v>3</v>
      </c>
      <c r="AK975" t="str" cm="1">
        <f t="array" ref="AK975">_xlfn.IFS(AJ975&lt;=2,"Poor",AJ975&lt;=3,"Fair",AJ975&gt;3,"Good")</f>
        <v>Fair</v>
      </c>
      <c r="AL975">
        <v>19</v>
      </c>
      <c r="AM975">
        <v>16</v>
      </c>
      <c r="AN975">
        <v>15</v>
      </c>
      <c r="AO975">
        <v>9</v>
      </c>
    </row>
    <row r="976" spans="1:41" x14ac:dyDescent="0.2">
      <c r="A976">
        <v>1073438</v>
      </c>
      <c r="B976">
        <v>34</v>
      </c>
      <c r="C976" t="str" cm="1">
        <f t="array" ref="C976">_xlfn.IFS(B976&lt;=25,"15-25",B976&lt;=35,"26-35",B976&lt;=45,"36-45",B976&lt;=55,"46-55",B976&lt;=65,"56-65")</f>
        <v>26-35</v>
      </c>
      <c r="D976" t="s">
        <v>35</v>
      </c>
      <c r="E976" t="str">
        <f t="shared" si="30"/>
        <v>Current Employee</v>
      </c>
      <c r="F976" t="s">
        <v>52</v>
      </c>
      <c r="G976">
        <v>999</v>
      </c>
      <c r="H976" t="s">
        <v>45</v>
      </c>
      <c r="I976">
        <v>26</v>
      </c>
      <c r="J976">
        <v>1</v>
      </c>
      <c r="K976" t="s">
        <v>56</v>
      </c>
      <c r="L976">
        <v>1</v>
      </c>
      <c r="M976">
        <v>1</v>
      </c>
      <c r="N976" t="s">
        <v>39</v>
      </c>
      <c r="O976">
        <v>92</v>
      </c>
      <c r="P976">
        <v>2</v>
      </c>
      <c r="Q976">
        <v>1</v>
      </c>
      <c r="R976" t="s">
        <v>47</v>
      </c>
      <c r="S976">
        <v>3</v>
      </c>
      <c r="T976" t="str" cm="1">
        <f t="array" ref="T976">_xlfn.IFS(S976&lt;=2,"Poor",S976&lt;=3,"Fair",S976&gt;=4,"Good")</f>
        <v>Fair</v>
      </c>
      <c r="U976" t="s">
        <v>50</v>
      </c>
      <c r="V976" s="1">
        <v>2029</v>
      </c>
      <c r="W976" t="str" cm="1">
        <f t="array" ref="W976">_xlfn.IFS(V976&lt;=5000,"Low Salary",V976&lt;=12000,"Good Salary",V976&gt;12000,"High Salary")</f>
        <v>Low Salary</v>
      </c>
      <c r="X976">
        <v>15891</v>
      </c>
      <c r="Y976">
        <v>1</v>
      </c>
      <c r="Z976" t="s">
        <v>42</v>
      </c>
      <c r="AA976" t="s">
        <v>35</v>
      </c>
      <c r="AB976">
        <v>20</v>
      </c>
      <c r="AC976">
        <v>4</v>
      </c>
      <c r="AD976" t="str">
        <f t="shared" si="31"/>
        <v>High Performance</v>
      </c>
      <c r="AE976">
        <v>3</v>
      </c>
      <c r="AF976">
        <v>80</v>
      </c>
      <c r="AG976">
        <v>3</v>
      </c>
      <c r="AH976">
        <v>5</v>
      </c>
      <c r="AI976">
        <v>2</v>
      </c>
      <c r="AJ976">
        <v>3</v>
      </c>
      <c r="AK976" t="str" cm="1">
        <f t="array" ref="AK976">_xlfn.IFS(AJ976&lt;=2,"Poor",AJ976&lt;=3,"Fair",AJ976&gt;3,"Good")</f>
        <v>Fair</v>
      </c>
      <c r="AL976">
        <v>5</v>
      </c>
      <c r="AM976">
        <v>4</v>
      </c>
      <c r="AN976">
        <v>0</v>
      </c>
      <c r="AO976">
        <v>0</v>
      </c>
    </row>
    <row r="977" spans="1:41" x14ac:dyDescent="0.2">
      <c r="A977">
        <v>1858522</v>
      </c>
      <c r="B977">
        <v>40</v>
      </c>
      <c r="C977" t="str" cm="1">
        <f t="array" ref="C977">_xlfn.IFS(B977&lt;=25,"15-25",B977&lt;=35,"26-35",B977&lt;=45,"36-45",B977&lt;=55,"46-55",B977&lt;=65,"56-65")</f>
        <v>36-45</v>
      </c>
      <c r="D977" t="s">
        <v>35</v>
      </c>
      <c r="E977" t="str">
        <f t="shared" si="30"/>
        <v>Current Employee</v>
      </c>
      <c r="F977" t="s">
        <v>36</v>
      </c>
      <c r="G977">
        <v>1202</v>
      </c>
      <c r="H977" t="s">
        <v>45</v>
      </c>
      <c r="I977">
        <v>2</v>
      </c>
      <c r="J977">
        <v>1</v>
      </c>
      <c r="K977" t="s">
        <v>49</v>
      </c>
      <c r="L977">
        <v>1</v>
      </c>
      <c r="M977">
        <v>2</v>
      </c>
      <c r="N977" t="s">
        <v>39</v>
      </c>
      <c r="O977">
        <v>89</v>
      </c>
      <c r="P977">
        <v>4</v>
      </c>
      <c r="Q977">
        <v>2</v>
      </c>
      <c r="R977" t="s">
        <v>40</v>
      </c>
      <c r="S977">
        <v>3</v>
      </c>
      <c r="T977" t="str" cm="1">
        <f t="array" ref="T977">_xlfn.IFS(S977&lt;=2,"Poor",S977&lt;=3,"Fair",S977&gt;=4,"Good")</f>
        <v>Fair</v>
      </c>
      <c r="U977" t="s">
        <v>50</v>
      </c>
      <c r="V977" s="1">
        <v>6377</v>
      </c>
      <c r="W977" t="str" cm="1">
        <f t="array" ref="W977">_xlfn.IFS(V977&lt;=5000,"Low Salary",V977&lt;=12000,"Good Salary",V977&gt;12000,"High Salary")</f>
        <v>Good Salary</v>
      </c>
      <c r="X977">
        <v>13888</v>
      </c>
      <c r="Y977">
        <v>5</v>
      </c>
      <c r="Z977" t="s">
        <v>42</v>
      </c>
      <c r="AA977" t="s">
        <v>35</v>
      </c>
      <c r="AB977">
        <v>20</v>
      </c>
      <c r="AC977">
        <v>4</v>
      </c>
      <c r="AD977" t="str">
        <f t="shared" si="31"/>
        <v>High Performance</v>
      </c>
      <c r="AE977">
        <v>2</v>
      </c>
      <c r="AF977">
        <v>80</v>
      </c>
      <c r="AG977">
        <v>3</v>
      </c>
      <c r="AH977">
        <v>15</v>
      </c>
      <c r="AI977">
        <v>0</v>
      </c>
      <c r="AJ977">
        <v>3</v>
      </c>
      <c r="AK977" t="str" cm="1">
        <f t="array" ref="AK977">_xlfn.IFS(AJ977&lt;=2,"Poor",AJ977&lt;=3,"Fair",AJ977&gt;3,"Good")</f>
        <v>Fair</v>
      </c>
      <c r="AL977">
        <v>12</v>
      </c>
      <c r="AM977">
        <v>11</v>
      </c>
      <c r="AN977">
        <v>11</v>
      </c>
      <c r="AO977">
        <v>8</v>
      </c>
    </row>
    <row r="978" spans="1:41" x14ac:dyDescent="0.2">
      <c r="A978">
        <v>1528867</v>
      </c>
      <c r="B978">
        <v>34</v>
      </c>
      <c r="C978" t="str" cm="1">
        <f t="array" ref="C978">_xlfn.IFS(B978&lt;=25,"15-25",B978&lt;=35,"26-35",B978&lt;=45,"36-45",B978&lt;=55,"46-55",B978&lt;=65,"56-65")</f>
        <v>26-35</v>
      </c>
      <c r="D978" t="s">
        <v>35</v>
      </c>
      <c r="E978" t="str">
        <f t="shared" si="30"/>
        <v>Current Employee</v>
      </c>
      <c r="F978" t="s">
        <v>36</v>
      </c>
      <c r="G978">
        <v>285</v>
      </c>
      <c r="H978" t="s">
        <v>45</v>
      </c>
      <c r="I978">
        <v>29</v>
      </c>
      <c r="J978">
        <v>3</v>
      </c>
      <c r="K978" t="s">
        <v>49</v>
      </c>
      <c r="L978">
        <v>1</v>
      </c>
      <c r="M978">
        <v>2</v>
      </c>
      <c r="N978" t="s">
        <v>46</v>
      </c>
      <c r="O978">
        <v>86</v>
      </c>
      <c r="P978">
        <v>3</v>
      </c>
      <c r="Q978">
        <v>2</v>
      </c>
      <c r="R978" t="s">
        <v>40</v>
      </c>
      <c r="S978">
        <v>3</v>
      </c>
      <c r="T978" t="str" cm="1">
        <f t="array" ref="T978">_xlfn.IFS(S978&lt;=2,"Poor",S978&lt;=3,"Fair",S978&gt;=4,"Good")</f>
        <v>Fair</v>
      </c>
      <c r="U978" t="s">
        <v>48</v>
      </c>
      <c r="V978" s="1">
        <v>5429</v>
      </c>
      <c r="W978" t="str" cm="1">
        <f t="array" ref="W978">_xlfn.IFS(V978&lt;=5000,"Low Salary",V978&lt;=12000,"Good Salary",V978&gt;12000,"High Salary")</f>
        <v>Good Salary</v>
      </c>
      <c r="X978">
        <v>17491</v>
      </c>
      <c r="Y978">
        <v>4</v>
      </c>
      <c r="Z978" t="s">
        <v>42</v>
      </c>
      <c r="AA978" t="s">
        <v>35</v>
      </c>
      <c r="AB978">
        <v>13</v>
      </c>
      <c r="AC978">
        <v>3</v>
      </c>
      <c r="AD978" t="str">
        <f t="shared" si="31"/>
        <v>Low Performance</v>
      </c>
      <c r="AE978">
        <v>1</v>
      </c>
      <c r="AF978">
        <v>80</v>
      </c>
      <c r="AG978">
        <v>2</v>
      </c>
      <c r="AH978">
        <v>10</v>
      </c>
      <c r="AI978">
        <v>1</v>
      </c>
      <c r="AJ978">
        <v>3</v>
      </c>
      <c r="AK978" t="str" cm="1">
        <f t="array" ref="AK978">_xlfn.IFS(AJ978&lt;=2,"Poor",AJ978&lt;=3,"Fair",AJ978&gt;3,"Good")</f>
        <v>Fair</v>
      </c>
      <c r="AL978">
        <v>8</v>
      </c>
      <c r="AM978">
        <v>7</v>
      </c>
      <c r="AN978">
        <v>7</v>
      </c>
      <c r="AO978">
        <v>7</v>
      </c>
    </row>
    <row r="979" spans="1:41" x14ac:dyDescent="0.2">
      <c r="A979">
        <v>1648657</v>
      </c>
      <c r="B979">
        <v>31</v>
      </c>
      <c r="C979" t="str" cm="1">
        <f t="array" ref="C979">_xlfn.IFS(B979&lt;=25,"15-25",B979&lt;=35,"26-35",B979&lt;=45,"36-45",B979&lt;=55,"46-55",B979&lt;=65,"56-65")</f>
        <v>26-35</v>
      </c>
      <c r="D979" t="s">
        <v>43</v>
      </c>
      <c r="E979" t="str">
        <f t="shared" si="30"/>
        <v>Former Employee</v>
      </c>
      <c r="F979" t="s">
        <v>44</v>
      </c>
      <c r="G979">
        <v>703</v>
      </c>
      <c r="H979" t="s">
        <v>37</v>
      </c>
      <c r="I979">
        <v>2</v>
      </c>
      <c r="J979">
        <v>3</v>
      </c>
      <c r="K979" t="s">
        <v>38</v>
      </c>
      <c r="L979">
        <v>1</v>
      </c>
      <c r="M979">
        <v>3</v>
      </c>
      <c r="N979" t="s">
        <v>39</v>
      </c>
      <c r="O979">
        <v>90</v>
      </c>
      <c r="P979">
        <v>2</v>
      </c>
      <c r="Q979">
        <v>1</v>
      </c>
      <c r="R979" t="s">
        <v>47</v>
      </c>
      <c r="S979">
        <v>4</v>
      </c>
      <c r="T979" t="str" cm="1">
        <f t="array" ref="T979">_xlfn.IFS(S979&lt;=2,"Poor",S979&lt;=3,"Fair",S979&gt;=4,"Good")</f>
        <v>Good</v>
      </c>
      <c r="U979" t="s">
        <v>41</v>
      </c>
      <c r="V979" s="1">
        <v>2785</v>
      </c>
      <c r="W979" t="str" cm="1">
        <f t="array" ref="W979">_xlfn.IFS(V979&lt;=5000,"Low Salary",V979&lt;=12000,"Good Salary",V979&gt;12000,"High Salary")</f>
        <v>Low Salary</v>
      </c>
      <c r="X979">
        <v>11882</v>
      </c>
      <c r="Y979">
        <v>7</v>
      </c>
      <c r="Z979" t="s">
        <v>42</v>
      </c>
      <c r="AA979" t="s">
        <v>35</v>
      </c>
      <c r="AB979">
        <v>14</v>
      </c>
      <c r="AC979">
        <v>3</v>
      </c>
      <c r="AD979" t="str">
        <f t="shared" si="31"/>
        <v>Low Performance</v>
      </c>
      <c r="AE979">
        <v>3</v>
      </c>
      <c r="AF979">
        <v>80</v>
      </c>
      <c r="AG979">
        <v>0</v>
      </c>
      <c r="AH979">
        <v>3</v>
      </c>
      <c r="AI979">
        <v>3</v>
      </c>
      <c r="AJ979">
        <v>4</v>
      </c>
      <c r="AK979" t="str" cm="1">
        <f t="array" ref="AK979">_xlfn.IFS(AJ979&lt;=2,"Poor",AJ979&lt;=3,"Fair",AJ979&gt;3,"Good")</f>
        <v>Good</v>
      </c>
      <c r="AL979">
        <v>1</v>
      </c>
      <c r="AM979">
        <v>0</v>
      </c>
      <c r="AN979">
        <v>0</v>
      </c>
      <c r="AO979">
        <v>0</v>
      </c>
    </row>
    <row r="980" spans="1:41" x14ac:dyDescent="0.2">
      <c r="A980">
        <v>1805986</v>
      </c>
      <c r="B980">
        <v>35</v>
      </c>
      <c r="C980" t="str" cm="1">
        <f t="array" ref="C980">_xlfn.IFS(B980&lt;=25,"15-25",B980&lt;=35,"26-35",B980&lt;=45,"36-45",B980&lt;=55,"46-55",B980&lt;=65,"56-65")</f>
        <v>26-35</v>
      </c>
      <c r="D980" t="s">
        <v>43</v>
      </c>
      <c r="E980" t="str">
        <f t="shared" si="30"/>
        <v>Former Employee</v>
      </c>
      <c r="F980" t="s">
        <v>44</v>
      </c>
      <c r="G980">
        <v>662</v>
      </c>
      <c r="H980" t="s">
        <v>37</v>
      </c>
      <c r="I980">
        <v>18</v>
      </c>
      <c r="J980">
        <v>4</v>
      </c>
      <c r="K980" t="s">
        <v>55</v>
      </c>
      <c r="L980">
        <v>1</v>
      </c>
      <c r="M980">
        <v>4</v>
      </c>
      <c r="N980" t="s">
        <v>39</v>
      </c>
      <c r="O980">
        <v>67</v>
      </c>
      <c r="P980">
        <v>3</v>
      </c>
      <c r="Q980">
        <v>2</v>
      </c>
      <c r="R980" t="s">
        <v>40</v>
      </c>
      <c r="S980">
        <v>3</v>
      </c>
      <c r="T980" t="str" cm="1">
        <f t="array" ref="T980">_xlfn.IFS(S980&lt;=2,"Poor",S980&lt;=3,"Fair",S980&gt;=4,"Good")</f>
        <v>Fair</v>
      </c>
      <c r="U980" t="s">
        <v>48</v>
      </c>
      <c r="V980" s="1">
        <v>4614</v>
      </c>
      <c r="W980" t="str" cm="1">
        <f t="array" ref="W980">_xlfn.IFS(V980&lt;=5000,"Low Salary",V980&lt;=12000,"Good Salary",V980&gt;12000,"High Salary")</f>
        <v>Low Salary</v>
      </c>
      <c r="X980">
        <v>23288</v>
      </c>
      <c r="Y980">
        <v>0</v>
      </c>
      <c r="Z980" t="s">
        <v>42</v>
      </c>
      <c r="AA980" t="s">
        <v>43</v>
      </c>
      <c r="AB980">
        <v>18</v>
      </c>
      <c r="AC980">
        <v>3</v>
      </c>
      <c r="AD980" t="str">
        <f t="shared" si="31"/>
        <v>Low Performance</v>
      </c>
      <c r="AE980">
        <v>3</v>
      </c>
      <c r="AF980">
        <v>80</v>
      </c>
      <c r="AG980">
        <v>1</v>
      </c>
      <c r="AH980">
        <v>5</v>
      </c>
      <c r="AI980">
        <v>0</v>
      </c>
      <c r="AJ980">
        <v>2</v>
      </c>
      <c r="AK980" t="str" cm="1">
        <f t="array" ref="AK980">_xlfn.IFS(AJ980&lt;=2,"Poor",AJ980&lt;=3,"Fair",AJ980&gt;3,"Good")</f>
        <v>Poor</v>
      </c>
      <c r="AL980">
        <v>4</v>
      </c>
      <c r="AM980">
        <v>2</v>
      </c>
      <c r="AN980">
        <v>3</v>
      </c>
      <c r="AO980">
        <v>2</v>
      </c>
    </row>
    <row r="981" spans="1:41" x14ac:dyDescent="0.2">
      <c r="A981">
        <v>1272720</v>
      </c>
      <c r="B981">
        <v>38</v>
      </c>
      <c r="C981" t="str" cm="1">
        <f t="array" ref="C981">_xlfn.IFS(B981&lt;=25,"15-25",B981&lt;=35,"26-35",B981&lt;=45,"36-45",B981&lt;=55,"46-55",B981&lt;=65,"56-65")</f>
        <v>36-45</v>
      </c>
      <c r="D981" t="s">
        <v>35</v>
      </c>
      <c r="E981" t="str">
        <f t="shared" si="30"/>
        <v>Current Employee</v>
      </c>
      <c r="F981" t="s">
        <v>44</v>
      </c>
      <c r="G981">
        <v>693</v>
      </c>
      <c r="H981" t="s">
        <v>45</v>
      </c>
      <c r="I981">
        <v>7</v>
      </c>
      <c r="J981">
        <v>3</v>
      </c>
      <c r="K981" t="s">
        <v>38</v>
      </c>
      <c r="L981">
        <v>1</v>
      </c>
      <c r="M981">
        <v>4</v>
      </c>
      <c r="N981" t="s">
        <v>46</v>
      </c>
      <c r="O981">
        <v>57</v>
      </c>
      <c r="P981">
        <v>4</v>
      </c>
      <c r="Q981">
        <v>1</v>
      </c>
      <c r="R981" t="s">
        <v>47</v>
      </c>
      <c r="S981">
        <v>3</v>
      </c>
      <c r="T981" t="str" cm="1">
        <f t="array" ref="T981">_xlfn.IFS(S981&lt;=2,"Poor",S981&lt;=3,"Fair",S981&gt;=4,"Good")</f>
        <v>Fair</v>
      </c>
      <c r="U981" t="s">
        <v>50</v>
      </c>
      <c r="V981" s="1">
        <v>2610</v>
      </c>
      <c r="W981" t="str" cm="1">
        <f t="array" ref="W981">_xlfn.IFS(V981&lt;=5000,"Low Salary",V981&lt;=12000,"Good Salary",V981&gt;12000,"High Salary")</f>
        <v>Low Salary</v>
      </c>
      <c r="X981">
        <v>15748</v>
      </c>
      <c r="Y981">
        <v>1</v>
      </c>
      <c r="Z981" t="s">
        <v>42</v>
      </c>
      <c r="AA981" t="s">
        <v>35</v>
      </c>
      <c r="AB981">
        <v>11</v>
      </c>
      <c r="AC981">
        <v>3</v>
      </c>
      <c r="AD981" t="str">
        <f t="shared" si="31"/>
        <v>Low Performance</v>
      </c>
      <c r="AE981">
        <v>4</v>
      </c>
      <c r="AF981">
        <v>80</v>
      </c>
      <c r="AG981">
        <v>3</v>
      </c>
      <c r="AH981">
        <v>4</v>
      </c>
      <c r="AI981">
        <v>2</v>
      </c>
      <c r="AJ981">
        <v>3</v>
      </c>
      <c r="AK981" t="str" cm="1">
        <f t="array" ref="AK981">_xlfn.IFS(AJ981&lt;=2,"Poor",AJ981&lt;=3,"Fair",AJ981&gt;3,"Good")</f>
        <v>Fair</v>
      </c>
      <c r="AL981">
        <v>4</v>
      </c>
      <c r="AM981">
        <v>2</v>
      </c>
      <c r="AN981">
        <v>0</v>
      </c>
      <c r="AO981">
        <v>3</v>
      </c>
    </row>
    <row r="982" spans="1:41" x14ac:dyDescent="0.2">
      <c r="A982">
        <v>1415194</v>
      </c>
      <c r="B982">
        <v>34</v>
      </c>
      <c r="C982" t="str" cm="1">
        <f t="array" ref="C982">_xlfn.IFS(B982&lt;=25,"15-25",B982&lt;=35,"26-35",B982&lt;=45,"36-45",B982&lt;=55,"46-55",B982&lt;=65,"56-65")</f>
        <v>26-35</v>
      </c>
      <c r="D982" t="s">
        <v>35</v>
      </c>
      <c r="E982" t="str">
        <f t="shared" si="30"/>
        <v>Current Employee</v>
      </c>
      <c r="F982" t="s">
        <v>36</v>
      </c>
      <c r="G982">
        <v>404</v>
      </c>
      <c r="H982" t="s">
        <v>45</v>
      </c>
      <c r="I982">
        <v>2</v>
      </c>
      <c r="J982">
        <v>4</v>
      </c>
      <c r="K982" t="s">
        <v>56</v>
      </c>
      <c r="L982">
        <v>1</v>
      </c>
      <c r="M982">
        <v>3</v>
      </c>
      <c r="N982" t="s">
        <v>39</v>
      </c>
      <c r="O982">
        <v>98</v>
      </c>
      <c r="P982">
        <v>3</v>
      </c>
      <c r="Q982">
        <v>2</v>
      </c>
      <c r="R982" t="s">
        <v>40</v>
      </c>
      <c r="S982">
        <v>4</v>
      </c>
      <c r="T982" t="str" cm="1">
        <f t="array" ref="T982">_xlfn.IFS(S982&lt;=2,"Poor",S982&lt;=3,"Fair",S982&gt;=4,"Good")</f>
        <v>Good</v>
      </c>
      <c r="U982" t="s">
        <v>41</v>
      </c>
      <c r="V982" s="1">
        <v>6687</v>
      </c>
      <c r="W982" t="str" cm="1">
        <f t="array" ref="W982">_xlfn.IFS(V982&lt;=5000,"Low Salary",V982&lt;=12000,"Good Salary",V982&gt;12000,"High Salary")</f>
        <v>Good Salary</v>
      </c>
      <c r="X982">
        <v>6163</v>
      </c>
      <c r="Y982">
        <v>1</v>
      </c>
      <c r="Z982" t="s">
        <v>42</v>
      </c>
      <c r="AA982" t="s">
        <v>35</v>
      </c>
      <c r="AB982">
        <v>11</v>
      </c>
      <c r="AC982">
        <v>3</v>
      </c>
      <c r="AD982" t="str">
        <f t="shared" si="31"/>
        <v>Low Performance</v>
      </c>
      <c r="AE982">
        <v>4</v>
      </c>
      <c r="AF982">
        <v>80</v>
      </c>
      <c r="AG982">
        <v>0</v>
      </c>
      <c r="AH982">
        <v>14</v>
      </c>
      <c r="AI982">
        <v>2</v>
      </c>
      <c r="AJ982">
        <v>4</v>
      </c>
      <c r="AK982" t="str" cm="1">
        <f t="array" ref="AK982">_xlfn.IFS(AJ982&lt;=2,"Poor",AJ982&lt;=3,"Fair",AJ982&gt;3,"Good")</f>
        <v>Good</v>
      </c>
      <c r="AL982">
        <v>14</v>
      </c>
      <c r="AM982">
        <v>11</v>
      </c>
      <c r="AN982">
        <v>4</v>
      </c>
      <c r="AO982">
        <v>11</v>
      </c>
    </row>
    <row r="983" spans="1:41" x14ac:dyDescent="0.2">
      <c r="A983">
        <v>1176516</v>
      </c>
      <c r="B983">
        <v>28</v>
      </c>
      <c r="C983" t="str" cm="1">
        <f t="array" ref="C983">_xlfn.IFS(B983&lt;=25,"15-25",B983&lt;=35,"26-35",B983&lt;=45,"36-45",B983&lt;=55,"46-55",B983&lt;=65,"56-65")</f>
        <v>26-35</v>
      </c>
      <c r="D983" t="s">
        <v>35</v>
      </c>
      <c r="E983" t="str">
        <f t="shared" si="30"/>
        <v>Current Employee</v>
      </c>
      <c r="F983" t="s">
        <v>36</v>
      </c>
      <c r="G983">
        <v>736</v>
      </c>
      <c r="H983" t="s">
        <v>37</v>
      </c>
      <c r="I983">
        <v>26</v>
      </c>
      <c r="J983">
        <v>3</v>
      </c>
      <c r="K983" t="s">
        <v>38</v>
      </c>
      <c r="L983">
        <v>1</v>
      </c>
      <c r="M983">
        <v>3</v>
      </c>
      <c r="N983" t="s">
        <v>46</v>
      </c>
      <c r="O983">
        <v>48</v>
      </c>
      <c r="P983">
        <v>2</v>
      </c>
      <c r="Q983">
        <v>2</v>
      </c>
      <c r="R983" t="s">
        <v>40</v>
      </c>
      <c r="S983">
        <v>1</v>
      </c>
      <c r="T983" t="str" cm="1">
        <f t="array" ref="T983">_xlfn.IFS(S983&lt;=2,"Poor",S983&lt;=3,"Fair",S983&gt;=4,"Good")</f>
        <v>Poor</v>
      </c>
      <c r="U983" t="s">
        <v>48</v>
      </c>
      <c r="V983" s="1">
        <v>4724</v>
      </c>
      <c r="W983" t="str" cm="1">
        <f t="array" ref="W983">_xlfn.IFS(V983&lt;=5000,"Low Salary",V983&lt;=12000,"Good Salary",V983&gt;12000,"High Salary")</f>
        <v>Low Salary</v>
      </c>
      <c r="X983">
        <v>24232</v>
      </c>
      <c r="Y983">
        <v>1</v>
      </c>
      <c r="Z983" t="s">
        <v>42</v>
      </c>
      <c r="AA983" t="s">
        <v>35</v>
      </c>
      <c r="AB983">
        <v>11</v>
      </c>
      <c r="AC983">
        <v>3</v>
      </c>
      <c r="AD983" t="str">
        <f t="shared" si="31"/>
        <v>Low Performance</v>
      </c>
      <c r="AE983">
        <v>3</v>
      </c>
      <c r="AF983">
        <v>80</v>
      </c>
      <c r="AG983">
        <v>1</v>
      </c>
      <c r="AH983">
        <v>5</v>
      </c>
      <c r="AI983">
        <v>0</v>
      </c>
      <c r="AJ983">
        <v>3</v>
      </c>
      <c r="AK983" t="str" cm="1">
        <f t="array" ref="AK983">_xlfn.IFS(AJ983&lt;=2,"Poor",AJ983&lt;=3,"Fair",AJ983&gt;3,"Good")</f>
        <v>Fair</v>
      </c>
      <c r="AL983">
        <v>5</v>
      </c>
      <c r="AM983">
        <v>3</v>
      </c>
      <c r="AN983">
        <v>0</v>
      </c>
      <c r="AO983">
        <v>4</v>
      </c>
    </row>
    <row r="984" spans="1:41" x14ac:dyDescent="0.2">
      <c r="A984">
        <v>1542102</v>
      </c>
      <c r="B984">
        <v>31</v>
      </c>
      <c r="C984" t="str" cm="1">
        <f t="array" ref="C984">_xlfn.IFS(B984&lt;=25,"15-25",B984&lt;=35,"26-35",B984&lt;=45,"36-45",B984&lt;=55,"46-55",B984&lt;=65,"56-65")</f>
        <v>26-35</v>
      </c>
      <c r="D984" t="s">
        <v>43</v>
      </c>
      <c r="E984" t="str">
        <f t="shared" si="30"/>
        <v>Former Employee</v>
      </c>
      <c r="F984" t="s">
        <v>36</v>
      </c>
      <c r="G984">
        <v>330</v>
      </c>
      <c r="H984" t="s">
        <v>45</v>
      </c>
      <c r="I984">
        <v>22</v>
      </c>
      <c r="J984">
        <v>4</v>
      </c>
      <c r="K984" t="s">
        <v>49</v>
      </c>
      <c r="L984">
        <v>1</v>
      </c>
      <c r="M984">
        <v>4</v>
      </c>
      <c r="N984" t="s">
        <v>46</v>
      </c>
      <c r="O984">
        <v>98</v>
      </c>
      <c r="P984">
        <v>3</v>
      </c>
      <c r="Q984">
        <v>2</v>
      </c>
      <c r="R984" t="s">
        <v>51</v>
      </c>
      <c r="S984">
        <v>3</v>
      </c>
      <c r="T984" t="str" cm="1">
        <f t="array" ref="T984">_xlfn.IFS(S984&lt;=2,"Poor",S984&lt;=3,"Fair",S984&gt;=4,"Good")</f>
        <v>Fair</v>
      </c>
      <c r="U984" t="s">
        <v>48</v>
      </c>
      <c r="V984" s="1">
        <v>6179</v>
      </c>
      <c r="W984" t="str" cm="1">
        <f t="array" ref="W984">_xlfn.IFS(V984&lt;=5000,"Low Salary",V984&lt;=12000,"Good Salary",V984&gt;12000,"High Salary")</f>
        <v>Good Salary</v>
      </c>
      <c r="X984">
        <v>21057</v>
      </c>
      <c r="Y984">
        <v>1</v>
      </c>
      <c r="Z984" t="s">
        <v>42</v>
      </c>
      <c r="AA984" t="s">
        <v>43</v>
      </c>
      <c r="AB984">
        <v>15</v>
      </c>
      <c r="AC984">
        <v>3</v>
      </c>
      <c r="AD984" t="str">
        <f t="shared" si="31"/>
        <v>Low Performance</v>
      </c>
      <c r="AE984">
        <v>4</v>
      </c>
      <c r="AF984">
        <v>80</v>
      </c>
      <c r="AG984">
        <v>2</v>
      </c>
      <c r="AH984">
        <v>10</v>
      </c>
      <c r="AI984">
        <v>3</v>
      </c>
      <c r="AJ984">
        <v>2</v>
      </c>
      <c r="AK984" t="str" cm="1">
        <f t="array" ref="AK984">_xlfn.IFS(AJ984&lt;=2,"Poor",AJ984&lt;=3,"Fair",AJ984&gt;3,"Good")</f>
        <v>Poor</v>
      </c>
      <c r="AL984">
        <v>10</v>
      </c>
      <c r="AM984">
        <v>2</v>
      </c>
      <c r="AN984">
        <v>6</v>
      </c>
      <c r="AO984">
        <v>7</v>
      </c>
    </row>
    <row r="985" spans="1:41" x14ac:dyDescent="0.2">
      <c r="A985">
        <v>1872881</v>
      </c>
      <c r="B985">
        <v>39</v>
      </c>
      <c r="C985" t="str" cm="1">
        <f t="array" ref="C985">_xlfn.IFS(B985&lt;=25,"15-25",B985&lt;=35,"26-35",B985&lt;=45,"36-45",B985&lt;=55,"46-55",B985&lt;=65,"56-65")</f>
        <v>36-45</v>
      </c>
      <c r="D985" t="s">
        <v>35</v>
      </c>
      <c r="E985" t="str">
        <f t="shared" si="30"/>
        <v>Current Employee</v>
      </c>
      <c r="F985" t="s">
        <v>36</v>
      </c>
      <c r="G985">
        <v>1498</v>
      </c>
      <c r="H985" t="s">
        <v>37</v>
      </c>
      <c r="I985">
        <v>21</v>
      </c>
      <c r="J985">
        <v>4</v>
      </c>
      <c r="K985" t="s">
        <v>38</v>
      </c>
      <c r="L985">
        <v>1</v>
      </c>
      <c r="M985">
        <v>1</v>
      </c>
      <c r="N985" t="s">
        <v>46</v>
      </c>
      <c r="O985">
        <v>44</v>
      </c>
      <c r="P985">
        <v>2</v>
      </c>
      <c r="Q985">
        <v>2</v>
      </c>
      <c r="R985" t="s">
        <v>40</v>
      </c>
      <c r="S985">
        <v>4</v>
      </c>
      <c r="T985" t="str" cm="1">
        <f t="array" ref="T985">_xlfn.IFS(S985&lt;=2,"Poor",S985&lt;=3,"Fair",S985&gt;=4,"Good")</f>
        <v>Good</v>
      </c>
      <c r="U985" t="s">
        <v>48</v>
      </c>
      <c r="V985" s="1">
        <v>6120</v>
      </c>
      <c r="W985" t="str" cm="1">
        <f t="array" ref="W985">_xlfn.IFS(V985&lt;=5000,"Low Salary",V985&lt;=12000,"Good Salary",V985&gt;12000,"High Salary")</f>
        <v>Good Salary</v>
      </c>
      <c r="X985">
        <v>3567</v>
      </c>
      <c r="Y985">
        <v>3</v>
      </c>
      <c r="Z985" t="s">
        <v>42</v>
      </c>
      <c r="AA985" t="s">
        <v>43</v>
      </c>
      <c r="AB985">
        <v>12</v>
      </c>
      <c r="AC985">
        <v>3</v>
      </c>
      <c r="AD985" t="str">
        <f t="shared" si="31"/>
        <v>Low Performance</v>
      </c>
      <c r="AE985">
        <v>4</v>
      </c>
      <c r="AF985">
        <v>80</v>
      </c>
      <c r="AG985">
        <v>2</v>
      </c>
      <c r="AH985">
        <v>8</v>
      </c>
      <c r="AI985">
        <v>2</v>
      </c>
      <c r="AJ985">
        <v>4</v>
      </c>
      <c r="AK985" t="str" cm="1">
        <f t="array" ref="AK985">_xlfn.IFS(AJ985&lt;=2,"Poor",AJ985&lt;=3,"Fair",AJ985&gt;3,"Good")</f>
        <v>Good</v>
      </c>
      <c r="AL985">
        <v>5</v>
      </c>
      <c r="AM985">
        <v>4</v>
      </c>
      <c r="AN985">
        <v>1</v>
      </c>
      <c r="AO985">
        <v>4</v>
      </c>
    </row>
    <row r="986" spans="1:41" x14ac:dyDescent="0.2">
      <c r="A986">
        <v>1588882</v>
      </c>
      <c r="B986">
        <v>51</v>
      </c>
      <c r="C986" t="str" cm="1">
        <f t="array" ref="C986">_xlfn.IFS(B986&lt;=25,"15-25",B986&lt;=35,"26-35",B986&lt;=45,"36-45",B986&lt;=55,"46-55",B986&lt;=65,"56-65")</f>
        <v>46-55</v>
      </c>
      <c r="D986" t="s">
        <v>35</v>
      </c>
      <c r="E986" t="str">
        <f t="shared" si="30"/>
        <v>Current Employee</v>
      </c>
      <c r="F986" t="s">
        <v>44</v>
      </c>
      <c r="G986">
        <v>541</v>
      </c>
      <c r="H986" t="s">
        <v>37</v>
      </c>
      <c r="I986">
        <v>2</v>
      </c>
      <c r="J986">
        <v>3</v>
      </c>
      <c r="K986" t="s">
        <v>55</v>
      </c>
      <c r="L986">
        <v>1</v>
      </c>
      <c r="M986">
        <v>2</v>
      </c>
      <c r="N986" t="s">
        <v>46</v>
      </c>
      <c r="O986">
        <v>52</v>
      </c>
      <c r="P986">
        <v>3</v>
      </c>
      <c r="Q986">
        <v>3</v>
      </c>
      <c r="R986" t="s">
        <v>40</v>
      </c>
      <c r="S986">
        <v>2</v>
      </c>
      <c r="T986" t="str" cm="1">
        <f t="array" ref="T986">_xlfn.IFS(S986&lt;=2,"Poor",S986&lt;=3,"Fair",S986&gt;=4,"Good")</f>
        <v>Poor</v>
      </c>
      <c r="U986" t="s">
        <v>48</v>
      </c>
      <c r="V986" s="1">
        <v>10596</v>
      </c>
      <c r="W986" t="str" cm="1">
        <f t="array" ref="W986">_xlfn.IFS(V986&lt;=5000,"Low Salary",V986&lt;=12000,"Good Salary",V986&gt;12000,"High Salary")</f>
        <v>Good Salary</v>
      </c>
      <c r="X986">
        <v>15395</v>
      </c>
      <c r="Y986">
        <v>2</v>
      </c>
      <c r="Z986" t="s">
        <v>42</v>
      </c>
      <c r="AA986" t="s">
        <v>35</v>
      </c>
      <c r="AB986">
        <v>11</v>
      </c>
      <c r="AC986">
        <v>3</v>
      </c>
      <c r="AD986" t="str">
        <f t="shared" si="31"/>
        <v>Low Performance</v>
      </c>
      <c r="AE986">
        <v>2</v>
      </c>
      <c r="AF986">
        <v>80</v>
      </c>
      <c r="AG986">
        <v>0</v>
      </c>
      <c r="AH986">
        <v>14</v>
      </c>
      <c r="AI986">
        <v>5</v>
      </c>
      <c r="AJ986">
        <v>3</v>
      </c>
      <c r="AK986" t="str" cm="1">
        <f t="array" ref="AK986">_xlfn.IFS(AJ986&lt;=2,"Poor",AJ986&lt;=3,"Fair",AJ986&gt;3,"Good")</f>
        <v>Fair</v>
      </c>
      <c r="AL986">
        <v>4</v>
      </c>
      <c r="AM986">
        <v>2</v>
      </c>
      <c r="AN986">
        <v>3</v>
      </c>
      <c r="AO986">
        <v>2</v>
      </c>
    </row>
    <row r="987" spans="1:41" x14ac:dyDescent="0.2">
      <c r="A987">
        <v>1278061</v>
      </c>
      <c r="B987">
        <v>41</v>
      </c>
      <c r="C987" t="str" cm="1">
        <f t="array" ref="C987">_xlfn.IFS(B987&lt;=25,"15-25",B987&lt;=35,"26-35",B987&lt;=45,"36-45",B987&lt;=55,"46-55",B987&lt;=65,"56-65")</f>
        <v>36-45</v>
      </c>
      <c r="D987" t="s">
        <v>35</v>
      </c>
      <c r="E987" t="str">
        <f t="shared" si="30"/>
        <v>Current Employee</v>
      </c>
      <c r="F987" t="s">
        <v>44</v>
      </c>
      <c r="G987">
        <v>1200</v>
      </c>
      <c r="H987" t="s">
        <v>45</v>
      </c>
      <c r="I987">
        <v>22</v>
      </c>
      <c r="J987">
        <v>3</v>
      </c>
      <c r="K987" t="s">
        <v>38</v>
      </c>
      <c r="L987">
        <v>1</v>
      </c>
      <c r="M987">
        <v>4</v>
      </c>
      <c r="N987" t="s">
        <v>39</v>
      </c>
      <c r="O987">
        <v>75</v>
      </c>
      <c r="P987">
        <v>3</v>
      </c>
      <c r="Q987">
        <v>2</v>
      </c>
      <c r="R987" t="s">
        <v>47</v>
      </c>
      <c r="S987">
        <v>4</v>
      </c>
      <c r="T987" t="str" cm="1">
        <f t="array" ref="T987">_xlfn.IFS(S987&lt;=2,"Poor",S987&lt;=3,"Fair",S987&gt;=4,"Good")</f>
        <v>Good</v>
      </c>
      <c r="U987" t="s">
        <v>50</v>
      </c>
      <c r="V987" s="1">
        <v>5467</v>
      </c>
      <c r="W987" t="str" cm="1">
        <f t="array" ref="W987">_xlfn.IFS(V987&lt;=5000,"Low Salary",V987&lt;=12000,"Good Salary",V987&gt;12000,"High Salary")</f>
        <v>Good Salary</v>
      </c>
      <c r="X987">
        <v>13953</v>
      </c>
      <c r="Y987">
        <v>3</v>
      </c>
      <c r="Z987" t="s">
        <v>42</v>
      </c>
      <c r="AA987" t="s">
        <v>43</v>
      </c>
      <c r="AB987">
        <v>14</v>
      </c>
      <c r="AC987">
        <v>3</v>
      </c>
      <c r="AD987" t="str">
        <f t="shared" si="31"/>
        <v>Low Performance</v>
      </c>
      <c r="AE987">
        <v>1</v>
      </c>
      <c r="AF987">
        <v>80</v>
      </c>
      <c r="AG987">
        <v>2</v>
      </c>
      <c r="AH987">
        <v>12</v>
      </c>
      <c r="AI987">
        <v>4</v>
      </c>
      <c r="AJ987">
        <v>2</v>
      </c>
      <c r="AK987" t="str" cm="1">
        <f t="array" ref="AK987">_xlfn.IFS(AJ987&lt;=2,"Poor",AJ987&lt;=3,"Fair",AJ987&gt;3,"Good")</f>
        <v>Poor</v>
      </c>
      <c r="AL987">
        <v>6</v>
      </c>
      <c r="AM987">
        <v>2</v>
      </c>
      <c r="AN987">
        <v>3</v>
      </c>
      <c r="AO987">
        <v>3</v>
      </c>
    </row>
    <row r="988" spans="1:41" x14ac:dyDescent="0.2">
      <c r="A988">
        <v>1220976</v>
      </c>
      <c r="B988">
        <v>37</v>
      </c>
      <c r="C988" t="str" cm="1">
        <f t="array" ref="C988">_xlfn.IFS(B988&lt;=25,"15-25",B988&lt;=35,"26-35",B988&lt;=45,"36-45",B988&lt;=55,"46-55",B988&lt;=65,"56-65")</f>
        <v>36-45</v>
      </c>
      <c r="D988" t="s">
        <v>35</v>
      </c>
      <c r="E988" t="str">
        <f t="shared" si="30"/>
        <v>Current Employee</v>
      </c>
      <c r="F988" t="s">
        <v>36</v>
      </c>
      <c r="G988">
        <v>1439</v>
      </c>
      <c r="H988" t="s">
        <v>45</v>
      </c>
      <c r="I988">
        <v>4</v>
      </c>
      <c r="J988">
        <v>1</v>
      </c>
      <c r="K988" t="s">
        <v>38</v>
      </c>
      <c r="L988">
        <v>1</v>
      </c>
      <c r="M988">
        <v>3</v>
      </c>
      <c r="N988" t="s">
        <v>46</v>
      </c>
      <c r="O988">
        <v>54</v>
      </c>
      <c r="P988">
        <v>3</v>
      </c>
      <c r="Q988">
        <v>1</v>
      </c>
      <c r="R988" t="s">
        <v>47</v>
      </c>
      <c r="S988">
        <v>3</v>
      </c>
      <c r="T988" t="str" cm="1">
        <f t="array" ref="T988">_xlfn.IFS(S988&lt;=2,"Poor",S988&lt;=3,"Fair",S988&gt;=4,"Good")</f>
        <v>Fair</v>
      </c>
      <c r="U988" t="s">
        <v>48</v>
      </c>
      <c r="V988" s="1">
        <v>2996</v>
      </c>
      <c r="W988" t="str" cm="1">
        <f t="array" ref="W988">_xlfn.IFS(V988&lt;=5000,"Low Salary",V988&lt;=12000,"Good Salary",V988&gt;12000,"High Salary")</f>
        <v>Low Salary</v>
      </c>
      <c r="X988">
        <v>5182</v>
      </c>
      <c r="Y988">
        <v>7</v>
      </c>
      <c r="Z988" t="s">
        <v>42</v>
      </c>
      <c r="AA988" t="s">
        <v>43</v>
      </c>
      <c r="AB988">
        <v>15</v>
      </c>
      <c r="AC988">
        <v>3</v>
      </c>
      <c r="AD988" t="str">
        <f t="shared" si="31"/>
        <v>Low Performance</v>
      </c>
      <c r="AE988">
        <v>4</v>
      </c>
      <c r="AF988">
        <v>80</v>
      </c>
      <c r="AG988">
        <v>0</v>
      </c>
      <c r="AH988">
        <v>8</v>
      </c>
      <c r="AI988">
        <v>2</v>
      </c>
      <c r="AJ988">
        <v>3</v>
      </c>
      <c r="AK988" t="str" cm="1">
        <f t="array" ref="AK988">_xlfn.IFS(AJ988&lt;=2,"Poor",AJ988&lt;=3,"Fair",AJ988&gt;3,"Good")</f>
        <v>Fair</v>
      </c>
      <c r="AL988">
        <v>6</v>
      </c>
      <c r="AM988">
        <v>4</v>
      </c>
      <c r="AN988">
        <v>1</v>
      </c>
      <c r="AO988">
        <v>3</v>
      </c>
    </row>
    <row r="989" spans="1:41" x14ac:dyDescent="0.2">
      <c r="A989">
        <v>1068192</v>
      </c>
      <c r="B989">
        <v>33</v>
      </c>
      <c r="C989" t="str" cm="1">
        <f t="array" ref="C989">_xlfn.IFS(B989&lt;=25,"15-25",B989&lt;=35,"26-35",B989&lt;=45,"36-45",B989&lt;=55,"46-55",B989&lt;=65,"56-65")</f>
        <v>26-35</v>
      </c>
      <c r="D989" t="s">
        <v>35</v>
      </c>
      <c r="E989" t="str">
        <f t="shared" si="30"/>
        <v>Current Employee</v>
      </c>
      <c r="F989" t="s">
        <v>44</v>
      </c>
      <c r="G989">
        <v>1111</v>
      </c>
      <c r="H989" t="s">
        <v>37</v>
      </c>
      <c r="I989">
        <v>5</v>
      </c>
      <c r="J989">
        <v>1</v>
      </c>
      <c r="K989" t="s">
        <v>38</v>
      </c>
      <c r="L989">
        <v>1</v>
      </c>
      <c r="M989">
        <v>2</v>
      </c>
      <c r="N989" t="s">
        <v>46</v>
      </c>
      <c r="O989">
        <v>61</v>
      </c>
      <c r="P989">
        <v>3</v>
      </c>
      <c r="Q989">
        <v>2</v>
      </c>
      <c r="R989" t="s">
        <v>40</v>
      </c>
      <c r="S989">
        <v>4</v>
      </c>
      <c r="T989" t="str" cm="1">
        <f t="array" ref="T989">_xlfn.IFS(S989&lt;=2,"Poor",S989&lt;=3,"Fair",S989&gt;=4,"Good")</f>
        <v>Good</v>
      </c>
      <c r="U989" t="s">
        <v>48</v>
      </c>
      <c r="V989" s="1">
        <v>9998</v>
      </c>
      <c r="W989" t="str" cm="1">
        <f t="array" ref="W989">_xlfn.IFS(V989&lt;=5000,"Low Salary",V989&lt;=12000,"Good Salary",V989&gt;12000,"High Salary")</f>
        <v>Good Salary</v>
      </c>
      <c r="X989">
        <v>19293</v>
      </c>
      <c r="Y989">
        <v>6</v>
      </c>
      <c r="Z989" t="s">
        <v>42</v>
      </c>
      <c r="AA989" t="s">
        <v>35</v>
      </c>
      <c r="AB989">
        <v>13</v>
      </c>
      <c r="AC989">
        <v>3</v>
      </c>
      <c r="AD989" t="str">
        <f t="shared" si="31"/>
        <v>Low Performance</v>
      </c>
      <c r="AE989">
        <v>1</v>
      </c>
      <c r="AF989">
        <v>80</v>
      </c>
      <c r="AG989">
        <v>0</v>
      </c>
      <c r="AH989">
        <v>8</v>
      </c>
      <c r="AI989">
        <v>2</v>
      </c>
      <c r="AJ989">
        <v>4</v>
      </c>
      <c r="AK989" t="str" cm="1">
        <f t="array" ref="AK989">_xlfn.IFS(AJ989&lt;=2,"Poor",AJ989&lt;=3,"Fair",AJ989&gt;3,"Good")</f>
        <v>Good</v>
      </c>
      <c r="AL989">
        <v>5</v>
      </c>
      <c r="AM989">
        <v>4</v>
      </c>
      <c r="AN989">
        <v>1</v>
      </c>
      <c r="AO989">
        <v>2</v>
      </c>
    </row>
    <row r="990" spans="1:41" x14ac:dyDescent="0.2">
      <c r="A990">
        <v>1633178</v>
      </c>
      <c r="B990">
        <v>32</v>
      </c>
      <c r="C990" t="str" cm="1">
        <f t="array" ref="C990">_xlfn.IFS(B990&lt;=25,"15-25",B990&lt;=35,"26-35",B990&lt;=45,"36-45",B990&lt;=55,"46-55",B990&lt;=65,"56-65")</f>
        <v>26-35</v>
      </c>
      <c r="D990" t="s">
        <v>35</v>
      </c>
      <c r="E990" t="str">
        <f t="shared" si="30"/>
        <v>Current Employee</v>
      </c>
      <c r="F990" t="s">
        <v>36</v>
      </c>
      <c r="G990">
        <v>499</v>
      </c>
      <c r="H990" t="s">
        <v>37</v>
      </c>
      <c r="I990">
        <v>2</v>
      </c>
      <c r="J990">
        <v>1</v>
      </c>
      <c r="K990" t="s">
        <v>55</v>
      </c>
      <c r="L990">
        <v>1</v>
      </c>
      <c r="M990">
        <v>3</v>
      </c>
      <c r="N990" t="s">
        <v>46</v>
      </c>
      <c r="O990">
        <v>36</v>
      </c>
      <c r="P990">
        <v>3</v>
      </c>
      <c r="Q990">
        <v>2</v>
      </c>
      <c r="R990" t="s">
        <v>40</v>
      </c>
      <c r="S990">
        <v>2</v>
      </c>
      <c r="T990" t="str" cm="1">
        <f t="array" ref="T990">_xlfn.IFS(S990&lt;=2,"Poor",S990&lt;=3,"Fair",S990&gt;=4,"Good")</f>
        <v>Poor</v>
      </c>
      <c r="U990" t="s">
        <v>48</v>
      </c>
      <c r="V990" s="1">
        <v>4078</v>
      </c>
      <c r="W990" t="str" cm="1">
        <f t="array" ref="W990">_xlfn.IFS(V990&lt;=5000,"Low Salary",V990&lt;=12000,"Good Salary",V990&gt;12000,"High Salary")</f>
        <v>Low Salary</v>
      </c>
      <c r="X990">
        <v>20497</v>
      </c>
      <c r="Y990">
        <v>0</v>
      </c>
      <c r="Z990" t="s">
        <v>42</v>
      </c>
      <c r="AA990" t="s">
        <v>43</v>
      </c>
      <c r="AB990">
        <v>13</v>
      </c>
      <c r="AC990">
        <v>3</v>
      </c>
      <c r="AD990" t="str">
        <f t="shared" si="31"/>
        <v>Low Performance</v>
      </c>
      <c r="AE990">
        <v>1</v>
      </c>
      <c r="AF990">
        <v>80</v>
      </c>
      <c r="AG990">
        <v>3</v>
      </c>
      <c r="AH990">
        <v>4</v>
      </c>
      <c r="AI990">
        <v>3</v>
      </c>
      <c r="AJ990">
        <v>2</v>
      </c>
      <c r="AK990" t="str" cm="1">
        <f t="array" ref="AK990">_xlfn.IFS(AJ990&lt;=2,"Poor",AJ990&lt;=3,"Fair",AJ990&gt;3,"Good")</f>
        <v>Poor</v>
      </c>
      <c r="AL990">
        <v>3</v>
      </c>
      <c r="AM990">
        <v>2</v>
      </c>
      <c r="AN990">
        <v>1</v>
      </c>
      <c r="AO990">
        <v>2</v>
      </c>
    </row>
    <row r="991" spans="1:41" x14ac:dyDescent="0.2">
      <c r="A991">
        <v>1432591</v>
      </c>
      <c r="B991">
        <v>39</v>
      </c>
      <c r="C991" t="str" cm="1">
        <f t="array" ref="C991">_xlfn.IFS(B991&lt;=25,"15-25",B991&lt;=35,"26-35",B991&lt;=45,"36-45",B991&lt;=55,"46-55",B991&lt;=65,"56-65")</f>
        <v>36-45</v>
      </c>
      <c r="D991" t="s">
        <v>35</v>
      </c>
      <c r="E991" t="str">
        <f t="shared" si="30"/>
        <v>Current Employee</v>
      </c>
      <c r="F991" t="s">
        <v>52</v>
      </c>
      <c r="G991">
        <v>1485</v>
      </c>
      <c r="H991" t="s">
        <v>45</v>
      </c>
      <c r="I991">
        <v>25</v>
      </c>
      <c r="J991">
        <v>2</v>
      </c>
      <c r="K991" t="s">
        <v>38</v>
      </c>
      <c r="L991">
        <v>1</v>
      </c>
      <c r="M991">
        <v>3</v>
      </c>
      <c r="N991" t="s">
        <v>46</v>
      </c>
      <c r="O991">
        <v>71</v>
      </c>
      <c r="P991">
        <v>3</v>
      </c>
      <c r="Q991">
        <v>3</v>
      </c>
      <c r="R991" t="s">
        <v>40</v>
      </c>
      <c r="S991">
        <v>3</v>
      </c>
      <c r="T991" t="str" cm="1">
        <f t="array" ref="T991">_xlfn.IFS(S991&lt;=2,"Poor",S991&lt;=3,"Fair",S991&gt;=4,"Good")</f>
        <v>Fair</v>
      </c>
      <c r="U991" t="s">
        <v>48</v>
      </c>
      <c r="V991" s="1">
        <v>10920</v>
      </c>
      <c r="W991" t="str" cm="1">
        <f t="array" ref="W991">_xlfn.IFS(V991&lt;=5000,"Low Salary",V991&lt;=12000,"Good Salary",V991&gt;12000,"High Salary")</f>
        <v>Good Salary</v>
      </c>
      <c r="X991">
        <v>3449</v>
      </c>
      <c r="Y991">
        <v>3</v>
      </c>
      <c r="Z991" t="s">
        <v>42</v>
      </c>
      <c r="AA991" t="s">
        <v>35</v>
      </c>
      <c r="AB991">
        <v>21</v>
      </c>
      <c r="AC991">
        <v>4</v>
      </c>
      <c r="AD991" t="str">
        <f t="shared" si="31"/>
        <v>High Performance</v>
      </c>
      <c r="AE991">
        <v>2</v>
      </c>
      <c r="AF991">
        <v>80</v>
      </c>
      <c r="AG991">
        <v>1</v>
      </c>
      <c r="AH991">
        <v>13</v>
      </c>
      <c r="AI991">
        <v>2</v>
      </c>
      <c r="AJ991">
        <v>3</v>
      </c>
      <c r="AK991" t="str" cm="1">
        <f t="array" ref="AK991">_xlfn.IFS(AJ991&lt;=2,"Poor",AJ991&lt;=3,"Fair",AJ991&gt;3,"Good")</f>
        <v>Fair</v>
      </c>
      <c r="AL991">
        <v>6</v>
      </c>
      <c r="AM991">
        <v>4</v>
      </c>
      <c r="AN991">
        <v>0</v>
      </c>
      <c r="AO991">
        <v>5</v>
      </c>
    </row>
    <row r="992" spans="1:41" x14ac:dyDescent="0.2">
      <c r="A992">
        <v>1844995</v>
      </c>
      <c r="B992">
        <v>25</v>
      </c>
      <c r="C992" t="str" cm="1">
        <f t="array" ref="C992">_xlfn.IFS(B992&lt;=25,"15-25",B992&lt;=35,"26-35",B992&lt;=45,"36-45",B992&lt;=55,"46-55",B992&lt;=65,"56-65")</f>
        <v>15-25</v>
      </c>
      <c r="D992" t="s">
        <v>35</v>
      </c>
      <c r="E992" t="str">
        <f t="shared" si="30"/>
        <v>Current Employee</v>
      </c>
      <c r="F992" t="s">
        <v>36</v>
      </c>
      <c r="G992">
        <v>1372</v>
      </c>
      <c r="H992" t="s">
        <v>37</v>
      </c>
      <c r="I992">
        <v>18</v>
      </c>
      <c r="J992">
        <v>1</v>
      </c>
      <c r="K992" t="s">
        <v>38</v>
      </c>
      <c r="L992">
        <v>1</v>
      </c>
      <c r="M992">
        <v>1</v>
      </c>
      <c r="N992" t="s">
        <v>46</v>
      </c>
      <c r="O992">
        <v>93</v>
      </c>
      <c r="P992">
        <v>4</v>
      </c>
      <c r="Q992">
        <v>2</v>
      </c>
      <c r="R992" t="s">
        <v>40</v>
      </c>
      <c r="S992">
        <v>3</v>
      </c>
      <c r="T992" t="str" cm="1">
        <f t="array" ref="T992">_xlfn.IFS(S992&lt;=2,"Poor",S992&lt;=3,"Fair",S992&gt;=4,"Good")</f>
        <v>Fair</v>
      </c>
      <c r="U992" t="s">
        <v>48</v>
      </c>
      <c r="V992" s="1">
        <v>6232</v>
      </c>
      <c r="W992" t="str" cm="1">
        <f t="array" ref="W992">_xlfn.IFS(V992&lt;=5000,"Low Salary",V992&lt;=12000,"Good Salary",V992&gt;12000,"High Salary")</f>
        <v>Good Salary</v>
      </c>
      <c r="X992">
        <v>12477</v>
      </c>
      <c r="Y992">
        <v>2</v>
      </c>
      <c r="Z992" t="s">
        <v>42</v>
      </c>
      <c r="AA992" t="s">
        <v>35</v>
      </c>
      <c r="AB992">
        <v>11</v>
      </c>
      <c r="AC992">
        <v>3</v>
      </c>
      <c r="AD992" t="str">
        <f t="shared" si="31"/>
        <v>Low Performance</v>
      </c>
      <c r="AE992">
        <v>2</v>
      </c>
      <c r="AF992">
        <v>80</v>
      </c>
      <c r="AG992">
        <v>0</v>
      </c>
      <c r="AH992">
        <v>6</v>
      </c>
      <c r="AI992">
        <v>3</v>
      </c>
      <c r="AJ992">
        <v>2</v>
      </c>
      <c r="AK992" t="str" cm="1">
        <f t="array" ref="AK992">_xlfn.IFS(AJ992&lt;=2,"Poor",AJ992&lt;=3,"Fair",AJ992&gt;3,"Good")</f>
        <v>Poor</v>
      </c>
      <c r="AL992">
        <v>3</v>
      </c>
      <c r="AM992">
        <v>2</v>
      </c>
      <c r="AN992">
        <v>1</v>
      </c>
      <c r="AO992">
        <v>2</v>
      </c>
    </row>
    <row r="993" spans="1:41" x14ac:dyDescent="0.2">
      <c r="A993">
        <v>1162157</v>
      </c>
      <c r="B993">
        <v>52</v>
      </c>
      <c r="C993" t="str" cm="1">
        <f t="array" ref="C993">_xlfn.IFS(B993&lt;=25,"15-25",B993&lt;=35,"26-35",B993&lt;=45,"36-45",B993&lt;=55,"46-55",B993&lt;=65,"56-65")</f>
        <v>46-55</v>
      </c>
      <c r="D993" t="s">
        <v>35</v>
      </c>
      <c r="E993" t="str">
        <f t="shared" si="30"/>
        <v>Current Employee</v>
      </c>
      <c r="F993" t="s">
        <v>44</v>
      </c>
      <c r="G993">
        <v>322</v>
      </c>
      <c r="H993" t="s">
        <v>45</v>
      </c>
      <c r="I993">
        <v>28</v>
      </c>
      <c r="J993">
        <v>2</v>
      </c>
      <c r="K993" t="s">
        <v>49</v>
      </c>
      <c r="L993">
        <v>1</v>
      </c>
      <c r="M993">
        <v>4</v>
      </c>
      <c r="N993" t="s">
        <v>39</v>
      </c>
      <c r="O993">
        <v>59</v>
      </c>
      <c r="P993">
        <v>4</v>
      </c>
      <c r="Q993">
        <v>4</v>
      </c>
      <c r="R993" t="s">
        <v>51</v>
      </c>
      <c r="S993">
        <v>3</v>
      </c>
      <c r="T993" t="str" cm="1">
        <f t="array" ref="T993">_xlfn.IFS(S993&lt;=2,"Poor",S993&lt;=3,"Fair",S993&gt;=4,"Good")</f>
        <v>Fair</v>
      </c>
      <c r="U993" t="s">
        <v>48</v>
      </c>
      <c r="V993" s="1">
        <v>13247</v>
      </c>
      <c r="W993" t="str" cm="1">
        <f t="array" ref="W993">_xlfn.IFS(V993&lt;=5000,"Low Salary",V993&lt;=12000,"Good Salary",V993&gt;12000,"High Salary")</f>
        <v>High Salary</v>
      </c>
      <c r="X993">
        <v>9731</v>
      </c>
      <c r="Y993">
        <v>2</v>
      </c>
      <c r="Z993" t="s">
        <v>42</v>
      </c>
      <c r="AA993" t="s">
        <v>43</v>
      </c>
      <c r="AB993">
        <v>11</v>
      </c>
      <c r="AC993">
        <v>3</v>
      </c>
      <c r="AD993" t="str">
        <f t="shared" si="31"/>
        <v>Low Performance</v>
      </c>
      <c r="AE993">
        <v>2</v>
      </c>
      <c r="AF993">
        <v>80</v>
      </c>
      <c r="AG993">
        <v>1</v>
      </c>
      <c r="AH993">
        <v>24</v>
      </c>
      <c r="AI993">
        <v>3</v>
      </c>
      <c r="AJ993">
        <v>2</v>
      </c>
      <c r="AK993" t="str" cm="1">
        <f t="array" ref="AK993">_xlfn.IFS(AJ993&lt;=2,"Poor",AJ993&lt;=3,"Fair",AJ993&gt;3,"Good")</f>
        <v>Poor</v>
      </c>
      <c r="AL993">
        <v>5</v>
      </c>
      <c r="AM993">
        <v>3</v>
      </c>
      <c r="AN993">
        <v>0</v>
      </c>
      <c r="AO993">
        <v>2</v>
      </c>
    </row>
    <row r="994" spans="1:41" x14ac:dyDescent="0.2">
      <c r="A994">
        <v>1084924</v>
      </c>
      <c r="B994">
        <v>43</v>
      </c>
      <c r="C994" t="str" cm="1">
        <f t="array" ref="C994">_xlfn.IFS(B994&lt;=25,"15-25",B994&lt;=35,"26-35",B994&lt;=45,"36-45",B994&lt;=55,"46-55",B994&lt;=65,"56-65")</f>
        <v>36-45</v>
      </c>
      <c r="D994" t="s">
        <v>35</v>
      </c>
      <c r="E994" t="str">
        <f t="shared" si="30"/>
        <v>Current Employee</v>
      </c>
      <c r="F994" t="s">
        <v>36</v>
      </c>
      <c r="G994">
        <v>930</v>
      </c>
      <c r="H994" t="s">
        <v>45</v>
      </c>
      <c r="I994">
        <v>6</v>
      </c>
      <c r="J994">
        <v>3</v>
      </c>
      <c r="K994" t="s">
        <v>49</v>
      </c>
      <c r="L994">
        <v>1</v>
      </c>
      <c r="M994">
        <v>1</v>
      </c>
      <c r="N994" t="s">
        <v>39</v>
      </c>
      <c r="O994">
        <v>73</v>
      </c>
      <c r="P994">
        <v>2</v>
      </c>
      <c r="Q994">
        <v>2</v>
      </c>
      <c r="R994" t="s">
        <v>47</v>
      </c>
      <c r="S994">
        <v>3</v>
      </c>
      <c r="T994" t="str" cm="1">
        <f t="array" ref="T994">_xlfn.IFS(S994&lt;=2,"Poor",S994&lt;=3,"Fair",S994&gt;=4,"Good")</f>
        <v>Fair</v>
      </c>
      <c r="U994" t="s">
        <v>41</v>
      </c>
      <c r="V994" s="1">
        <v>4081</v>
      </c>
      <c r="W994" t="str" cm="1">
        <f t="array" ref="W994">_xlfn.IFS(V994&lt;=5000,"Low Salary",V994&lt;=12000,"Good Salary",V994&gt;12000,"High Salary")</f>
        <v>Low Salary</v>
      </c>
      <c r="X994">
        <v>20003</v>
      </c>
      <c r="Y994">
        <v>1</v>
      </c>
      <c r="Z994" t="s">
        <v>42</v>
      </c>
      <c r="AA994" t="s">
        <v>43</v>
      </c>
      <c r="AB994">
        <v>14</v>
      </c>
      <c r="AC994">
        <v>3</v>
      </c>
      <c r="AD994" t="str">
        <f t="shared" si="31"/>
        <v>Low Performance</v>
      </c>
      <c r="AE994">
        <v>1</v>
      </c>
      <c r="AF994">
        <v>80</v>
      </c>
      <c r="AG994">
        <v>0</v>
      </c>
      <c r="AH994">
        <v>20</v>
      </c>
      <c r="AI994">
        <v>3</v>
      </c>
      <c r="AJ994">
        <v>1</v>
      </c>
      <c r="AK994" t="str" cm="1">
        <f t="array" ref="AK994">_xlfn.IFS(AJ994&lt;=2,"Poor",AJ994&lt;=3,"Fair",AJ994&gt;3,"Good")</f>
        <v>Poor</v>
      </c>
      <c r="AL994">
        <v>20</v>
      </c>
      <c r="AM994">
        <v>7</v>
      </c>
      <c r="AN994">
        <v>1</v>
      </c>
      <c r="AO994">
        <v>8</v>
      </c>
    </row>
    <row r="995" spans="1:41" x14ac:dyDescent="0.2">
      <c r="A995">
        <v>1229066</v>
      </c>
      <c r="B995">
        <v>27</v>
      </c>
      <c r="C995" t="str" cm="1">
        <f t="array" ref="C995">_xlfn.IFS(B995&lt;=25,"15-25",B995&lt;=35,"26-35",B995&lt;=45,"36-45",B995&lt;=55,"46-55",B995&lt;=65,"56-65")</f>
        <v>26-35</v>
      </c>
      <c r="D995" t="s">
        <v>35</v>
      </c>
      <c r="E995" t="str">
        <f t="shared" si="30"/>
        <v>Current Employee</v>
      </c>
      <c r="F995" t="s">
        <v>36</v>
      </c>
      <c r="G995">
        <v>205</v>
      </c>
      <c r="H995" t="s">
        <v>37</v>
      </c>
      <c r="I995">
        <v>10</v>
      </c>
      <c r="J995">
        <v>3</v>
      </c>
      <c r="K995" t="s">
        <v>55</v>
      </c>
      <c r="L995">
        <v>1</v>
      </c>
      <c r="M995">
        <v>4</v>
      </c>
      <c r="N995" t="s">
        <v>39</v>
      </c>
      <c r="O995">
        <v>98</v>
      </c>
      <c r="P995">
        <v>2</v>
      </c>
      <c r="Q995">
        <v>2</v>
      </c>
      <c r="R995" t="s">
        <v>40</v>
      </c>
      <c r="S995">
        <v>4</v>
      </c>
      <c r="T995" t="str" cm="1">
        <f t="array" ref="T995">_xlfn.IFS(S995&lt;=2,"Poor",S995&lt;=3,"Fair",S995&gt;=4,"Good")</f>
        <v>Good</v>
      </c>
      <c r="U995" t="s">
        <v>48</v>
      </c>
      <c r="V995" s="1">
        <v>5769</v>
      </c>
      <c r="W995" t="str" cm="1">
        <f t="array" ref="W995">_xlfn.IFS(V995&lt;=5000,"Low Salary",V995&lt;=12000,"Good Salary",V995&gt;12000,"High Salary")</f>
        <v>Good Salary</v>
      </c>
      <c r="X995">
        <v>7100</v>
      </c>
      <c r="Y995">
        <v>1</v>
      </c>
      <c r="Z995" t="s">
        <v>42</v>
      </c>
      <c r="AA995" t="s">
        <v>43</v>
      </c>
      <c r="AB995">
        <v>11</v>
      </c>
      <c r="AC995">
        <v>3</v>
      </c>
      <c r="AD995" t="str">
        <f t="shared" si="31"/>
        <v>Low Performance</v>
      </c>
      <c r="AE995">
        <v>4</v>
      </c>
      <c r="AF995">
        <v>80</v>
      </c>
      <c r="AG995">
        <v>0</v>
      </c>
      <c r="AH995">
        <v>6</v>
      </c>
      <c r="AI995">
        <v>3</v>
      </c>
      <c r="AJ995">
        <v>3</v>
      </c>
      <c r="AK995" t="str" cm="1">
        <f t="array" ref="AK995">_xlfn.IFS(AJ995&lt;=2,"Poor",AJ995&lt;=3,"Fair",AJ995&gt;3,"Good")</f>
        <v>Fair</v>
      </c>
      <c r="AL995">
        <v>6</v>
      </c>
      <c r="AM995">
        <v>2</v>
      </c>
      <c r="AN995">
        <v>4</v>
      </c>
      <c r="AO995">
        <v>4</v>
      </c>
    </row>
    <row r="996" spans="1:41" x14ac:dyDescent="0.2">
      <c r="A996">
        <v>1526314</v>
      </c>
      <c r="B996">
        <v>27</v>
      </c>
      <c r="C996" t="str" cm="1">
        <f t="array" ref="C996">_xlfn.IFS(B996&lt;=25,"15-25",B996&lt;=35,"26-35",B996&lt;=45,"36-45",B996&lt;=55,"46-55",B996&lt;=65,"56-65")</f>
        <v>26-35</v>
      </c>
      <c r="D996" t="s">
        <v>43</v>
      </c>
      <c r="E996" t="str">
        <f t="shared" si="30"/>
        <v>Former Employee</v>
      </c>
      <c r="F996" t="s">
        <v>36</v>
      </c>
      <c r="G996">
        <v>135</v>
      </c>
      <c r="H996" t="s">
        <v>45</v>
      </c>
      <c r="I996">
        <v>17</v>
      </c>
      <c r="J996">
        <v>4</v>
      </c>
      <c r="K996" t="s">
        <v>38</v>
      </c>
      <c r="L996">
        <v>1</v>
      </c>
      <c r="M996">
        <v>4</v>
      </c>
      <c r="N996" t="s">
        <v>39</v>
      </c>
      <c r="O996">
        <v>51</v>
      </c>
      <c r="P996">
        <v>3</v>
      </c>
      <c r="Q996">
        <v>1</v>
      </c>
      <c r="R996" t="s">
        <v>47</v>
      </c>
      <c r="S996">
        <v>3</v>
      </c>
      <c r="T996" t="str" cm="1">
        <f t="array" ref="T996">_xlfn.IFS(S996&lt;=2,"Poor",S996&lt;=3,"Fair",S996&gt;=4,"Good")</f>
        <v>Fair</v>
      </c>
      <c r="U996" t="s">
        <v>41</v>
      </c>
      <c r="V996" s="1">
        <v>2394</v>
      </c>
      <c r="W996" t="str" cm="1">
        <f t="array" ref="W996">_xlfn.IFS(V996&lt;=5000,"Low Salary",V996&lt;=12000,"Good Salary",V996&gt;12000,"High Salary")</f>
        <v>Low Salary</v>
      </c>
      <c r="X996">
        <v>25681</v>
      </c>
      <c r="Y996">
        <v>1</v>
      </c>
      <c r="Z996" t="s">
        <v>42</v>
      </c>
      <c r="AA996" t="s">
        <v>43</v>
      </c>
      <c r="AB996">
        <v>13</v>
      </c>
      <c r="AC996">
        <v>3</v>
      </c>
      <c r="AD996" t="str">
        <f t="shared" si="31"/>
        <v>Low Performance</v>
      </c>
      <c r="AE996">
        <v>4</v>
      </c>
      <c r="AF996">
        <v>80</v>
      </c>
      <c r="AG996">
        <v>0</v>
      </c>
      <c r="AH996">
        <v>8</v>
      </c>
      <c r="AI996">
        <v>2</v>
      </c>
      <c r="AJ996">
        <v>3</v>
      </c>
      <c r="AK996" t="str" cm="1">
        <f t="array" ref="AK996">_xlfn.IFS(AJ996&lt;=2,"Poor",AJ996&lt;=3,"Fair",AJ996&gt;3,"Good")</f>
        <v>Fair</v>
      </c>
      <c r="AL996">
        <v>8</v>
      </c>
      <c r="AM996">
        <v>2</v>
      </c>
      <c r="AN996">
        <v>7</v>
      </c>
      <c r="AO996">
        <v>7</v>
      </c>
    </row>
    <row r="997" spans="1:41" x14ac:dyDescent="0.2">
      <c r="A997">
        <v>1339537</v>
      </c>
      <c r="B997">
        <v>26</v>
      </c>
      <c r="C997" t="str" cm="1">
        <f t="array" ref="C997">_xlfn.IFS(B997&lt;=25,"15-25",B997&lt;=35,"26-35",B997&lt;=45,"36-45",B997&lt;=55,"46-55",B997&lt;=65,"56-65")</f>
        <v>26-35</v>
      </c>
      <c r="D997" t="s">
        <v>35</v>
      </c>
      <c r="E997" t="str">
        <f t="shared" si="30"/>
        <v>Current Employee</v>
      </c>
      <c r="F997" t="s">
        <v>36</v>
      </c>
      <c r="G997">
        <v>683</v>
      </c>
      <c r="H997" t="s">
        <v>45</v>
      </c>
      <c r="I997">
        <v>2</v>
      </c>
      <c r="J997">
        <v>1</v>
      </c>
      <c r="K997" t="s">
        <v>49</v>
      </c>
      <c r="L997">
        <v>1</v>
      </c>
      <c r="M997">
        <v>1</v>
      </c>
      <c r="N997" t="s">
        <v>46</v>
      </c>
      <c r="O997">
        <v>36</v>
      </c>
      <c r="P997">
        <v>2</v>
      </c>
      <c r="Q997">
        <v>1</v>
      </c>
      <c r="R997" t="s">
        <v>47</v>
      </c>
      <c r="S997">
        <v>4</v>
      </c>
      <c r="T997" t="str" cm="1">
        <f t="array" ref="T997">_xlfn.IFS(S997&lt;=2,"Poor",S997&lt;=3,"Fair",S997&gt;=4,"Good")</f>
        <v>Good</v>
      </c>
      <c r="U997" t="s">
        <v>41</v>
      </c>
      <c r="V997" s="1">
        <v>3904</v>
      </c>
      <c r="W997" t="str" cm="1">
        <f t="array" ref="W997">_xlfn.IFS(V997&lt;=5000,"Low Salary",V997&lt;=12000,"Good Salary",V997&gt;12000,"High Salary")</f>
        <v>Low Salary</v>
      </c>
      <c r="X997">
        <v>4050</v>
      </c>
      <c r="Y997">
        <v>0</v>
      </c>
      <c r="Z997" t="s">
        <v>42</v>
      </c>
      <c r="AA997" t="s">
        <v>35</v>
      </c>
      <c r="AB997">
        <v>12</v>
      </c>
      <c r="AC997">
        <v>3</v>
      </c>
      <c r="AD997" t="str">
        <f t="shared" si="31"/>
        <v>Low Performance</v>
      </c>
      <c r="AE997">
        <v>4</v>
      </c>
      <c r="AF997">
        <v>80</v>
      </c>
      <c r="AG997">
        <v>0</v>
      </c>
      <c r="AH997">
        <v>5</v>
      </c>
      <c r="AI997">
        <v>2</v>
      </c>
      <c r="AJ997">
        <v>3</v>
      </c>
      <c r="AK997" t="str" cm="1">
        <f t="array" ref="AK997">_xlfn.IFS(AJ997&lt;=2,"Poor",AJ997&lt;=3,"Fair",AJ997&gt;3,"Good")</f>
        <v>Fair</v>
      </c>
      <c r="AL997">
        <v>4</v>
      </c>
      <c r="AM997">
        <v>3</v>
      </c>
      <c r="AN997">
        <v>1</v>
      </c>
      <c r="AO997">
        <v>1</v>
      </c>
    </row>
    <row r="998" spans="1:41" x14ac:dyDescent="0.2">
      <c r="A998">
        <v>1112703</v>
      </c>
      <c r="B998">
        <v>42</v>
      </c>
      <c r="C998" t="str" cm="1">
        <f t="array" ref="C998">_xlfn.IFS(B998&lt;=25,"15-25",B998&lt;=35,"26-35",B998&lt;=45,"36-45",B998&lt;=55,"46-55",B998&lt;=65,"56-65")</f>
        <v>36-45</v>
      </c>
      <c r="D998" t="s">
        <v>35</v>
      </c>
      <c r="E998" t="str">
        <f t="shared" si="30"/>
        <v>Current Employee</v>
      </c>
      <c r="F998" t="s">
        <v>36</v>
      </c>
      <c r="G998">
        <v>1147</v>
      </c>
      <c r="H998" t="s">
        <v>54</v>
      </c>
      <c r="I998">
        <v>10</v>
      </c>
      <c r="J998">
        <v>3</v>
      </c>
      <c r="K998" t="s">
        <v>57</v>
      </c>
      <c r="L998">
        <v>1</v>
      </c>
      <c r="M998">
        <v>3</v>
      </c>
      <c r="N998" t="s">
        <v>39</v>
      </c>
      <c r="O998">
        <v>31</v>
      </c>
      <c r="P998">
        <v>3</v>
      </c>
      <c r="Q998">
        <v>4</v>
      </c>
      <c r="R998" t="s">
        <v>53</v>
      </c>
      <c r="S998">
        <v>1</v>
      </c>
      <c r="T998" t="str" cm="1">
        <f t="array" ref="T998">_xlfn.IFS(S998&lt;=2,"Poor",S998&lt;=3,"Fair",S998&gt;=4,"Good")</f>
        <v>Poor</v>
      </c>
      <c r="U998" t="s">
        <v>48</v>
      </c>
      <c r="V998" s="1">
        <v>16799</v>
      </c>
      <c r="W998" t="str" cm="1">
        <f t="array" ref="W998">_xlfn.IFS(V998&lt;=5000,"Low Salary",V998&lt;=12000,"Good Salary",V998&gt;12000,"High Salary")</f>
        <v>High Salary</v>
      </c>
      <c r="X998">
        <v>16616</v>
      </c>
      <c r="Y998">
        <v>0</v>
      </c>
      <c r="Z998" t="s">
        <v>42</v>
      </c>
      <c r="AA998" t="s">
        <v>35</v>
      </c>
      <c r="AB998">
        <v>14</v>
      </c>
      <c r="AC998">
        <v>3</v>
      </c>
      <c r="AD998" t="str">
        <f t="shared" si="31"/>
        <v>Low Performance</v>
      </c>
      <c r="AE998">
        <v>3</v>
      </c>
      <c r="AF998">
        <v>80</v>
      </c>
      <c r="AG998">
        <v>1</v>
      </c>
      <c r="AH998">
        <v>21</v>
      </c>
      <c r="AI998">
        <v>5</v>
      </c>
      <c r="AJ998">
        <v>3</v>
      </c>
      <c r="AK998" t="str" cm="1">
        <f t="array" ref="AK998">_xlfn.IFS(AJ998&lt;=2,"Poor",AJ998&lt;=3,"Fair",AJ998&gt;3,"Good")</f>
        <v>Fair</v>
      </c>
      <c r="AL998">
        <v>20</v>
      </c>
      <c r="AM998">
        <v>7</v>
      </c>
      <c r="AN998">
        <v>0</v>
      </c>
      <c r="AO998">
        <v>9</v>
      </c>
    </row>
    <row r="999" spans="1:41" x14ac:dyDescent="0.2">
      <c r="A999">
        <v>1768835</v>
      </c>
      <c r="B999">
        <v>52</v>
      </c>
      <c r="C999" t="str" cm="1">
        <f t="array" ref="C999">_xlfn.IFS(B999&lt;=25,"15-25",B999&lt;=35,"26-35",B999&lt;=45,"36-45",B999&lt;=55,"46-55",B999&lt;=65,"56-65")</f>
        <v>46-55</v>
      </c>
      <c r="D999" t="s">
        <v>35</v>
      </c>
      <c r="E999" t="str">
        <f t="shared" si="30"/>
        <v>Current Employee</v>
      </c>
      <c r="F999" t="s">
        <v>36</v>
      </c>
      <c r="G999">
        <v>258</v>
      </c>
      <c r="H999" t="s">
        <v>45</v>
      </c>
      <c r="I999">
        <v>8</v>
      </c>
      <c r="J999">
        <v>4</v>
      </c>
      <c r="K999" t="s">
        <v>47</v>
      </c>
      <c r="L999">
        <v>1</v>
      </c>
      <c r="M999">
        <v>3</v>
      </c>
      <c r="N999" t="s">
        <v>39</v>
      </c>
      <c r="O999">
        <v>54</v>
      </c>
      <c r="P999">
        <v>3</v>
      </c>
      <c r="Q999">
        <v>1</v>
      </c>
      <c r="R999" t="s">
        <v>40</v>
      </c>
      <c r="S999">
        <v>1</v>
      </c>
      <c r="T999" t="str" cm="1">
        <f t="array" ref="T999">_xlfn.IFS(S999&lt;=2,"Poor",S999&lt;=3,"Fair",S999&gt;=4,"Good")</f>
        <v>Poor</v>
      </c>
      <c r="U999" t="s">
        <v>48</v>
      </c>
      <c r="V999" s="1">
        <v>2950</v>
      </c>
      <c r="W999" t="str" cm="1">
        <f t="array" ref="W999">_xlfn.IFS(V999&lt;=5000,"Low Salary",V999&lt;=12000,"Good Salary",V999&gt;12000,"High Salary")</f>
        <v>Low Salary</v>
      </c>
      <c r="X999">
        <v>17363</v>
      </c>
      <c r="Y999">
        <v>9</v>
      </c>
      <c r="Z999" t="s">
        <v>42</v>
      </c>
      <c r="AA999" t="s">
        <v>35</v>
      </c>
      <c r="AB999">
        <v>13</v>
      </c>
      <c r="AC999">
        <v>3</v>
      </c>
      <c r="AD999" t="str">
        <f t="shared" si="31"/>
        <v>Low Performance</v>
      </c>
      <c r="AE999">
        <v>3</v>
      </c>
      <c r="AF999">
        <v>80</v>
      </c>
      <c r="AG999">
        <v>0</v>
      </c>
      <c r="AH999">
        <v>12</v>
      </c>
      <c r="AI999">
        <v>2</v>
      </c>
      <c r="AJ999">
        <v>1</v>
      </c>
      <c r="AK999" t="str" cm="1">
        <f t="array" ref="AK999">_xlfn.IFS(AJ999&lt;=2,"Poor",AJ999&lt;=3,"Fair",AJ999&gt;3,"Good")</f>
        <v>Poor</v>
      </c>
      <c r="AL999">
        <v>5</v>
      </c>
      <c r="AM999">
        <v>4</v>
      </c>
      <c r="AN999">
        <v>0</v>
      </c>
      <c r="AO999">
        <v>4</v>
      </c>
    </row>
    <row r="1000" spans="1:41" x14ac:dyDescent="0.2">
      <c r="A1000">
        <v>1742081</v>
      </c>
      <c r="B1000">
        <v>37</v>
      </c>
      <c r="C1000" t="str" cm="1">
        <f t="array" ref="C1000">_xlfn.IFS(B1000&lt;=25,"15-25",B1000&lt;=35,"26-35",B1000&lt;=45,"36-45",B1000&lt;=55,"46-55",B1000&lt;=65,"56-65")</f>
        <v>36-45</v>
      </c>
      <c r="D1000" t="s">
        <v>35</v>
      </c>
      <c r="E1000" t="str">
        <f t="shared" si="30"/>
        <v>Current Employee</v>
      </c>
      <c r="F1000" t="s">
        <v>36</v>
      </c>
      <c r="G1000">
        <v>1462</v>
      </c>
      <c r="H1000" t="s">
        <v>45</v>
      </c>
      <c r="I1000">
        <v>11</v>
      </c>
      <c r="J1000">
        <v>3</v>
      </c>
      <c r="K1000" t="s">
        <v>49</v>
      </c>
      <c r="L1000">
        <v>1</v>
      </c>
      <c r="M1000">
        <v>1</v>
      </c>
      <c r="N1000" t="s">
        <v>39</v>
      </c>
      <c r="O1000">
        <v>94</v>
      </c>
      <c r="P1000">
        <v>3</v>
      </c>
      <c r="Q1000">
        <v>1</v>
      </c>
      <c r="R1000" t="s">
        <v>40</v>
      </c>
      <c r="S1000">
        <v>3</v>
      </c>
      <c r="T1000" t="str" cm="1">
        <f t="array" ref="T1000">_xlfn.IFS(S1000&lt;=2,"Poor",S1000&lt;=3,"Fair",S1000&gt;=4,"Good")</f>
        <v>Fair</v>
      </c>
      <c r="U1000" t="s">
        <v>41</v>
      </c>
      <c r="V1000" s="1">
        <v>3629</v>
      </c>
      <c r="W1000" t="str" cm="1">
        <f t="array" ref="W1000">_xlfn.IFS(V1000&lt;=5000,"Low Salary",V1000&lt;=12000,"Good Salary",V1000&gt;12000,"High Salary")</f>
        <v>Low Salary</v>
      </c>
      <c r="X1000">
        <v>19106</v>
      </c>
      <c r="Y1000">
        <v>4</v>
      </c>
      <c r="Z1000" t="s">
        <v>42</v>
      </c>
      <c r="AA1000" t="s">
        <v>35</v>
      </c>
      <c r="AB1000">
        <v>18</v>
      </c>
      <c r="AC1000">
        <v>3</v>
      </c>
      <c r="AD1000" t="str">
        <f t="shared" si="31"/>
        <v>Low Performance</v>
      </c>
      <c r="AE1000">
        <v>1</v>
      </c>
      <c r="AF1000">
        <v>80</v>
      </c>
      <c r="AG1000">
        <v>0</v>
      </c>
      <c r="AH1000">
        <v>8</v>
      </c>
      <c r="AI1000">
        <v>6</v>
      </c>
      <c r="AJ1000">
        <v>3</v>
      </c>
      <c r="AK1000" t="str" cm="1">
        <f t="array" ref="AK1000">_xlfn.IFS(AJ1000&lt;=2,"Poor",AJ1000&lt;=3,"Fair",AJ1000&gt;3,"Good")</f>
        <v>Fair</v>
      </c>
      <c r="AL1000">
        <v>3</v>
      </c>
      <c r="AM1000">
        <v>2</v>
      </c>
      <c r="AN1000">
        <v>0</v>
      </c>
      <c r="AO1000">
        <v>2</v>
      </c>
    </row>
    <row r="1001" spans="1:41" x14ac:dyDescent="0.2">
      <c r="A1001">
        <v>1729034</v>
      </c>
      <c r="B1001">
        <v>35</v>
      </c>
      <c r="C1001" t="str" cm="1">
        <f t="array" ref="C1001">_xlfn.IFS(B1001&lt;=25,"15-25",B1001&lt;=35,"26-35",B1001&lt;=45,"36-45",B1001&lt;=55,"46-55",B1001&lt;=65,"56-65")</f>
        <v>26-35</v>
      </c>
      <c r="D1001" t="s">
        <v>35</v>
      </c>
      <c r="E1001" t="str">
        <f t="shared" si="30"/>
        <v>Current Employee</v>
      </c>
      <c r="F1001" t="s">
        <v>44</v>
      </c>
      <c r="G1001">
        <v>200</v>
      </c>
      <c r="H1001" t="s">
        <v>45</v>
      </c>
      <c r="I1001">
        <v>18</v>
      </c>
      <c r="J1001">
        <v>2</v>
      </c>
      <c r="K1001" t="s">
        <v>38</v>
      </c>
      <c r="L1001">
        <v>1</v>
      </c>
      <c r="M1001">
        <v>3</v>
      </c>
      <c r="N1001" t="s">
        <v>46</v>
      </c>
      <c r="O1001">
        <v>60</v>
      </c>
      <c r="P1001">
        <v>3</v>
      </c>
      <c r="Q1001">
        <v>3</v>
      </c>
      <c r="R1001" t="s">
        <v>51</v>
      </c>
      <c r="S1001">
        <v>4</v>
      </c>
      <c r="T1001" t="str" cm="1">
        <f t="array" ref="T1001">_xlfn.IFS(S1001&lt;=2,"Poor",S1001&lt;=3,"Fair",S1001&gt;=4,"Good")</f>
        <v>Good</v>
      </c>
      <c r="U1001" t="s">
        <v>41</v>
      </c>
      <c r="V1001" s="1">
        <v>9362</v>
      </c>
      <c r="W1001" t="str" cm="1">
        <f t="array" ref="W1001">_xlfn.IFS(V1001&lt;=5000,"Low Salary",V1001&lt;=12000,"Good Salary",V1001&gt;12000,"High Salary")</f>
        <v>Good Salary</v>
      </c>
      <c r="X1001">
        <v>19944</v>
      </c>
      <c r="Y1001">
        <v>2</v>
      </c>
      <c r="Z1001" t="s">
        <v>42</v>
      </c>
      <c r="AA1001" t="s">
        <v>35</v>
      </c>
      <c r="AB1001">
        <v>11</v>
      </c>
      <c r="AC1001">
        <v>3</v>
      </c>
      <c r="AD1001" t="str">
        <f t="shared" si="31"/>
        <v>Low Performance</v>
      </c>
      <c r="AE1001">
        <v>3</v>
      </c>
      <c r="AF1001">
        <v>80</v>
      </c>
      <c r="AG1001">
        <v>0</v>
      </c>
      <c r="AH1001">
        <v>10</v>
      </c>
      <c r="AI1001">
        <v>2</v>
      </c>
      <c r="AJ1001">
        <v>3</v>
      </c>
      <c r="AK1001" t="str" cm="1">
        <f t="array" ref="AK1001">_xlfn.IFS(AJ1001&lt;=2,"Poor",AJ1001&lt;=3,"Fair",AJ1001&gt;3,"Good")</f>
        <v>Fair</v>
      </c>
      <c r="AL1001">
        <v>2</v>
      </c>
      <c r="AM1001">
        <v>2</v>
      </c>
      <c r="AN1001">
        <v>2</v>
      </c>
      <c r="AO1001">
        <v>2</v>
      </c>
    </row>
    <row r="1002" spans="1:41" x14ac:dyDescent="0.2">
      <c r="A1002">
        <v>1141939</v>
      </c>
      <c r="B1002">
        <v>25</v>
      </c>
      <c r="C1002" t="str" cm="1">
        <f t="array" ref="C1002">_xlfn.IFS(B1002&lt;=25,"15-25",B1002&lt;=35,"26-35",B1002&lt;=45,"36-45",B1002&lt;=55,"46-55",B1002&lt;=65,"56-65")</f>
        <v>15-25</v>
      </c>
      <c r="D1002" t="s">
        <v>35</v>
      </c>
      <c r="E1002" t="str">
        <f t="shared" si="30"/>
        <v>Current Employee</v>
      </c>
      <c r="F1002" t="s">
        <v>36</v>
      </c>
      <c r="G1002">
        <v>949</v>
      </c>
      <c r="H1002" t="s">
        <v>45</v>
      </c>
      <c r="I1002">
        <v>1</v>
      </c>
      <c r="J1002">
        <v>3</v>
      </c>
      <c r="K1002" t="s">
        <v>56</v>
      </c>
      <c r="L1002">
        <v>1</v>
      </c>
      <c r="M1002">
        <v>1</v>
      </c>
      <c r="N1002" t="s">
        <v>46</v>
      </c>
      <c r="O1002">
        <v>81</v>
      </c>
      <c r="P1002">
        <v>3</v>
      </c>
      <c r="Q1002">
        <v>1</v>
      </c>
      <c r="R1002" t="s">
        <v>40</v>
      </c>
      <c r="S1002">
        <v>4</v>
      </c>
      <c r="T1002" t="str" cm="1">
        <f t="array" ref="T1002">_xlfn.IFS(S1002&lt;=2,"Poor",S1002&lt;=3,"Fair",S1002&gt;=4,"Good")</f>
        <v>Good</v>
      </c>
      <c r="U1002" t="s">
        <v>48</v>
      </c>
      <c r="V1002" s="1">
        <v>3229</v>
      </c>
      <c r="W1002" t="str" cm="1">
        <f t="array" ref="W1002">_xlfn.IFS(V1002&lt;=5000,"Low Salary",V1002&lt;=12000,"Good Salary",V1002&gt;12000,"High Salary")</f>
        <v>Low Salary</v>
      </c>
      <c r="X1002">
        <v>4910</v>
      </c>
      <c r="Y1002">
        <v>4</v>
      </c>
      <c r="Z1002" t="s">
        <v>42</v>
      </c>
      <c r="AA1002" t="s">
        <v>35</v>
      </c>
      <c r="AB1002">
        <v>11</v>
      </c>
      <c r="AC1002">
        <v>3</v>
      </c>
      <c r="AD1002" t="str">
        <f t="shared" si="31"/>
        <v>Low Performance</v>
      </c>
      <c r="AE1002">
        <v>2</v>
      </c>
      <c r="AF1002">
        <v>80</v>
      </c>
      <c r="AG1002">
        <v>1</v>
      </c>
      <c r="AH1002">
        <v>7</v>
      </c>
      <c r="AI1002">
        <v>2</v>
      </c>
      <c r="AJ1002">
        <v>2</v>
      </c>
      <c r="AK1002" t="str" cm="1">
        <f t="array" ref="AK1002">_xlfn.IFS(AJ1002&lt;=2,"Poor",AJ1002&lt;=3,"Fair",AJ1002&gt;3,"Good")</f>
        <v>Poor</v>
      </c>
      <c r="AL1002">
        <v>3</v>
      </c>
      <c r="AM1002">
        <v>2</v>
      </c>
      <c r="AN1002">
        <v>0</v>
      </c>
      <c r="AO1002">
        <v>2</v>
      </c>
    </row>
    <row r="1003" spans="1:41" x14ac:dyDescent="0.2">
      <c r="A1003">
        <v>1115350</v>
      </c>
      <c r="B1003">
        <v>26</v>
      </c>
      <c r="C1003" t="str" cm="1">
        <f t="array" ref="C1003">_xlfn.IFS(B1003&lt;=25,"15-25",B1003&lt;=35,"26-35",B1003&lt;=45,"36-45",B1003&lt;=55,"46-55",B1003&lt;=65,"56-65")</f>
        <v>26-35</v>
      </c>
      <c r="D1003" t="s">
        <v>35</v>
      </c>
      <c r="E1003" t="str">
        <f t="shared" si="30"/>
        <v>Current Employee</v>
      </c>
      <c r="F1003" t="s">
        <v>36</v>
      </c>
      <c r="G1003">
        <v>652</v>
      </c>
      <c r="H1003" t="s">
        <v>45</v>
      </c>
      <c r="I1003">
        <v>7</v>
      </c>
      <c r="J1003">
        <v>3</v>
      </c>
      <c r="K1003" t="s">
        <v>47</v>
      </c>
      <c r="L1003">
        <v>1</v>
      </c>
      <c r="M1003">
        <v>3</v>
      </c>
      <c r="N1003" t="s">
        <v>46</v>
      </c>
      <c r="O1003">
        <v>100</v>
      </c>
      <c r="P1003">
        <v>4</v>
      </c>
      <c r="Q1003">
        <v>1</v>
      </c>
      <c r="R1003" t="s">
        <v>40</v>
      </c>
      <c r="S1003">
        <v>1</v>
      </c>
      <c r="T1003" t="str" cm="1">
        <f t="array" ref="T1003">_xlfn.IFS(S1003&lt;=2,"Poor",S1003&lt;=3,"Fair",S1003&gt;=4,"Good")</f>
        <v>Poor</v>
      </c>
      <c r="U1003" t="s">
        <v>41</v>
      </c>
      <c r="V1003" s="1">
        <v>3578</v>
      </c>
      <c r="W1003" t="str" cm="1">
        <f t="array" ref="W1003">_xlfn.IFS(V1003&lt;=5000,"Low Salary",V1003&lt;=12000,"Good Salary",V1003&gt;12000,"High Salary")</f>
        <v>Low Salary</v>
      </c>
      <c r="X1003">
        <v>23577</v>
      </c>
      <c r="Y1003">
        <v>0</v>
      </c>
      <c r="Z1003" t="s">
        <v>42</v>
      </c>
      <c r="AA1003" t="s">
        <v>35</v>
      </c>
      <c r="AB1003">
        <v>12</v>
      </c>
      <c r="AC1003">
        <v>3</v>
      </c>
      <c r="AD1003" t="str">
        <f t="shared" si="31"/>
        <v>Low Performance</v>
      </c>
      <c r="AE1003">
        <v>4</v>
      </c>
      <c r="AF1003">
        <v>80</v>
      </c>
      <c r="AG1003">
        <v>0</v>
      </c>
      <c r="AH1003">
        <v>8</v>
      </c>
      <c r="AI1003">
        <v>2</v>
      </c>
      <c r="AJ1003">
        <v>3</v>
      </c>
      <c r="AK1003" t="str" cm="1">
        <f t="array" ref="AK1003">_xlfn.IFS(AJ1003&lt;=2,"Poor",AJ1003&lt;=3,"Fair",AJ1003&gt;3,"Good")</f>
        <v>Fair</v>
      </c>
      <c r="AL1003">
        <v>7</v>
      </c>
      <c r="AM1003">
        <v>7</v>
      </c>
      <c r="AN1003">
        <v>0</v>
      </c>
      <c r="AO1003">
        <v>7</v>
      </c>
    </row>
    <row r="1004" spans="1:41" x14ac:dyDescent="0.2">
      <c r="A1004">
        <v>1218088</v>
      </c>
      <c r="B1004">
        <v>29</v>
      </c>
      <c r="C1004" t="str" cm="1">
        <f t="array" ref="C1004">_xlfn.IFS(B1004&lt;=25,"15-25",B1004&lt;=35,"26-35",B1004&lt;=45,"36-45",B1004&lt;=55,"46-55",B1004&lt;=65,"56-65")</f>
        <v>26-35</v>
      </c>
      <c r="D1004" t="s">
        <v>35</v>
      </c>
      <c r="E1004" t="str">
        <f t="shared" si="30"/>
        <v>Current Employee</v>
      </c>
      <c r="F1004" t="s">
        <v>36</v>
      </c>
      <c r="G1004">
        <v>332</v>
      </c>
      <c r="H1004" t="s">
        <v>54</v>
      </c>
      <c r="I1004">
        <v>17</v>
      </c>
      <c r="J1004">
        <v>3</v>
      </c>
      <c r="K1004" t="s">
        <v>47</v>
      </c>
      <c r="L1004">
        <v>1</v>
      </c>
      <c r="M1004">
        <v>2</v>
      </c>
      <c r="N1004" t="s">
        <v>46</v>
      </c>
      <c r="O1004">
        <v>51</v>
      </c>
      <c r="P1004">
        <v>2</v>
      </c>
      <c r="Q1004">
        <v>3</v>
      </c>
      <c r="R1004" t="s">
        <v>47</v>
      </c>
      <c r="S1004">
        <v>1</v>
      </c>
      <c r="T1004" t="str" cm="1">
        <f t="array" ref="T1004">_xlfn.IFS(S1004&lt;=2,"Poor",S1004&lt;=3,"Fair",S1004&gt;=4,"Good")</f>
        <v>Poor</v>
      </c>
      <c r="U1004" t="s">
        <v>41</v>
      </c>
      <c r="V1004" s="1">
        <v>7988</v>
      </c>
      <c r="W1004" t="str" cm="1">
        <f t="array" ref="W1004">_xlfn.IFS(V1004&lt;=5000,"Low Salary",V1004&lt;=12000,"Good Salary",V1004&gt;12000,"High Salary")</f>
        <v>Good Salary</v>
      </c>
      <c r="X1004">
        <v>9769</v>
      </c>
      <c r="Y1004">
        <v>1</v>
      </c>
      <c r="Z1004" t="s">
        <v>42</v>
      </c>
      <c r="AA1004" t="s">
        <v>35</v>
      </c>
      <c r="AB1004">
        <v>13</v>
      </c>
      <c r="AC1004">
        <v>3</v>
      </c>
      <c r="AD1004" t="str">
        <f t="shared" si="31"/>
        <v>Low Performance</v>
      </c>
      <c r="AE1004">
        <v>1</v>
      </c>
      <c r="AF1004">
        <v>80</v>
      </c>
      <c r="AG1004">
        <v>0</v>
      </c>
      <c r="AH1004">
        <v>10</v>
      </c>
      <c r="AI1004">
        <v>3</v>
      </c>
      <c r="AJ1004">
        <v>2</v>
      </c>
      <c r="AK1004" t="str" cm="1">
        <f t="array" ref="AK1004">_xlfn.IFS(AJ1004&lt;=2,"Poor",AJ1004&lt;=3,"Fair",AJ1004&gt;3,"Good")</f>
        <v>Poor</v>
      </c>
      <c r="AL1004">
        <v>10</v>
      </c>
      <c r="AM1004">
        <v>9</v>
      </c>
      <c r="AN1004">
        <v>0</v>
      </c>
      <c r="AO1004">
        <v>9</v>
      </c>
    </row>
    <row r="1005" spans="1:41" x14ac:dyDescent="0.2">
      <c r="A1005">
        <v>1246982</v>
      </c>
      <c r="B1005">
        <v>49</v>
      </c>
      <c r="C1005" t="str" cm="1">
        <f t="array" ref="C1005">_xlfn.IFS(B1005&lt;=25,"15-25",B1005&lt;=35,"26-35",B1005&lt;=45,"36-45",B1005&lt;=55,"46-55",B1005&lt;=65,"56-65")</f>
        <v>46-55</v>
      </c>
      <c r="D1005" t="s">
        <v>35</v>
      </c>
      <c r="E1005" t="str">
        <f t="shared" si="30"/>
        <v>Current Employee</v>
      </c>
      <c r="F1005" t="s">
        <v>44</v>
      </c>
      <c r="G1005">
        <v>1475</v>
      </c>
      <c r="H1005" t="s">
        <v>45</v>
      </c>
      <c r="I1005">
        <v>28</v>
      </c>
      <c r="J1005">
        <v>2</v>
      </c>
      <c r="K1005" t="s">
        <v>38</v>
      </c>
      <c r="L1005">
        <v>1</v>
      </c>
      <c r="M1005">
        <v>1</v>
      </c>
      <c r="N1005" t="s">
        <v>46</v>
      </c>
      <c r="O1005">
        <v>97</v>
      </c>
      <c r="P1005">
        <v>2</v>
      </c>
      <c r="Q1005">
        <v>2</v>
      </c>
      <c r="R1005" t="s">
        <v>40</v>
      </c>
      <c r="S1005">
        <v>1</v>
      </c>
      <c r="T1005" t="str" cm="1">
        <f t="array" ref="T1005">_xlfn.IFS(S1005&lt;=2,"Poor",S1005&lt;=3,"Fair",S1005&gt;=4,"Good")</f>
        <v>Poor</v>
      </c>
      <c r="U1005" t="s">
        <v>41</v>
      </c>
      <c r="V1005" s="1">
        <v>4284</v>
      </c>
      <c r="W1005" t="str" cm="1">
        <f t="array" ref="W1005">_xlfn.IFS(V1005&lt;=5000,"Low Salary",V1005&lt;=12000,"Good Salary",V1005&gt;12000,"High Salary")</f>
        <v>Low Salary</v>
      </c>
      <c r="X1005">
        <v>22710</v>
      </c>
      <c r="Y1005">
        <v>3</v>
      </c>
      <c r="Z1005" t="s">
        <v>42</v>
      </c>
      <c r="AA1005" t="s">
        <v>35</v>
      </c>
      <c r="AB1005">
        <v>20</v>
      </c>
      <c r="AC1005">
        <v>4</v>
      </c>
      <c r="AD1005" t="str">
        <f t="shared" si="31"/>
        <v>High Performance</v>
      </c>
      <c r="AE1005">
        <v>1</v>
      </c>
      <c r="AF1005">
        <v>80</v>
      </c>
      <c r="AG1005">
        <v>0</v>
      </c>
      <c r="AH1005">
        <v>20</v>
      </c>
      <c r="AI1005">
        <v>2</v>
      </c>
      <c r="AJ1005">
        <v>3</v>
      </c>
      <c r="AK1005" t="str" cm="1">
        <f t="array" ref="AK1005">_xlfn.IFS(AJ1005&lt;=2,"Poor",AJ1005&lt;=3,"Fair",AJ1005&gt;3,"Good")</f>
        <v>Fair</v>
      </c>
      <c r="AL1005">
        <v>4</v>
      </c>
      <c r="AM1005">
        <v>3</v>
      </c>
      <c r="AN1005">
        <v>1</v>
      </c>
      <c r="AO1005">
        <v>3</v>
      </c>
    </row>
    <row r="1006" spans="1:41" x14ac:dyDescent="0.2">
      <c r="A1006">
        <v>1458822</v>
      </c>
      <c r="B1006">
        <v>29</v>
      </c>
      <c r="C1006" t="str" cm="1">
        <f t="array" ref="C1006">_xlfn.IFS(B1006&lt;=25,"15-25",B1006&lt;=35,"26-35",B1006&lt;=45,"36-45",B1006&lt;=55,"46-55",B1006&lt;=65,"56-65")</f>
        <v>26-35</v>
      </c>
      <c r="D1006" t="s">
        <v>43</v>
      </c>
      <c r="E1006" t="str">
        <f t="shared" si="30"/>
        <v>Former Employee</v>
      </c>
      <c r="F1006" t="s">
        <v>44</v>
      </c>
      <c r="G1006">
        <v>337</v>
      </c>
      <c r="H1006" t="s">
        <v>45</v>
      </c>
      <c r="I1006">
        <v>14</v>
      </c>
      <c r="J1006">
        <v>1</v>
      </c>
      <c r="K1006" t="s">
        <v>47</v>
      </c>
      <c r="L1006">
        <v>1</v>
      </c>
      <c r="M1006">
        <v>3</v>
      </c>
      <c r="N1006" t="s">
        <v>39</v>
      </c>
      <c r="O1006">
        <v>84</v>
      </c>
      <c r="P1006">
        <v>3</v>
      </c>
      <c r="Q1006">
        <v>3</v>
      </c>
      <c r="R1006" t="s">
        <v>40</v>
      </c>
      <c r="S1006">
        <v>4</v>
      </c>
      <c r="T1006" t="str" cm="1">
        <f t="array" ref="T1006">_xlfn.IFS(S1006&lt;=2,"Poor",S1006&lt;=3,"Fair",S1006&gt;=4,"Good")</f>
        <v>Good</v>
      </c>
      <c r="U1006" t="s">
        <v>41</v>
      </c>
      <c r="V1006" s="1">
        <v>7553</v>
      </c>
      <c r="W1006" t="str" cm="1">
        <f t="array" ref="W1006">_xlfn.IFS(V1006&lt;=5000,"Low Salary",V1006&lt;=12000,"Good Salary",V1006&gt;12000,"High Salary")</f>
        <v>Good Salary</v>
      </c>
      <c r="X1006">
        <v>22930</v>
      </c>
      <c r="Y1006">
        <v>0</v>
      </c>
      <c r="Z1006" t="s">
        <v>42</v>
      </c>
      <c r="AA1006" t="s">
        <v>43</v>
      </c>
      <c r="AB1006">
        <v>12</v>
      </c>
      <c r="AC1006">
        <v>3</v>
      </c>
      <c r="AD1006" t="str">
        <f t="shared" si="31"/>
        <v>Low Performance</v>
      </c>
      <c r="AE1006">
        <v>1</v>
      </c>
      <c r="AF1006">
        <v>80</v>
      </c>
      <c r="AG1006">
        <v>0</v>
      </c>
      <c r="AH1006">
        <v>9</v>
      </c>
      <c r="AI1006">
        <v>1</v>
      </c>
      <c r="AJ1006">
        <v>3</v>
      </c>
      <c r="AK1006" t="str" cm="1">
        <f t="array" ref="AK1006">_xlfn.IFS(AJ1006&lt;=2,"Poor",AJ1006&lt;=3,"Fair",AJ1006&gt;3,"Good")</f>
        <v>Fair</v>
      </c>
      <c r="AL1006">
        <v>8</v>
      </c>
      <c r="AM1006">
        <v>7</v>
      </c>
      <c r="AN1006">
        <v>7</v>
      </c>
      <c r="AO1006">
        <v>7</v>
      </c>
    </row>
    <row r="1007" spans="1:41" x14ac:dyDescent="0.2">
      <c r="A1007">
        <v>1699413</v>
      </c>
      <c r="B1007">
        <v>54</v>
      </c>
      <c r="C1007" t="str" cm="1">
        <f t="array" ref="C1007">_xlfn.IFS(B1007&lt;=25,"15-25",B1007&lt;=35,"26-35",B1007&lt;=45,"36-45",B1007&lt;=55,"46-55",B1007&lt;=65,"56-65")</f>
        <v>46-55</v>
      </c>
      <c r="D1007" t="s">
        <v>35</v>
      </c>
      <c r="E1007" t="str">
        <f t="shared" si="30"/>
        <v>Current Employee</v>
      </c>
      <c r="F1007" t="s">
        <v>36</v>
      </c>
      <c r="G1007">
        <v>971</v>
      </c>
      <c r="H1007" t="s">
        <v>45</v>
      </c>
      <c r="I1007">
        <v>1</v>
      </c>
      <c r="J1007">
        <v>3</v>
      </c>
      <c r="K1007" t="s">
        <v>49</v>
      </c>
      <c r="L1007">
        <v>1</v>
      </c>
      <c r="M1007">
        <v>4</v>
      </c>
      <c r="N1007" t="s">
        <v>39</v>
      </c>
      <c r="O1007">
        <v>54</v>
      </c>
      <c r="P1007">
        <v>3</v>
      </c>
      <c r="Q1007">
        <v>4</v>
      </c>
      <c r="R1007" t="s">
        <v>53</v>
      </c>
      <c r="S1007">
        <v>4</v>
      </c>
      <c r="T1007" t="str" cm="1">
        <f t="array" ref="T1007">_xlfn.IFS(S1007&lt;=2,"Poor",S1007&lt;=3,"Fair",S1007&gt;=4,"Good")</f>
        <v>Good</v>
      </c>
      <c r="U1007" t="s">
        <v>41</v>
      </c>
      <c r="V1007" s="1">
        <v>17328</v>
      </c>
      <c r="W1007" t="str" cm="1">
        <f t="array" ref="W1007">_xlfn.IFS(V1007&lt;=5000,"Low Salary",V1007&lt;=12000,"Good Salary",V1007&gt;12000,"High Salary")</f>
        <v>High Salary</v>
      </c>
      <c r="X1007">
        <v>5652</v>
      </c>
      <c r="Y1007">
        <v>6</v>
      </c>
      <c r="Z1007" t="s">
        <v>42</v>
      </c>
      <c r="AA1007" t="s">
        <v>35</v>
      </c>
      <c r="AB1007">
        <v>19</v>
      </c>
      <c r="AC1007">
        <v>3</v>
      </c>
      <c r="AD1007" t="str">
        <f t="shared" si="31"/>
        <v>Low Performance</v>
      </c>
      <c r="AE1007">
        <v>4</v>
      </c>
      <c r="AF1007">
        <v>80</v>
      </c>
      <c r="AG1007">
        <v>0</v>
      </c>
      <c r="AH1007">
        <v>29</v>
      </c>
      <c r="AI1007">
        <v>3</v>
      </c>
      <c r="AJ1007">
        <v>2</v>
      </c>
      <c r="AK1007" t="str" cm="1">
        <f t="array" ref="AK1007">_xlfn.IFS(AJ1007&lt;=2,"Poor",AJ1007&lt;=3,"Fair",AJ1007&gt;3,"Good")</f>
        <v>Poor</v>
      </c>
      <c r="AL1007">
        <v>20</v>
      </c>
      <c r="AM1007">
        <v>7</v>
      </c>
      <c r="AN1007">
        <v>12</v>
      </c>
      <c r="AO1007">
        <v>7</v>
      </c>
    </row>
    <row r="1008" spans="1:41" x14ac:dyDescent="0.2">
      <c r="A1008">
        <v>1620973</v>
      </c>
      <c r="B1008">
        <v>58</v>
      </c>
      <c r="C1008" t="str" cm="1">
        <f t="array" ref="C1008">_xlfn.IFS(B1008&lt;=25,"15-25",B1008&lt;=35,"26-35",B1008&lt;=45,"36-45",B1008&lt;=55,"46-55",B1008&lt;=65,"56-65")</f>
        <v>56-65</v>
      </c>
      <c r="D1008" t="s">
        <v>35</v>
      </c>
      <c r="E1008" t="str">
        <f t="shared" si="30"/>
        <v>Current Employee</v>
      </c>
      <c r="F1008" t="s">
        <v>36</v>
      </c>
      <c r="G1008">
        <v>1055</v>
      </c>
      <c r="H1008" t="s">
        <v>45</v>
      </c>
      <c r="I1008">
        <v>1</v>
      </c>
      <c r="J1008">
        <v>3</v>
      </c>
      <c r="K1008" t="s">
        <v>49</v>
      </c>
      <c r="L1008">
        <v>1</v>
      </c>
      <c r="M1008">
        <v>4</v>
      </c>
      <c r="N1008" t="s">
        <v>39</v>
      </c>
      <c r="O1008">
        <v>76</v>
      </c>
      <c r="P1008">
        <v>3</v>
      </c>
      <c r="Q1008">
        <v>5</v>
      </c>
      <c r="R1008" t="s">
        <v>53</v>
      </c>
      <c r="S1008">
        <v>1</v>
      </c>
      <c r="T1008" t="str" cm="1">
        <f t="array" ref="T1008">_xlfn.IFS(S1008&lt;=2,"Poor",S1008&lt;=3,"Fair",S1008&gt;=4,"Good")</f>
        <v>Poor</v>
      </c>
      <c r="U1008" t="s">
        <v>48</v>
      </c>
      <c r="V1008" s="1">
        <v>19701</v>
      </c>
      <c r="W1008" t="str" cm="1">
        <f t="array" ref="W1008">_xlfn.IFS(V1008&lt;=5000,"Low Salary",V1008&lt;=12000,"Good Salary",V1008&gt;12000,"High Salary")</f>
        <v>High Salary</v>
      </c>
      <c r="X1008">
        <v>22456</v>
      </c>
      <c r="Y1008">
        <v>3</v>
      </c>
      <c r="Z1008" t="s">
        <v>42</v>
      </c>
      <c r="AA1008" t="s">
        <v>43</v>
      </c>
      <c r="AB1008">
        <v>21</v>
      </c>
      <c r="AC1008">
        <v>4</v>
      </c>
      <c r="AD1008" t="str">
        <f t="shared" si="31"/>
        <v>High Performance</v>
      </c>
      <c r="AE1008">
        <v>3</v>
      </c>
      <c r="AF1008">
        <v>80</v>
      </c>
      <c r="AG1008">
        <v>1</v>
      </c>
      <c r="AH1008">
        <v>32</v>
      </c>
      <c r="AI1008">
        <v>3</v>
      </c>
      <c r="AJ1008">
        <v>3</v>
      </c>
      <c r="AK1008" t="str" cm="1">
        <f t="array" ref="AK1008">_xlfn.IFS(AJ1008&lt;=2,"Poor",AJ1008&lt;=3,"Fair",AJ1008&gt;3,"Good")</f>
        <v>Fair</v>
      </c>
      <c r="AL1008">
        <v>9</v>
      </c>
      <c r="AM1008">
        <v>8</v>
      </c>
      <c r="AN1008">
        <v>1</v>
      </c>
      <c r="AO1008">
        <v>5</v>
      </c>
    </row>
    <row r="1009" spans="1:41" x14ac:dyDescent="0.2">
      <c r="A1009">
        <v>1793695</v>
      </c>
      <c r="B1009">
        <v>55</v>
      </c>
      <c r="C1009" t="str" cm="1">
        <f t="array" ref="C1009">_xlfn.IFS(B1009&lt;=25,"15-25",B1009&lt;=35,"26-35",B1009&lt;=45,"36-45",B1009&lt;=55,"46-55",B1009&lt;=65,"56-65")</f>
        <v>46-55</v>
      </c>
      <c r="D1009" t="s">
        <v>35</v>
      </c>
      <c r="E1009" t="str">
        <f t="shared" si="30"/>
        <v>Current Employee</v>
      </c>
      <c r="F1009" t="s">
        <v>36</v>
      </c>
      <c r="G1009">
        <v>1136</v>
      </c>
      <c r="H1009" t="s">
        <v>45</v>
      </c>
      <c r="I1009">
        <v>1</v>
      </c>
      <c r="J1009">
        <v>4</v>
      </c>
      <c r="K1009" t="s">
        <v>49</v>
      </c>
      <c r="L1009">
        <v>1</v>
      </c>
      <c r="M1009">
        <v>2</v>
      </c>
      <c r="N1009" t="s">
        <v>46</v>
      </c>
      <c r="O1009">
        <v>81</v>
      </c>
      <c r="P1009">
        <v>4</v>
      </c>
      <c r="Q1009">
        <v>4</v>
      </c>
      <c r="R1009" t="s">
        <v>53</v>
      </c>
      <c r="S1009">
        <v>4</v>
      </c>
      <c r="T1009" t="str" cm="1">
        <f t="array" ref="T1009">_xlfn.IFS(S1009&lt;=2,"Poor",S1009&lt;=3,"Fair",S1009&gt;=4,"Good")</f>
        <v>Good</v>
      </c>
      <c r="U1009" t="s">
        <v>50</v>
      </c>
      <c r="V1009" s="1">
        <v>14732</v>
      </c>
      <c r="W1009" t="str" cm="1">
        <f t="array" ref="W1009">_xlfn.IFS(V1009&lt;=5000,"Low Salary",V1009&lt;=12000,"Good Salary",V1009&gt;12000,"High Salary")</f>
        <v>High Salary</v>
      </c>
      <c r="X1009">
        <v>12414</v>
      </c>
      <c r="Y1009">
        <v>2</v>
      </c>
      <c r="Z1009" t="s">
        <v>42</v>
      </c>
      <c r="AA1009" t="s">
        <v>35</v>
      </c>
      <c r="AB1009">
        <v>13</v>
      </c>
      <c r="AC1009">
        <v>3</v>
      </c>
      <c r="AD1009" t="str">
        <f t="shared" si="31"/>
        <v>Low Performance</v>
      </c>
      <c r="AE1009">
        <v>4</v>
      </c>
      <c r="AF1009">
        <v>80</v>
      </c>
      <c r="AG1009">
        <v>2</v>
      </c>
      <c r="AH1009">
        <v>31</v>
      </c>
      <c r="AI1009">
        <v>4</v>
      </c>
      <c r="AJ1009">
        <v>4</v>
      </c>
      <c r="AK1009" t="str" cm="1">
        <f t="array" ref="AK1009">_xlfn.IFS(AJ1009&lt;=2,"Poor",AJ1009&lt;=3,"Fair",AJ1009&gt;3,"Good")</f>
        <v>Good</v>
      </c>
      <c r="AL1009">
        <v>7</v>
      </c>
      <c r="AM1009">
        <v>7</v>
      </c>
      <c r="AN1009">
        <v>0</v>
      </c>
      <c r="AO1009">
        <v>0</v>
      </c>
    </row>
    <row r="1010" spans="1:41" x14ac:dyDescent="0.2">
      <c r="A1010">
        <v>1583611</v>
      </c>
      <c r="B1010">
        <v>36</v>
      </c>
      <c r="C1010" t="str" cm="1">
        <f t="array" ref="C1010">_xlfn.IFS(B1010&lt;=25,"15-25",B1010&lt;=35,"26-35",B1010&lt;=45,"36-45",B1010&lt;=55,"46-55",B1010&lt;=65,"56-65")</f>
        <v>36-45</v>
      </c>
      <c r="D1010" t="s">
        <v>35</v>
      </c>
      <c r="E1010" t="str">
        <f t="shared" si="30"/>
        <v>Current Employee</v>
      </c>
      <c r="F1010" t="s">
        <v>36</v>
      </c>
      <c r="G1010">
        <v>1174</v>
      </c>
      <c r="H1010" t="s">
        <v>37</v>
      </c>
      <c r="I1010">
        <v>3</v>
      </c>
      <c r="J1010">
        <v>4</v>
      </c>
      <c r="K1010" t="s">
        <v>55</v>
      </c>
      <c r="L1010">
        <v>1</v>
      </c>
      <c r="M1010">
        <v>1</v>
      </c>
      <c r="N1010" t="s">
        <v>39</v>
      </c>
      <c r="O1010">
        <v>99</v>
      </c>
      <c r="P1010">
        <v>3</v>
      </c>
      <c r="Q1010">
        <v>2</v>
      </c>
      <c r="R1010" t="s">
        <v>40</v>
      </c>
      <c r="S1010">
        <v>2</v>
      </c>
      <c r="T1010" t="str" cm="1">
        <f t="array" ref="T1010">_xlfn.IFS(S1010&lt;=2,"Poor",S1010&lt;=3,"Fair",S1010&gt;=4,"Good")</f>
        <v>Poor</v>
      </c>
      <c r="U1010" t="s">
        <v>41</v>
      </c>
      <c r="V1010" s="1">
        <v>9278</v>
      </c>
      <c r="W1010" t="str" cm="1">
        <f t="array" ref="W1010">_xlfn.IFS(V1010&lt;=5000,"Low Salary",V1010&lt;=12000,"Good Salary",V1010&gt;12000,"High Salary")</f>
        <v>Good Salary</v>
      </c>
      <c r="X1010">
        <v>20763</v>
      </c>
      <c r="Y1010">
        <v>3</v>
      </c>
      <c r="Z1010" t="s">
        <v>42</v>
      </c>
      <c r="AA1010" t="s">
        <v>43</v>
      </c>
      <c r="AB1010">
        <v>16</v>
      </c>
      <c r="AC1010">
        <v>3</v>
      </c>
      <c r="AD1010" t="str">
        <f t="shared" si="31"/>
        <v>Low Performance</v>
      </c>
      <c r="AE1010">
        <v>4</v>
      </c>
      <c r="AF1010">
        <v>80</v>
      </c>
      <c r="AG1010">
        <v>0</v>
      </c>
      <c r="AH1010">
        <v>15</v>
      </c>
      <c r="AI1010">
        <v>3</v>
      </c>
      <c r="AJ1010">
        <v>3</v>
      </c>
      <c r="AK1010" t="str" cm="1">
        <f t="array" ref="AK1010">_xlfn.IFS(AJ1010&lt;=2,"Poor",AJ1010&lt;=3,"Fair",AJ1010&gt;3,"Good")</f>
        <v>Fair</v>
      </c>
      <c r="AL1010">
        <v>5</v>
      </c>
      <c r="AM1010">
        <v>4</v>
      </c>
      <c r="AN1010">
        <v>0</v>
      </c>
      <c r="AO1010">
        <v>1</v>
      </c>
    </row>
    <row r="1011" spans="1:41" x14ac:dyDescent="0.2">
      <c r="A1011">
        <v>1792620</v>
      </c>
      <c r="B1011">
        <v>31</v>
      </c>
      <c r="C1011" t="str" cm="1">
        <f t="array" ref="C1011">_xlfn.IFS(B1011&lt;=25,"15-25",B1011&lt;=35,"26-35",B1011&lt;=45,"36-45",B1011&lt;=55,"46-55",B1011&lt;=65,"56-65")</f>
        <v>26-35</v>
      </c>
      <c r="D1011" t="s">
        <v>43</v>
      </c>
      <c r="E1011" t="str">
        <f t="shared" si="30"/>
        <v>Former Employee</v>
      </c>
      <c r="F1011" t="s">
        <v>44</v>
      </c>
      <c r="G1011">
        <v>667</v>
      </c>
      <c r="H1011" t="s">
        <v>37</v>
      </c>
      <c r="I1011">
        <v>1</v>
      </c>
      <c r="J1011">
        <v>4</v>
      </c>
      <c r="K1011" t="s">
        <v>38</v>
      </c>
      <c r="L1011">
        <v>1</v>
      </c>
      <c r="M1011">
        <v>2</v>
      </c>
      <c r="N1011" t="s">
        <v>39</v>
      </c>
      <c r="O1011">
        <v>50</v>
      </c>
      <c r="P1011">
        <v>1</v>
      </c>
      <c r="Q1011">
        <v>1</v>
      </c>
      <c r="R1011" t="s">
        <v>47</v>
      </c>
      <c r="S1011">
        <v>3</v>
      </c>
      <c r="T1011" t="str" cm="1">
        <f t="array" ref="T1011">_xlfn.IFS(S1011&lt;=2,"Poor",S1011&lt;=3,"Fair",S1011&gt;=4,"Good")</f>
        <v>Fair</v>
      </c>
      <c r="U1011" t="s">
        <v>41</v>
      </c>
      <c r="V1011" s="1">
        <v>1359</v>
      </c>
      <c r="W1011" t="str" cm="1">
        <f t="array" ref="W1011">_xlfn.IFS(V1011&lt;=5000,"Low Salary",V1011&lt;=12000,"Good Salary",V1011&gt;12000,"High Salary")</f>
        <v>Low Salary</v>
      </c>
      <c r="X1011">
        <v>16154</v>
      </c>
      <c r="Y1011">
        <v>1</v>
      </c>
      <c r="Z1011" t="s">
        <v>42</v>
      </c>
      <c r="AA1011" t="s">
        <v>35</v>
      </c>
      <c r="AB1011">
        <v>12</v>
      </c>
      <c r="AC1011">
        <v>3</v>
      </c>
      <c r="AD1011" t="str">
        <f t="shared" si="31"/>
        <v>Low Performance</v>
      </c>
      <c r="AE1011">
        <v>2</v>
      </c>
      <c r="AF1011">
        <v>80</v>
      </c>
      <c r="AG1011">
        <v>0</v>
      </c>
      <c r="AH1011">
        <v>1</v>
      </c>
      <c r="AI1011">
        <v>3</v>
      </c>
      <c r="AJ1011">
        <v>3</v>
      </c>
      <c r="AK1011" t="str" cm="1">
        <f t="array" ref="AK1011">_xlfn.IFS(AJ1011&lt;=2,"Poor",AJ1011&lt;=3,"Fair",AJ1011&gt;3,"Good")</f>
        <v>Fair</v>
      </c>
      <c r="AL1011">
        <v>1</v>
      </c>
      <c r="AM1011">
        <v>0</v>
      </c>
      <c r="AN1011">
        <v>0</v>
      </c>
      <c r="AO1011">
        <v>0</v>
      </c>
    </row>
    <row r="1012" spans="1:41" x14ac:dyDescent="0.2">
      <c r="A1012">
        <v>1225271</v>
      </c>
      <c r="B1012">
        <v>30</v>
      </c>
      <c r="C1012" t="str" cm="1">
        <f t="array" ref="C1012">_xlfn.IFS(B1012&lt;=25,"15-25",B1012&lt;=35,"26-35",B1012&lt;=45,"36-45",B1012&lt;=55,"46-55",B1012&lt;=65,"56-65")</f>
        <v>26-35</v>
      </c>
      <c r="D1012" t="s">
        <v>35</v>
      </c>
      <c r="E1012" t="str">
        <f t="shared" si="30"/>
        <v>Current Employee</v>
      </c>
      <c r="F1012" t="s">
        <v>36</v>
      </c>
      <c r="G1012">
        <v>855</v>
      </c>
      <c r="H1012" t="s">
        <v>37</v>
      </c>
      <c r="I1012">
        <v>7</v>
      </c>
      <c r="J1012">
        <v>4</v>
      </c>
      <c r="K1012" t="s">
        <v>55</v>
      </c>
      <c r="L1012">
        <v>1</v>
      </c>
      <c r="M1012">
        <v>4</v>
      </c>
      <c r="N1012" t="s">
        <v>39</v>
      </c>
      <c r="O1012">
        <v>73</v>
      </c>
      <c r="P1012">
        <v>3</v>
      </c>
      <c r="Q1012">
        <v>2</v>
      </c>
      <c r="R1012" t="s">
        <v>40</v>
      </c>
      <c r="S1012">
        <v>1</v>
      </c>
      <c r="T1012" t="str" cm="1">
        <f t="array" ref="T1012">_xlfn.IFS(S1012&lt;=2,"Poor",S1012&lt;=3,"Fair",S1012&gt;=4,"Good")</f>
        <v>Poor</v>
      </c>
      <c r="U1012" t="s">
        <v>50</v>
      </c>
      <c r="V1012" s="1">
        <v>4779</v>
      </c>
      <c r="W1012" t="str" cm="1">
        <f t="array" ref="W1012">_xlfn.IFS(V1012&lt;=5000,"Low Salary",V1012&lt;=12000,"Good Salary",V1012&gt;12000,"High Salary")</f>
        <v>Low Salary</v>
      </c>
      <c r="X1012">
        <v>12761</v>
      </c>
      <c r="Y1012">
        <v>7</v>
      </c>
      <c r="Z1012" t="s">
        <v>42</v>
      </c>
      <c r="AA1012" t="s">
        <v>35</v>
      </c>
      <c r="AB1012">
        <v>14</v>
      </c>
      <c r="AC1012">
        <v>3</v>
      </c>
      <c r="AD1012" t="str">
        <f t="shared" si="31"/>
        <v>Low Performance</v>
      </c>
      <c r="AE1012">
        <v>2</v>
      </c>
      <c r="AF1012">
        <v>80</v>
      </c>
      <c r="AG1012">
        <v>2</v>
      </c>
      <c r="AH1012">
        <v>8</v>
      </c>
      <c r="AI1012">
        <v>3</v>
      </c>
      <c r="AJ1012">
        <v>3</v>
      </c>
      <c r="AK1012" t="str" cm="1">
        <f t="array" ref="AK1012">_xlfn.IFS(AJ1012&lt;=2,"Poor",AJ1012&lt;=3,"Fair",AJ1012&gt;3,"Good")</f>
        <v>Fair</v>
      </c>
      <c r="AL1012">
        <v>3</v>
      </c>
      <c r="AM1012">
        <v>2</v>
      </c>
      <c r="AN1012">
        <v>0</v>
      </c>
      <c r="AO1012">
        <v>2</v>
      </c>
    </row>
    <row r="1013" spans="1:41" x14ac:dyDescent="0.2">
      <c r="A1013">
        <v>1703058</v>
      </c>
      <c r="B1013">
        <v>31</v>
      </c>
      <c r="C1013" t="str" cm="1">
        <f t="array" ref="C1013">_xlfn.IFS(B1013&lt;=25,"15-25",B1013&lt;=35,"26-35",B1013&lt;=45,"36-45",B1013&lt;=55,"46-55",B1013&lt;=65,"56-65")</f>
        <v>26-35</v>
      </c>
      <c r="D1013" t="s">
        <v>35</v>
      </c>
      <c r="E1013" t="str">
        <f t="shared" si="30"/>
        <v>Current Employee</v>
      </c>
      <c r="F1013" t="s">
        <v>36</v>
      </c>
      <c r="G1013">
        <v>182</v>
      </c>
      <c r="H1013" t="s">
        <v>45</v>
      </c>
      <c r="I1013">
        <v>8</v>
      </c>
      <c r="J1013">
        <v>5</v>
      </c>
      <c r="K1013" t="s">
        <v>38</v>
      </c>
      <c r="L1013">
        <v>1</v>
      </c>
      <c r="M1013">
        <v>1</v>
      </c>
      <c r="N1013" t="s">
        <v>39</v>
      </c>
      <c r="O1013">
        <v>93</v>
      </c>
      <c r="P1013">
        <v>3</v>
      </c>
      <c r="Q1013">
        <v>4</v>
      </c>
      <c r="R1013" t="s">
        <v>53</v>
      </c>
      <c r="S1013">
        <v>2</v>
      </c>
      <c r="T1013" t="str" cm="1">
        <f t="array" ref="T1013">_xlfn.IFS(S1013&lt;=2,"Poor",S1013&lt;=3,"Fair",S1013&gt;=4,"Good")</f>
        <v>Poor</v>
      </c>
      <c r="U1013" t="s">
        <v>41</v>
      </c>
      <c r="V1013" s="1">
        <v>16422</v>
      </c>
      <c r="W1013" t="str" cm="1">
        <f t="array" ref="W1013">_xlfn.IFS(V1013&lt;=5000,"Low Salary",V1013&lt;=12000,"Good Salary",V1013&gt;12000,"High Salary")</f>
        <v>High Salary</v>
      </c>
      <c r="X1013">
        <v>8847</v>
      </c>
      <c r="Y1013">
        <v>3</v>
      </c>
      <c r="Z1013" t="s">
        <v>42</v>
      </c>
      <c r="AA1013" t="s">
        <v>35</v>
      </c>
      <c r="AB1013">
        <v>11</v>
      </c>
      <c r="AC1013">
        <v>3</v>
      </c>
      <c r="AD1013" t="str">
        <f t="shared" si="31"/>
        <v>Low Performance</v>
      </c>
      <c r="AE1013">
        <v>3</v>
      </c>
      <c r="AF1013">
        <v>80</v>
      </c>
      <c r="AG1013">
        <v>0</v>
      </c>
      <c r="AH1013">
        <v>9</v>
      </c>
      <c r="AI1013">
        <v>3</v>
      </c>
      <c r="AJ1013">
        <v>4</v>
      </c>
      <c r="AK1013" t="str" cm="1">
        <f t="array" ref="AK1013">_xlfn.IFS(AJ1013&lt;=2,"Poor",AJ1013&lt;=3,"Fair",AJ1013&gt;3,"Good")</f>
        <v>Good</v>
      </c>
      <c r="AL1013">
        <v>3</v>
      </c>
      <c r="AM1013">
        <v>2</v>
      </c>
      <c r="AN1013">
        <v>1</v>
      </c>
      <c r="AO1013">
        <v>0</v>
      </c>
    </row>
    <row r="1014" spans="1:41" x14ac:dyDescent="0.2">
      <c r="A1014">
        <v>1613258</v>
      </c>
      <c r="B1014">
        <v>34</v>
      </c>
      <c r="C1014" t="str" cm="1">
        <f t="array" ref="C1014">_xlfn.IFS(B1014&lt;=25,"15-25",B1014&lt;=35,"26-35",B1014&lt;=45,"36-45",B1014&lt;=55,"46-55",B1014&lt;=65,"56-65")</f>
        <v>26-35</v>
      </c>
      <c r="D1014" t="s">
        <v>35</v>
      </c>
      <c r="E1014" t="str">
        <f t="shared" si="30"/>
        <v>Current Employee</v>
      </c>
      <c r="F1014" t="s">
        <v>44</v>
      </c>
      <c r="G1014">
        <v>560</v>
      </c>
      <c r="H1014" t="s">
        <v>45</v>
      </c>
      <c r="I1014">
        <v>1</v>
      </c>
      <c r="J1014">
        <v>4</v>
      </c>
      <c r="K1014" t="s">
        <v>47</v>
      </c>
      <c r="L1014">
        <v>1</v>
      </c>
      <c r="M1014">
        <v>4</v>
      </c>
      <c r="N1014" t="s">
        <v>46</v>
      </c>
      <c r="O1014">
        <v>91</v>
      </c>
      <c r="P1014">
        <v>3</v>
      </c>
      <c r="Q1014">
        <v>1</v>
      </c>
      <c r="R1014" t="s">
        <v>47</v>
      </c>
      <c r="S1014">
        <v>1</v>
      </c>
      <c r="T1014" t="str" cm="1">
        <f t="array" ref="T1014">_xlfn.IFS(S1014&lt;=2,"Poor",S1014&lt;=3,"Fair",S1014&gt;=4,"Good")</f>
        <v>Poor</v>
      </c>
      <c r="U1014" t="s">
        <v>50</v>
      </c>
      <c r="V1014" s="1">
        <v>2996</v>
      </c>
      <c r="W1014" t="str" cm="1">
        <f t="array" ref="W1014">_xlfn.IFS(V1014&lt;=5000,"Low Salary",V1014&lt;=12000,"Good Salary",V1014&gt;12000,"High Salary")</f>
        <v>Low Salary</v>
      </c>
      <c r="X1014">
        <v>20284</v>
      </c>
      <c r="Y1014">
        <v>5</v>
      </c>
      <c r="Z1014" t="s">
        <v>42</v>
      </c>
      <c r="AA1014" t="s">
        <v>35</v>
      </c>
      <c r="AB1014">
        <v>14</v>
      </c>
      <c r="AC1014">
        <v>3</v>
      </c>
      <c r="AD1014" t="str">
        <f t="shared" si="31"/>
        <v>Low Performance</v>
      </c>
      <c r="AE1014">
        <v>3</v>
      </c>
      <c r="AF1014">
        <v>80</v>
      </c>
      <c r="AG1014">
        <v>2</v>
      </c>
      <c r="AH1014">
        <v>10</v>
      </c>
      <c r="AI1014">
        <v>2</v>
      </c>
      <c r="AJ1014">
        <v>3</v>
      </c>
      <c r="AK1014" t="str" cm="1">
        <f t="array" ref="AK1014">_xlfn.IFS(AJ1014&lt;=2,"Poor",AJ1014&lt;=3,"Fair",AJ1014&gt;3,"Good")</f>
        <v>Fair</v>
      </c>
      <c r="AL1014">
        <v>4</v>
      </c>
      <c r="AM1014">
        <v>3</v>
      </c>
      <c r="AN1014">
        <v>1</v>
      </c>
      <c r="AO1014">
        <v>3</v>
      </c>
    </row>
    <row r="1015" spans="1:41" x14ac:dyDescent="0.2">
      <c r="A1015">
        <v>1611839</v>
      </c>
      <c r="B1015">
        <v>31</v>
      </c>
      <c r="C1015" t="str" cm="1">
        <f t="array" ref="C1015">_xlfn.IFS(B1015&lt;=25,"15-25",B1015&lt;=35,"26-35",B1015&lt;=45,"36-45",B1015&lt;=55,"46-55",B1015&lt;=65,"56-65")</f>
        <v>26-35</v>
      </c>
      <c r="D1015" t="s">
        <v>43</v>
      </c>
      <c r="E1015" t="str">
        <f t="shared" si="30"/>
        <v>Former Employee</v>
      </c>
      <c r="F1015" t="s">
        <v>36</v>
      </c>
      <c r="G1015">
        <v>202</v>
      </c>
      <c r="H1015" t="s">
        <v>45</v>
      </c>
      <c r="I1015">
        <v>8</v>
      </c>
      <c r="J1015">
        <v>3</v>
      </c>
      <c r="K1015" t="s">
        <v>38</v>
      </c>
      <c r="L1015">
        <v>1</v>
      </c>
      <c r="M1015">
        <v>1</v>
      </c>
      <c r="N1015" t="s">
        <v>39</v>
      </c>
      <c r="O1015">
        <v>34</v>
      </c>
      <c r="P1015">
        <v>2</v>
      </c>
      <c r="Q1015">
        <v>1</v>
      </c>
      <c r="R1015" t="s">
        <v>47</v>
      </c>
      <c r="S1015">
        <v>2</v>
      </c>
      <c r="T1015" t="str" cm="1">
        <f t="array" ref="T1015">_xlfn.IFS(S1015&lt;=2,"Poor",S1015&lt;=3,"Fair",S1015&gt;=4,"Good")</f>
        <v>Poor</v>
      </c>
      <c r="U1015" t="s">
        <v>41</v>
      </c>
      <c r="V1015" s="1">
        <v>1261</v>
      </c>
      <c r="W1015" t="str" cm="1">
        <f t="array" ref="W1015">_xlfn.IFS(V1015&lt;=5000,"Low Salary",V1015&lt;=12000,"Good Salary",V1015&gt;12000,"High Salary")</f>
        <v>Low Salary</v>
      </c>
      <c r="X1015">
        <v>22262</v>
      </c>
      <c r="Y1015">
        <v>1</v>
      </c>
      <c r="Z1015" t="s">
        <v>42</v>
      </c>
      <c r="AA1015" t="s">
        <v>35</v>
      </c>
      <c r="AB1015">
        <v>12</v>
      </c>
      <c r="AC1015">
        <v>3</v>
      </c>
      <c r="AD1015" t="str">
        <f t="shared" si="31"/>
        <v>Low Performance</v>
      </c>
      <c r="AE1015">
        <v>3</v>
      </c>
      <c r="AF1015">
        <v>80</v>
      </c>
      <c r="AG1015">
        <v>0</v>
      </c>
      <c r="AH1015">
        <v>1</v>
      </c>
      <c r="AI1015">
        <v>3</v>
      </c>
      <c r="AJ1015">
        <v>4</v>
      </c>
      <c r="AK1015" t="str" cm="1">
        <f t="array" ref="AK1015">_xlfn.IFS(AJ1015&lt;=2,"Poor",AJ1015&lt;=3,"Fair",AJ1015&gt;3,"Good")</f>
        <v>Good</v>
      </c>
      <c r="AL1015">
        <v>1</v>
      </c>
      <c r="AM1015">
        <v>0</v>
      </c>
      <c r="AN1015">
        <v>0</v>
      </c>
      <c r="AO1015">
        <v>0</v>
      </c>
    </row>
    <row r="1016" spans="1:41" x14ac:dyDescent="0.2">
      <c r="A1016">
        <v>1434118</v>
      </c>
      <c r="B1016">
        <v>27</v>
      </c>
      <c r="C1016" t="str" cm="1">
        <f t="array" ref="C1016">_xlfn.IFS(B1016&lt;=25,"15-25",B1016&lt;=35,"26-35",B1016&lt;=45,"36-45",B1016&lt;=55,"46-55",B1016&lt;=65,"56-65")</f>
        <v>26-35</v>
      </c>
      <c r="D1016" t="s">
        <v>35</v>
      </c>
      <c r="E1016" t="str">
        <f t="shared" si="30"/>
        <v>Current Employee</v>
      </c>
      <c r="F1016" t="s">
        <v>36</v>
      </c>
      <c r="G1016">
        <v>1377</v>
      </c>
      <c r="H1016" t="s">
        <v>45</v>
      </c>
      <c r="I1016">
        <v>11</v>
      </c>
      <c r="J1016">
        <v>1</v>
      </c>
      <c r="K1016" t="s">
        <v>38</v>
      </c>
      <c r="L1016">
        <v>1</v>
      </c>
      <c r="M1016">
        <v>2</v>
      </c>
      <c r="N1016" t="s">
        <v>46</v>
      </c>
      <c r="O1016">
        <v>91</v>
      </c>
      <c r="P1016">
        <v>3</v>
      </c>
      <c r="Q1016">
        <v>1</v>
      </c>
      <c r="R1016" t="s">
        <v>40</v>
      </c>
      <c r="S1016">
        <v>1</v>
      </c>
      <c r="T1016" t="str" cm="1">
        <f t="array" ref="T1016">_xlfn.IFS(S1016&lt;=2,"Poor",S1016&lt;=3,"Fair",S1016&gt;=4,"Good")</f>
        <v>Poor</v>
      </c>
      <c r="U1016" t="s">
        <v>48</v>
      </c>
      <c r="V1016" s="1">
        <v>2099</v>
      </c>
      <c r="W1016" t="str" cm="1">
        <f t="array" ref="W1016">_xlfn.IFS(V1016&lt;=5000,"Low Salary",V1016&lt;=12000,"Good Salary",V1016&gt;12000,"High Salary")</f>
        <v>Low Salary</v>
      </c>
      <c r="X1016">
        <v>7679</v>
      </c>
      <c r="Y1016">
        <v>0</v>
      </c>
      <c r="Z1016" t="s">
        <v>42</v>
      </c>
      <c r="AA1016" t="s">
        <v>35</v>
      </c>
      <c r="AB1016">
        <v>14</v>
      </c>
      <c r="AC1016">
        <v>3</v>
      </c>
      <c r="AD1016" t="str">
        <f t="shared" si="31"/>
        <v>Low Performance</v>
      </c>
      <c r="AE1016">
        <v>2</v>
      </c>
      <c r="AF1016">
        <v>80</v>
      </c>
      <c r="AG1016">
        <v>0</v>
      </c>
      <c r="AH1016">
        <v>6</v>
      </c>
      <c r="AI1016">
        <v>3</v>
      </c>
      <c r="AJ1016">
        <v>4</v>
      </c>
      <c r="AK1016" t="str" cm="1">
        <f t="array" ref="AK1016">_xlfn.IFS(AJ1016&lt;=2,"Poor",AJ1016&lt;=3,"Fair",AJ1016&gt;3,"Good")</f>
        <v>Good</v>
      </c>
      <c r="AL1016">
        <v>5</v>
      </c>
      <c r="AM1016">
        <v>0</v>
      </c>
      <c r="AN1016">
        <v>1</v>
      </c>
      <c r="AO1016">
        <v>4</v>
      </c>
    </row>
    <row r="1017" spans="1:41" x14ac:dyDescent="0.2">
      <c r="A1017">
        <v>1577542</v>
      </c>
      <c r="B1017">
        <v>36</v>
      </c>
      <c r="C1017" t="str" cm="1">
        <f t="array" ref="C1017">_xlfn.IFS(B1017&lt;=25,"15-25",B1017&lt;=35,"26-35",B1017&lt;=45,"36-45",B1017&lt;=55,"46-55",B1017&lt;=65,"56-65")</f>
        <v>36-45</v>
      </c>
      <c r="D1017" t="s">
        <v>35</v>
      </c>
      <c r="E1017" t="str">
        <f t="shared" si="30"/>
        <v>Current Employee</v>
      </c>
      <c r="F1017" t="s">
        <v>36</v>
      </c>
      <c r="G1017">
        <v>172</v>
      </c>
      <c r="H1017" t="s">
        <v>45</v>
      </c>
      <c r="I1017">
        <v>4</v>
      </c>
      <c r="J1017">
        <v>4</v>
      </c>
      <c r="K1017" t="s">
        <v>38</v>
      </c>
      <c r="L1017">
        <v>1</v>
      </c>
      <c r="M1017">
        <v>1</v>
      </c>
      <c r="N1017" t="s">
        <v>46</v>
      </c>
      <c r="O1017">
        <v>37</v>
      </c>
      <c r="P1017">
        <v>2</v>
      </c>
      <c r="Q1017">
        <v>2</v>
      </c>
      <c r="R1017" t="s">
        <v>40</v>
      </c>
      <c r="S1017">
        <v>4</v>
      </c>
      <c r="T1017" t="str" cm="1">
        <f t="array" ref="T1017">_xlfn.IFS(S1017&lt;=2,"Poor",S1017&lt;=3,"Fair",S1017&gt;=4,"Good")</f>
        <v>Good</v>
      </c>
      <c r="U1017" t="s">
        <v>41</v>
      </c>
      <c r="V1017" s="1">
        <v>5810</v>
      </c>
      <c r="W1017" t="str" cm="1">
        <f t="array" ref="W1017">_xlfn.IFS(V1017&lt;=5000,"Low Salary",V1017&lt;=12000,"Good Salary",V1017&gt;12000,"High Salary")</f>
        <v>Good Salary</v>
      </c>
      <c r="X1017">
        <v>22604</v>
      </c>
      <c r="Y1017">
        <v>1</v>
      </c>
      <c r="Z1017" t="s">
        <v>42</v>
      </c>
      <c r="AA1017" t="s">
        <v>35</v>
      </c>
      <c r="AB1017">
        <v>16</v>
      </c>
      <c r="AC1017">
        <v>3</v>
      </c>
      <c r="AD1017" t="str">
        <f t="shared" si="31"/>
        <v>Low Performance</v>
      </c>
      <c r="AE1017">
        <v>3</v>
      </c>
      <c r="AF1017">
        <v>80</v>
      </c>
      <c r="AG1017">
        <v>0</v>
      </c>
      <c r="AH1017">
        <v>10</v>
      </c>
      <c r="AI1017">
        <v>2</v>
      </c>
      <c r="AJ1017">
        <v>2</v>
      </c>
      <c r="AK1017" t="str" cm="1">
        <f t="array" ref="AK1017">_xlfn.IFS(AJ1017&lt;=2,"Poor",AJ1017&lt;=3,"Fair",AJ1017&gt;3,"Good")</f>
        <v>Poor</v>
      </c>
      <c r="AL1017">
        <v>10</v>
      </c>
      <c r="AM1017">
        <v>4</v>
      </c>
      <c r="AN1017">
        <v>1</v>
      </c>
      <c r="AO1017">
        <v>8</v>
      </c>
    </row>
    <row r="1018" spans="1:41" x14ac:dyDescent="0.2">
      <c r="A1018">
        <v>1537620</v>
      </c>
      <c r="B1018">
        <v>36</v>
      </c>
      <c r="C1018" t="str" cm="1">
        <f t="array" ref="C1018">_xlfn.IFS(B1018&lt;=25,"15-25",B1018&lt;=35,"26-35",B1018&lt;=45,"36-45",B1018&lt;=55,"46-55",B1018&lt;=65,"56-65")</f>
        <v>36-45</v>
      </c>
      <c r="D1018" t="s">
        <v>35</v>
      </c>
      <c r="E1018" t="str">
        <f t="shared" si="30"/>
        <v>Current Employee</v>
      </c>
      <c r="F1018" t="s">
        <v>36</v>
      </c>
      <c r="G1018">
        <v>329</v>
      </c>
      <c r="H1018" t="s">
        <v>37</v>
      </c>
      <c r="I1018">
        <v>16</v>
      </c>
      <c r="J1018">
        <v>4</v>
      </c>
      <c r="K1018" t="s">
        <v>55</v>
      </c>
      <c r="L1018">
        <v>1</v>
      </c>
      <c r="M1018">
        <v>3</v>
      </c>
      <c r="N1018" t="s">
        <v>39</v>
      </c>
      <c r="O1018">
        <v>98</v>
      </c>
      <c r="P1018">
        <v>2</v>
      </c>
      <c r="Q1018">
        <v>2</v>
      </c>
      <c r="R1018" t="s">
        <v>40</v>
      </c>
      <c r="S1018">
        <v>1</v>
      </c>
      <c r="T1018" t="str" cm="1">
        <f t="array" ref="T1018">_xlfn.IFS(S1018&lt;=2,"Poor",S1018&lt;=3,"Fair",S1018&gt;=4,"Good")</f>
        <v>Poor</v>
      </c>
      <c r="U1018" t="s">
        <v>48</v>
      </c>
      <c r="V1018" s="1">
        <v>5647</v>
      </c>
      <c r="W1018" t="str" cm="1">
        <f t="array" ref="W1018">_xlfn.IFS(V1018&lt;=5000,"Low Salary",V1018&lt;=12000,"Good Salary",V1018&gt;12000,"High Salary")</f>
        <v>Good Salary</v>
      </c>
      <c r="X1018">
        <v>13494</v>
      </c>
      <c r="Y1018">
        <v>4</v>
      </c>
      <c r="Z1018" t="s">
        <v>42</v>
      </c>
      <c r="AA1018" t="s">
        <v>35</v>
      </c>
      <c r="AB1018">
        <v>13</v>
      </c>
      <c r="AC1018">
        <v>3</v>
      </c>
      <c r="AD1018" t="str">
        <f t="shared" si="31"/>
        <v>Low Performance</v>
      </c>
      <c r="AE1018">
        <v>1</v>
      </c>
      <c r="AF1018">
        <v>80</v>
      </c>
      <c r="AG1018">
        <v>2</v>
      </c>
      <c r="AH1018">
        <v>11</v>
      </c>
      <c r="AI1018">
        <v>3</v>
      </c>
      <c r="AJ1018">
        <v>2</v>
      </c>
      <c r="AK1018" t="str" cm="1">
        <f t="array" ref="AK1018">_xlfn.IFS(AJ1018&lt;=2,"Poor",AJ1018&lt;=3,"Fair",AJ1018&gt;3,"Good")</f>
        <v>Poor</v>
      </c>
      <c r="AL1018">
        <v>3</v>
      </c>
      <c r="AM1018">
        <v>2</v>
      </c>
      <c r="AN1018">
        <v>0</v>
      </c>
      <c r="AO1018">
        <v>2</v>
      </c>
    </row>
    <row r="1019" spans="1:41" x14ac:dyDescent="0.2">
      <c r="A1019">
        <v>1827650</v>
      </c>
      <c r="B1019">
        <v>47</v>
      </c>
      <c r="C1019" t="str" cm="1">
        <f t="array" ref="C1019">_xlfn.IFS(B1019&lt;=25,"15-25",B1019&lt;=35,"26-35",B1019&lt;=45,"36-45",B1019&lt;=55,"46-55",B1019&lt;=65,"56-65")</f>
        <v>46-55</v>
      </c>
      <c r="D1019" t="s">
        <v>35</v>
      </c>
      <c r="E1019" t="str">
        <f t="shared" si="30"/>
        <v>Current Employee</v>
      </c>
      <c r="F1019" t="s">
        <v>36</v>
      </c>
      <c r="G1019">
        <v>465</v>
      </c>
      <c r="H1019" t="s">
        <v>45</v>
      </c>
      <c r="I1019">
        <v>1</v>
      </c>
      <c r="J1019">
        <v>3</v>
      </c>
      <c r="K1019" t="s">
        <v>56</v>
      </c>
      <c r="L1019">
        <v>1</v>
      </c>
      <c r="M1019">
        <v>1</v>
      </c>
      <c r="N1019" t="s">
        <v>46</v>
      </c>
      <c r="O1019">
        <v>74</v>
      </c>
      <c r="P1019">
        <v>3</v>
      </c>
      <c r="Q1019">
        <v>1</v>
      </c>
      <c r="R1019" t="s">
        <v>47</v>
      </c>
      <c r="S1019">
        <v>4</v>
      </c>
      <c r="T1019" t="str" cm="1">
        <f t="array" ref="T1019">_xlfn.IFS(S1019&lt;=2,"Poor",S1019&lt;=3,"Fair",S1019&gt;=4,"Good")</f>
        <v>Good</v>
      </c>
      <c r="U1019" t="s">
        <v>48</v>
      </c>
      <c r="V1019" s="1">
        <v>3420</v>
      </c>
      <c r="W1019" t="str" cm="1">
        <f t="array" ref="W1019">_xlfn.IFS(V1019&lt;=5000,"Low Salary",V1019&lt;=12000,"Good Salary",V1019&gt;12000,"High Salary")</f>
        <v>Low Salary</v>
      </c>
      <c r="X1019">
        <v>10205</v>
      </c>
      <c r="Y1019">
        <v>7</v>
      </c>
      <c r="Z1019" t="s">
        <v>42</v>
      </c>
      <c r="AA1019" t="s">
        <v>35</v>
      </c>
      <c r="AB1019">
        <v>12</v>
      </c>
      <c r="AC1019">
        <v>3</v>
      </c>
      <c r="AD1019" t="str">
        <f t="shared" si="31"/>
        <v>Low Performance</v>
      </c>
      <c r="AE1019">
        <v>3</v>
      </c>
      <c r="AF1019">
        <v>80</v>
      </c>
      <c r="AG1019">
        <v>1</v>
      </c>
      <c r="AH1019">
        <v>17</v>
      </c>
      <c r="AI1019">
        <v>2</v>
      </c>
      <c r="AJ1019">
        <v>2</v>
      </c>
      <c r="AK1019" t="str" cm="1">
        <f t="array" ref="AK1019">_xlfn.IFS(AJ1019&lt;=2,"Poor",AJ1019&lt;=3,"Fair",AJ1019&gt;3,"Good")</f>
        <v>Poor</v>
      </c>
      <c r="AL1019">
        <v>6</v>
      </c>
      <c r="AM1019">
        <v>5</v>
      </c>
      <c r="AN1019">
        <v>1</v>
      </c>
      <c r="AO1019">
        <v>2</v>
      </c>
    </row>
    <row r="1020" spans="1:41" x14ac:dyDescent="0.2">
      <c r="A1020">
        <v>1533398</v>
      </c>
      <c r="B1020">
        <v>25</v>
      </c>
      <c r="C1020" t="str" cm="1">
        <f t="array" ref="C1020">_xlfn.IFS(B1020&lt;=25,"15-25",B1020&lt;=35,"26-35",B1020&lt;=45,"36-45",B1020&lt;=55,"46-55",B1020&lt;=65,"56-65")</f>
        <v>15-25</v>
      </c>
      <c r="D1020" t="s">
        <v>43</v>
      </c>
      <c r="E1020" t="str">
        <f t="shared" si="30"/>
        <v>Former Employee</v>
      </c>
      <c r="F1020" t="s">
        <v>36</v>
      </c>
      <c r="G1020">
        <v>383</v>
      </c>
      <c r="H1020" t="s">
        <v>37</v>
      </c>
      <c r="I1020">
        <v>9</v>
      </c>
      <c r="J1020">
        <v>2</v>
      </c>
      <c r="K1020" t="s">
        <v>38</v>
      </c>
      <c r="L1020">
        <v>1</v>
      </c>
      <c r="M1020">
        <v>1</v>
      </c>
      <c r="N1020" t="s">
        <v>46</v>
      </c>
      <c r="O1020">
        <v>68</v>
      </c>
      <c r="P1020">
        <v>2</v>
      </c>
      <c r="Q1020">
        <v>1</v>
      </c>
      <c r="R1020" t="s">
        <v>47</v>
      </c>
      <c r="S1020">
        <v>1</v>
      </c>
      <c r="T1020" t="str" cm="1">
        <f t="array" ref="T1020">_xlfn.IFS(S1020&lt;=2,"Poor",S1020&lt;=3,"Fair",S1020&gt;=4,"Good")</f>
        <v>Poor</v>
      </c>
      <c r="U1020" t="s">
        <v>48</v>
      </c>
      <c r="V1020" s="1">
        <v>4400</v>
      </c>
      <c r="W1020" t="str" cm="1">
        <f t="array" ref="W1020">_xlfn.IFS(V1020&lt;=5000,"Low Salary",V1020&lt;=12000,"Good Salary",V1020&gt;12000,"High Salary")</f>
        <v>Low Salary</v>
      </c>
      <c r="X1020">
        <v>15182</v>
      </c>
      <c r="Y1020">
        <v>3</v>
      </c>
      <c r="Z1020" t="s">
        <v>42</v>
      </c>
      <c r="AA1020" t="s">
        <v>35</v>
      </c>
      <c r="AB1020">
        <v>12</v>
      </c>
      <c r="AC1020">
        <v>3</v>
      </c>
      <c r="AD1020" t="str">
        <f t="shared" si="31"/>
        <v>Low Performance</v>
      </c>
      <c r="AE1020">
        <v>1</v>
      </c>
      <c r="AF1020">
        <v>80</v>
      </c>
      <c r="AG1020">
        <v>0</v>
      </c>
      <c r="AH1020">
        <v>6</v>
      </c>
      <c r="AI1020">
        <v>2</v>
      </c>
      <c r="AJ1020">
        <v>3</v>
      </c>
      <c r="AK1020" t="str" cm="1">
        <f t="array" ref="AK1020">_xlfn.IFS(AJ1020&lt;=2,"Poor",AJ1020&lt;=3,"Fair",AJ1020&gt;3,"Good")</f>
        <v>Fair</v>
      </c>
      <c r="AL1020">
        <v>3</v>
      </c>
      <c r="AM1020">
        <v>2</v>
      </c>
      <c r="AN1020">
        <v>2</v>
      </c>
      <c r="AO1020">
        <v>2</v>
      </c>
    </row>
    <row r="1021" spans="1:41" x14ac:dyDescent="0.2">
      <c r="A1021">
        <v>1469983</v>
      </c>
      <c r="B1021">
        <v>37</v>
      </c>
      <c r="C1021" t="str" cm="1">
        <f t="array" ref="C1021">_xlfn.IFS(B1021&lt;=25,"15-25",B1021&lt;=35,"26-35",B1021&lt;=45,"36-45",B1021&lt;=55,"46-55",B1021&lt;=65,"56-65")</f>
        <v>36-45</v>
      </c>
      <c r="D1021" t="s">
        <v>35</v>
      </c>
      <c r="E1021" t="str">
        <f t="shared" si="30"/>
        <v>Current Employee</v>
      </c>
      <c r="F1021" t="s">
        <v>52</v>
      </c>
      <c r="G1021">
        <v>1413</v>
      </c>
      <c r="H1021" t="s">
        <v>45</v>
      </c>
      <c r="I1021">
        <v>5</v>
      </c>
      <c r="J1021">
        <v>2</v>
      </c>
      <c r="K1021" t="s">
        <v>56</v>
      </c>
      <c r="L1021">
        <v>1</v>
      </c>
      <c r="M1021">
        <v>3</v>
      </c>
      <c r="N1021" t="s">
        <v>46</v>
      </c>
      <c r="O1021">
        <v>84</v>
      </c>
      <c r="P1021">
        <v>4</v>
      </c>
      <c r="Q1021">
        <v>1</v>
      </c>
      <c r="R1021" t="s">
        <v>40</v>
      </c>
      <c r="S1021">
        <v>3</v>
      </c>
      <c r="T1021" t="str" cm="1">
        <f t="array" ref="T1021">_xlfn.IFS(S1021&lt;=2,"Poor",S1021&lt;=3,"Fair",S1021&gt;=4,"Good")</f>
        <v>Fair</v>
      </c>
      <c r="U1021" t="s">
        <v>41</v>
      </c>
      <c r="V1021" s="1">
        <v>3500</v>
      </c>
      <c r="W1021" t="str" cm="1">
        <f t="array" ref="W1021">_xlfn.IFS(V1021&lt;=5000,"Low Salary",V1021&lt;=12000,"Good Salary",V1021&gt;12000,"High Salary")</f>
        <v>Low Salary</v>
      </c>
      <c r="X1021">
        <v>25470</v>
      </c>
      <c r="Y1021">
        <v>0</v>
      </c>
      <c r="Z1021" t="s">
        <v>42</v>
      </c>
      <c r="AA1021" t="s">
        <v>35</v>
      </c>
      <c r="AB1021">
        <v>14</v>
      </c>
      <c r="AC1021">
        <v>3</v>
      </c>
      <c r="AD1021" t="str">
        <f t="shared" si="31"/>
        <v>Low Performance</v>
      </c>
      <c r="AE1021">
        <v>1</v>
      </c>
      <c r="AF1021">
        <v>80</v>
      </c>
      <c r="AG1021">
        <v>0</v>
      </c>
      <c r="AH1021">
        <v>7</v>
      </c>
      <c r="AI1021">
        <v>2</v>
      </c>
      <c r="AJ1021">
        <v>1</v>
      </c>
      <c r="AK1021" t="str" cm="1">
        <f t="array" ref="AK1021">_xlfn.IFS(AJ1021&lt;=2,"Poor",AJ1021&lt;=3,"Fair",AJ1021&gt;3,"Good")</f>
        <v>Poor</v>
      </c>
      <c r="AL1021">
        <v>6</v>
      </c>
      <c r="AM1021">
        <v>5</v>
      </c>
      <c r="AN1021">
        <v>1</v>
      </c>
      <c r="AO1021">
        <v>3</v>
      </c>
    </row>
    <row r="1022" spans="1:41" x14ac:dyDescent="0.2">
      <c r="A1022">
        <v>1272818</v>
      </c>
      <c r="B1022">
        <v>56</v>
      </c>
      <c r="C1022" t="str" cm="1">
        <f t="array" ref="C1022">_xlfn.IFS(B1022&lt;=25,"15-25",B1022&lt;=35,"26-35",B1022&lt;=45,"36-45",B1022&lt;=55,"46-55",B1022&lt;=65,"56-65")</f>
        <v>56-65</v>
      </c>
      <c r="D1022" t="s">
        <v>35</v>
      </c>
      <c r="E1022" t="str">
        <f t="shared" si="30"/>
        <v>Current Employee</v>
      </c>
      <c r="F1022" t="s">
        <v>36</v>
      </c>
      <c r="G1022">
        <v>1255</v>
      </c>
      <c r="H1022" t="s">
        <v>45</v>
      </c>
      <c r="I1022">
        <v>1</v>
      </c>
      <c r="J1022">
        <v>2</v>
      </c>
      <c r="K1022" t="s">
        <v>38</v>
      </c>
      <c r="L1022">
        <v>1</v>
      </c>
      <c r="M1022">
        <v>1</v>
      </c>
      <c r="N1022" t="s">
        <v>39</v>
      </c>
      <c r="O1022">
        <v>90</v>
      </c>
      <c r="P1022">
        <v>3</v>
      </c>
      <c r="Q1022">
        <v>1</v>
      </c>
      <c r="R1022" t="s">
        <v>47</v>
      </c>
      <c r="S1022">
        <v>1</v>
      </c>
      <c r="T1022" t="str" cm="1">
        <f t="array" ref="T1022">_xlfn.IFS(S1022&lt;=2,"Poor",S1022&lt;=3,"Fair",S1022&gt;=4,"Good")</f>
        <v>Poor</v>
      </c>
      <c r="U1022" t="s">
        <v>48</v>
      </c>
      <c r="V1022" s="1">
        <v>2066</v>
      </c>
      <c r="W1022" t="str" cm="1">
        <f t="array" ref="W1022">_xlfn.IFS(V1022&lt;=5000,"Low Salary",V1022&lt;=12000,"Good Salary",V1022&gt;12000,"High Salary")</f>
        <v>Low Salary</v>
      </c>
      <c r="X1022">
        <v>10494</v>
      </c>
      <c r="Y1022">
        <v>2</v>
      </c>
      <c r="Z1022" t="s">
        <v>42</v>
      </c>
      <c r="AA1022" t="s">
        <v>35</v>
      </c>
      <c r="AB1022">
        <v>22</v>
      </c>
      <c r="AC1022">
        <v>4</v>
      </c>
      <c r="AD1022" t="str">
        <f t="shared" si="31"/>
        <v>High Performance</v>
      </c>
      <c r="AE1022">
        <v>4</v>
      </c>
      <c r="AF1022">
        <v>80</v>
      </c>
      <c r="AG1022">
        <v>1</v>
      </c>
      <c r="AH1022">
        <v>5</v>
      </c>
      <c r="AI1022">
        <v>3</v>
      </c>
      <c r="AJ1022">
        <v>4</v>
      </c>
      <c r="AK1022" t="str" cm="1">
        <f t="array" ref="AK1022">_xlfn.IFS(AJ1022&lt;=2,"Poor",AJ1022&lt;=3,"Fair",AJ1022&gt;3,"Good")</f>
        <v>Good</v>
      </c>
      <c r="AL1022">
        <v>3</v>
      </c>
      <c r="AM1022">
        <v>2</v>
      </c>
      <c r="AN1022">
        <v>1</v>
      </c>
      <c r="AO1022">
        <v>0</v>
      </c>
    </row>
    <row r="1023" spans="1:41" x14ac:dyDescent="0.2">
      <c r="A1023">
        <v>1174986</v>
      </c>
      <c r="B1023">
        <v>47</v>
      </c>
      <c r="C1023" t="str" cm="1">
        <f t="array" ref="C1023">_xlfn.IFS(B1023&lt;=25,"15-25",B1023&lt;=35,"26-35",B1023&lt;=45,"36-45",B1023&lt;=55,"46-55",B1023&lt;=65,"56-65")</f>
        <v>46-55</v>
      </c>
      <c r="D1023" t="s">
        <v>35</v>
      </c>
      <c r="E1023" t="str">
        <f t="shared" si="30"/>
        <v>Current Employee</v>
      </c>
      <c r="F1023" t="s">
        <v>36</v>
      </c>
      <c r="G1023">
        <v>359</v>
      </c>
      <c r="H1023" t="s">
        <v>45</v>
      </c>
      <c r="I1023">
        <v>2</v>
      </c>
      <c r="J1023">
        <v>4</v>
      </c>
      <c r="K1023" t="s">
        <v>49</v>
      </c>
      <c r="L1023">
        <v>1</v>
      </c>
      <c r="M1023">
        <v>1</v>
      </c>
      <c r="N1023" t="s">
        <v>39</v>
      </c>
      <c r="O1023">
        <v>82</v>
      </c>
      <c r="P1023">
        <v>3</v>
      </c>
      <c r="Q1023">
        <v>4</v>
      </c>
      <c r="R1023" t="s">
        <v>53</v>
      </c>
      <c r="S1023">
        <v>3</v>
      </c>
      <c r="T1023" t="str" cm="1">
        <f t="array" ref="T1023">_xlfn.IFS(S1023&lt;=2,"Poor",S1023&lt;=3,"Fair",S1023&gt;=4,"Good")</f>
        <v>Fair</v>
      </c>
      <c r="U1023" t="s">
        <v>48</v>
      </c>
      <c r="V1023" s="1">
        <v>17169</v>
      </c>
      <c r="W1023" t="str" cm="1">
        <f t="array" ref="W1023">_xlfn.IFS(V1023&lt;=5000,"Low Salary",V1023&lt;=12000,"Good Salary",V1023&gt;12000,"High Salary")</f>
        <v>High Salary</v>
      </c>
      <c r="X1023">
        <v>26703</v>
      </c>
      <c r="Y1023">
        <v>3</v>
      </c>
      <c r="Z1023" t="s">
        <v>42</v>
      </c>
      <c r="AA1023" t="s">
        <v>35</v>
      </c>
      <c r="AB1023">
        <v>19</v>
      </c>
      <c r="AC1023">
        <v>3</v>
      </c>
      <c r="AD1023" t="str">
        <f t="shared" si="31"/>
        <v>Low Performance</v>
      </c>
      <c r="AE1023">
        <v>2</v>
      </c>
      <c r="AF1023">
        <v>80</v>
      </c>
      <c r="AG1023">
        <v>2</v>
      </c>
      <c r="AH1023">
        <v>26</v>
      </c>
      <c r="AI1023">
        <v>2</v>
      </c>
      <c r="AJ1023">
        <v>4</v>
      </c>
      <c r="AK1023" t="str" cm="1">
        <f t="array" ref="AK1023">_xlfn.IFS(AJ1023&lt;=2,"Poor",AJ1023&lt;=3,"Fair",AJ1023&gt;3,"Good")</f>
        <v>Good</v>
      </c>
      <c r="AL1023">
        <v>20</v>
      </c>
      <c r="AM1023">
        <v>17</v>
      </c>
      <c r="AN1023">
        <v>5</v>
      </c>
      <c r="AO1023">
        <v>6</v>
      </c>
    </row>
    <row r="1024" spans="1:41" x14ac:dyDescent="0.2">
      <c r="A1024">
        <v>1259120</v>
      </c>
      <c r="B1024">
        <v>24</v>
      </c>
      <c r="C1024" t="str" cm="1">
        <f t="array" ref="C1024">_xlfn.IFS(B1024&lt;=25,"15-25",B1024&lt;=35,"26-35",B1024&lt;=45,"36-45",B1024&lt;=55,"46-55",B1024&lt;=65,"56-65")</f>
        <v>15-25</v>
      </c>
      <c r="D1024" t="s">
        <v>35</v>
      </c>
      <c r="E1024" t="str">
        <f t="shared" si="30"/>
        <v>Current Employee</v>
      </c>
      <c r="F1024" t="s">
        <v>36</v>
      </c>
      <c r="G1024">
        <v>1476</v>
      </c>
      <c r="H1024" t="s">
        <v>37</v>
      </c>
      <c r="I1024">
        <v>4</v>
      </c>
      <c r="J1024">
        <v>1</v>
      </c>
      <c r="K1024" t="s">
        <v>49</v>
      </c>
      <c r="L1024">
        <v>1</v>
      </c>
      <c r="M1024">
        <v>4</v>
      </c>
      <c r="N1024" t="s">
        <v>39</v>
      </c>
      <c r="O1024">
        <v>42</v>
      </c>
      <c r="P1024">
        <v>3</v>
      </c>
      <c r="Q1024">
        <v>2</v>
      </c>
      <c r="R1024" t="s">
        <v>40</v>
      </c>
      <c r="S1024">
        <v>3</v>
      </c>
      <c r="T1024" t="str" cm="1">
        <f t="array" ref="T1024">_xlfn.IFS(S1024&lt;=2,"Poor",S1024&lt;=3,"Fair",S1024&gt;=4,"Good")</f>
        <v>Fair</v>
      </c>
      <c r="U1024" t="s">
        <v>48</v>
      </c>
      <c r="V1024" s="1">
        <v>4162</v>
      </c>
      <c r="W1024" t="str" cm="1">
        <f t="array" ref="W1024">_xlfn.IFS(V1024&lt;=5000,"Low Salary",V1024&lt;=12000,"Good Salary",V1024&gt;12000,"High Salary")</f>
        <v>Low Salary</v>
      </c>
      <c r="X1024">
        <v>15211</v>
      </c>
      <c r="Y1024">
        <v>1</v>
      </c>
      <c r="Z1024" t="s">
        <v>42</v>
      </c>
      <c r="AA1024" t="s">
        <v>43</v>
      </c>
      <c r="AB1024">
        <v>12</v>
      </c>
      <c r="AC1024">
        <v>3</v>
      </c>
      <c r="AD1024" t="str">
        <f t="shared" si="31"/>
        <v>Low Performance</v>
      </c>
      <c r="AE1024">
        <v>3</v>
      </c>
      <c r="AF1024">
        <v>80</v>
      </c>
      <c r="AG1024">
        <v>2</v>
      </c>
      <c r="AH1024">
        <v>5</v>
      </c>
      <c r="AI1024">
        <v>3</v>
      </c>
      <c r="AJ1024">
        <v>3</v>
      </c>
      <c r="AK1024" t="str" cm="1">
        <f t="array" ref="AK1024">_xlfn.IFS(AJ1024&lt;=2,"Poor",AJ1024&lt;=3,"Fair",AJ1024&gt;3,"Good")</f>
        <v>Fair</v>
      </c>
      <c r="AL1024">
        <v>5</v>
      </c>
      <c r="AM1024">
        <v>4</v>
      </c>
      <c r="AN1024">
        <v>0</v>
      </c>
      <c r="AO1024">
        <v>3</v>
      </c>
    </row>
    <row r="1025" spans="1:41" x14ac:dyDescent="0.2">
      <c r="A1025">
        <v>1236111</v>
      </c>
      <c r="B1025">
        <v>32</v>
      </c>
      <c r="C1025" t="str" cm="1">
        <f t="array" ref="C1025">_xlfn.IFS(B1025&lt;=25,"15-25",B1025&lt;=35,"26-35",B1025&lt;=45,"36-45",B1025&lt;=55,"46-55",B1025&lt;=65,"56-65")</f>
        <v>26-35</v>
      </c>
      <c r="D1025" t="s">
        <v>35</v>
      </c>
      <c r="E1025" t="str">
        <f t="shared" si="30"/>
        <v>Current Employee</v>
      </c>
      <c r="F1025" t="s">
        <v>36</v>
      </c>
      <c r="G1025">
        <v>601</v>
      </c>
      <c r="H1025" t="s">
        <v>37</v>
      </c>
      <c r="I1025">
        <v>7</v>
      </c>
      <c r="J1025">
        <v>5</v>
      </c>
      <c r="K1025" t="s">
        <v>55</v>
      </c>
      <c r="L1025">
        <v>1</v>
      </c>
      <c r="M1025">
        <v>4</v>
      </c>
      <c r="N1025" t="s">
        <v>46</v>
      </c>
      <c r="O1025">
        <v>97</v>
      </c>
      <c r="P1025">
        <v>3</v>
      </c>
      <c r="Q1025">
        <v>2</v>
      </c>
      <c r="R1025" t="s">
        <v>40</v>
      </c>
      <c r="S1025">
        <v>4</v>
      </c>
      <c r="T1025" t="str" cm="1">
        <f t="array" ref="T1025">_xlfn.IFS(S1025&lt;=2,"Poor",S1025&lt;=3,"Fair",S1025&gt;=4,"Good")</f>
        <v>Good</v>
      </c>
      <c r="U1025" t="s">
        <v>48</v>
      </c>
      <c r="V1025" s="1">
        <v>9204</v>
      </c>
      <c r="W1025" t="str" cm="1">
        <f t="array" ref="W1025">_xlfn.IFS(V1025&lt;=5000,"Low Salary",V1025&lt;=12000,"Good Salary",V1025&gt;12000,"High Salary")</f>
        <v>Good Salary</v>
      </c>
      <c r="X1025">
        <v>23343</v>
      </c>
      <c r="Y1025">
        <v>4</v>
      </c>
      <c r="Z1025" t="s">
        <v>42</v>
      </c>
      <c r="AA1025" t="s">
        <v>35</v>
      </c>
      <c r="AB1025">
        <v>12</v>
      </c>
      <c r="AC1025">
        <v>3</v>
      </c>
      <c r="AD1025" t="str">
        <f t="shared" si="31"/>
        <v>Low Performance</v>
      </c>
      <c r="AE1025">
        <v>3</v>
      </c>
      <c r="AF1025">
        <v>80</v>
      </c>
      <c r="AG1025">
        <v>1</v>
      </c>
      <c r="AH1025">
        <v>7</v>
      </c>
      <c r="AI1025">
        <v>3</v>
      </c>
      <c r="AJ1025">
        <v>2</v>
      </c>
      <c r="AK1025" t="str" cm="1">
        <f t="array" ref="AK1025">_xlfn.IFS(AJ1025&lt;=2,"Poor",AJ1025&lt;=3,"Fair",AJ1025&gt;3,"Good")</f>
        <v>Poor</v>
      </c>
      <c r="AL1025">
        <v>4</v>
      </c>
      <c r="AM1025">
        <v>3</v>
      </c>
      <c r="AN1025">
        <v>0</v>
      </c>
      <c r="AO1025">
        <v>3</v>
      </c>
    </row>
    <row r="1026" spans="1:41" x14ac:dyDescent="0.2">
      <c r="A1026">
        <v>1625621</v>
      </c>
      <c r="B1026">
        <v>34</v>
      </c>
      <c r="C1026" t="str" cm="1">
        <f t="array" ref="C1026">_xlfn.IFS(B1026&lt;=25,"15-25",B1026&lt;=35,"26-35",B1026&lt;=45,"36-45",B1026&lt;=55,"46-55",B1026&lt;=65,"56-65")</f>
        <v>26-35</v>
      </c>
      <c r="D1026" t="s">
        <v>35</v>
      </c>
      <c r="E1026" t="str">
        <f t="shared" si="30"/>
        <v>Current Employee</v>
      </c>
      <c r="F1026" t="s">
        <v>36</v>
      </c>
      <c r="G1026">
        <v>401</v>
      </c>
      <c r="H1026" t="s">
        <v>45</v>
      </c>
      <c r="I1026">
        <v>1</v>
      </c>
      <c r="J1026">
        <v>3</v>
      </c>
      <c r="K1026" t="s">
        <v>38</v>
      </c>
      <c r="L1026">
        <v>1</v>
      </c>
      <c r="M1026">
        <v>4</v>
      </c>
      <c r="N1026" t="s">
        <v>39</v>
      </c>
      <c r="O1026">
        <v>86</v>
      </c>
      <c r="P1026">
        <v>2</v>
      </c>
      <c r="Q1026">
        <v>1</v>
      </c>
      <c r="R1026" t="s">
        <v>40</v>
      </c>
      <c r="S1026">
        <v>2</v>
      </c>
      <c r="T1026" t="str" cm="1">
        <f t="array" ref="T1026">_xlfn.IFS(S1026&lt;=2,"Poor",S1026&lt;=3,"Fair",S1026&gt;=4,"Good")</f>
        <v>Poor</v>
      </c>
      <c r="U1026" t="s">
        <v>48</v>
      </c>
      <c r="V1026" s="1">
        <v>3294</v>
      </c>
      <c r="W1026" t="str" cm="1">
        <f t="array" ref="W1026">_xlfn.IFS(V1026&lt;=5000,"Low Salary",V1026&lt;=12000,"Good Salary",V1026&gt;12000,"High Salary")</f>
        <v>Low Salary</v>
      </c>
      <c r="X1026">
        <v>3708</v>
      </c>
      <c r="Y1026">
        <v>5</v>
      </c>
      <c r="Z1026" t="s">
        <v>42</v>
      </c>
      <c r="AA1026" t="s">
        <v>35</v>
      </c>
      <c r="AB1026">
        <v>17</v>
      </c>
      <c r="AC1026">
        <v>3</v>
      </c>
      <c r="AD1026" t="str">
        <f t="shared" si="31"/>
        <v>Low Performance</v>
      </c>
      <c r="AE1026">
        <v>1</v>
      </c>
      <c r="AF1026">
        <v>80</v>
      </c>
      <c r="AG1026">
        <v>1</v>
      </c>
      <c r="AH1026">
        <v>7</v>
      </c>
      <c r="AI1026">
        <v>2</v>
      </c>
      <c r="AJ1026">
        <v>2</v>
      </c>
      <c r="AK1026" t="str" cm="1">
        <f t="array" ref="AK1026">_xlfn.IFS(AJ1026&lt;=2,"Poor",AJ1026&lt;=3,"Fair",AJ1026&gt;3,"Good")</f>
        <v>Poor</v>
      </c>
      <c r="AL1026">
        <v>5</v>
      </c>
      <c r="AM1026">
        <v>4</v>
      </c>
      <c r="AN1026">
        <v>0</v>
      </c>
      <c r="AO1026">
        <v>2</v>
      </c>
    </row>
    <row r="1027" spans="1:41" x14ac:dyDescent="0.2">
      <c r="A1027">
        <v>1743607</v>
      </c>
      <c r="B1027">
        <v>41</v>
      </c>
      <c r="C1027" t="str" cm="1">
        <f t="array" ref="C1027">_xlfn.IFS(B1027&lt;=25,"15-25",B1027&lt;=35,"26-35",B1027&lt;=45,"36-45",B1027&lt;=55,"46-55",B1027&lt;=65,"56-65")</f>
        <v>36-45</v>
      </c>
      <c r="D1027" t="s">
        <v>35</v>
      </c>
      <c r="E1027" t="str">
        <f t="shared" ref="E1027:E1090" si="32">IF(D1027="No","Current Employee","Former Employee")</f>
        <v>Current Employee</v>
      </c>
      <c r="F1027" t="s">
        <v>36</v>
      </c>
      <c r="G1027">
        <v>1283</v>
      </c>
      <c r="H1027" t="s">
        <v>45</v>
      </c>
      <c r="I1027">
        <v>5</v>
      </c>
      <c r="J1027">
        <v>5</v>
      </c>
      <c r="K1027" t="s">
        <v>49</v>
      </c>
      <c r="L1027">
        <v>1</v>
      </c>
      <c r="M1027">
        <v>2</v>
      </c>
      <c r="N1027" t="s">
        <v>46</v>
      </c>
      <c r="O1027">
        <v>90</v>
      </c>
      <c r="P1027">
        <v>4</v>
      </c>
      <c r="Q1027">
        <v>1</v>
      </c>
      <c r="R1027" t="s">
        <v>47</v>
      </c>
      <c r="S1027">
        <v>3</v>
      </c>
      <c r="T1027" t="str" cm="1">
        <f t="array" ref="T1027">_xlfn.IFS(S1027&lt;=2,"Poor",S1027&lt;=3,"Fair",S1027&gt;=4,"Good")</f>
        <v>Fair</v>
      </c>
      <c r="U1027" t="s">
        <v>48</v>
      </c>
      <c r="V1027" s="1">
        <v>2127</v>
      </c>
      <c r="W1027" t="str" cm="1">
        <f t="array" ref="W1027">_xlfn.IFS(V1027&lt;=5000,"Low Salary",V1027&lt;=12000,"Good Salary",V1027&gt;12000,"High Salary")</f>
        <v>Low Salary</v>
      </c>
      <c r="X1027">
        <v>5561</v>
      </c>
      <c r="Y1027">
        <v>2</v>
      </c>
      <c r="Z1027" t="s">
        <v>42</v>
      </c>
      <c r="AA1027" t="s">
        <v>43</v>
      </c>
      <c r="AB1027">
        <v>12</v>
      </c>
      <c r="AC1027">
        <v>3</v>
      </c>
      <c r="AD1027" t="str">
        <f t="shared" ref="AD1027:AD1090" si="33">IF(AC1027&lt;=3,"Low Performance","High Performance")</f>
        <v>Low Performance</v>
      </c>
      <c r="AE1027">
        <v>1</v>
      </c>
      <c r="AF1027">
        <v>80</v>
      </c>
      <c r="AG1027">
        <v>0</v>
      </c>
      <c r="AH1027">
        <v>7</v>
      </c>
      <c r="AI1027">
        <v>5</v>
      </c>
      <c r="AJ1027">
        <v>2</v>
      </c>
      <c r="AK1027" t="str" cm="1">
        <f t="array" ref="AK1027">_xlfn.IFS(AJ1027&lt;=2,"Poor",AJ1027&lt;=3,"Fair",AJ1027&gt;3,"Good")</f>
        <v>Poor</v>
      </c>
      <c r="AL1027">
        <v>4</v>
      </c>
      <c r="AM1027">
        <v>2</v>
      </c>
      <c r="AN1027">
        <v>0</v>
      </c>
      <c r="AO1027">
        <v>3</v>
      </c>
    </row>
    <row r="1028" spans="1:41" x14ac:dyDescent="0.2">
      <c r="A1028">
        <v>1115072</v>
      </c>
      <c r="B1028">
        <v>40</v>
      </c>
      <c r="C1028" t="str" cm="1">
        <f t="array" ref="C1028">_xlfn.IFS(B1028&lt;=25,"15-25",B1028&lt;=35,"26-35",B1028&lt;=45,"36-45",B1028&lt;=55,"46-55",B1028&lt;=65,"56-65")</f>
        <v>36-45</v>
      </c>
      <c r="D1028" t="s">
        <v>35</v>
      </c>
      <c r="E1028" t="str">
        <f t="shared" si="32"/>
        <v>Current Employee</v>
      </c>
      <c r="F1028" t="s">
        <v>52</v>
      </c>
      <c r="G1028">
        <v>663</v>
      </c>
      <c r="H1028" t="s">
        <v>45</v>
      </c>
      <c r="I1028">
        <v>9</v>
      </c>
      <c r="J1028">
        <v>4</v>
      </c>
      <c r="K1028" t="s">
        <v>47</v>
      </c>
      <c r="L1028">
        <v>1</v>
      </c>
      <c r="M1028">
        <v>3</v>
      </c>
      <c r="N1028" t="s">
        <v>46</v>
      </c>
      <c r="O1028">
        <v>81</v>
      </c>
      <c r="P1028">
        <v>3</v>
      </c>
      <c r="Q1028">
        <v>2</v>
      </c>
      <c r="R1028" t="s">
        <v>40</v>
      </c>
      <c r="S1028">
        <v>3</v>
      </c>
      <c r="T1028" t="str" cm="1">
        <f t="array" ref="T1028">_xlfn.IFS(S1028&lt;=2,"Poor",S1028&lt;=3,"Fair",S1028&gt;=4,"Good")</f>
        <v>Fair</v>
      </c>
      <c r="U1028" t="s">
        <v>50</v>
      </c>
      <c r="V1028" s="1">
        <v>3975</v>
      </c>
      <c r="W1028" t="str" cm="1">
        <f t="array" ref="W1028">_xlfn.IFS(V1028&lt;=5000,"Low Salary",V1028&lt;=12000,"Good Salary",V1028&gt;12000,"High Salary")</f>
        <v>Low Salary</v>
      </c>
      <c r="X1028">
        <v>23099</v>
      </c>
      <c r="Y1028">
        <v>3</v>
      </c>
      <c r="Z1028" t="s">
        <v>42</v>
      </c>
      <c r="AA1028" t="s">
        <v>35</v>
      </c>
      <c r="AB1028">
        <v>11</v>
      </c>
      <c r="AC1028">
        <v>3</v>
      </c>
      <c r="AD1028" t="str">
        <f t="shared" si="33"/>
        <v>Low Performance</v>
      </c>
      <c r="AE1028">
        <v>3</v>
      </c>
      <c r="AF1028">
        <v>80</v>
      </c>
      <c r="AG1028">
        <v>2</v>
      </c>
      <c r="AH1028">
        <v>11</v>
      </c>
      <c r="AI1028">
        <v>2</v>
      </c>
      <c r="AJ1028">
        <v>4</v>
      </c>
      <c r="AK1028" t="str" cm="1">
        <f t="array" ref="AK1028">_xlfn.IFS(AJ1028&lt;=2,"Poor",AJ1028&lt;=3,"Fair",AJ1028&gt;3,"Good")</f>
        <v>Good</v>
      </c>
      <c r="AL1028">
        <v>8</v>
      </c>
      <c r="AM1028">
        <v>7</v>
      </c>
      <c r="AN1028">
        <v>0</v>
      </c>
      <c r="AO1028">
        <v>7</v>
      </c>
    </row>
    <row r="1029" spans="1:41" x14ac:dyDescent="0.2">
      <c r="A1029">
        <v>1497203</v>
      </c>
      <c r="B1029">
        <v>31</v>
      </c>
      <c r="C1029" t="str" cm="1">
        <f t="array" ref="C1029">_xlfn.IFS(B1029&lt;=25,"15-25",B1029&lt;=35,"26-35",B1029&lt;=45,"36-45",B1029&lt;=55,"46-55",B1029&lt;=65,"56-65")</f>
        <v>26-35</v>
      </c>
      <c r="D1029" t="s">
        <v>35</v>
      </c>
      <c r="E1029" t="str">
        <f t="shared" si="32"/>
        <v>Current Employee</v>
      </c>
      <c r="F1029" t="s">
        <v>36</v>
      </c>
      <c r="G1029">
        <v>326</v>
      </c>
      <c r="H1029" t="s">
        <v>37</v>
      </c>
      <c r="I1029">
        <v>8</v>
      </c>
      <c r="J1029">
        <v>2</v>
      </c>
      <c r="K1029" t="s">
        <v>38</v>
      </c>
      <c r="L1029">
        <v>1</v>
      </c>
      <c r="M1029">
        <v>1</v>
      </c>
      <c r="N1029" t="s">
        <v>46</v>
      </c>
      <c r="O1029">
        <v>31</v>
      </c>
      <c r="P1029">
        <v>3</v>
      </c>
      <c r="Q1029">
        <v>3</v>
      </c>
      <c r="R1029" t="s">
        <v>40</v>
      </c>
      <c r="S1029">
        <v>4</v>
      </c>
      <c r="T1029" t="str" cm="1">
        <f t="array" ref="T1029">_xlfn.IFS(S1029&lt;=2,"Poor",S1029&lt;=3,"Fair",S1029&gt;=4,"Good")</f>
        <v>Good</v>
      </c>
      <c r="U1029" t="s">
        <v>50</v>
      </c>
      <c r="V1029" s="1">
        <v>10793</v>
      </c>
      <c r="W1029" t="str" cm="1">
        <f t="array" ref="W1029">_xlfn.IFS(V1029&lt;=5000,"Low Salary",V1029&lt;=12000,"Good Salary",V1029&gt;12000,"High Salary")</f>
        <v>Good Salary</v>
      </c>
      <c r="X1029">
        <v>8386</v>
      </c>
      <c r="Y1029">
        <v>1</v>
      </c>
      <c r="Z1029" t="s">
        <v>42</v>
      </c>
      <c r="AA1029" t="s">
        <v>35</v>
      </c>
      <c r="AB1029">
        <v>18</v>
      </c>
      <c r="AC1029">
        <v>3</v>
      </c>
      <c r="AD1029" t="str">
        <f t="shared" si="33"/>
        <v>Low Performance</v>
      </c>
      <c r="AE1029">
        <v>1</v>
      </c>
      <c r="AF1029">
        <v>80</v>
      </c>
      <c r="AG1029">
        <v>1</v>
      </c>
      <c r="AH1029">
        <v>13</v>
      </c>
      <c r="AI1029">
        <v>5</v>
      </c>
      <c r="AJ1029">
        <v>3</v>
      </c>
      <c r="AK1029" t="str" cm="1">
        <f t="array" ref="AK1029">_xlfn.IFS(AJ1029&lt;=2,"Poor",AJ1029&lt;=3,"Fair",AJ1029&gt;3,"Good")</f>
        <v>Fair</v>
      </c>
      <c r="AL1029">
        <v>13</v>
      </c>
      <c r="AM1029">
        <v>7</v>
      </c>
      <c r="AN1029">
        <v>9</v>
      </c>
      <c r="AO1029">
        <v>9</v>
      </c>
    </row>
    <row r="1030" spans="1:41" x14ac:dyDescent="0.2">
      <c r="A1030">
        <v>1821156</v>
      </c>
      <c r="B1030">
        <v>46</v>
      </c>
      <c r="C1030" t="str" cm="1">
        <f t="array" ref="C1030">_xlfn.IFS(B1030&lt;=25,"15-25",B1030&lt;=35,"26-35",B1030&lt;=45,"36-45",B1030&lt;=55,"46-55",B1030&lt;=65,"56-65")</f>
        <v>46-55</v>
      </c>
      <c r="D1030" t="s">
        <v>35</v>
      </c>
      <c r="E1030" t="str">
        <f t="shared" si="32"/>
        <v>Current Employee</v>
      </c>
      <c r="F1030" t="s">
        <v>36</v>
      </c>
      <c r="G1030">
        <v>377</v>
      </c>
      <c r="H1030" t="s">
        <v>37</v>
      </c>
      <c r="I1030">
        <v>9</v>
      </c>
      <c r="J1030">
        <v>3</v>
      </c>
      <c r="K1030" t="s">
        <v>55</v>
      </c>
      <c r="L1030">
        <v>1</v>
      </c>
      <c r="M1030">
        <v>1</v>
      </c>
      <c r="N1030" t="s">
        <v>46</v>
      </c>
      <c r="O1030">
        <v>52</v>
      </c>
      <c r="P1030">
        <v>3</v>
      </c>
      <c r="Q1030">
        <v>3</v>
      </c>
      <c r="R1030" t="s">
        <v>40</v>
      </c>
      <c r="S1030">
        <v>4</v>
      </c>
      <c r="T1030" t="str" cm="1">
        <f t="array" ref="T1030">_xlfn.IFS(S1030&lt;=2,"Poor",S1030&lt;=3,"Fair",S1030&gt;=4,"Good")</f>
        <v>Good</v>
      </c>
      <c r="U1030" t="s">
        <v>50</v>
      </c>
      <c r="V1030" s="1">
        <v>10096</v>
      </c>
      <c r="W1030" t="str" cm="1">
        <f t="array" ref="W1030">_xlfn.IFS(V1030&lt;=5000,"Low Salary",V1030&lt;=12000,"Good Salary",V1030&gt;12000,"High Salary")</f>
        <v>Good Salary</v>
      </c>
      <c r="X1030">
        <v>15986</v>
      </c>
      <c r="Y1030">
        <v>4</v>
      </c>
      <c r="Z1030" t="s">
        <v>42</v>
      </c>
      <c r="AA1030" t="s">
        <v>35</v>
      </c>
      <c r="AB1030">
        <v>11</v>
      </c>
      <c r="AC1030">
        <v>3</v>
      </c>
      <c r="AD1030" t="str">
        <f t="shared" si="33"/>
        <v>Low Performance</v>
      </c>
      <c r="AE1030">
        <v>1</v>
      </c>
      <c r="AF1030">
        <v>80</v>
      </c>
      <c r="AG1030">
        <v>1</v>
      </c>
      <c r="AH1030">
        <v>28</v>
      </c>
      <c r="AI1030">
        <v>1</v>
      </c>
      <c r="AJ1030">
        <v>4</v>
      </c>
      <c r="AK1030" t="str" cm="1">
        <f t="array" ref="AK1030">_xlfn.IFS(AJ1030&lt;=2,"Poor",AJ1030&lt;=3,"Fair",AJ1030&gt;3,"Good")</f>
        <v>Good</v>
      </c>
      <c r="AL1030">
        <v>7</v>
      </c>
      <c r="AM1030">
        <v>7</v>
      </c>
      <c r="AN1030">
        <v>4</v>
      </c>
      <c r="AO1030">
        <v>3</v>
      </c>
    </row>
    <row r="1031" spans="1:41" x14ac:dyDescent="0.2">
      <c r="A1031">
        <v>1853035</v>
      </c>
      <c r="B1031">
        <v>39</v>
      </c>
      <c r="C1031" t="str" cm="1">
        <f t="array" ref="C1031">_xlfn.IFS(B1031&lt;=25,"15-25",B1031&lt;=35,"26-35",B1031&lt;=45,"36-45",B1031&lt;=55,"46-55",B1031&lt;=65,"56-65")</f>
        <v>36-45</v>
      </c>
      <c r="D1031" t="s">
        <v>43</v>
      </c>
      <c r="E1031" t="str">
        <f t="shared" si="32"/>
        <v>Former Employee</v>
      </c>
      <c r="F1031" t="s">
        <v>52</v>
      </c>
      <c r="G1031">
        <v>592</v>
      </c>
      <c r="H1031" t="s">
        <v>45</v>
      </c>
      <c r="I1031">
        <v>2</v>
      </c>
      <c r="J1031">
        <v>3</v>
      </c>
      <c r="K1031" t="s">
        <v>38</v>
      </c>
      <c r="L1031">
        <v>1</v>
      </c>
      <c r="M1031">
        <v>1</v>
      </c>
      <c r="N1031" t="s">
        <v>39</v>
      </c>
      <c r="O1031">
        <v>54</v>
      </c>
      <c r="P1031">
        <v>2</v>
      </c>
      <c r="Q1031">
        <v>1</v>
      </c>
      <c r="R1031" t="s">
        <v>40</v>
      </c>
      <c r="S1031">
        <v>1</v>
      </c>
      <c r="T1031" t="str" cm="1">
        <f t="array" ref="T1031">_xlfn.IFS(S1031&lt;=2,"Poor",S1031&lt;=3,"Fair",S1031&gt;=4,"Good")</f>
        <v>Poor</v>
      </c>
      <c r="U1031" t="s">
        <v>41</v>
      </c>
      <c r="V1031" s="1">
        <v>3646</v>
      </c>
      <c r="W1031" t="str" cm="1">
        <f t="array" ref="W1031">_xlfn.IFS(V1031&lt;=5000,"Low Salary",V1031&lt;=12000,"Good Salary",V1031&gt;12000,"High Salary")</f>
        <v>Low Salary</v>
      </c>
      <c r="X1031">
        <v>17181</v>
      </c>
      <c r="Y1031">
        <v>2</v>
      </c>
      <c r="Z1031" t="s">
        <v>42</v>
      </c>
      <c r="AA1031" t="s">
        <v>43</v>
      </c>
      <c r="AB1031">
        <v>23</v>
      </c>
      <c r="AC1031">
        <v>4</v>
      </c>
      <c r="AD1031" t="str">
        <f t="shared" si="33"/>
        <v>High Performance</v>
      </c>
      <c r="AE1031">
        <v>2</v>
      </c>
      <c r="AF1031">
        <v>80</v>
      </c>
      <c r="AG1031">
        <v>0</v>
      </c>
      <c r="AH1031">
        <v>11</v>
      </c>
      <c r="AI1031">
        <v>2</v>
      </c>
      <c r="AJ1031">
        <v>4</v>
      </c>
      <c r="AK1031" t="str" cm="1">
        <f t="array" ref="AK1031">_xlfn.IFS(AJ1031&lt;=2,"Poor",AJ1031&lt;=3,"Fair",AJ1031&gt;3,"Good")</f>
        <v>Good</v>
      </c>
      <c r="AL1031">
        <v>1</v>
      </c>
      <c r="AM1031">
        <v>0</v>
      </c>
      <c r="AN1031">
        <v>0</v>
      </c>
      <c r="AO1031">
        <v>0</v>
      </c>
    </row>
    <row r="1032" spans="1:41" x14ac:dyDescent="0.2">
      <c r="A1032">
        <v>1549232</v>
      </c>
      <c r="B1032">
        <v>31</v>
      </c>
      <c r="C1032" t="str" cm="1">
        <f t="array" ref="C1032">_xlfn.IFS(B1032&lt;=25,"15-25",B1032&lt;=35,"26-35",B1032&lt;=45,"36-45",B1032&lt;=55,"46-55",B1032&lt;=65,"56-65")</f>
        <v>26-35</v>
      </c>
      <c r="D1032" t="s">
        <v>35</v>
      </c>
      <c r="E1032" t="str">
        <f t="shared" si="32"/>
        <v>Current Employee</v>
      </c>
      <c r="F1032" t="s">
        <v>44</v>
      </c>
      <c r="G1032">
        <v>1445</v>
      </c>
      <c r="H1032" t="s">
        <v>54</v>
      </c>
      <c r="I1032">
        <v>1</v>
      </c>
      <c r="J1032">
        <v>5</v>
      </c>
      <c r="K1032" t="s">
        <v>38</v>
      </c>
      <c r="L1032">
        <v>1</v>
      </c>
      <c r="M1032">
        <v>3</v>
      </c>
      <c r="N1032" t="s">
        <v>39</v>
      </c>
      <c r="O1032">
        <v>100</v>
      </c>
      <c r="P1032">
        <v>4</v>
      </c>
      <c r="Q1032">
        <v>3</v>
      </c>
      <c r="R1032" t="s">
        <v>51</v>
      </c>
      <c r="S1032">
        <v>2</v>
      </c>
      <c r="T1032" t="str" cm="1">
        <f t="array" ref="T1032">_xlfn.IFS(S1032&lt;=2,"Poor",S1032&lt;=3,"Fair",S1032&gt;=4,"Good")</f>
        <v>Poor</v>
      </c>
      <c r="U1032" t="s">
        <v>41</v>
      </c>
      <c r="V1032" s="1">
        <v>7446</v>
      </c>
      <c r="W1032" t="str" cm="1">
        <f t="array" ref="W1032">_xlfn.IFS(V1032&lt;=5000,"Low Salary",V1032&lt;=12000,"Good Salary",V1032&gt;12000,"High Salary")</f>
        <v>Good Salary</v>
      </c>
      <c r="X1032">
        <v>8931</v>
      </c>
      <c r="Y1032">
        <v>1</v>
      </c>
      <c r="Z1032" t="s">
        <v>42</v>
      </c>
      <c r="AA1032" t="s">
        <v>35</v>
      </c>
      <c r="AB1032">
        <v>11</v>
      </c>
      <c r="AC1032">
        <v>3</v>
      </c>
      <c r="AD1032" t="str">
        <f t="shared" si="33"/>
        <v>Low Performance</v>
      </c>
      <c r="AE1032">
        <v>1</v>
      </c>
      <c r="AF1032">
        <v>80</v>
      </c>
      <c r="AG1032">
        <v>0</v>
      </c>
      <c r="AH1032">
        <v>10</v>
      </c>
      <c r="AI1032">
        <v>2</v>
      </c>
      <c r="AJ1032">
        <v>3</v>
      </c>
      <c r="AK1032" t="str" cm="1">
        <f t="array" ref="AK1032">_xlfn.IFS(AJ1032&lt;=2,"Poor",AJ1032&lt;=3,"Fair",AJ1032&gt;3,"Good")</f>
        <v>Fair</v>
      </c>
      <c r="AL1032">
        <v>10</v>
      </c>
      <c r="AM1032">
        <v>8</v>
      </c>
      <c r="AN1032">
        <v>4</v>
      </c>
      <c r="AO1032">
        <v>7</v>
      </c>
    </row>
    <row r="1033" spans="1:41" x14ac:dyDescent="0.2">
      <c r="A1033">
        <v>1211666</v>
      </c>
      <c r="B1033">
        <v>45</v>
      </c>
      <c r="C1033" t="str" cm="1">
        <f t="array" ref="C1033">_xlfn.IFS(B1033&lt;=25,"15-25",B1033&lt;=35,"26-35",B1033&lt;=45,"36-45",B1033&lt;=55,"46-55",B1033&lt;=65,"56-65")</f>
        <v>36-45</v>
      </c>
      <c r="D1033" t="s">
        <v>35</v>
      </c>
      <c r="E1033" t="str">
        <f t="shared" si="32"/>
        <v>Current Employee</v>
      </c>
      <c r="F1033" t="s">
        <v>36</v>
      </c>
      <c r="G1033">
        <v>1038</v>
      </c>
      <c r="H1033" t="s">
        <v>45</v>
      </c>
      <c r="I1033">
        <v>20</v>
      </c>
      <c r="J1033">
        <v>3</v>
      </c>
      <c r="K1033" t="s">
        <v>49</v>
      </c>
      <c r="L1033">
        <v>1</v>
      </c>
      <c r="M1033">
        <v>2</v>
      </c>
      <c r="N1033" t="s">
        <v>46</v>
      </c>
      <c r="O1033">
        <v>95</v>
      </c>
      <c r="P1033">
        <v>1</v>
      </c>
      <c r="Q1033">
        <v>3</v>
      </c>
      <c r="R1033" t="s">
        <v>40</v>
      </c>
      <c r="S1033">
        <v>1</v>
      </c>
      <c r="T1033" t="str" cm="1">
        <f t="array" ref="T1033">_xlfn.IFS(S1033&lt;=2,"Poor",S1033&lt;=3,"Fair",S1033&gt;=4,"Good")</f>
        <v>Poor</v>
      </c>
      <c r="U1033" t="s">
        <v>50</v>
      </c>
      <c r="V1033" s="1">
        <v>10851</v>
      </c>
      <c r="W1033" t="str" cm="1">
        <f t="array" ref="W1033">_xlfn.IFS(V1033&lt;=5000,"Low Salary",V1033&lt;=12000,"Good Salary",V1033&gt;12000,"High Salary")</f>
        <v>Good Salary</v>
      </c>
      <c r="X1033">
        <v>19863</v>
      </c>
      <c r="Y1033">
        <v>2</v>
      </c>
      <c r="Z1033" t="s">
        <v>42</v>
      </c>
      <c r="AA1033" t="s">
        <v>43</v>
      </c>
      <c r="AB1033">
        <v>18</v>
      </c>
      <c r="AC1033">
        <v>3</v>
      </c>
      <c r="AD1033" t="str">
        <f t="shared" si="33"/>
        <v>Low Performance</v>
      </c>
      <c r="AE1033">
        <v>2</v>
      </c>
      <c r="AF1033">
        <v>80</v>
      </c>
      <c r="AG1033">
        <v>1</v>
      </c>
      <c r="AH1033">
        <v>24</v>
      </c>
      <c r="AI1033">
        <v>2</v>
      </c>
      <c r="AJ1033">
        <v>3</v>
      </c>
      <c r="AK1033" t="str" cm="1">
        <f t="array" ref="AK1033">_xlfn.IFS(AJ1033&lt;=2,"Poor",AJ1033&lt;=3,"Fair",AJ1033&gt;3,"Good")</f>
        <v>Fair</v>
      </c>
      <c r="AL1033">
        <v>7</v>
      </c>
      <c r="AM1033">
        <v>7</v>
      </c>
      <c r="AN1033">
        <v>0</v>
      </c>
      <c r="AO1033">
        <v>7</v>
      </c>
    </row>
    <row r="1034" spans="1:41" x14ac:dyDescent="0.2">
      <c r="A1034">
        <v>1214806</v>
      </c>
      <c r="B1034">
        <v>31</v>
      </c>
      <c r="C1034" t="str" cm="1">
        <f t="array" ref="C1034">_xlfn.IFS(B1034&lt;=25,"15-25",B1034&lt;=35,"26-35",B1034&lt;=45,"36-45",B1034&lt;=55,"46-55",B1034&lt;=65,"56-65")</f>
        <v>26-35</v>
      </c>
      <c r="D1034" t="s">
        <v>35</v>
      </c>
      <c r="E1034" t="str">
        <f t="shared" si="32"/>
        <v>Current Employee</v>
      </c>
      <c r="F1034" t="s">
        <v>36</v>
      </c>
      <c r="G1034">
        <v>1398</v>
      </c>
      <c r="H1034" t="s">
        <v>54</v>
      </c>
      <c r="I1034">
        <v>8</v>
      </c>
      <c r="J1034">
        <v>2</v>
      </c>
      <c r="K1034" t="s">
        <v>49</v>
      </c>
      <c r="L1034">
        <v>1</v>
      </c>
      <c r="M1034">
        <v>4</v>
      </c>
      <c r="N1034" t="s">
        <v>39</v>
      </c>
      <c r="O1034">
        <v>96</v>
      </c>
      <c r="P1034">
        <v>4</v>
      </c>
      <c r="Q1034">
        <v>1</v>
      </c>
      <c r="R1034" t="s">
        <v>47</v>
      </c>
      <c r="S1034">
        <v>2</v>
      </c>
      <c r="T1034" t="str" cm="1">
        <f t="array" ref="T1034">_xlfn.IFS(S1034&lt;=2,"Poor",S1034&lt;=3,"Fair",S1034&gt;=4,"Good")</f>
        <v>Poor</v>
      </c>
      <c r="U1034" t="s">
        <v>41</v>
      </c>
      <c r="V1034" s="1">
        <v>2109</v>
      </c>
      <c r="W1034" t="str" cm="1">
        <f t="array" ref="W1034">_xlfn.IFS(V1034&lt;=5000,"Low Salary",V1034&lt;=12000,"Good Salary",V1034&gt;12000,"High Salary")</f>
        <v>Low Salary</v>
      </c>
      <c r="X1034">
        <v>24609</v>
      </c>
      <c r="Y1034">
        <v>9</v>
      </c>
      <c r="Z1034" t="s">
        <v>42</v>
      </c>
      <c r="AA1034" t="s">
        <v>35</v>
      </c>
      <c r="AB1034">
        <v>18</v>
      </c>
      <c r="AC1034">
        <v>3</v>
      </c>
      <c r="AD1034" t="str">
        <f t="shared" si="33"/>
        <v>Low Performance</v>
      </c>
      <c r="AE1034">
        <v>4</v>
      </c>
      <c r="AF1034">
        <v>80</v>
      </c>
      <c r="AG1034">
        <v>0</v>
      </c>
      <c r="AH1034">
        <v>8</v>
      </c>
      <c r="AI1034">
        <v>3</v>
      </c>
      <c r="AJ1034">
        <v>3</v>
      </c>
      <c r="AK1034" t="str" cm="1">
        <f t="array" ref="AK1034">_xlfn.IFS(AJ1034&lt;=2,"Poor",AJ1034&lt;=3,"Fair",AJ1034&gt;3,"Good")</f>
        <v>Fair</v>
      </c>
      <c r="AL1034">
        <v>3</v>
      </c>
      <c r="AM1034">
        <v>2</v>
      </c>
      <c r="AN1034">
        <v>0</v>
      </c>
      <c r="AO1034">
        <v>2</v>
      </c>
    </row>
    <row r="1035" spans="1:41" x14ac:dyDescent="0.2">
      <c r="A1035">
        <v>1355585</v>
      </c>
      <c r="B1035">
        <v>31</v>
      </c>
      <c r="C1035" t="str" cm="1">
        <f t="array" ref="C1035">_xlfn.IFS(B1035&lt;=25,"15-25",B1035&lt;=35,"26-35",B1035&lt;=45,"36-45",B1035&lt;=55,"46-55",B1035&lt;=65,"56-65")</f>
        <v>26-35</v>
      </c>
      <c r="D1035" t="s">
        <v>43</v>
      </c>
      <c r="E1035" t="str">
        <f t="shared" si="32"/>
        <v>Former Employee</v>
      </c>
      <c r="F1035" t="s">
        <v>44</v>
      </c>
      <c r="G1035">
        <v>523</v>
      </c>
      <c r="H1035" t="s">
        <v>45</v>
      </c>
      <c r="I1035">
        <v>2</v>
      </c>
      <c r="J1035">
        <v>3</v>
      </c>
      <c r="K1035" t="s">
        <v>38</v>
      </c>
      <c r="L1035">
        <v>1</v>
      </c>
      <c r="M1035">
        <v>2</v>
      </c>
      <c r="N1035" t="s">
        <v>46</v>
      </c>
      <c r="O1035">
        <v>94</v>
      </c>
      <c r="P1035">
        <v>3</v>
      </c>
      <c r="Q1035">
        <v>1</v>
      </c>
      <c r="R1035" t="s">
        <v>40</v>
      </c>
      <c r="S1035">
        <v>4</v>
      </c>
      <c r="T1035" t="str" cm="1">
        <f t="array" ref="T1035">_xlfn.IFS(S1035&lt;=2,"Poor",S1035&lt;=3,"Fair",S1035&gt;=4,"Good")</f>
        <v>Good</v>
      </c>
      <c r="U1035" t="s">
        <v>48</v>
      </c>
      <c r="V1035" s="1">
        <v>3722</v>
      </c>
      <c r="W1035" t="str" cm="1">
        <f t="array" ref="W1035">_xlfn.IFS(V1035&lt;=5000,"Low Salary",V1035&lt;=12000,"Good Salary",V1035&gt;12000,"High Salary")</f>
        <v>Low Salary</v>
      </c>
      <c r="X1035">
        <v>21081</v>
      </c>
      <c r="Y1035">
        <v>6</v>
      </c>
      <c r="Z1035" t="s">
        <v>42</v>
      </c>
      <c r="AA1035" t="s">
        <v>43</v>
      </c>
      <c r="AB1035">
        <v>13</v>
      </c>
      <c r="AC1035">
        <v>3</v>
      </c>
      <c r="AD1035" t="str">
        <f t="shared" si="33"/>
        <v>Low Performance</v>
      </c>
      <c r="AE1035">
        <v>3</v>
      </c>
      <c r="AF1035">
        <v>80</v>
      </c>
      <c r="AG1035">
        <v>1</v>
      </c>
      <c r="AH1035">
        <v>7</v>
      </c>
      <c r="AI1035">
        <v>2</v>
      </c>
      <c r="AJ1035">
        <v>1</v>
      </c>
      <c r="AK1035" t="str" cm="1">
        <f t="array" ref="AK1035">_xlfn.IFS(AJ1035&lt;=2,"Poor",AJ1035&lt;=3,"Fair",AJ1035&gt;3,"Good")</f>
        <v>Poor</v>
      </c>
      <c r="AL1035">
        <v>2</v>
      </c>
      <c r="AM1035">
        <v>2</v>
      </c>
      <c r="AN1035">
        <v>2</v>
      </c>
      <c r="AO1035">
        <v>2</v>
      </c>
    </row>
    <row r="1036" spans="1:41" x14ac:dyDescent="0.2">
      <c r="A1036">
        <v>1341233</v>
      </c>
      <c r="B1036">
        <v>45</v>
      </c>
      <c r="C1036" t="str" cm="1">
        <f t="array" ref="C1036">_xlfn.IFS(B1036&lt;=25,"15-25",B1036&lt;=35,"26-35",B1036&lt;=45,"36-45",B1036&lt;=55,"46-55",B1036&lt;=65,"56-65")</f>
        <v>36-45</v>
      </c>
      <c r="D1036" t="s">
        <v>35</v>
      </c>
      <c r="E1036" t="str">
        <f t="shared" si="32"/>
        <v>Current Employee</v>
      </c>
      <c r="F1036" t="s">
        <v>36</v>
      </c>
      <c r="G1036">
        <v>1448</v>
      </c>
      <c r="H1036" t="s">
        <v>45</v>
      </c>
      <c r="I1036">
        <v>29</v>
      </c>
      <c r="J1036">
        <v>3</v>
      </c>
      <c r="K1036" t="s">
        <v>56</v>
      </c>
      <c r="L1036">
        <v>1</v>
      </c>
      <c r="M1036">
        <v>2</v>
      </c>
      <c r="N1036" t="s">
        <v>46</v>
      </c>
      <c r="O1036">
        <v>55</v>
      </c>
      <c r="P1036">
        <v>3</v>
      </c>
      <c r="Q1036">
        <v>3</v>
      </c>
      <c r="R1036" t="s">
        <v>51</v>
      </c>
      <c r="S1036">
        <v>4</v>
      </c>
      <c r="T1036" t="str" cm="1">
        <f t="array" ref="T1036">_xlfn.IFS(S1036&lt;=2,"Poor",S1036&lt;=3,"Fair",S1036&gt;=4,"Good")</f>
        <v>Good</v>
      </c>
      <c r="U1036" t="s">
        <v>48</v>
      </c>
      <c r="V1036" s="1">
        <v>9380</v>
      </c>
      <c r="W1036" t="str" cm="1">
        <f t="array" ref="W1036">_xlfn.IFS(V1036&lt;=5000,"Low Salary",V1036&lt;=12000,"Good Salary",V1036&gt;12000,"High Salary")</f>
        <v>Good Salary</v>
      </c>
      <c r="X1036">
        <v>14720</v>
      </c>
      <c r="Y1036">
        <v>4</v>
      </c>
      <c r="Z1036" t="s">
        <v>42</v>
      </c>
      <c r="AA1036" t="s">
        <v>43</v>
      </c>
      <c r="AB1036">
        <v>18</v>
      </c>
      <c r="AC1036">
        <v>3</v>
      </c>
      <c r="AD1036" t="str">
        <f t="shared" si="33"/>
        <v>Low Performance</v>
      </c>
      <c r="AE1036">
        <v>4</v>
      </c>
      <c r="AF1036">
        <v>80</v>
      </c>
      <c r="AG1036">
        <v>2</v>
      </c>
      <c r="AH1036">
        <v>10</v>
      </c>
      <c r="AI1036">
        <v>4</v>
      </c>
      <c r="AJ1036">
        <v>4</v>
      </c>
      <c r="AK1036" t="str" cm="1">
        <f t="array" ref="AK1036">_xlfn.IFS(AJ1036&lt;=2,"Poor",AJ1036&lt;=3,"Fair",AJ1036&gt;3,"Good")</f>
        <v>Good</v>
      </c>
      <c r="AL1036">
        <v>3</v>
      </c>
      <c r="AM1036">
        <v>1</v>
      </c>
      <c r="AN1036">
        <v>1</v>
      </c>
      <c r="AO1036">
        <v>2</v>
      </c>
    </row>
    <row r="1037" spans="1:41" x14ac:dyDescent="0.2">
      <c r="A1037">
        <v>1203781</v>
      </c>
      <c r="B1037">
        <v>48</v>
      </c>
      <c r="C1037" t="str" cm="1">
        <f t="array" ref="C1037">_xlfn.IFS(B1037&lt;=25,"15-25",B1037&lt;=35,"26-35",B1037&lt;=45,"36-45",B1037&lt;=55,"46-55",B1037&lt;=65,"56-65")</f>
        <v>46-55</v>
      </c>
      <c r="D1037" t="s">
        <v>35</v>
      </c>
      <c r="E1037" t="str">
        <f t="shared" si="32"/>
        <v>Current Employee</v>
      </c>
      <c r="F1037" t="s">
        <v>36</v>
      </c>
      <c r="G1037">
        <v>1221</v>
      </c>
      <c r="H1037" t="s">
        <v>37</v>
      </c>
      <c r="I1037">
        <v>7</v>
      </c>
      <c r="J1037">
        <v>3</v>
      </c>
      <c r="K1037" t="s">
        <v>55</v>
      </c>
      <c r="L1037">
        <v>1</v>
      </c>
      <c r="M1037">
        <v>3</v>
      </c>
      <c r="N1037" t="s">
        <v>46</v>
      </c>
      <c r="O1037">
        <v>96</v>
      </c>
      <c r="P1037">
        <v>3</v>
      </c>
      <c r="Q1037">
        <v>2</v>
      </c>
      <c r="R1037" t="s">
        <v>40</v>
      </c>
      <c r="S1037">
        <v>1</v>
      </c>
      <c r="T1037" t="str" cm="1">
        <f t="array" ref="T1037">_xlfn.IFS(S1037&lt;=2,"Poor",S1037&lt;=3,"Fair",S1037&gt;=4,"Good")</f>
        <v>Poor</v>
      </c>
      <c r="U1037" t="s">
        <v>50</v>
      </c>
      <c r="V1037" s="1">
        <v>5486</v>
      </c>
      <c r="W1037" t="str" cm="1">
        <f t="array" ref="W1037">_xlfn.IFS(V1037&lt;=5000,"Low Salary",V1037&lt;=12000,"Good Salary",V1037&gt;12000,"High Salary")</f>
        <v>Good Salary</v>
      </c>
      <c r="X1037">
        <v>24795</v>
      </c>
      <c r="Y1037">
        <v>4</v>
      </c>
      <c r="Z1037" t="s">
        <v>42</v>
      </c>
      <c r="AA1037" t="s">
        <v>35</v>
      </c>
      <c r="AB1037">
        <v>11</v>
      </c>
      <c r="AC1037">
        <v>3</v>
      </c>
      <c r="AD1037" t="str">
        <f t="shared" si="33"/>
        <v>Low Performance</v>
      </c>
      <c r="AE1037">
        <v>1</v>
      </c>
      <c r="AF1037">
        <v>80</v>
      </c>
      <c r="AG1037">
        <v>3</v>
      </c>
      <c r="AH1037">
        <v>15</v>
      </c>
      <c r="AI1037">
        <v>3</v>
      </c>
      <c r="AJ1037">
        <v>3</v>
      </c>
      <c r="AK1037" t="str" cm="1">
        <f t="array" ref="AK1037">_xlfn.IFS(AJ1037&lt;=2,"Poor",AJ1037&lt;=3,"Fair",AJ1037&gt;3,"Good")</f>
        <v>Fair</v>
      </c>
      <c r="AL1037">
        <v>2</v>
      </c>
      <c r="AM1037">
        <v>2</v>
      </c>
      <c r="AN1037">
        <v>2</v>
      </c>
      <c r="AO1037">
        <v>2</v>
      </c>
    </row>
    <row r="1038" spans="1:41" x14ac:dyDescent="0.2">
      <c r="A1038">
        <v>1234542</v>
      </c>
      <c r="B1038">
        <v>34</v>
      </c>
      <c r="C1038" t="str" cm="1">
        <f t="array" ref="C1038">_xlfn.IFS(B1038&lt;=25,"15-25",B1038&lt;=35,"26-35",B1038&lt;=45,"36-45",B1038&lt;=55,"46-55",B1038&lt;=65,"56-65")</f>
        <v>26-35</v>
      </c>
      <c r="D1038" t="s">
        <v>35</v>
      </c>
      <c r="E1038" t="str">
        <f t="shared" si="32"/>
        <v>Current Employee</v>
      </c>
      <c r="F1038" t="s">
        <v>36</v>
      </c>
      <c r="G1038">
        <v>1107</v>
      </c>
      <c r="H1038" t="s">
        <v>54</v>
      </c>
      <c r="I1038">
        <v>9</v>
      </c>
      <c r="J1038">
        <v>4</v>
      </c>
      <c r="K1038" t="s">
        <v>56</v>
      </c>
      <c r="L1038">
        <v>1</v>
      </c>
      <c r="M1038">
        <v>1</v>
      </c>
      <c r="N1038" t="s">
        <v>39</v>
      </c>
      <c r="O1038">
        <v>52</v>
      </c>
      <c r="P1038">
        <v>3</v>
      </c>
      <c r="Q1038">
        <v>1</v>
      </c>
      <c r="R1038" t="s">
        <v>47</v>
      </c>
      <c r="S1038">
        <v>3</v>
      </c>
      <c r="T1038" t="str" cm="1">
        <f t="array" ref="T1038">_xlfn.IFS(S1038&lt;=2,"Poor",S1038&lt;=3,"Fair",S1038&gt;=4,"Good")</f>
        <v>Fair</v>
      </c>
      <c r="U1038" t="s">
        <v>48</v>
      </c>
      <c r="V1038" s="1">
        <v>2742</v>
      </c>
      <c r="W1038" t="str" cm="1">
        <f t="array" ref="W1038">_xlfn.IFS(V1038&lt;=5000,"Low Salary",V1038&lt;=12000,"Good Salary",V1038&gt;12000,"High Salary")</f>
        <v>Low Salary</v>
      </c>
      <c r="X1038">
        <v>3072</v>
      </c>
      <c r="Y1038">
        <v>1</v>
      </c>
      <c r="Z1038" t="s">
        <v>42</v>
      </c>
      <c r="AA1038" t="s">
        <v>35</v>
      </c>
      <c r="AB1038">
        <v>15</v>
      </c>
      <c r="AC1038">
        <v>3</v>
      </c>
      <c r="AD1038" t="str">
        <f t="shared" si="33"/>
        <v>Low Performance</v>
      </c>
      <c r="AE1038">
        <v>4</v>
      </c>
      <c r="AF1038">
        <v>80</v>
      </c>
      <c r="AG1038">
        <v>0</v>
      </c>
      <c r="AH1038">
        <v>2</v>
      </c>
      <c r="AI1038">
        <v>0</v>
      </c>
      <c r="AJ1038">
        <v>3</v>
      </c>
      <c r="AK1038" t="str" cm="1">
        <f t="array" ref="AK1038">_xlfn.IFS(AJ1038&lt;=2,"Poor",AJ1038&lt;=3,"Fair",AJ1038&gt;3,"Good")</f>
        <v>Fair</v>
      </c>
      <c r="AL1038">
        <v>2</v>
      </c>
      <c r="AM1038">
        <v>2</v>
      </c>
      <c r="AN1038">
        <v>2</v>
      </c>
      <c r="AO1038">
        <v>2</v>
      </c>
    </row>
    <row r="1039" spans="1:41" x14ac:dyDescent="0.2">
      <c r="A1039">
        <v>1282478</v>
      </c>
      <c r="B1039">
        <v>40</v>
      </c>
      <c r="C1039" t="str" cm="1">
        <f t="array" ref="C1039">_xlfn.IFS(B1039&lt;=25,"15-25",B1039&lt;=35,"26-35",B1039&lt;=45,"36-45",B1039&lt;=55,"46-55",B1039&lt;=65,"56-65")</f>
        <v>36-45</v>
      </c>
      <c r="D1039" t="s">
        <v>35</v>
      </c>
      <c r="E1039" t="str">
        <f t="shared" si="32"/>
        <v>Current Employee</v>
      </c>
      <c r="F1039" t="s">
        <v>52</v>
      </c>
      <c r="G1039">
        <v>218</v>
      </c>
      <c r="H1039" t="s">
        <v>45</v>
      </c>
      <c r="I1039">
        <v>8</v>
      </c>
      <c r="J1039">
        <v>1</v>
      </c>
      <c r="K1039" t="s">
        <v>49</v>
      </c>
      <c r="L1039">
        <v>1</v>
      </c>
      <c r="M1039">
        <v>4</v>
      </c>
      <c r="N1039" t="s">
        <v>46</v>
      </c>
      <c r="O1039">
        <v>55</v>
      </c>
      <c r="P1039">
        <v>2</v>
      </c>
      <c r="Q1039">
        <v>3</v>
      </c>
      <c r="R1039" t="s">
        <v>53</v>
      </c>
      <c r="S1039">
        <v>2</v>
      </c>
      <c r="T1039" t="str" cm="1">
        <f t="array" ref="T1039">_xlfn.IFS(S1039&lt;=2,"Poor",S1039&lt;=3,"Fair",S1039&gt;=4,"Good")</f>
        <v>Poor</v>
      </c>
      <c r="U1039" t="s">
        <v>50</v>
      </c>
      <c r="V1039" s="1">
        <v>13757</v>
      </c>
      <c r="W1039" t="str" cm="1">
        <f t="array" ref="W1039">_xlfn.IFS(V1039&lt;=5000,"Low Salary",V1039&lt;=12000,"Good Salary",V1039&gt;12000,"High Salary")</f>
        <v>High Salary</v>
      </c>
      <c r="X1039">
        <v>25178</v>
      </c>
      <c r="Y1039">
        <v>2</v>
      </c>
      <c r="Z1039" t="s">
        <v>42</v>
      </c>
      <c r="AA1039" t="s">
        <v>35</v>
      </c>
      <c r="AB1039">
        <v>11</v>
      </c>
      <c r="AC1039">
        <v>3</v>
      </c>
      <c r="AD1039" t="str">
        <f t="shared" si="33"/>
        <v>Low Performance</v>
      </c>
      <c r="AE1039">
        <v>3</v>
      </c>
      <c r="AF1039">
        <v>80</v>
      </c>
      <c r="AG1039">
        <v>1</v>
      </c>
      <c r="AH1039">
        <v>16</v>
      </c>
      <c r="AI1039">
        <v>5</v>
      </c>
      <c r="AJ1039">
        <v>3</v>
      </c>
      <c r="AK1039" t="str" cm="1">
        <f t="array" ref="AK1039">_xlfn.IFS(AJ1039&lt;=2,"Poor",AJ1039&lt;=3,"Fair",AJ1039&gt;3,"Good")</f>
        <v>Fair</v>
      </c>
      <c r="AL1039">
        <v>9</v>
      </c>
      <c r="AM1039">
        <v>8</v>
      </c>
      <c r="AN1039">
        <v>4</v>
      </c>
      <c r="AO1039">
        <v>8</v>
      </c>
    </row>
    <row r="1040" spans="1:41" x14ac:dyDescent="0.2">
      <c r="A1040">
        <v>1488687</v>
      </c>
      <c r="B1040">
        <v>28</v>
      </c>
      <c r="C1040" t="str" cm="1">
        <f t="array" ref="C1040">_xlfn.IFS(B1040&lt;=25,"15-25",B1040&lt;=35,"26-35",B1040&lt;=45,"36-45",B1040&lt;=55,"46-55",B1040&lt;=65,"56-65")</f>
        <v>26-35</v>
      </c>
      <c r="D1040" t="s">
        <v>35</v>
      </c>
      <c r="E1040" t="str">
        <f t="shared" si="32"/>
        <v>Current Employee</v>
      </c>
      <c r="F1040" t="s">
        <v>36</v>
      </c>
      <c r="G1040">
        <v>866</v>
      </c>
      <c r="H1040" t="s">
        <v>37</v>
      </c>
      <c r="I1040">
        <v>5</v>
      </c>
      <c r="J1040">
        <v>3</v>
      </c>
      <c r="K1040" t="s">
        <v>49</v>
      </c>
      <c r="L1040">
        <v>1</v>
      </c>
      <c r="M1040">
        <v>4</v>
      </c>
      <c r="N1040" t="s">
        <v>46</v>
      </c>
      <c r="O1040">
        <v>84</v>
      </c>
      <c r="P1040">
        <v>3</v>
      </c>
      <c r="Q1040">
        <v>2</v>
      </c>
      <c r="R1040" t="s">
        <v>40</v>
      </c>
      <c r="S1040">
        <v>1</v>
      </c>
      <c r="T1040" t="str" cm="1">
        <f t="array" ref="T1040">_xlfn.IFS(S1040&lt;=2,"Poor",S1040&lt;=3,"Fair",S1040&gt;=4,"Good")</f>
        <v>Poor</v>
      </c>
      <c r="U1040" t="s">
        <v>41</v>
      </c>
      <c r="V1040" s="1">
        <v>8463</v>
      </c>
      <c r="W1040" t="str" cm="1">
        <f t="array" ref="W1040">_xlfn.IFS(V1040&lt;=5000,"Low Salary",V1040&lt;=12000,"Good Salary",V1040&gt;12000,"High Salary")</f>
        <v>Good Salary</v>
      </c>
      <c r="X1040">
        <v>23490</v>
      </c>
      <c r="Y1040">
        <v>0</v>
      </c>
      <c r="Z1040" t="s">
        <v>42</v>
      </c>
      <c r="AA1040" t="s">
        <v>35</v>
      </c>
      <c r="AB1040">
        <v>18</v>
      </c>
      <c r="AC1040">
        <v>3</v>
      </c>
      <c r="AD1040" t="str">
        <f t="shared" si="33"/>
        <v>Low Performance</v>
      </c>
      <c r="AE1040">
        <v>4</v>
      </c>
      <c r="AF1040">
        <v>80</v>
      </c>
      <c r="AG1040">
        <v>0</v>
      </c>
      <c r="AH1040">
        <v>6</v>
      </c>
      <c r="AI1040">
        <v>4</v>
      </c>
      <c r="AJ1040">
        <v>3</v>
      </c>
      <c r="AK1040" t="str" cm="1">
        <f t="array" ref="AK1040">_xlfn.IFS(AJ1040&lt;=2,"Poor",AJ1040&lt;=3,"Fair",AJ1040&gt;3,"Good")</f>
        <v>Fair</v>
      </c>
      <c r="AL1040">
        <v>5</v>
      </c>
      <c r="AM1040">
        <v>4</v>
      </c>
      <c r="AN1040">
        <v>1</v>
      </c>
      <c r="AO1040">
        <v>3</v>
      </c>
    </row>
    <row r="1041" spans="1:41" x14ac:dyDescent="0.2">
      <c r="A1041">
        <v>1520049</v>
      </c>
      <c r="B1041">
        <v>44</v>
      </c>
      <c r="C1041" t="str" cm="1">
        <f t="array" ref="C1041">_xlfn.IFS(B1041&lt;=25,"15-25",B1041&lt;=35,"26-35",B1041&lt;=45,"36-45",B1041&lt;=55,"46-55",B1041&lt;=65,"56-65")</f>
        <v>36-45</v>
      </c>
      <c r="D1041" t="s">
        <v>35</v>
      </c>
      <c r="E1041" t="str">
        <f t="shared" si="32"/>
        <v>Current Employee</v>
      </c>
      <c r="F1041" t="s">
        <v>52</v>
      </c>
      <c r="G1041">
        <v>981</v>
      </c>
      <c r="H1041" t="s">
        <v>45</v>
      </c>
      <c r="I1041">
        <v>5</v>
      </c>
      <c r="J1041">
        <v>3</v>
      </c>
      <c r="K1041" t="s">
        <v>38</v>
      </c>
      <c r="L1041">
        <v>1</v>
      </c>
      <c r="M1041">
        <v>3</v>
      </c>
      <c r="N1041" t="s">
        <v>46</v>
      </c>
      <c r="O1041">
        <v>90</v>
      </c>
      <c r="P1041">
        <v>2</v>
      </c>
      <c r="Q1041">
        <v>1</v>
      </c>
      <c r="R1041" t="s">
        <v>40</v>
      </c>
      <c r="S1041">
        <v>3</v>
      </c>
      <c r="T1041" t="str" cm="1">
        <f t="array" ref="T1041">_xlfn.IFS(S1041&lt;=2,"Poor",S1041&lt;=3,"Fair",S1041&gt;=4,"Good")</f>
        <v>Fair</v>
      </c>
      <c r="U1041" t="s">
        <v>41</v>
      </c>
      <c r="V1041" s="1">
        <v>3162</v>
      </c>
      <c r="W1041" t="str" cm="1">
        <f t="array" ref="W1041">_xlfn.IFS(V1041&lt;=5000,"Low Salary",V1041&lt;=12000,"Good Salary",V1041&gt;12000,"High Salary")</f>
        <v>Low Salary</v>
      </c>
      <c r="X1041">
        <v>7973</v>
      </c>
      <c r="Y1041">
        <v>3</v>
      </c>
      <c r="Z1041" t="s">
        <v>42</v>
      </c>
      <c r="AA1041" t="s">
        <v>35</v>
      </c>
      <c r="AB1041">
        <v>14</v>
      </c>
      <c r="AC1041">
        <v>3</v>
      </c>
      <c r="AD1041" t="str">
        <f t="shared" si="33"/>
        <v>Low Performance</v>
      </c>
      <c r="AE1041">
        <v>4</v>
      </c>
      <c r="AF1041">
        <v>80</v>
      </c>
      <c r="AG1041">
        <v>0</v>
      </c>
      <c r="AH1041">
        <v>7</v>
      </c>
      <c r="AI1041">
        <v>5</v>
      </c>
      <c r="AJ1041">
        <v>3</v>
      </c>
      <c r="AK1041" t="str" cm="1">
        <f t="array" ref="AK1041">_xlfn.IFS(AJ1041&lt;=2,"Poor",AJ1041&lt;=3,"Fair",AJ1041&gt;3,"Good")</f>
        <v>Fair</v>
      </c>
      <c r="AL1041">
        <v>5</v>
      </c>
      <c r="AM1041">
        <v>2</v>
      </c>
      <c r="AN1041">
        <v>0</v>
      </c>
      <c r="AO1041">
        <v>3</v>
      </c>
    </row>
    <row r="1042" spans="1:41" x14ac:dyDescent="0.2">
      <c r="A1042">
        <v>1811254</v>
      </c>
      <c r="B1042">
        <v>53</v>
      </c>
      <c r="C1042" t="str" cm="1">
        <f t="array" ref="C1042">_xlfn.IFS(B1042&lt;=25,"15-25",B1042&lt;=35,"26-35",B1042&lt;=45,"36-45",B1042&lt;=55,"46-55",B1042&lt;=65,"56-65")</f>
        <v>46-55</v>
      </c>
      <c r="D1042" t="s">
        <v>35</v>
      </c>
      <c r="E1042" t="str">
        <f t="shared" si="32"/>
        <v>Current Employee</v>
      </c>
      <c r="F1042" t="s">
        <v>36</v>
      </c>
      <c r="G1042">
        <v>447</v>
      </c>
      <c r="H1042" t="s">
        <v>45</v>
      </c>
      <c r="I1042">
        <v>2</v>
      </c>
      <c r="J1042">
        <v>3</v>
      </c>
      <c r="K1042" t="s">
        <v>49</v>
      </c>
      <c r="L1042">
        <v>1</v>
      </c>
      <c r="M1042">
        <v>4</v>
      </c>
      <c r="N1042" t="s">
        <v>46</v>
      </c>
      <c r="O1042">
        <v>39</v>
      </c>
      <c r="P1042">
        <v>4</v>
      </c>
      <c r="Q1042">
        <v>4</v>
      </c>
      <c r="R1042" t="s">
        <v>53</v>
      </c>
      <c r="S1042">
        <v>2</v>
      </c>
      <c r="T1042" t="str" cm="1">
        <f t="array" ref="T1042">_xlfn.IFS(S1042&lt;=2,"Poor",S1042&lt;=3,"Fair",S1042&gt;=4,"Good")</f>
        <v>Poor</v>
      </c>
      <c r="U1042" t="s">
        <v>41</v>
      </c>
      <c r="V1042" s="1">
        <v>16598</v>
      </c>
      <c r="W1042" t="str" cm="1">
        <f t="array" ref="W1042">_xlfn.IFS(V1042&lt;=5000,"Low Salary",V1042&lt;=12000,"Good Salary",V1042&gt;12000,"High Salary")</f>
        <v>High Salary</v>
      </c>
      <c r="X1042">
        <v>19764</v>
      </c>
      <c r="Y1042">
        <v>4</v>
      </c>
      <c r="Z1042" t="s">
        <v>42</v>
      </c>
      <c r="AA1042" t="s">
        <v>35</v>
      </c>
      <c r="AB1042">
        <v>12</v>
      </c>
      <c r="AC1042">
        <v>3</v>
      </c>
      <c r="AD1042" t="str">
        <f t="shared" si="33"/>
        <v>Low Performance</v>
      </c>
      <c r="AE1042">
        <v>2</v>
      </c>
      <c r="AF1042">
        <v>80</v>
      </c>
      <c r="AG1042">
        <v>0</v>
      </c>
      <c r="AH1042">
        <v>35</v>
      </c>
      <c r="AI1042">
        <v>2</v>
      </c>
      <c r="AJ1042">
        <v>2</v>
      </c>
      <c r="AK1042" t="str" cm="1">
        <f t="array" ref="AK1042">_xlfn.IFS(AJ1042&lt;=2,"Poor",AJ1042&lt;=3,"Fair",AJ1042&gt;3,"Good")</f>
        <v>Poor</v>
      </c>
      <c r="AL1042">
        <v>9</v>
      </c>
      <c r="AM1042">
        <v>8</v>
      </c>
      <c r="AN1042">
        <v>8</v>
      </c>
      <c r="AO1042">
        <v>8</v>
      </c>
    </row>
    <row r="1043" spans="1:41" x14ac:dyDescent="0.2">
      <c r="A1043">
        <v>1028391</v>
      </c>
      <c r="B1043">
        <v>49</v>
      </c>
      <c r="C1043" t="str" cm="1">
        <f t="array" ref="C1043">_xlfn.IFS(B1043&lt;=25,"15-25",B1043&lt;=35,"26-35",B1043&lt;=45,"36-45",B1043&lt;=55,"46-55",B1043&lt;=65,"56-65")</f>
        <v>46-55</v>
      </c>
      <c r="D1043" t="s">
        <v>35</v>
      </c>
      <c r="E1043" t="str">
        <f t="shared" si="32"/>
        <v>Current Employee</v>
      </c>
      <c r="F1043" t="s">
        <v>36</v>
      </c>
      <c r="G1043">
        <v>1495</v>
      </c>
      <c r="H1043" t="s">
        <v>45</v>
      </c>
      <c r="I1043">
        <v>5</v>
      </c>
      <c r="J1043">
        <v>4</v>
      </c>
      <c r="K1043" t="s">
        <v>56</v>
      </c>
      <c r="L1043">
        <v>1</v>
      </c>
      <c r="M1043">
        <v>1</v>
      </c>
      <c r="N1043" t="s">
        <v>46</v>
      </c>
      <c r="O1043">
        <v>96</v>
      </c>
      <c r="P1043">
        <v>3</v>
      </c>
      <c r="Q1043">
        <v>2</v>
      </c>
      <c r="R1043" t="s">
        <v>40</v>
      </c>
      <c r="S1043">
        <v>3</v>
      </c>
      <c r="T1043" t="str" cm="1">
        <f t="array" ref="T1043">_xlfn.IFS(S1043&lt;=2,"Poor",S1043&lt;=3,"Fair",S1043&gt;=4,"Good")</f>
        <v>Fair</v>
      </c>
      <c r="U1043" t="s">
        <v>48</v>
      </c>
      <c r="V1043" s="1">
        <v>6651</v>
      </c>
      <c r="W1043" t="str" cm="1">
        <f t="array" ref="W1043">_xlfn.IFS(V1043&lt;=5000,"Low Salary",V1043&lt;=12000,"Good Salary",V1043&gt;12000,"High Salary")</f>
        <v>Good Salary</v>
      </c>
      <c r="X1043">
        <v>21534</v>
      </c>
      <c r="Y1043">
        <v>2</v>
      </c>
      <c r="Z1043" t="s">
        <v>42</v>
      </c>
      <c r="AA1043" t="s">
        <v>35</v>
      </c>
      <c r="AB1043">
        <v>14</v>
      </c>
      <c r="AC1043">
        <v>3</v>
      </c>
      <c r="AD1043" t="str">
        <f t="shared" si="33"/>
        <v>Low Performance</v>
      </c>
      <c r="AE1043">
        <v>2</v>
      </c>
      <c r="AF1043">
        <v>80</v>
      </c>
      <c r="AG1043">
        <v>1</v>
      </c>
      <c r="AH1043">
        <v>20</v>
      </c>
      <c r="AI1043">
        <v>0</v>
      </c>
      <c r="AJ1043">
        <v>2</v>
      </c>
      <c r="AK1043" t="str" cm="1">
        <f t="array" ref="AK1043">_xlfn.IFS(AJ1043&lt;=2,"Poor",AJ1043&lt;=3,"Fair",AJ1043&gt;3,"Good")</f>
        <v>Poor</v>
      </c>
      <c r="AL1043">
        <v>3</v>
      </c>
      <c r="AM1043">
        <v>2</v>
      </c>
      <c r="AN1043">
        <v>1</v>
      </c>
      <c r="AO1043">
        <v>2</v>
      </c>
    </row>
    <row r="1044" spans="1:41" x14ac:dyDescent="0.2">
      <c r="A1044">
        <v>1759045</v>
      </c>
      <c r="B1044">
        <v>40</v>
      </c>
      <c r="C1044" t="str" cm="1">
        <f t="array" ref="C1044">_xlfn.IFS(B1044&lt;=25,"15-25",B1044&lt;=35,"26-35",B1044&lt;=45,"36-45",B1044&lt;=55,"46-55",B1044&lt;=65,"56-65")</f>
        <v>36-45</v>
      </c>
      <c r="D1044" t="s">
        <v>35</v>
      </c>
      <c r="E1044" t="str">
        <f t="shared" si="32"/>
        <v>Current Employee</v>
      </c>
      <c r="F1044" t="s">
        <v>36</v>
      </c>
      <c r="G1044">
        <v>896</v>
      </c>
      <c r="H1044" t="s">
        <v>45</v>
      </c>
      <c r="I1044">
        <v>2</v>
      </c>
      <c r="J1044">
        <v>3</v>
      </c>
      <c r="K1044" t="s">
        <v>49</v>
      </c>
      <c r="L1044">
        <v>1</v>
      </c>
      <c r="M1044">
        <v>3</v>
      </c>
      <c r="N1044" t="s">
        <v>46</v>
      </c>
      <c r="O1044">
        <v>68</v>
      </c>
      <c r="P1044">
        <v>3</v>
      </c>
      <c r="Q1044">
        <v>1</v>
      </c>
      <c r="R1044" t="s">
        <v>47</v>
      </c>
      <c r="S1044">
        <v>3</v>
      </c>
      <c r="T1044" t="str" cm="1">
        <f t="array" ref="T1044">_xlfn.IFS(S1044&lt;=2,"Poor",S1044&lt;=3,"Fair",S1044&gt;=4,"Good")</f>
        <v>Fair</v>
      </c>
      <c r="U1044" t="s">
        <v>50</v>
      </c>
      <c r="V1044" s="1">
        <v>2345</v>
      </c>
      <c r="W1044" t="str" cm="1">
        <f t="array" ref="W1044">_xlfn.IFS(V1044&lt;=5000,"Low Salary",V1044&lt;=12000,"Good Salary",V1044&gt;12000,"High Salary")</f>
        <v>Low Salary</v>
      </c>
      <c r="X1044">
        <v>8045</v>
      </c>
      <c r="Y1044">
        <v>2</v>
      </c>
      <c r="Z1044" t="s">
        <v>42</v>
      </c>
      <c r="AA1044" t="s">
        <v>35</v>
      </c>
      <c r="AB1044">
        <v>14</v>
      </c>
      <c r="AC1044">
        <v>3</v>
      </c>
      <c r="AD1044" t="str">
        <f t="shared" si="33"/>
        <v>Low Performance</v>
      </c>
      <c r="AE1044">
        <v>3</v>
      </c>
      <c r="AF1044">
        <v>80</v>
      </c>
      <c r="AG1044">
        <v>1</v>
      </c>
      <c r="AH1044">
        <v>8</v>
      </c>
      <c r="AI1044">
        <v>3</v>
      </c>
      <c r="AJ1044">
        <v>4</v>
      </c>
      <c r="AK1044" t="str" cm="1">
        <f t="array" ref="AK1044">_xlfn.IFS(AJ1044&lt;=2,"Poor",AJ1044&lt;=3,"Fair",AJ1044&gt;3,"Good")</f>
        <v>Good</v>
      </c>
      <c r="AL1044">
        <v>3</v>
      </c>
      <c r="AM1044">
        <v>1</v>
      </c>
      <c r="AN1044">
        <v>1</v>
      </c>
      <c r="AO1044">
        <v>2</v>
      </c>
    </row>
    <row r="1045" spans="1:41" x14ac:dyDescent="0.2">
      <c r="A1045">
        <v>1613858</v>
      </c>
      <c r="B1045">
        <v>44</v>
      </c>
      <c r="C1045" t="str" cm="1">
        <f t="array" ref="C1045">_xlfn.IFS(B1045&lt;=25,"15-25",B1045&lt;=35,"26-35",B1045&lt;=45,"36-45",B1045&lt;=55,"46-55",B1045&lt;=65,"56-65")</f>
        <v>36-45</v>
      </c>
      <c r="D1045" t="s">
        <v>35</v>
      </c>
      <c r="E1045" t="str">
        <f t="shared" si="32"/>
        <v>Current Employee</v>
      </c>
      <c r="F1045" t="s">
        <v>36</v>
      </c>
      <c r="G1045">
        <v>1467</v>
      </c>
      <c r="H1045" t="s">
        <v>45</v>
      </c>
      <c r="I1045">
        <v>20</v>
      </c>
      <c r="J1045">
        <v>3</v>
      </c>
      <c r="K1045" t="s">
        <v>38</v>
      </c>
      <c r="L1045">
        <v>1</v>
      </c>
      <c r="M1045">
        <v>4</v>
      </c>
      <c r="N1045" t="s">
        <v>46</v>
      </c>
      <c r="O1045">
        <v>49</v>
      </c>
      <c r="P1045">
        <v>3</v>
      </c>
      <c r="Q1045">
        <v>1</v>
      </c>
      <c r="R1045" t="s">
        <v>47</v>
      </c>
      <c r="S1045">
        <v>2</v>
      </c>
      <c r="T1045" t="str" cm="1">
        <f t="array" ref="T1045">_xlfn.IFS(S1045&lt;=2,"Poor",S1045&lt;=3,"Fair",S1045&gt;=4,"Good")</f>
        <v>Poor</v>
      </c>
      <c r="U1045" t="s">
        <v>41</v>
      </c>
      <c r="V1045" s="1">
        <v>3420</v>
      </c>
      <c r="W1045" t="str" cm="1">
        <f t="array" ref="W1045">_xlfn.IFS(V1045&lt;=5000,"Low Salary",V1045&lt;=12000,"Good Salary",V1045&gt;12000,"High Salary")</f>
        <v>Low Salary</v>
      </c>
      <c r="X1045">
        <v>21158</v>
      </c>
      <c r="Y1045">
        <v>1</v>
      </c>
      <c r="Z1045" t="s">
        <v>42</v>
      </c>
      <c r="AA1045" t="s">
        <v>35</v>
      </c>
      <c r="AB1045">
        <v>13</v>
      </c>
      <c r="AC1045">
        <v>3</v>
      </c>
      <c r="AD1045" t="str">
        <f t="shared" si="33"/>
        <v>Low Performance</v>
      </c>
      <c r="AE1045">
        <v>3</v>
      </c>
      <c r="AF1045">
        <v>80</v>
      </c>
      <c r="AG1045">
        <v>0</v>
      </c>
      <c r="AH1045">
        <v>6</v>
      </c>
      <c r="AI1045">
        <v>3</v>
      </c>
      <c r="AJ1045">
        <v>2</v>
      </c>
      <c r="AK1045" t="str" cm="1">
        <f t="array" ref="AK1045">_xlfn.IFS(AJ1045&lt;=2,"Poor",AJ1045&lt;=3,"Fair",AJ1045&gt;3,"Good")</f>
        <v>Poor</v>
      </c>
      <c r="AL1045">
        <v>5</v>
      </c>
      <c r="AM1045">
        <v>2</v>
      </c>
      <c r="AN1045">
        <v>1</v>
      </c>
      <c r="AO1045">
        <v>3</v>
      </c>
    </row>
    <row r="1046" spans="1:41" x14ac:dyDescent="0.2">
      <c r="A1046">
        <v>1317016</v>
      </c>
      <c r="B1046">
        <v>33</v>
      </c>
      <c r="C1046" t="str" cm="1">
        <f t="array" ref="C1046">_xlfn.IFS(B1046&lt;=25,"15-25",B1046&lt;=35,"26-35",B1046&lt;=45,"36-45",B1046&lt;=55,"46-55",B1046&lt;=65,"56-65")</f>
        <v>26-35</v>
      </c>
      <c r="D1046" t="s">
        <v>35</v>
      </c>
      <c r="E1046" t="str">
        <f t="shared" si="32"/>
        <v>Current Employee</v>
      </c>
      <c r="F1046" t="s">
        <v>44</v>
      </c>
      <c r="G1046">
        <v>430</v>
      </c>
      <c r="H1046" t="s">
        <v>37</v>
      </c>
      <c r="I1046">
        <v>7</v>
      </c>
      <c r="J1046">
        <v>3</v>
      </c>
      <c r="K1046" t="s">
        <v>49</v>
      </c>
      <c r="L1046">
        <v>1</v>
      </c>
      <c r="M1046">
        <v>4</v>
      </c>
      <c r="N1046" t="s">
        <v>46</v>
      </c>
      <c r="O1046">
        <v>54</v>
      </c>
      <c r="P1046">
        <v>3</v>
      </c>
      <c r="Q1046">
        <v>2</v>
      </c>
      <c r="R1046" t="s">
        <v>40</v>
      </c>
      <c r="S1046">
        <v>1</v>
      </c>
      <c r="T1046" t="str" cm="1">
        <f t="array" ref="T1046">_xlfn.IFS(S1046&lt;=2,"Poor",S1046&lt;=3,"Fair",S1046&gt;=4,"Good")</f>
        <v>Poor</v>
      </c>
      <c r="U1046" t="s">
        <v>48</v>
      </c>
      <c r="V1046" s="1">
        <v>4373</v>
      </c>
      <c r="W1046" t="str" cm="1">
        <f t="array" ref="W1046">_xlfn.IFS(V1046&lt;=5000,"Low Salary",V1046&lt;=12000,"Good Salary",V1046&gt;12000,"High Salary")</f>
        <v>Low Salary</v>
      </c>
      <c r="X1046">
        <v>17456</v>
      </c>
      <c r="Y1046">
        <v>0</v>
      </c>
      <c r="Z1046" t="s">
        <v>42</v>
      </c>
      <c r="AA1046" t="s">
        <v>35</v>
      </c>
      <c r="AB1046">
        <v>14</v>
      </c>
      <c r="AC1046">
        <v>3</v>
      </c>
      <c r="AD1046" t="str">
        <f t="shared" si="33"/>
        <v>Low Performance</v>
      </c>
      <c r="AE1046">
        <v>1</v>
      </c>
      <c r="AF1046">
        <v>80</v>
      </c>
      <c r="AG1046">
        <v>2</v>
      </c>
      <c r="AH1046">
        <v>5</v>
      </c>
      <c r="AI1046">
        <v>2</v>
      </c>
      <c r="AJ1046">
        <v>3</v>
      </c>
      <c r="AK1046" t="str" cm="1">
        <f t="array" ref="AK1046">_xlfn.IFS(AJ1046&lt;=2,"Poor",AJ1046&lt;=3,"Fair",AJ1046&gt;3,"Good")</f>
        <v>Fair</v>
      </c>
      <c r="AL1046">
        <v>4</v>
      </c>
      <c r="AM1046">
        <v>3</v>
      </c>
      <c r="AN1046">
        <v>0</v>
      </c>
      <c r="AO1046">
        <v>3</v>
      </c>
    </row>
    <row r="1047" spans="1:41" x14ac:dyDescent="0.2">
      <c r="A1047">
        <v>1364493</v>
      </c>
      <c r="B1047">
        <v>34</v>
      </c>
      <c r="C1047" t="str" cm="1">
        <f t="array" ref="C1047">_xlfn.IFS(B1047&lt;=25,"15-25",B1047&lt;=35,"26-35",B1047&lt;=45,"36-45",B1047&lt;=55,"46-55",B1047&lt;=65,"56-65")</f>
        <v>26-35</v>
      </c>
      <c r="D1047" t="s">
        <v>35</v>
      </c>
      <c r="E1047" t="str">
        <f t="shared" si="32"/>
        <v>Current Employee</v>
      </c>
      <c r="F1047" t="s">
        <v>36</v>
      </c>
      <c r="G1047">
        <v>1326</v>
      </c>
      <c r="H1047" t="s">
        <v>37</v>
      </c>
      <c r="I1047">
        <v>3</v>
      </c>
      <c r="J1047">
        <v>3</v>
      </c>
      <c r="K1047" t="s">
        <v>47</v>
      </c>
      <c r="L1047">
        <v>1</v>
      </c>
      <c r="M1047">
        <v>4</v>
      </c>
      <c r="N1047" t="s">
        <v>46</v>
      </c>
      <c r="O1047">
        <v>81</v>
      </c>
      <c r="P1047">
        <v>1</v>
      </c>
      <c r="Q1047">
        <v>2</v>
      </c>
      <c r="R1047" t="s">
        <v>40</v>
      </c>
      <c r="S1047">
        <v>1</v>
      </c>
      <c r="T1047" t="str" cm="1">
        <f t="array" ref="T1047">_xlfn.IFS(S1047&lt;=2,"Poor",S1047&lt;=3,"Fair",S1047&gt;=4,"Good")</f>
        <v>Poor</v>
      </c>
      <c r="U1047" t="s">
        <v>41</v>
      </c>
      <c r="V1047" s="1">
        <v>4759</v>
      </c>
      <c r="W1047" t="str" cm="1">
        <f t="array" ref="W1047">_xlfn.IFS(V1047&lt;=5000,"Low Salary",V1047&lt;=12000,"Good Salary",V1047&gt;12000,"High Salary")</f>
        <v>Low Salary</v>
      </c>
      <c r="X1047">
        <v>15891</v>
      </c>
      <c r="Y1047">
        <v>3</v>
      </c>
      <c r="Z1047" t="s">
        <v>42</v>
      </c>
      <c r="AA1047" t="s">
        <v>35</v>
      </c>
      <c r="AB1047">
        <v>18</v>
      </c>
      <c r="AC1047">
        <v>3</v>
      </c>
      <c r="AD1047" t="str">
        <f t="shared" si="33"/>
        <v>Low Performance</v>
      </c>
      <c r="AE1047">
        <v>4</v>
      </c>
      <c r="AF1047">
        <v>80</v>
      </c>
      <c r="AG1047">
        <v>0</v>
      </c>
      <c r="AH1047">
        <v>15</v>
      </c>
      <c r="AI1047">
        <v>2</v>
      </c>
      <c r="AJ1047">
        <v>3</v>
      </c>
      <c r="AK1047" t="str" cm="1">
        <f t="array" ref="AK1047">_xlfn.IFS(AJ1047&lt;=2,"Poor",AJ1047&lt;=3,"Fair",AJ1047&gt;3,"Good")</f>
        <v>Fair</v>
      </c>
      <c r="AL1047">
        <v>13</v>
      </c>
      <c r="AM1047">
        <v>9</v>
      </c>
      <c r="AN1047">
        <v>3</v>
      </c>
      <c r="AO1047">
        <v>12</v>
      </c>
    </row>
    <row r="1048" spans="1:41" x14ac:dyDescent="0.2">
      <c r="A1048">
        <v>1477875</v>
      </c>
      <c r="B1048">
        <v>30</v>
      </c>
      <c r="C1048" t="str" cm="1">
        <f t="array" ref="C1048">_xlfn.IFS(B1048&lt;=25,"15-25",B1048&lt;=35,"26-35",B1048&lt;=45,"36-45",B1048&lt;=55,"46-55",B1048&lt;=65,"56-65")</f>
        <v>26-35</v>
      </c>
      <c r="D1048" t="s">
        <v>35</v>
      </c>
      <c r="E1048" t="str">
        <f t="shared" si="32"/>
        <v>Current Employee</v>
      </c>
      <c r="F1048" t="s">
        <v>36</v>
      </c>
      <c r="G1048">
        <v>1358</v>
      </c>
      <c r="H1048" t="s">
        <v>37</v>
      </c>
      <c r="I1048">
        <v>16</v>
      </c>
      <c r="J1048">
        <v>1</v>
      </c>
      <c r="K1048" t="s">
        <v>38</v>
      </c>
      <c r="L1048">
        <v>1</v>
      </c>
      <c r="M1048">
        <v>4</v>
      </c>
      <c r="N1048" t="s">
        <v>46</v>
      </c>
      <c r="O1048">
        <v>96</v>
      </c>
      <c r="P1048">
        <v>3</v>
      </c>
      <c r="Q1048">
        <v>2</v>
      </c>
      <c r="R1048" t="s">
        <v>40</v>
      </c>
      <c r="S1048">
        <v>3</v>
      </c>
      <c r="T1048" t="str" cm="1">
        <f t="array" ref="T1048">_xlfn.IFS(S1048&lt;=2,"Poor",S1048&lt;=3,"Fair",S1048&gt;=4,"Good")</f>
        <v>Fair</v>
      </c>
      <c r="U1048" t="s">
        <v>48</v>
      </c>
      <c r="V1048" s="1">
        <v>5301</v>
      </c>
      <c r="W1048" t="str" cm="1">
        <f t="array" ref="W1048">_xlfn.IFS(V1048&lt;=5000,"Low Salary",V1048&lt;=12000,"Good Salary",V1048&gt;12000,"High Salary")</f>
        <v>Good Salary</v>
      </c>
      <c r="X1048">
        <v>2939</v>
      </c>
      <c r="Y1048">
        <v>8</v>
      </c>
      <c r="Z1048" t="s">
        <v>42</v>
      </c>
      <c r="AA1048" t="s">
        <v>35</v>
      </c>
      <c r="AB1048">
        <v>15</v>
      </c>
      <c r="AC1048">
        <v>3</v>
      </c>
      <c r="AD1048" t="str">
        <f t="shared" si="33"/>
        <v>Low Performance</v>
      </c>
      <c r="AE1048">
        <v>3</v>
      </c>
      <c r="AF1048">
        <v>80</v>
      </c>
      <c r="AG1048">
        <v>2</v>
      </c>
      <c r="AH1048">
        <v>4</v>
      </c>
      <c r="AI1048">
        <v>2</v>
      </c>
      <c r="AJ1048">
        <v>2</v>
      </c>
      <c r="AK1048" t="str" cm="1">
        <f t="array" ref="AK1048">_xlfn.IFS(AJ1048&lt;=2,"Poor",AJ1048&lt;=3,"Fair",AJ1048&gt;3,"Good")</f>
        <v>Poor</v>
      </c>
      <c r="AL1048">
        <v>2</v>
      </c>
      <c r="AM1048">
        <v>1</v>
      </c>
      <c r="AN1048">
        <v>2</v>
      </c>
      <c r="AO1048">
        <v>2</v>
      </c>
    </row>
    <row r="1049" spans="1:41" x14ac:dyDescent="0.2">
      <c r="A1049">
        <v>1439547</v>
      </c>
      <c r="B1049">
        <v>42</v>
      </c>
      <c r="C1049" t="str" cm="1">
        <f t="array" ref="C1049">_xlfn.IFS(B1049&lt;=25,"15-25",B1049&lt;=35,"26-35",B1049&lt;=45,"36-45",B1049&lt;=55,"46-55",B1049&lt;=65,"56-65")</f>
        <v>36-45</v>
      </c>
      <c r="D1049" t="s">
        <v>35</v>
      </c>
      <c r="E1049" t="str">
        <f t="shared" si="32"/>
        <v>Current Employee</v>
      </c>
      <c r="F1049" t="s">
        <v>44</v>
      </c>
      <c r="G1049">
        <v>748</v>
      </c>
      <c r="H1049" t="s">
        <v>45</v>
      </c>
      <c r="I1049">
        <v>9</v>
      </c>
      <c r="J1049">
        <v>2</v>
      </c>
      <c r="K1049" t="s">
        <v>49</v>
      </c>
      <c r="L1049">
        <v>1</v>
      </c>
      <c r="M1049">
        <v>1</v>
      </c>
      <c r="N1049" t="s">
        <v>39</v>
      </c>
      <c r="O1049">
        <v>74</v>
      </c>
      <c r="P1049">
        <v>3</v>
      </c>
      <c r="Q1049">
        <v>1</v>
      </c>
      <c r="R1049" t="s">
        <v>40</v>
      </c>
      <c r="S1049">
        <v>4</v>
      </c>
      <c r="T1049" t="str" cm="1">
        <f t="array" ref="T1049">_xlfn.IFS(S1049&lt;=2,"Poor",S1049&lt;=3,"Fair",S1049&gt;=4,"Good")</f>
        <v>Good</v>
      </c>
      <c r="U1049" t="s">
        <v>41</v>
      </c>
      <c r="V1049" s="1">
        <v>3673</v>
      </c>
      <c r="W1049" t="str" cm="1">
        <f t="array" ref="W1049">_xlfn.IFS(V1049&lt;=5000,"Low Salary",V1049&lt;=12000,"Good Salary",V1049&gt;12000,"High Salary")</f>
        <v>Low Salary</v>
      </c>
      <c r="X1049">
        <v>16458</v>
      </c>
      <c r="Y1049">
        <v>1</v>
      </c>
      <c r="Z1049" t="s">
        <v>42</v>
      </c>
      <c r="AA1049" t="s">
        <v>35</v>
      </c>
      <c r="AB1049">
        <v>13</v>
      </c>
      <c r="AC1049">
        <v>3</v>
      </c>
      <c r="AD1049" t="str">
        <f t="shared" si="33"/>
        <v>Low Performance</v>
      </c>
      <c r="AE1049">
        <v>3</v>
      </c>
      <c r="AF1049">
        <v>80</v>
      </c>
      <c r="AG1049">
        <v>0</v>
      </c>
      <c r="AH1049">
        <v>12</v>
      </c>
      <c r="AI1049">
        <v>3</v>
      </c>
      <c r="AJ1049">
        <v>3</v>
      </c>
      <c r="AK1049" t="str" cm="1">
        <f t="array" ref="AK1049">_xlfn.IFS(AJ1049&lt;=2,"Poor",AJ1049&lt;=3,"Fair",AJ1049&gt;3,"Good")</f>
        <v>Fair</v>
      </c>
      <c r="AL1049">
        <v>12</v>
      </c>
      <c r="AM1049">
        <v>9</v>
      </c>
      <c r="AN1049">
        <v>5</v>
      </c>
      <c r="AO1049">
        <v>8</v>
      </c>
    </row>
    <row r="1050" spans="1:41" x14ac:dyDescent="0.2">
      <c r="A1050">
        <v>1869891</v>
      </c>
      <c r="B1050">
        <v>44</v>
      </c>
      <c r="C1050" t="str" cm="1">
        <f t="array" ref="C1050">_xlfn.IFS(B1050&lt;=25,"15-25",B1050&lt;=35,"26-35",B1050&lt;=45,"36-45",B1050&lt;=55,"46-55",B1050&lt;=65,"56-65")</f>
        <v>36-45</v>
      </c>
      <c r="D1050" t="s">
        <v>35</v>
      </c>
      <c r="E1050" t="str">
        <f t="shared" si="32"/>
        <v>Current Employee</v>
      </c>
      <c r="F1050" t="s">
        <v>44</v>
      </c>
      <c r="G1050">
        <v>383</v>
      </c>
      <c r="H1050" t="s">
        <v>37</v>
      </c>
      <c r="I1050">
        <v>1</v>
      </c>
      <c r="J1050">
        <v>5</v>
      </c>
      <c r="K1050" t="s">
        <v>55</v>
      </c>
      <c r="L1050">
        <v>1</v>
      </c>
      <c r="M1050">
        <v>1</v>
      </c>
      <c r="N1050" t="s">
        <v>39</v>
      </c>
      <c r="O1050">
        <v>79</v>
      </c>
      <c r="P1050">
        <v>3</v>
      </c>
      <c r="Q1050">
        <v>2</v>
      </c>
      <c r="R1050" t="s">
        <v>40</v>
      </c>
      <c r="S1050">
        <v>3</v>
      </c>
      <c r="T1050" t="str" cm="1">
        <f t="array" ref="T1050">_xlfn.IFS(S1050&lt;=2,"Poor",S1050&lt;=3,"Fair",S1050&gt;=4,"Good")</f>
        <v>Fair</v>
      </c>
      <c r="U1050" t="s">
        <v>48</v>
      </c>
      <c r="V1050" s="1">
        <v>4768</v>
      </c>
      <c r="W1050" t="str" cm="1">
        <f t="array" ref="W1050">_xlfn.IFS(V1050&lt;=5000,"Low Salary",V1050&lt;=12000,"Good Salary",V1050&gt;12000,"High Salary")</f>
        <v>Low Salary</v>
      </c>
      <c r="X1050">
        <v>9282</v>
      </c>
      <c r="Y1050">
        <v>7</v>
      </c>
      <c r="Z1050" t="s">
        <v>42</v>
      </c>
      <c r="AA1050" t="s">
        <v>35</v>
      </c>
      <c r="AB1050">
        <v>12</v>
      </c>
      <c r="AC1050">
        <v>3</v>
      </c>
      <c r="AD1050" t="str">
        <f t="shared" si="33"/>
        <v>Low Performance</v>
      </c>
      <c r="AE1050">
        <v>3</v>
      </c>
      <c r="AF1050">
        <v>80</v>
      </c>
      <c r="AG1050">
        <v>1</v>
      </c>
      <c r="AH1050">
        <v>11</v>
      </c>
      <c r="AI1050">
        <v>4</v>
      </c>
      <c r="AJ1050">
        <v>2</v>
      </c>
      <c r="AK1050" t="str" cm="1">
        <f t="array" ref="AK1050">_xlfn.IFS(AJ1050&lt;=2,"Poor",AJ1050&lt;=3,"Fair",AJ1050&gt;3,"Good")</f>
        <v>Poor</v>
      </c>
      <c r="AL1050">
        <v>1</v>
      </c>
      <c r="AM1050">
        <v>0</v>
      </c>
      <c r="AN1050">
        <v>0</v>
      </c>
      <c r="AO1050">
        <v>0</v>
      </c>
    </row>
    <row r="1051" spans="1:41" x14ac:dyDescent="0.2">
      <c r="A1051">
        <v>1800991</v>
      </c>
      <c r="B1051">
        <v>30</v>
      </c>
      <c r="C1051" t="str" cm="1">
        <f t="array" ref="C1051">_xlfn.IFS(B1051&lt;=25,"15-25",B1051&lt;=35,"26-35",B1051&lt;=45,"36-45",B1051&lt;=55,"46-55",B1051&lt;=65,"56-65")</f>
        <v>26-35</v>
      </c>
      <c r="D1051" t="s">
        <v>35</v>
      </c>
      <c r="E1051" t="str">
        <f t="shared" si="32"/>
        <v>Current Employee</v>
      </c>
      <c r="F1051" t="s">
        <v>52</v>
      </c>
      <c r="G1051">
        <v>990</v>
      </c>
      <c r="H1051" t="s">
        <v>45</v>
      </c>
      <c r="I1051">
        <v>7</v>
      </c>
      <c r="J1051">
        <v>3</v>
      </c>
      <c r="K1051" t="s">
        <v>56</v>
      </c>
      <c r="L1051">
        <v>1</v>
      </c>
      <c r="M1051">
        <v>3</v>
      </c>
      <c r="N1051" t="s">
        <v>46</v>
      </c>
      <c r="O1051">
        <v>64</v>
      </c>
      <c r="P1051">
        <v>3</v>
      </c>
      <c r="Q1051">
        <v>1</v>
      </c>
      <c r="R1051" t="s">
        <v>47</v>
      </c>
      <c r="S1051">
        <v>3</v>
      </c>
      <c r="T1051" t="str" cm="1">
        <f t="array" ref="T1051">_xlfn.IFS(S1051&lt;=2,"Poor",S1051&lt;=3,"Fair",S1051&gt;=4,"Good")</f>
        <v>Fair</v>
      </c>
      <c r="U1051" t="s">
        <v>50</v>
      </c>
      <c r="V1051" s="1">
        <v>1274</v>
      </c>
      <c r="W1051" t="str" cm="1">
        <f t="array" ref="W1051">_xlfn.IFS(V1051&lt;=5000,"Low Salary",V1051&lt;=12000,"Good Salary",V1051&gt;12000,"High Salary")</f>
        <v>Low Salary</v>
      </c>
      <c r="X1051">
        <v>7152</v>
      </c>
      <c r="Y1051">
        <v>1</v>
      </c>
      <c r="Z1051" t="s">
        <v>42</v>
      </c>
      <c r="AA1051" t="s">
        <v>35</v>
      </c>
      <c r="AB1051">
        <v>13</v>
      </c>
      <c r="AC1051">
        <v>3</v>
      </c>
      <c r="AD1051" t="str">
        <f t="shared" si="33"/>
        <v>Low Performance</v>
      </c>
      <c r="AE1051">
        <v>2</v>
      </c>
      <c r="AF1051">
        <v>80</v>
      </c>
      <c r="AG1051">
        <v>2</v>
      </c>
      <c r="AH1051">
        <v>1</v>
      </c>
      <c r="AI1051">
        <v>2</v>
      </c>
      <c r="AJ1051">
        <v>2</v>
      </c>
      <c r="AK1051" t="str" cm="1">
        <f t="array" ref="AK1051">_xlfn.IFS(AJ1051&lt;=2,"Poor",AJ1051&lt;=3,"Fair",AJ1051&gt;3,"Good")</f>
        <v>Poor</v>
      </c>
      <c r="AL1051">
        <v>1</v>
      </c>
      <c r="AM1051">
        <v>0</v>
      </c>
      <c r="AN1051">
        <v>0</v>
      </c>
      <c r="AO1051">
        <v>0</v>
      </c>
    </row>
    <row r="1052" spans="1:41" x14ac:dyDescent="0.2">
      <c r="A1052">
        <v>1081412</v>
      </c>
      <c r="B1052">
        <v>57</v>
      </c>
      <c r="C1052" t="str" cm="1">
        <f t="array" ref="C1052">_xlfn.IFS(B1052&lt;=25,"15-25",B1052&lt;=35,"26-35",B1052&lt;=45,"36-45",B1052&lt;=55,"46-55",B1052&lt;=65,"56-65")</f>
        <v>56-65</v>
      </c>
      <c r="D1052" t="s">
        <v>35</v>
      </c>
      <c r="E1052" t="str">
        <f t="shared" si="32"/>
        <v>Current Employee</v>
      </c>
      <c r="F1052" t="s">
        <v>36</v>
      </c>
      <c r="G1052">
        <v>405</v>
      </c>
      <c r="H1052" t="s">
        <v>45</v>
      </c>
      <c r="I1052">
        <v>1</v>
      </c>
      <c r="J1052">
        <v>2</v>
      </c>
      <c r="K1052" t="s">
        <v>38</v>
      </c>
      <c r="L1052">
        <v>1</v>
      </c>
      <c r="M1052">
        <v>2</v>
      </c>
      <c r="N1052" t="s">
        <v>46</v>
      </c>
      <c r="O1052">
        <v>93</v>
      </c>
      <c r="P1052">
        <v>4</v>
      </c>
      <c r="Q1052">
        <v>2</v>
      </c>
      <c r="R1052" t="s">
        <v>47</v>
      </c>
      <c r="S1052">
        <v>3</v>
      </c>
      <c r="T1052" t="str" cm="1">
        <f t="array" ref="T1052">_xlfn.IFS(S1052&lt;=2,"Poor",S1052&lt;=3,"Fair",S1052&gt;=4,"Good")</f>
        <v>Fair</v>
      </c>
      <c r="U1052" t="s">
        <v>48</v>
      </c>
      <c r="V1052" s="1">
        <v>4900</v>
      </c>
      <c r="W1052" t="str" cm="1">
        <f t="array" ref="W1052">_xlfn.IFS(V1052&lt;=5000,"Low Salary",V1052&lt;=12000,"Good Salary",V1052&gt;12000,"High Salary")</f>
        <v>Low Salary</v>
      </c>
      <c r="X1052">
        <v>2721</v>
      </c>
      <c r="Y1052">
        <v>0</v>
      </c>
      <c r="Z1052" t="s">
        <v>42</v>
      </c>
      <c r="AA1052" t="s">
        <v>35</v>
      </c>
      <c r="AB1052">
        <v>24</v>
      </c>
      <c r="AC1052">
        <v>4</v>
      </c>
      <c r="AD1052" t="str">
        <f t="shared" si="33"/>
        <v>High Performance</v>
      </c>
      <c r="AE1052">
        <v>1</v>
      </c>
      <c r="AF1052">
        <v>80</v>
      </c>
      <c r="AG1052">
        <v>1</v>
      </c>
      <c r="AH1052">
        <v>13</v>
      </c>
      <c r="AI1052">
        <v>2</v>
      </c>
      <c r="AJ1052">
        <v>2</v>
      </c>
      <c r="AK1052" t="str" cm="1">
        <f t="array" ref="AK1052">_xlfn.IFS(AJ1052&lt;=2,"Poor",AJ1052&lt;=3,"Fair",AJ1052&gt;3,"Good")</f>
        <v>Poor</v>
      </c>
      <c r="AL1052">
        <v>12</v>
      </c>
      <c r="AM1052">
        <v>9</v>
      </c>
      <c r="AN1052">
        <v>2</v>
      </c>
      <c r="AO1052">
        <v>8</v>
      </c>
    </row>
    <row r="1053" spans="1:41" x14ac:dyDescent="0.2">
      <c r="A1053">
        <v>1705514</v>
      </c>
      <c r="B1053">
        <v>49</v>
      </c>
      <c r="C1053" t="str" cm="1">
        <f t="array" ref="C1053">_xlfn.IFS(B1053&lt;=25,"15-25",B1053&lt;=35,"26-35",B1053&lt;=45,"36-45",B1053&lt;=55,"46-55",B1053&lt;=65,"56-65")</f>
        <v>46-55</v>
      </c>
      <c r="D1053" t="s">
        <v>35</v>
      </c>
      <c r="E1053" t="str">
        <f t="shared" si="32"/>
        <v>Current Employee</v>
      </c>
      <c r="F1053" t="s">
        <v>36</v>
      </c>
      <c r="G1053">
        <v>1490</v>
      </c>
      <c r="H1053" t="s">
        <v>45</v>
      </c>
      <c r="I1053">
        <v>7</v>
      </c>
      <c r="J1053">
        <v>4</v>
      </c>
      <c r="K1053" t="s">
        <v>38</v>
      </c>
      <c r="L1053">
        <v>1</v>
      </c>
      <c r="M1053">
        <v>3</v>
      </c>
      <c r="N1053" t="s">
        <v>46</v>
      </c>
      <c r="O1053">
        <v>35</v>
      </c>
      <c r="P1053">
        <v>3</v>
      </c>
      <c r="Q1053">
        <v>3</v>
      </c>
      <c r="R1053" t="s">
        <v>40</v>
      </c>
      <c r="S1053">
        <v>2</v>
      </c>
      <c r="T1053" t="str" cm="1">
        <f t="array" ref="T1053">_xlfn.IFS(S1053&lt;=2,"Poor",S1053&lt;=3,"Fair",S1053&gt;=4,"Good")</f>
        <v>Poor</v>
      </c>
      <c r="U1053" t="s">
        <v>50</v>
      </c>
      <c r="V1053" s="1">
        <v>10466</v>
      </c>
      <c r="W1053" t="str" cm="1">
        <f t="array" ref="W1053">_xlfn.IFS(V1053&lt;=5000,"Low Salary",V1053&lt;=12000,"Good Salary",V1053&gt;12000,"High Salary")</f>
        <v>Good Salary</v>
      </c>
      <c r="X1053">
        <v>20948</v>
      </c>
      <c r="Y1053">
        <v>3</v>
      </c>
      <c r="Z1053" t="s">
        <v>42</v>
      </c>
      <c r="AA1053" t="s">
        <v>35</v>
      </c>
      <c r="AB1053">
        <v>14</v>
      </c>
      <c r="AC1053">
        <v>3</v>
      </c>
      <c r="AD1053" t="str">
        <f t="shared" si="33"/>
        <v>Low Performance</v>
      </c>
      <c r="AE1053">
        <v>2</v>
      </c>
      <c r="AF1053">
        <v>80</v>
      </c>
      <c r="AG1053">
        <v>2</v>
      </c>
      <c r="AH1053">
        <v>29</v>
      </c>
      <c r="AI1053">
        <v>3</v>
      </c>
      <c r="AJ1053">
        <v>3</v>
      </c>
      <c r="AK1053" t="str" cm="1">
        <f t="array" ref="AK1053">_xlfn.IFS(AJ1053&lt;=2,"Poor",AJ1053&lt;=3,"Fair",AJ1053&gt;3,"Good")</f>
        <v>Fair</v>
      </c>
      <c r="AL1053">
        <v>8</v>
      </c>
      <c r="AM1053">
        <v>7</v>
      </c>
      <c r="AN1053">
        <v>0</v>
      </c>
      <c r="AO1053">
        <v>7</v>
      </c>
    </row>
    <row r="1054" spans="1:41" x14ac:dyDescent="0.2">
      <c r="A1054">
        <v>1769488</v>
      </c>
      <c r="B1054">
        <v>34</v>
      </c>
      <c r="C1054" t="str" cm="1">
        <f t="array" ref="C1054">_xlfn.IFS(B1054&lt;=25,"15-25",B1054&lt;=35,"26-35",B1054&lt;=45,"36-45",B1054&lt;=55,"46-55",B1054&lt;=65,"56-65")</f>
        <v>26-35</v>
      </c>
      <c r="D1054" t="s">
        <v>35</v>
      </c>
      <c r="E1054" t="str">
        <f t="shared" si="32"/>
        <v>Current Employee</v>
      </c>
      <c r="F1054" t="s">
        <v>44</v>
      </c>
      <c r="G1054">
        <v>829</v>
      </c>
      <c r="H1054" t="s">
        <v>45</v>
      </c>
      <c r="I1054">
        <v>15</v>
      </c>
      <c r="J1054">
        <v>3</v>
      </c>
      <c r="K1054" t="s">
        <v>49</v>
      </c>
      <c r="L1054">
        <v>1</v>
      </c>
      <c r="M1054">
        <v>2</v>
      </c>
      <c r="N1054" t="s">
        <v>46</v>
      </c>
      <c r="O1054">
        <v>71</v>
      </c>
      <c r="P1054">
        <v>3</v>
      </c>
      <c r="Q1054">
        <v>4</v>
      </c>
      <c r="R1054" t="s">
        <v>53</v>
      </c>
      <c r="S1054">
        <v>1</v>
      </c>
      <c r="T1054" t="str" cm="1">
        <f t="array" ref="T1054">_xlfn.IFS(S1054&lt;=2,"Poor",S1054&lt;=3,"Fair",S1054&gt;=4,"Good")</f>
        <v>Poor</v>
      </c>
      <c r="U1054" t="s">
        <v>50</v>
      </c>
      <c r="V1054" s="1">
        <v>17007</v>
      </c>
      <c r="W1054" t="str" cm="1">
        <f t="array" ref="W1054">_xlfn.IFS(V1054&lt;=5000,"Low Salary",V1054&lt;=12000,"Good Salary",V1054&gt;12000,"High Salary")</f>
        <v>High Salary</v>
      </c>
      <c r="X1054">
        <v>11929</v>
      </c>
      <c r="Y1054">
        <v>7</v>
      </c>
      <c r="Z1054" t="s">
        <v>42</v>
      </c>
      <c r="AA1054" t="s">
        <v>35</v>
      </c>
      <c r="AB1054">
        <v>14</v>
      </c>
      <c r="AC1054">
        <v>3</v>
      </c>
      <c r="AD1054" t="str">
        <f t="shared" si="33"/>
        <v>Low Performance</v>
      </c>
      <c r="AE1054">
        <v>4</v>
      </c>
      <c r="AF1054">
        <v>80</v>
      </c>
      <c r="AG1054">
        <v>2</v>
      </c>
      <c r="AH1054">
        <v>16</v>
      </c>
      <c r="AI1054">
        <v>3</v>
      </c>
      <c r="AJ1054">
        <v>2</v>
      </c>
      <c r="AK1054" t="str" cm="1">
        <f t="array" ref="AK1054">_xlfn.IFS(AJ1054&lt;=2,"Poor",AJ1054&lt;=3,"Fair",AJ1054&gt;3,"Good")</f>
        <v>Poor</v>
      </c>
      <c r="AL1054">
        <v>14</v>
      </c>
      <c r="AM1054">
        <v>8</v>
      </c>
      <c r="AN1054">
        <v>6</v>
      </c>
      <c r="AO1054">
        <v>9</v>
      </c>
    </row>
    <row r="1055" spans="1:41" x14ac:dyDescent="0.2">
      <c r="A1055">
        <v>1678672</v>
      </c>
      <c r="B1055">
        <v>28</v>
      </c>
      <c r="C1055" t="str" cm="1">
        <f t="array" ref="C1055">_xlfn.IFS(B1055&lt;=25,"15-25",B1055&lt;=35,"26-35",B1055&lt;=45,"36-45",B1055&lt;=55,"46-55",B1055&lt;=65,"56-65")</f>
        <v>26-35</v>
      </c>
      <c r="D1055" t="s">
        <v>35</v>
      </c>
      <c r="E1055" t="str">
        <f t="shared" si="32"/>
        <v>Current Employee</v>
      </c>
      <c r="F1055" t="s">
        <v>44</v>
      </c>
      <c r="G1055">
        <v>1496</v>
      </c>
      <c r="H1055" t="s">
        <v>37</v>
      </c>
      <c r="I1055">
        <v>1</v>
      </c>
      <c r="J1055">
        <v>3</v>
      </c>
      <c r="K1055" t="s">
        <v>56</v>
      </c>
      <c r="L1055">
        <v>1</v>
      </c>
      <c r="M1055">
        <v>1</v>
      </c>
      <c r="N1055" t="s">
        <v>46</v>
      </c>
      <c r="O1055">
        <v>92</v>
      </c>
      <c r="P1055">
        <v>3</v>
      </c>
      <c r="Q1055">
        <v>1</v>
      </c>
      <c r="R1055" t="s">
        <v>47</v>
      </c>
      <c r="S1055">
        <v>3</v>
      </c>
      <c r="T1055" t="str" cm="1">
        <f t="array" ref="T1055">_xlfn.IFS(S1055&lt;=2,"Poor",S1055&lt;=3,"Fair",S1055&gt;=4,"Good")</f>
        <v>Fair</v>
      </c>
      <c r="U1055" t="s">
        <v>48</v>
      </c>
      <c r="V1055" s="1">
        <v>2909</v>
      </c>
      <c r="W1055" t="str" cm="1">
        <f t="array" ref="W1055">_xlfn.IFS(V1055&lt;=5000,"Low Salary",V1055&lt;=12000,"Good Salary",V1055&gt;12000,"High Salary")</f>
        <v>Low Salary</v>
      </c>
      <c r="X1055">
        <v>15747</v>
      </c>
      <c r="Y1055">
        <v>3</v>
      </c>
      <c r="Z1055" t="s">
        <v>42</v>
      </c>
      <c r="AA1055" t="s">
        <v>35</v>
      </c>
      <c r="AB1055">
        <v>15</v>
      </c>
      <c r="AC1055">
        <v>3</v>
      </c>
      <c r="AD1055" t="str">
        <f t="shared" si="33"/>
        <v>Low Performance</v>
      </c>
      <c r="AE1055">
        <v>4</v>
      </c>
      <c r="AF1055">
        <v>80</v>
      </c>
      <c r="AG1055">
        <v>1</v>
      </c>
      <c r="AH1055">
        <v>5</v>
      </c>
      <c r="AI1055">
        <v>3</v>
      </c>
      <c r="AJ1055">
        <v>4</v>
      </c>
      <c r="AK1055" t="str" cm="1">
        <f t="array" ref="AK1055">_xlfn.IFS(AJ1055&lt;=2,"Poor",AJ1055&lt;=3,"Fair",AJ1055&gt;3,"Good")</f>
        <v>Good</v>
      </c>
      <c r="AL1055">
        <v>3</v>
      </c>
      <c r="AM1055">
        <v>2</v>
      </c>
      <c r="AN1055">
        <v>1</v>
      </c>
      <c r="AO1055">
        <v>2</v>
      </c>
    </row>
    <row r="1056" spans="1:41" x14ac:dyDescent="0.2">
      <c r="A1056">
        <v>1472943</v>
      </c>
      <c r="B1056">
        <v>29</v>
      </c>
      <c r="C1056" t="str" cm="1">
        <f t="array" ref="C1056">_xlfn.IFS(B1056&lt;=25,"15-25",B1056&lt;=35,"26-35",B1056&lt;=45,"36-45",B1056&lt;=55,"46-55",B1056&lt;=65,"56-65")</f>
        <v>26-35</v>
      </c>
      <c r="D1056" t="s">
        <v>43</v>
      </c>
      <c r="E1056" t="str">
        <f t="shared" si="32"/>
        <v>Former Employee</v>
      </c>
      <c r="F1056" t="s">
        <v>44</v>
      </c>
      <c r="G1056">
        <v>115</v>
      </c>
      <c r="H1056" t="s">
        <v>37</v>
      </c>
      <c r="I1056">
        <v>13</v>
      </c>
      <c r="J1056">
        <v>3</v>
      </c>
      <c r="K1056" t="s">
        <v>56</v>
      </c>
      <c r="L1056">
        <v>1</v>
      </c>
      <c r="M1056">
        <v>1</v>
      </c>
      <c r="N1056" t="s">
        <v>39</v>
      </c>
      <c r="O1056">
        <v>51</v>
      </c>
      <c r="P1056">
        <v>3</v>
      </c>
      <c r="Q1056">
        <v>2</v>
      </c>
      <c r="R1056" t="s">
        <v>40</v>
      </c>
      <c r="S1056">
        <v>2</v>
      </c>
      <c r="T1056" t="str" cm="1">
        <f t="array" ref="T1056">_xlfn.IFS(S1056&lt;=2,"Poor",S1056&lt;=3,"Fair",S1056&gt;=4,"Good")</f>
        <v>Poor</v>
      </c>
      <c r="U1056" t="s">
        <v>41</v>
      </c>
      <c r="V1056" s="1">
        <v>5765</v>
      </c>
      <c r="W1056" t="str" cm="1">
        <f t="array" ref="W1056">_xlfn.IFS(V1056&lt;=5000,"Low Salary",V1056&lt;=12000,"Good Salary",V1056&gt;12000,"High Salary")</f>
        <v>Good Salary</v>
      </c>
      <c r="X1056">
        <v>17485</v>
      </c>
      <c r="Y1056">
        <v>5</v>
      </c>
      <c r="Z1056" t="s">
        <v>42</v>
      </c>
      <c r="AA1056" t="s">
        <v>35</v>
      </c>
      <c r="AB1056">
        <v>11</v>
      </c>
      <c r="AC1056">
        <v>3</v>
      </c>
      <c r="AD1056" t="str">
        <f t="shared" si="33"/>
        <v>Low Performance</v>
      </c>
      <c r="AE1056">
        <v>1</v>
      </c>
      <c r="AF1056">
        <v>80</v>
      </c>
      <c r="AG1056">
        <v>0</v>
      </c>
      <c r="AH1056">
        <v>7</v>
      </c>
      <c r="AI1056">
        <v>4</v>
      </c>
      <c r="AJ1056">
        <v>1</v>
      </c>
      <c r="AK1056" t="str" cm="1">
        <f t="array" ref="AK1056">_xlfn.IFS(AJ1056&lt;=2,"Poor",AJ1056&lt;=3,"Fair",AJ1056&gt;3,"Good")</f>
        <v>Poor</v>
      </c>
      <c r="AL1056">
        <v>5</v>
      </c>
      <c r="AM1056">
        <v>3</v>
      </c>
      <c r="AN1056">
        <v>0</v>
      </c>
      <c r="AO1056">
        <v>0</v>
      </c>
    </row>
    <row r="1057" spans="1:41" x14ac:dyDescent="0.2">
      <c r="A1057">
        <v>1817745</v>
      </c>
      <c r="B1057">
        <v>34</v>
      </c>
      <c r="C1057" t="str" cm="1">
        <f t="array" ref="C1057">_xlfn.IFS(B1057&lt;=25,"15-25",B1057&lt;=35,"26-35",B1057&lt;=45,"36-45",B1057&lt;=55,"46-55",B1057&lt;=65,"56-65")</f>
        <v>26-35</v>
      </c>
      <c r="D1057" t="s">
        <v>43</v>
      </c>
      <c r="E1057" t="str">
        <f t="shared" si="32"/>
        <v>Former Employee</v>
      </c>
      <c r="F1057" t="s">
        <v>36</v>
      </c>
      <c r="G1057">
        <v>790</v>
      </c>
      <c r="H1057" t="s">
        <v>37</v>
      </c>
      <c r="I1057">
        <v>24</v>
      </c>
      <c r="J1057">
        <v>4</v>
      </c>
      <c r="K1057" t="s">
        <v>49</v>
      </c>
      <c r="L1057">
        <v>1</v>
      </c>
      <c r="M1057">
        <v>1</v>
      </c>
      <c r="N1057" t="s">
        <v>39</v>
      </c>
      <c r="O1057">
        <v>40</v>
      </c>
      <c r="P1057">
        <v>2</v>
      </c>
      <c r="Q1057">
        <v>2</v>
      </c>
      <c r="R1057" t="s">
        <v>40</v>
      </c>
      <c r="S1057">
        <v>2</v>
      </c>
      <c r="T1057" t="str" cm="1">
        <f t="array" ref="T1057">_xlfn.IFS(S1057&lt;=2,"Poor",S1057&lt;=3,"Fair",S1057&gt;=4,"Good")</f>
        <v>Poor</v>
      </c>
      <c r="U1057" t="s">
        <v>41</v>
      </c>
      <c r="V1057" s="1">
        <v>4599</v>
      </c>
      <c r="W1057" t="str" cm="1">
        <f t="array" ref="W1057">_xlfn.IFS(V1057&lt;=5000,"Low Salary",V1057&lt;=12000,"Good Salary",V1057&gt;12000,"High Salary")</f>
        <v>Low Salary</v>
      </c>
      <c r="X1057">
        <v>7815</v>
      </c>
      <c r="Y1057">
        <v>0</v>
      </c>
      <c r="Z1057" t="s">
        <v>42</v>
      </c>
      <c r="AA1057" t="s">
        <v>43</v>
      </c>
      <c r="AB1057">
        <v>23</v>
      </c>
      <c r="AC1057">
        <v>4</v>
      </c>
      <c r="AD1057" t="str">
        <f t="shared" si="33"/>
        <v>High Performance</v>
      </c>
      <c r="AE1057">
        <v>3</v>
      </c>
      <c r="AF1057">
        <v>80</v>
      </c>
      <c r="AG1057">
        <v>0</v>
      </c>
      <c r="AH1057">
        <v>16</v>
      </c>
      <c r="AI1057">
        <v>2</v>
      </c>
      <c r="AJ1057">
        <v>4</v>
      </c>
      <c r="AK1057" t="str" cm="1">
        <f t="array" ref="AK1057">_xlfn.IFS(AJ1057&lt;=2,"Poor",AJ1057&lt;=3,"Fair",AJ1057&gt;3,"Good")</f>
        <v>Good</v>
      </c>
      <c r="AL1057">
        <v>15</v>
      </c>
      <c r="AM1057">
        <v>9</v>
      </c>
      <c r="AN1057">
        <v>10</v>
      </c>
      <c r="AO1057">
        <v>10</v>
      </c>
    </row>
    <row r="1058" spans="1:41" x14ac:dyDescent="0.2">
      <c r="A1058">
        <v>1218204</v>
      </c>
      <c r="B1058">
        <v>35</v>
      </c>
      <c r="C1058" t="str" cm="1">
        <f t="array" ref="C1058">_xlfn.IFS(B1058&lt;=25,"15-25",B1058&lt;=35,"26-35",B1058&lt;=45,"36-45",B1058&lt;=55,"46-55",B1058&lt;=65,"56-65")</f>
        <v>26-35</v>
      </c>
      <c r="D1058" t="s">
        <v>35</v>
      </c>
      <c r="E1058" t="str">
        <f t="shared" si="32"/>
        <v>Current Employee</v>
      </c>
      <c r="F1058" t="s">
        <v>36</v>
      </c>
      <c r="G1058">
        <v>660</v>
      </c>
      <c r="H1058" t="s">
        <v>37</v>
      </c>
      <c r="I1058">
        <v>7</v>
      </c>
      <c r="J1058">
        <v>1</v>
      </c>
      <c r="K1058" t="s">
        <v>38</v>
      </c>
      <c r="L1058">
        <v>1</v>
      </c>
      <c r="M1058">
        <v>4</v>
      </c>
      <c r="N1058" t="s">
        <v>46</v>
      </c>
      <c r="O1058">
        <v>76</v>
      </c>
      <c r="P1058">
        <v>3</v>
      </c>
      <c r="Q1058">
        <v>1</v>
      </c>
      <c r="R1058" t="s">
        <v>47</v>
      </c>
      <c r="S1058">
        <v>3</v>
      </c>
      <c r="T1058" t="str" cm="1">
        <f t="array" ref="T1058">_xlfn.IFS(S1058&lt;=2,"Poor",S1058&lt;=3,"Fair",S1058&gt;=4,"Good")</f>
        <v>Fair</v>
      </c>
      <c r="U1058" t="s">
        <v>48</v>
      </c>
      <c r="V1058" s="1">
        <v>2404</v>
      </c>
      <c r="W1058" t="str" cm="1">
        <f t="array" ref="W1058">_xlfn.IFS(V1058&lt;=5000,"Low Salary",V1058&lt;=12000,"Good Salary",V1058&gt;12000,"High Salary")</f>
        <v>Low Salary</v>
      </c>
      <c r="X1058">
        <v>16192</v>
      </c>
      <c r="Y1058">
        <v>1</v>
      </c>
      <c r="Z1058" t="s">
        <v>42</v>
      </c>
      <c r="AA1058" t="s">
        <v>35</v>
      </c>
      <c r="AB1058">
        <v>13</v>
      </c>
      <c r="AC1058">
        <v>3</v>
      </c>
      <c r="AD1058" t="str">
        <f t="shared" si="33"/>
        <v>Low Performance</v>
      </c>
      <c r="AE1058">
        <v>1</v>
      </c>
      <c r="AF1058">
        <v>80</v>
      </c>
      <c r="AG1058">
        <v>1</v>
      </c>
      <c r="AH1058">
        <v>1</v>
      </c>
      <c r="AI1058">
        <v>3</v>
      </c>
      <c r="AJ1058">
        <v>3</v>
      </c>
      <c r="AK1058" t="str" cm="1">
        <f t="array" ref="AK1058">_xlfn.IFS(AJ1058&lt;=2,"Poor",AJ1058&lt;=3,"Fair",AJ1058&gt;3,"Good")</f>
        <v>Fair</v>
      </c>
      <c r="AL1058">
        <v>1</v>
      </c>
      <c r="AM1058">
        <v>0</v>
      </c>
      <c r="AN1058">
        <v>0</v>
      </c>
      <c r="AO1058">
        <v>0</v>
      </c>
    </row>
    <row r="1059" spans="1:41" x14ac:dyDescent="0.2">
      <c r="A1059">
        <v>1812838</v>
      </c>
      <c r="B1059">
        <v>24</v>
      </c>
      <c r="C1059" t="str" cm="1">
        <f t="array" ref="C1059">_xlfn.IFS(B1059&lt;=25,"15-25",B1059&lt;=35,"26-35",B1059&lt;=45,"36-45",B1059&lt;=55,"46-55",B1059&lt;=65,"56-65")</f>
        <v>15-25</v>
      </c>
      <c r="D1059" t="s">
        <v>43</v>
      </c>
      <c r="E1059" t="str">
        <f t="shared" si="32"/>
        <v>Former Employee</v>
      </c>
      <c r="F1059" t="s">
        <v>44</v>
      </c>
      <c r="G1059">
        <v>381</v>
      </c>
      <c r="H1059" t="s">
        <v>45</v>
      </c>
      <c r="I1059">
        <v>9</v>
      </c>
      <c r="J1059">
        <v>3</v>
      </c>
      <c r="K1059" t="s">
        <v>49</v>
      </c>
      <c r="L1059">
        <v>1</v>
      </c>
      <c r="M1059">
        <v>2</v>
      </c>
      <c r="N1059" t="s">
        <v>46</v>
      </c>
      <c r="O1059">
        <v>89</v>
      </c>
      <c r="P1059">
        <v>3</v>
      </c>
      <c r="Q1059">
        <v>1</v>
      </c>
      <c r="R1059" t="s">
        <v>40</v>
      </c>
      <c r="S1059">
        <v>1</v>
      </c>
      <c r="T1059" t="str" cm="1">
        <f t="array" ref="T1059">_xlfn.IFS(S1059&lt;=2,"Poor",S1059&lt;=3,"Fair",S1059&gt;=4,"Good")</f>
        <v>Poor</v>
      </c>
      <c r="U1059" t="s">
        <v>41</v>
      </c>
      <c r="V1059" s="1">
        <v>3172</v>
      </c>
      <c r="W1059" t="str" cm="1">
        <f t="array" ref="W1059">_xlfn.IFS(V1059&lt;=5000,"Low Salary",V1059&lt;=12000,"Good Salary",V1059&gt;12000,"High Salary")</f>
        <v>Low Salary</v>
      </c>
      <c r="X1059">
        <v>16998</v>
      </c>
      <c r="Y1059">
        <v>2</v>
      </c>
      <c r="Z1059" t="s">
        <v>42</v>
      </c>
      <c r="AA1059" t="s">
        <v>43</v>
      </c>
      <c r="AB1059">
        <v>11</v>
      </c>
      <c r="AC1059">
        <v>3</v>
      </c>
      <c r="AD1059" t="str">
        <f t="shared" si="33"/>
        <v>Low Performance</v>
      </c>
      <c r="AE1059">
        <v>3</v>
      </c>
      <c r="AF1059">
        <v>80</v>
      </c>
      <c r="AG1059">
        <v>0</v>
      </c>
      <c r="AH1059">
        <v>4</v>
      </c>
      <c r="AI1059">
        <v>2</v>
      </c>
      <c r="AJ1059">
        <v>2</v>
      </c>
      <c r="AK1059" t="str" cm="1">
        <f t="array" ref="AK1059">_xlfn.IFS(AJ1059&lt;=2,"Poor",AJ1059&lt;=3,"Fair",AJ1059&gt;3,"Good")</f>
        <v>Poor</v>
      </c>
      <c r="AL1059">
        <v>0</v>
      </c>
      <c r="AM1059">
        <v>0</v>
      </c>
      <c r="AN1059">
        <v>0</v>
      </c>
      <c r="AO1059">
        <v>0</v>
      </c>
    </row>
    <row r="1060" spans="1:41" x14ac:dyDescent="0.2">
      <c r="A1060">
        <v>1384737</v>
      </c>
      <c r="B1060">
        <v>24</v>
      </c>
      <c r="C1060" t="str" cm="1">
        <f t="array" ref="C1060">_xlfn.IFS(B1060&lt;=25,"15-25",B1060&lt;=35,"26-35",B1060&lt;=45,"36-45",B1060&lt;=55,"46-55",B1060&lt;=65,"56-65")</f>
        <v>15-25</v>
      </c>
      <c r="D1060" t="s">
        <v>35</v>
      </c>
      <c r="E1060" t="str">
        <f t="shared" si="32"/>
        <v>Current Employee</v>
      </c>
      <c r="F1060" t="s">
        <v>52</v>
      </c>
      <c r="G1060">
        <v>830</v>
      </c>
      <c r="H1060" t="s">
        <v>37</v>
      </c>
      <c r="I1060">
        <v>13</v>
      </c>
      <c r="J1060">
        <v>2</v>
      </c>
      <c r="K1060" t="s">
        <v>38</v>
      </c>
      <c r="L1060">
        <v>1</v>
      </c>
      <c r="M1060">
        <v>4</v>
      </c>
      <c r="N1060" t="s">
        <v>39</v>
      </c>
      <c r="O1060">
        <v>78</v>
      </c>
      <c r="P1060">
        <v>3</v>
      </c>
      <c r="Q1060">
        <v>1</v>
      </c>
      <c r="R1060" t="s">
        <v>47</v>
      </c>
      <c r="S1060">
        <v>2</v>
      </c>
      <c r="T1060" t="str" cm="1">
        <f t="array" ref="T1060">_xlfn.IFS(S1060&lt;=2,"Poor",S1060&lt;=3,"Fair",S1060&gt;=4,"Good")</f>
        <v>Poor</v>
      </c>
      <c r="U1060" t="s">
        <v>48</v>
      </c>
      <c r="V1060" s="1">
        <v>2033</v>
      </c>
      <c r="W1060" t="str" cm="1">
        <f t="array" ref="W1060">_xlfn.IFS(V1060&lt;=5000,"Low Salary",V1060&lt;=12000,"Good Salary",V1060&gt;12000,"High Salary")</f>
        <v>Low Salary</v>
      </c>
      <c r="X1060">
        <v>7103</v>
      </c>
      <c r="Y1060">
        <v>1</v>
      </c>
      <c r="Z1060" t="s">
        <v>42</v>
      </c>
      <c r="AA1060" t="s">
        <v>35</v>
      </c>
      <c r="AB1060">
        <v>13</v>
      </c>
      <c r="AC1060">
        <v>3</v>
      </c>
      <c r="AD1060" t="str">
        <f t="shared" si="33"/>
        <v>Low Performance</v>
      </c>
      <c r="AE1060">
        <v>3</v>
      </c>
      <c r="AF1060">
        <v>80</v>
      </c>
      <c r="AG1060">
        <v>1</v>
      </c>
      <c r="AH1060">
        <v>1</v>
      </c>
      <c r="AI1060">
        <v>2</v>
      </c>
      <c r="AJ1060">
        <v>3</v>
      </c>
      <c r="AK1060" t="str" cm="1">
        <f t="array" ref="AK1060">_xlfn.IFS(AJ1060&lt;=2,"Poor",AJ1060&lt;=3,"Fair",AJ1060&gt;3,"Good")</f>
        <v>Fair</v>
      </c>
      <c r="AL1060">
        <v>1</v>
      </c>
      <c r="AM1060">
        <v>0</v>
      </c>
      <c r="AN1060">
        <v>0</v>
      </c>
      <c r="AO1060">
        <v>0</v>
      </c>
    </row>
    <row r="1061" spans="1:41" x14ac:dyDescent="0.2">
      <c r="A1061">
        <v>1456798</v>
      </c>
      <c r="B1061">
        <v>44</v>
      </c>
      <c r="C1061" t="str" cm="1">
        <f t="array" ref="C1061">_xlfn.IFS(B1061&lt;=25,"15-25",B1061&lt;=35,"26-35",B1061&lt;=45,"36-45",B1061&lt;=55,"46-55",B1061&lt;=65,"56-65")</f>
        <v>36-45</v>
      </c>
      <c r="D1061" t="s">
        <v>35</v>
      </c>
      <c r="E1061" t="str">
        <f t="shared" si="32"/>
        <v>Current Employee</v>
      </c>
      <c r="F1061" t="s">
        <v>44</v>
      </c>
      <c r="G1061">
        <v>1193</v>
      </c>
      <c r="H1061" t="s">
        <v>54</v>
      </c>
      <c r="I1061">
        <v>2</v>
      </c>
      <c r="J1061">
        <v>1</v>
      </c>
      <c r="K1061" t="s">
        <v>49</v>
      </c>
      <c r="L1061">
        <v>1</v>
      </c>
      <c r="M1061">
        <v>2</v>
      </c>
      <c r="N1061" t="s">
        <v>46</v>
      </c>
      <c r="O1061">
        <v>86</v>
      </c>
      <c r="P1061">
        <v>3</v>
      </c>
      <c r="Q1061">
        <v>3</v>
      </c>
      <c r="R1061" t="s">
        <v>51</v>
      </c>
      <c r="S1061">
        <v>3</v>
      </c>
      <c r="T1061" t="str" cm="1">
        <f t="array" ref="T1061">_xlfn.IFS(S1061&lt;=2,"Poor",S1061&lt;=3,"Fair",S1061&gt;=4,"Good")</f>
        <v>Fair</v>
      </c>
      <c r="U1061" t="s">
        <v>41</v>
      </c>
      <c r="V1061" s="1">
        <v>10209</v>
      </c>
      <c r="W1061" t="str" cm="1">
        <f t="array" ref="W1061">_xlfn.IFS(V1061&lt;=5000,"Low Salary",V1061&lt;=12000,"Good Salary",V1061&gt;12000,"High Salary")</f>
        <v>Good Salary</v>
      </c>
      <c r="X1061">
        <v>19719</v>
      </c>
      <c r="Y1061">
        <v>5</v>
      </c>
      <c r="Z1061" t="s">
        <v>42</v>
      </c>
      <c r="AA1061" t="s">
        <v>43</v>
      </c>
      <c r="AB1061">
        <v>18</v>
      </c>
      <c r="AC1061">
        <v>3</v>
      </c>
      <c r="AD1061" t="str">
        <f t="shared" si="33"/>
        <v>Low Performance</v>
      </c>
      <c r="AE1061">
        <v>2</v>
      </c>
      <c r="AF1061">
        <v>80</v>
      </c>
      <c r="AG1061">
        <v>0</v>
      </c>
      <c r="AH1061">
        <v>16</v>
      </c>
      <c r="AI1061">
        <v>2</v>
      </c>
      <c r="AJ1061">
        <v>2</v>
      </c>
      <c r="AK1061" t="str" cm="1">
        <f t="array" ref="AK1061">_xlfn.IFS(AJ1061&lt;=2,"Poor",AJ1061&lt;=3,"Fair",AJ1061&gt;3,"Good")</f>
        <v>Poor</v>
      </c>
      <c r="AL1061">
        <v>2</v>
      </c>
      <c r="AM1061">
        <v>2</v>
      </c>
      <c r="AN1061">
        <v>2</v>
      </c>
      <c r="AO1061">
        <v>2</v>
      </c>
    </row>
    <row r="1062" spans="1:41" x14ac:dyDescent="0.2">
      <c r="A1062">
        <v>1075494</v>
      </c>
      <c r="B1062">
        <v>29</v>
      </c>
      <c r="C1062" t="str" cm="1">
        <f t="array" ref="C1062">_xlfn.IFS(B1062&lt;=25,"15-25",B1062&lt;=35,"26-35",B1062&lt;=45,"36-45",B1062&lt;=55,"46-55",B1062&lt;=65,"56-65")</f>
        <v>26-35</v>
      </c>
      <c r="D1062" t="s">
        <v>35</v>
      </c>
      <c r="E1062" t="str">
        <f t="shared" si="32"/>
        <v>Current Employee</v>
      </c>
      <c r="F1062" t="s">
        <v>36</v>
      </c>
      <c r="G1062">
        <v>1246</v>
      </c>
      <c r="H1062" t="s">
        <v>37</v>
      </c>
      <c r="I1062">
        <v>19</v>
      </c>
      <c r="J1062">
        <v>3</v>
      </c>
      <c r="K1062" t="s">
        <v>38</v>
      </c>
      <c r="L1062">
        <v>1</v>
      </c>
      <c r="M1062">
        <v>3</v>
      </c>
      <c r="N1062" t="s">
        <v>46</v>
      </c>
      <c r="O1062">
        <v>77</v>
      </c>
      <c r="P1062">
        <v>2</v>
      </c>
      <c r="Q1062">
        <v>2</v>
      </c>
      <c r="R1062" t="s">
        <v>40</v>
      </c>
      <c r="S1062">
        <v>3</v>
      </c>
      <c r="T1062" t="str" cm="1">
        <f t="array" ref="T1062">_xlfn.IFS(S1062&lt;=2,"Poor",S1062&lt;=3,"Fair",S1062&gt;=4,"Good")</f>
        <v>Fair</v>
      </c>
      <c r="U1062" t="s">
        <v>50</v>
      </c>
      <c r="V1062" s="1">
        <v>8620</v>
      </c>
      <c r="W1062" t="str" cm="1">
        <f t="array" ref="W1062">_xlfn.IFS(V1062&lt;=5000,"Low Salary",V1062&lt;=12000,"Good Salary",V1062&gt;12000,"High Salary")</f>
        <v>Good Salary</v>
      </c>
      <c r="X1062">
        <v>23757</v>
      </c>
      <c r="Y1062">
        <v>1</v>
      </c>
      <c r="Z1062" t="s">
        <v>42</v>
      </c>
      <c r="AA1062" t="s">
        <v>35</v>
      </c>
      <c r="AB1062">
        <v>14</v>
      </c>
      <c r="AC1062">
        <v>3</v>
      </c>
      <c r="AD1062" t="str">
        <f t="shared" si="33"/>
        <v>Low Performance</v>
      </c>
      <c r="AE1062">
        <v>3</v>
      </c>
      <c r="AF1062">
        <v>80</v>
      </c>
      <c r="AG1062">
        <v>2</v>
      </c>
      <c r="AH1062">
        <v>10</v>
      </c>
      <c r="AI1062">
        <v>3</v>
      </c>
      <c r="AJ1062">
        <v>3</v>
      </c>
      <c r="AK1062" t="str" cm="1">
        <f t="array" ref="AK1062">_xlfn.IFS(AJ1062&lt;=2,"Poor",AJ1062&lt;=3,"Fair",AJ1062&gt;3,"Good")</f>
        <v>Fair</v>
      </c>
      <c r="AL1062">
        <v>10</v>
      </c>
      <c r="AM1062">
        <v>7</v>
      </c>
      <c r="AN1062">
        <v>0</v>
      </c>
      <c r="AO1062">
        <v>4</v>
      </c>
    </row>
    <row r="1063" spans="1:41" x14ac:dyDescent="0.2">
      <c r="A1063">
        <v>1557335</v>
      </c>
      <c r="B1063">
        <v>30</v>
      </c>
      <c r="C1063" t="str" cm="1">
        <f t="array" ref="C1063">_xlfn.IFS(B1063&lt;=25,"15-25",B1063&lt;=35,"26-35",B1063&lt;=45,"36-45",B1063&lt;=55,"46-55",B1063&lt;=65,"56-65")</f>
        <v>26-35</v>
      </c>
      <c r="D1063" t="s">
        <v>35</v>
      </c>
      <c r="E1063" t="str">
        <f t="shared" si="32"/>
        <v>Current Employee</v>
      </c>
      <c r="F1063" t="s">
        <v>36</v>
      </c>
      <c r="G1063">
        <v>330</v>
      </c>
      <c r="H1063" t="s">
        <v>54</v>
      </c>
      <c r="I1063">
        <v>1</v>
      </c>
      <c r="J1063">
        <v>3</v>
      </c>
      <c r="K1063" t="s">
        <v>38</v>
      </c>
      <c r="L1063">
        <v>1</v>
      </c>
      <c r="M1063">
        <v>3</v>
      </c>
      <c r="N1063" t="s">
        <v>46</v>
      </c>
      <c r="O1063">
        <v>46</v>
      </c>
      <c r="P1063">
        <v>3</v>
      </c>
      <c r="Q1063">
        <v>1</v>
      </c>
      <c r="R1063" t="s">
        <v>47</v>
      </c>
      <c r="S1063">
        <v>3</v>
      </c>
      <c r="T1063" t="str" cm="1">
        <f t="array" ref="T1063">_xlfn.IFS(S1063&lt;=2,"Poor",S1063&lt;=3,"Fair",S1063&gt;=4,"Good")</f>
        <v>Fair</v>
      </c>
      <c r="U1063" t="s">
        <v>50</v>
      </c>
      <c r="V1063" s="1">
        <v>2064</v>
      </c>
      <c r="W1063" t="str" cm="1">
        <f t="array" ref="W1063">_xlfn.IFS(V1063&lt;=5000,"Low Salary",V1063&lt;=12000,"Good Salary",V1063&gt;12000,"High Salary")</f>
        <v>Low Salary</v>
      </c>
      <c r="X1063">
        <v>15428</v>
      </c>
      <c r="Y1063">
        <v>0</v>
      </c>
      <c r="Z1063" t="s">
        <v>42</v>
      </c>
      <c r="AA1063" t="s">
        <v>35</v>
      </c>
      <c r="AB1063">
        <v>21</v>
      </c>
      <c r="AC1063">
        <v>4</v>
      </c>
      <c r="AD1063" t="str">
        <f t="shared" si="33"/>
        <v>High Performance</v>
      </c>
      <c r="AE1063">
        <v>1</v>
      </c>
      <c r="AF1063">
        <v>80</v>
      </c>
      <c r="AG1063">
        <v>1</v>
      </c>
      <c r="AH1063">
        <v>6</v>
      </c>
      <c r="AI1063">
        <v>3</v>
      </c>
      <c r="AJ1063">
        <v>4</v>
      </c>
      <c r="AK1063" t="str" cm="1">
        <f t="array" ref="AK1063">_xlfn.IFS(AJ1063&lt;=2,"Poor",AJ1063&lt;=3,"Fair",AJ1063&gt;3,"Good")</f>
        <v>Good</v>
      </c>
      <c r="AL1063">
        <v>5</v>
      </c>
      <c r="AM1063">
        <v>3</v>
      </c>
      <c r="AN1063">
        <v>1</v>
      </c>
      <c r="AO1063">
        <v>3</v>
      </c>
    </row>
    <row r="1064" spans="1:41" x14ac:dyDescent="0.2">
      <c r="A1064">
        <v>1498617</v>
      </c>
      <c r="B1064">
        <v>55</v>
      </c>
      <c r="C1064" t="str" cm="1">
        <f t="array" ref="C1064">_xlfn.IFS(B1064&lt;=25,"15-25",B1064&lt;=35,"26-35",B1064&lt;=45,"36-45",B1064&lt;=55,"46-55",B1064&lt;=65,"56-65")</f>
        <v>46-55</v>
      </c>
      <c r="D1064" t="s">
        <v>35</v>
      </c>
      <c r="E1064" t="str">
        <f t="shared" si="32"/>
        <v>Current Employee</v>
      </c>
      <c r="F1064" t="s">
        <v>36</v>
      </c>
      <c r="G1064">
        <v>1229</v>
      </c>
      <c r="H1064" t="s">
        <v>45</v>
      </c>
      <c r="I1064">
        <v>4</v>
      </c>
      <c r="J1064">
        <v>4</v>
      </c>
      <c r="K1064" t="s">
        <v>38</v>
      </c>
      <c r="L1064">
        <v>1</v>
      </c>
      <c r="M1064">
        <v>4</v>
      </c>
      <c r="N1064" t="s">
        <v>46</v>
      </c>
      <c r="O1064">
        <v>30</v>
      </c>
      <c r="P1064">
        <v>3</v>
      </c>
      <c r="Q1064">
        <v>2</v>
      </c>
      <c r="R1064" t="s">
        <v>40</v>
      </c>
      <c r="S1064">
        <v>3</v>
      </c>
      <c r="T1064" t="str" cm="1">
        <f t="array" ref="T1064">_xlfn.IFS(S1064&lt;=2,"Poor",S1064&lt;=3,"Fair",S1064&gt;=4,"Good")</f>
        <v>Fair</v>
      </c>
      <c r="U1064" t="s">
        <v>48</v>
      </c>
      <c r="V1064" s="1">
        <v>4035</v>
      </c>
      <c r="W1064" t="str" cm="1">
        <f t="array" ref="W1064">_xlfn.IFS(V1064&lt;=5000,"Low Salary",V1064&lt;=12000,"Good Salary",V1064&gt;12000,"High Salary")</f>
        <v>Low Salary</v>
      </c>
      <c r="X1064">
        <v>16143</v>
      </c>
      <c r="Y1064">
        <v>0</v>
      </c>
      <c r="Z1064" t="s">
        <v>42</v>
      </c>
      <c r="AA1064" t="s">
        <v>43</v>
      </c>
      <c r="AB1064">
        <v>16</v>
      </c>
      <c r="AC1064">
        <v>3</v>
      </c>
      <c r="AD1064" t="str">
        <f t="shared" si="33"/>
        <v>Low Performance</v>
      </c>
      <c r="AE1064">
        <v>2</v>
      </c>
      <c r="AF1064">
        <v>80</v>
      </c>
      <c r="AG1064">
        <v>0</v>
      </c>
      <c r="AH1064">
        <v>4</v>
      </c>
      <c r="AI1064">
        <v>2</v>
      </c>
      <c r="AJ1064">
        <v>3</v>
      </c>
      <c r="AK1064" t="str" cm="1">
        <f t="array" ref="AK1064">_xlfn.IFS(AJ1064&lt;=2,"Poor",AJ1064&lt;=3,"Fair",AJ1064&gt;3,"Good")</f>
        <v>Fair</v>
      </c>
      <c r="AL1064">
        <v>3</v>
      </c>
      <c r="AM1064">
        <v>2</v>
      </c>
      <c r="AN1064">
        <v>1</v>
      </c>
      <c r="AO1064">
        <v>2</v>
      </c>
    </row>
    <row r="1065" spans="1:41" x14ac:dyDescent="0.2">
      <c r="A1065">
        <v>1732917</v>
      </c>
      <c r="B1065">
        <v>33</v>
      </c>
      <c r="C1065" t="str" cm="1">
        <f t="array" ref="C1065">_xlfn.IFS(B1065&lt;=25,"15-25",B1065&lt;=35,"26-35",B1065&lt;=45,"36-45",B1065&lt;=55,"46-55",B1065&lt;=65,"56-65")</f>
        <v>26-35</v>
      </c>
      <c r="D1065" t="s">
        <v>35</v>
      </c>
      <c r="E1065" t="str">
        <f t="shared" si="32"/>
        <v>Current Employee</v>
      </c>
      <c r="F1065" t="s">
        <v>36</v>
      </c>
      <c r="G1065">
        <v>1099</v>
      </c>
      <c r="H1065" t="s">
        <v>45</v>
      </c>
      <c r="I1065">
        <v>4</v>
      </c>
      <c r="J1065">
        <v>4</v>
      </c>
      <c r="K1065" t="s">
        <v>49</v>
      </c>
      <c r="L1065">
        <v>1</v>
      </c>
      <c r="M1065">
        <v>1</v>
      </c>
      <c r="N1065" t="s">
        <v>39</v>
      </c>
      <c r="O1065">
        <v>82</v>
      </c>
      <c r="P1065">
        <v>2</v>
      </c>
      <c r="Q1065">
        <v>1</v>
      </c>
      <c r="R1065" t="s">
        <v>40</v>
      </c>
      <c r="S1065">
        <v>2</v>
      </c>
      <c r="T1065" t="str" cm="1">
        <f t="array" ref="T1065">_xlfn.IFS(S1065&lt;=2,"Poor",S1065&lt;=3,"Fair",S1065&gt;=4,"Good")</f>
        <v>Poor</v>
      </c>
      <c r="U1065" t="s">
        <v>48</v>
      </c>
      <c r="V1065" s="1">
        <v>3838</v>
      </c>
      <c r="W1065" t="str" cm="1">
        <f t="array" ref="W1065">_xlfn.IFS(V1065&lt;=5000,"Low Salary",V1065&lt;=12000,"Good Salary",V1065&gt;12000,"High Salary")</f>
        <v>Low Salary</v>
      </c>
      <c r="X1065">
        <v>8192</v>
      </c>
      <c r="Y1065">
        <v>8</v>
      </c>
      <c r="Z1065" t="s">
        <v>42</v>
      </c>
      <c r="AA1065" t="s">
        <v>35</v>
      </c>
      <c r="AB1065">
        <v>11</v>
      </c>
      <c r="AC1065">
        <v>3</v>
      </c>
      <c r="AD1065" t="str">
        <f t="shared" si="33"/>
        <v>Low Performance</v>
      </c>
      <c r="AE1065">
        <v>4</v>
      </c>
      <c r="AF1065">
        <v>80</v>
      </c>
      <c r="AG1065">
        <v>0</v>
      </c>
      <c r="AH1065">
        <v>8</v>
      </c>
      <c r="AI1065">
        <v>5</v>
      </c>
      <c r="AJ1065">
        <v>3</v>
      </c>
      <c r="AK1065" t="str" cm="1">
        <f t="array" ref="AK1065">_xlfn.IFS(AJ1065&lt;=2,"Poor",AJ1065&lt;=3,"Fair",AJ1065&gt;3,"Good")</f>
        <v>Fair</v>
      </c>
      <c r="AL1065">
        <v>5</v>
      </c>
      <c r="AM1065">
        <v>4</v>
      </c>
      <c r="AN1065">
        <v>0</v>
      </c>
      <c r="AO1065">
        <v>2</v>
      </c>
    </row>
    <row r="1066" spans="1:41" x14ac:dyDescent="0.2">
      <c r="A1066">
        <v>1235079</v>
      </c>
      <c r="B1066">
        <v>47</v>
      </c>
      <c r="C1066" t="str" cm="1">
        <f t="array" ref="C1066">_xlfn.IFS(B1066&lt;=25,"15-25",B1066&lt;=35,"26-35",B1066&lt;=45,"36-45",B1066&lt;=55,"46-55",B1066&lt;=65,"56-65")</f>
        <v>46-55</v>
      </c>
      <c r="D1066" t="s">
        <v>35</v>
      </c>
      <c r="E1066" t="str">
        <f t="shared" si="32"/>
        <v>Current Employee</v>
      </c>
      <c r="F1066" t="s">
        <v>36</v>
      </c>
      <c r="G1066">
        <v>571</v>
      </c>
      <c r="H1066" t="s">
        <v>37</v>
      </c>
      <c r="I1066">
        <v>14</v>
      </c>
      <c r="J1066">
        <v>3</v>
      </c>
      <c r="K1066" t="s">
        <v>49</v>
      </c>
      <c r="L1066">
        <v>1</v>
      </c>
      <c r="M1066">
        <v>3</v>
      </c>
      <c r="N1066" t="s">
        <v>39</v>
      </c>
      <c r="O1066">
        <v>78</v>
      </c>
      <c r="P1066">
        <v>3</v>
      </c>
      <c r="Q1066">
        <v>2</v>
      </c>
      <c r="R1066" t="s">
        <v>40</v>
      </c>
      <c r="S1066">
        <v>3</v>
      </c>
      <c r="T1066" t="str" cm="1">
        <f t="array" ref="T1066">_xlfn.IFS(S1066&lt;=2,"Poor",S1066&lt;=3,"Fair",S1066&gt;=4,"Good")</f>
        <v>Fair</v>
      </c>
      <c r="U1066" t="s">
        <v>48</v>
      </c>
      <c r="V1066" s="1">
        <v>4591</v>
      </c>
      <c r="W1066" t="str" cm="1">
        <f t="array" ref="W1066">_xlfn.IFS(V1066&lt;=5000,"Low Salary",V1066&lt;=12000,"Good Salary",V1066&gt;12000,"High Salary")</f>
        <v>Low Salary</v>
      </c>
      <c r="X1066">
        <v>24200</v>
      </c>
      <c r="Y1066">
        <v>3</v>
      </c>
      <c r="Z1066" t="s">
        <v>42</v>
      </c>
      <c r="AA1066" t="s">
        <v>43</v>
      </c>
      <c r="AB1066">
        <v>17</v>
      </c>
      <c r="AC1066">
        <v>3</v>
      </c>
      <c r="AD1066" t="str">
        <f t="shared" si="33"/>
        <v>Low Performance</v>
      </c>
      <c r="AE1066">
        <v>3</v>
      </c>
      <c r="AF1066">
        <v>80</v>
      </c>
      <c r="AG1066">
        <v>1</v>
      </c>
      <c r="AH1066">
        <v>11</v>
      </c>
      <c r="AI1066">
        <v>4</v>
      </c>
      <c r="AJ1066">
        <v>2</v>
      </c>
      <c r="AK1066" t="str" cm="1">
        <f t="array" ref="AK1066">_xlfn.IFS(AJ1066&lt;=2,"Poor",AJ1066&lt;=3,"Fair",AJ1066&gt;3,"Good")</f>
        <v>Poor</v>
      </c>
      <c r="AL1066">
        <v>5</v>
      </c>
      <c r="AM1066">
        <v>4</v>
      </c>
      <c r="AN1066">
        <v>1</v>
      </c>
      <c r="AO1066">
        <v>2</v>
      </c>
    </row>
    <row r="1067" spans="1:41" x14ac:dyDescent="0.2">
      <c r="A1067">
        <v>1473545</v>
      </c>
      <c r="B1067">
        <v>28</v>
      </c>
      <c r="C1067" t="str" cm="1">
        <f t="array" ref="C1067">_xlfn.IFS(B1067&lt;=25,"15-25",B1067&lt;=35,"26-35",B1067&lt;=45,"36-45",B1067&lt;=55,"46-55",B1067&lt;=65,"56-65")</f>
        <v>26-35</v>
      </c>
      <c r="D1067" t="s">
        <v>43</v>
      </c>
      <c r="E1067" t="str">
        <f t="shared" si="32"/>
        <v>Former Employee</v>
      </c>
      <c r="F1067" t="s">
        <v>44</v>
      </c>
      <c r="G1067">
        <v>289</v>
      </c>
      <c r="H1067" t="s">
        <v>45</v>
      </c>
      <c r="I1067">
        <v>2</v>
      </c>
      <c r="J1067">
        <v>2</v>
      </c>
      <c r="K1067" t="s">
        <v>49</v>
      </c>
      <c r="L1067">
        <v>1</v>
      </c>
      <c r="M1067">
        <v>3</v>
      </c>
      <c r="N1067" t="s">
        <v>46</v>
      </c>
      <c r="O1067">
        <v>38</v>
      </c>
      <c r="P1067">
        <v>2</v>
      </c>
      <c r="Q1067">
        <v>1</v>
      </c>
      <c r="R1067" t="s">
        <v>40</v>
      </c>
      <c r="S1067">
        <v>1</v>
      </c>
      <c r="T1067" t="str" cm="1">
        <f t="array" ref="T1067">_xlfn.IFS(S1067&lt;=2,"Poor",S1067&lt;=3,"Fair",S1067&gt;=4,"Good")</f>
        <v>Poor</v>
      </c>
      <c r="U1067" t="s">
        <v>41</v>
      </c>
      <c r="V1067" s="1">
        <v>2561</v>
      </c>
      <c r="W1067" t="str" cm="1">
        <f t="array" ref="W1067">_xlfn.IFS(V1067&lt;=5000,"Low Salary",V1067&lt;=12000,"Good Salary",V1067&gt;12000,"High Salary")</f>
        <v>Low Salary</v>
      </c>
      <c r="X1067">
        <v>5355</v>
      </c>
      <c r="Y1067">
        <v>7</v>
      </c>
      <c r="Z1067" t="s">
        <v>42</v>
      </c>
      <c r="AA1067" t="s">
        <v>35</v>
      </c>
      <c r="AB1067">
        <v>11</v>
      </c>
      <c r="AC1067">
        <v>3</v>
      </c>
      <c r="AD1067" t="str">
        <f t="shared" si="33"/>
        <v>Low Performance</v>
      </c>
      <c r="AE1067">
        <v>3</v>
      </c>
      <c r="AF1067">
        <v>80</v>
      </c>
      <c r="AG1067">
        <v>0</v>
      </c>
      <c r="AH1067">
        <v>8</v>
      </c>
      <c r="AI1067">
        <v>2</v>
      </c>
      <c r="AJ1067">
        <v>2</v>
      </c>
      <c r="AK1067" t="str" cm="1">
        <f t="array" ref="AK1067">_xlfn.IFS(AJ1067&lt;=2,"Poor",AJ1067&lt;=3,"Fair",AJ1067&gt;3,"Good")</f>
        <v>Poor</v>
      </c>
      <c r="AL1067">
        <v>0</v>
      </c>
      <c r="AM1067">
        <v>0</v>
      </c>
      <c r="AN1067">
        <v>0</v>
      </c>
      <c r="AO1067">
        <v>0</v>
      </c>
    </row>
    <row r="1068" spans="1:41" x14ac:dyDescent="0.2">
      <c r="A1068">
        <v>1608433</v>
      </c>
      <c r="B1068">
        <v>28</v>
      </c>
      <c r="C1068" t="str" cm="1">
        <f t="array" ref="C1068">_xlfn.IFS(B1068&lt;=25,"15-25",B1068&lt;=35,"26-35",B1068&lt;=45,"36-45",B1068&lt;=55,"46-55",B1068&lt;=65,"56-65")</f>
        <v>26-35</v>
      </c>
      <c r="D1068" t="s">
        <v>35</v>
      </c>
      <c r="E1068" t="str">
        <f t="shared" si="32"/>
        <v>Current Employee</v>
      </c>
      <c r="F1068" t="s">
        <v>36</v>
      </c>
      <c r="G1068">
        <v>1423</v>
      </c>
      <c r="H1068" t="s">
        <v>45</v>
      </c>
      <c r="I1068">
        <v>1</v>
      </c>
      <c r="J1068">
        <v>3</v>
      </c>
      <c r="K1068" t="s">
        <v>38</v>
      </c>
      <c r="L1068">
        <v>1</v>
      </c>
      <c r="M1068">
        <v>1</v>
      </c>
      <c r="N1068" t="s">
        <v>46</v>
      </c>
      <c r="O1068">
        <v>72</v>
      </c>
      <c r="P1068">
        <v>2</v>
      </c>
      <c r="Q1068">
        <v>1</v>
      </c>
      <c r="R1068" t="s">
        <v>47</v>
      </c>
      <c r="S1068">
        <v>3</v>
      </c>
      <c r="T1068" t="str" cm="1">
        <f t="array" ref="T1068">_xlfn.IFS(S1068&lt;=2,"Poor",S1068&lt;=3,"Fair",S1068&gt;=4,"Good")</f>
        <v>Fair</v>
      </c>
      <c r="U1068" t="s">
        <v>50</v>
      </c>
      <c r="V1068" s="1">
        <v>1563</v>
      </c>
      <c r="W1068" t="str" cm="1">
        <f t="array" ref="W1068">_xlfn.IFS(V1068&lt;=5000,"Low Salary",V1068&lt;=12000,"Good Salary",V1068&gt;12000,"High Salary")</f>
        <v>Low Salary</v>
      </c>
      <c r="X1068">
        <v>12530</v>
      </c>
      <c r="Y1068">
        <v>1</v>
      </c>
      <c r="Z1068" t="s">
        <v>42</v>
      </c>
      <c r="AA1068" t="s">
        <v>35</v>
      </c>
      <c r="AB1068">
        <v>14</v>
      </c>
      <c r="AC1068">
        <v>3</v>
      </c>
      <c r="AD1068" t="str">
        <f t="shared" si="33"/>
        <v>Low Performance</v>
      </c>
      <c r="AE1068">
        <v>4</v>
      </c>
      <c r="AF1068">
        <v>80</v>
      </c>
      <c r="AG1068">
        <v>1</v>
      </c>
      <c r="AH1068">
        <v>1</v>
      </c>
      <c r="AI1068">
        <v>2</v>
      </c>
      <c r="AJ1068">
        <v>1</v>
      </c>
      <c r="AK1068" t="str" cm="1">
        <f t="array" ref="AK1068">_xlfn.IFS(AJ1068&lt;=2,"Poor",AJ1068&lt;=3,"Fair",AJ1068&gt;3,"Good")</f>
        <v>Poor</v>
      </c>
      <c r="AL1068">
        <v>1</v>
      </c>
      <c r="AM1068">
        <v>0</v>
      </c>
      <c r="AN1068">
        <v>0</v>
      </c>
      <c r="AO1068">
        <v>0</v>
      </c>
    </row>
    <row r="1069" spans="1:41" x14ac:dyDescent="0.2">
      <c r="A1069">
        <v>1768732</v>
      </c>
      <c r="B1069">
        <v>28</v>
      </c>
      <c r="C1069" t="str" cm="1">
        <f t="array" ref="C1069">_xlfn.IFS(B1069&lt;=25,"15-25",B1069&lt;=35,"26-35",B1069&lt;=45,"36-45",B1069&lt;=55,"46-55",B1069&lt;=65,"56-65")</f>
        <v>26-35</v>
      </c>
      <c r="D1069" t="s">
        <v>35</v>
      </c>
      <c r="E1069" t="str">
        <f t="shared" si="32"/>
        <v>Current Employee</v>
      </c>
      <c r="F1069" t="s">
        <v>44</v>
      </c>
      <c r="G1069">
        <v>467</v>
      </c>
      <c r="H1069" t="s">
        <v>37</v>
      </c>
      <c r="I1069">
        <v>7</v>
      </c>
      <c r="J1069">
        <v>3</v>
      </c>
      <c r="K1069" t="s">
        <v>38</v>
      </c>
      <c r="L1069">
        <v>1</v>
      </c>
      <c r="M1069">
        <v>3</v>
      </c>
      <c r="N1069" t="s">
        <v>46</v>
      </c>
      <c r="O1069">
        <v>55</v>
      </c>
      <c r="P1069">
        <v>3</v>
      </c>
      <c r="Q1069">
        <v>2</v>
      </c>
      <c r="R1069" t="s">
        <v>40</v>
      </c>
      <c r="S1069">
        <v>1</v>
      </c>
      <c r="T1069" t="str" cm="1">
        <f t="array" ref="T1069">_xlfn.IFS(S1069&lt;=2,"Poor",S1069&lt;=3,"Fair",S1069&gt;=4,"Good")</f>
        <v>Poor</v>
      </c>
      <c r="U1069" t="s">
        <v>41</v>
      </c>
      <c r="V1069" s="1">
        <v>4898</v>
      </c>
      <c r="W1069" t="str" cm="1">
        <f t="array" ref="W1069">_xlfn.IFS(V1069&lt;=5000,"Low Salary",V1069&lt;=12000,"Good Salary",V1069&gt;12000,"High Salary")</f>
        <v>Low Salary</v>
      </c>
      <c r="X1069">
        <v>11827</v>
      </c>
      <c r="Y1069">
        <v>0</v>
      </c>
      <c r="Z1069" t="s">
        <v>42</v>
      </c>
      <c r="AA1069" t="s">
        <v>35</v>
      </c>
      <c r="AB1069">
        <v>14</v>
      </c>
      <c r="AC1069">
        <v>3</v>
      </c>
      <c r="AD1069" t="str">
        <f t="shared" si="33"/>
        <v>Low Performance</v>
      </c>
      <c r="AE1069">
        <v>4</v>
      </c>
      <c r="AF1069">
        <v>80</v>
      </c>
      <c r="AG1069">
        <v>0</v>
      </c>
      <c r="AH1069">
        <v>5</v>
      </c>
      <c r="AI1069">
        <v>5</v>
      </c>
      <c r="AJ1069">
        <v>3</v>
      </c>
      <c r="AK1069" t="str" cm="1">
        <f t="array" ref="AK1069">_xlfn.IFS(AJ1069&lt;=2,"Poor",AJ1069&lt;=3,"Fair",AJ1069&gt;3,"Good")</f>
        <v>Fair</v>
      </c>
      <c r="AL1069">
        <v>4</v>
      </c>
      <c r="AM1069">
        <v>2</v>
      </c>
      <c r="AN1069">
        <v>1</v>
      </c>
      <c r="AO1069">
        <v>3</v>
      </c>
    </row>
    <row r="1070" spans="1:41" x14ac:dyDescent="0.2">
      <c r="A1070">
        <v>1255286</v>
      </c>
      <c r="B1070">
        <v>49</v>
      </c>
      <c r="C1070" t="str" cm="1">
        <f t="array" ref="C1070">_xlfn.IFS(B1070&lt;=25,"15-25",B1070&lt;=35,"26-35",B1070&lt;=45,"36-45",B1070&lt;=55,"46-55",B1070&lt;=65,"56-65")</f>
        <v>46-55</v>
      </c>
      <c r="D1070" t="s">
        <v>35</v>
      </c>
      <c r="E1070" t="str">
        <f t="shared" si="32"/>
        <v>Current Employee</v>
      </c>
      <c r="F1070" t="s">
        <v>36</v>
      </c>
      <c r="G1070">
        <v>271</v>
      </c>
      <c r="H1070" t="s">
        <v>45</v>
      </c>
      <c r="I1070">
        <v>3</v>
      </c>
      <c r="J1070">
        <v>2</v>
      </c>
      <c r="K1070" t="s">
        <v>49</v>
      </c>
      <c r="L1070">
        <v>1</v>
      </c>
      <c r="M1070">
        <v>3</v>
      </c>
      <c r="N1070" t="s">
        <v>39</v>
      </c>
      <c r="O1070">
        <v>43</v>
      </c>
      <c r="P1070">
        <v>2</v>
      </c>
      <c r="Q1070">
        <v>2</v>
      </c>
      <c r="R1070" t="s">
        <v>40</v>
      </c>
      <c r="S1070">
        <v>1</v>
      </c>
      <c r="T1070" t="str" cm="1">
        <f t="array" ref="T1070">_xlfn.IFS(S1070&lt;=2,"Poor",S1070&lt;=3,"Fair",S1070&gt;=4,"Good")</f>
        <v>Poor</v>
      </c>
      <c r="U1070" t="s">
        <v>48</v>
      </c>
      <c r="V1070" s="1">
        <v>4789</v>
      </c>
      <c r="W1070" t="str" cm="1">
        <f t="array" ref="W1070">_xlfn.IFS(V1070&lt;=5000,"Low Salary",V1070&lt;=12000,"Good Salary",V1070&gt;12000,"High Salary")</f>
        <v>Low Salary</v>
      </c>
      <c r="X1070">
        <v>23070</v>
      </c>
      <c r="Y1070">
        <v>4</v>
      </c>
      <c r="Z1070" t="s">
        <v>42</v>
      </c>
      <c r="AA1070" t="s">
        <v>35</v>
      </c>
      <c r="AB1070">
        <v>25</v>
      </c>
      <c r="AC1070">
        <v>4</v>
      </c>
      <c r="AD1070" t="str">
        <f t="shared" si="33"/>
        <v>High Performance</v>
      </c>
      <c r="AE1070">
        <v>1</v>
      </c>
      <c r="AF1070">
        <v>80</v>
      </c>
      <c r="AG1070">
        <v>1</v>
      </c>
      <c r="AH1070">
        <v>10</v>
      </c>
      <c r="AI1070">
        <v>3</v>
      </c>
      <c r="AJ1070">
        <v>3</v>
      </c>
      <c r="AK1070" t="str" cm="1">
        <f t="array" ref="AK1070">_xlfn.IFS(AJ1070&lt;=2,"Poor",AJ1070&lt;=3,"Fair",AJ1070&gt;3,"Good")</f>
        <v>Fair</v>
      </c>
      <c r="AL1070">
        <v>3</v>
      </c>
      <c r="AM1070">
        <v>2</v>
      </c>
      <c r="AN1070">
        <v>1</v>
      </c>
      <c r="AO1070">
        <v>2</v>
      </c>
    </row>
    <row r="1071" spans="1:41" x14ac:dyDescent="0.2">
      <c r="A1071">
        <v>1476766</v>
      </c>
      <c r="B1071">
        <v>29</v>
      </c>
      <c r="C1071" t="str" cm="1">
        <f t="array" ref="C1071">_xlfn.IFS(B1071&lt;=25,"15-25",B1071&lt;=35,"26-35",B1071&lt;=45,"36-45",B1071&lt;=55,"46-55",B1071&lt;=65,"56-65")</f>
        <v>26-35</v>
      </c>
      <c r="D1071" t="s">
        <v>35</v>
      </c>
      <c r="E1071" t="str">
        <f t="shared" si="32"/>
        <v>Current Employee</v>
      </c>
      <c r="F1071" t="s">
        <v>44</v>
      </c>
      <c r="G1071">
        <v>410</v>
      </c>
      <c r="H1071" t="s">
        <v>45</v>
      </c>
      <c r="I1071">
        <v>2</v>
      </c>
      <c r="J1071">
        <v>1</v>
      </c>
      <c r="K1071" t="s">
        <v>38</v>
      </c>
      <c r="L1071">
        <v>1</v>
      </c>
      <c r="M1071">
        <v>4</v>
      </c>
      <c r="N1071" t="s">
        <v>39</v>
      </c>
      <c r="O1071">
        <v>97</v>
      </c>
      <c r="P1071">
        <v>3</v>
      </c>
      <c r="Q1071">
        <v>1</v>
      </c>
      <c r="R1071" t="s">
        <v>40</v>
      </c>
      <c r="S1071">
        <v>2</v>
      </c>
      <c r="T1071" t="str" cm="1">
        <f t="array" ref="T1071">_xlfn.IFS(S1071&lt;=2,"Poor",S1071&lt;=3,"Fair",S1071&gt;=4,"Good")</f>
        <v>Poor</v>
      </c>
      <c r="U1071" t="s">
        <v>48</v>
      </c>
      <c r="V1071" s="1">
        <v>3180</v>
      </c>
      <c r="W1071" t="str" cm="1">
        <f t="array" ref="W1071">_xlfn.IFS(V1071&lt;=5000,"Low Salary",V1071&lt;=12000,"Good Salary",V1071&gt;12000,"High Salary")</f>
        <v>Low Salary</v>
      </c>
      <c r="X1071">
        <v>4668</v>
      </c>
      <c r="Y1071">
        <v>0</v>
      </c>
      <c r="Z1071" t="s">
        <v>42</v>
      </c>
      <c r="AA1071" t="s">
        <v>35</v>
      </c>
      <c r="AB1071">
        <v>13</v>
      </c>
      <c r="AC1071">
        <v>3</v>
      </c>
      <c r="AD1071" t="str">
        <f t="shared" si="33"/>
        <v>Low Performance</v>
      </c>
      <c r="AE1071">
        <v>3</v>
      </c>
      <c r="AF1071">
        <v>80</v>
      </c>
      <c r="AG1071">
        <v>3</v>
      </c>
      <c r="AH1071">
        <v>4</v>
      </c>
      <c r="AI1071">
        <v>3</v>
      </c>
      <c r="AJ1071">
        <v>3</v>
      </c>
      <c r="AK1071" t="str" cm="1">
        <f t="array" ref="AK1071">_xlfn.IFS(AJ1071&lt;=2,"Poor",AJ1071&lt;=3,"Fair",AJ1071&gt;3,"Good")</f>
        <v>Fair</v>
      </c>
      <c r="AL1071">
        <v>3</v>
      </c>
      <c r="AM1071">
        <v>2</v>
      </c>
      <c r="AN1071">
        <v>0</v>
      </c>
      <c r="AO1071">
        <v>2</v>
      </c>
    </row>
    <row r="1072" spans="1:41" x14ac:dyDescent="0.2">
      <c r="A1072">
        <v>1503842</v>
      </c>
      <c r="B1072">
        <v>28</v>
      </c>
      <c r="C1072" t="str" cm="1">
        <f t="array" ref="C1072">_xlfn.IFS(B1072&lt;=25,"15-25",B1072&lt;=35,"26-35",B1072&lt;=45,"36-45",B1072&lt;=55,"46-55",B1072&lt;=65,"56-65")</f>
        <v>26-35</v>
      </c>
      <c r="D1072" t="s">
        <v>35</v>
      </c>
      <c r="E1072" t="str">
        <f t="shared" si="32"/>
        <v>Current Employee</v>
      </c>
      <c r="F1072" t="s">
        <v>36</v>
      </c>
      <c r="G1072">
        <v>1083</v>
      </c>
      <c r="H1072" t="s">
        <v>45</v>
      </c>
      <c r="I1072">
        <v>29</v>
      </c>
      <c r="J1072">
        <v>1</v>
      </c>
      <c r="K1072" t="s">
        <v>38</v>
      </c>
      <c r="L1072">
        <v>1</v>
      </c>
      <c r="M1072">
        <v>3</v>
      </c>
      <c r="N1072" t="s">
        <v>46</v>
      </c>
      <c r="O1072">
        <v>96</v>
      </c>
      <c r="P1072">
        <v>1</v>
      </c>
      <c r="Q1072">
        <v>2</v>
      </c>
      <c r="R1072" t="s">
        <v>51</v>
      </c>
      <c r="S1072">
        <v>2</v>
      </c>
      <c r="T1072" t="str" cm="1">
        <f t="array" ref="T1072">_xlfn.IFS(S1072&lt;=2,"Poor",S1072&lt;=3,"Fair",S1072&gt;=4,"Good")</f>
        <v>Poor</v>
      </c>
      <c r="U1072" t="s">
        <v>48</v>
      </c>
      <c r="V1072" s="1">
        <v>6549</v>
      </c>
      <c r="W1072" t="str" cm="1">
        <f t="array" ref="W1072">_xlfn.IFS(V1072&lt;=5000,"Low Salary",V1072&lt;=12000,"Good Salary",V1072&gt;12000,"High Salary")</f>
        <v>Good Salary</v>
      </c>
      <c r="X1072">
        <v>3173</v>
      </c>
      <c r="Y1072">
        <v>1</v>
      </c>
      <c r="Z1072" t="s">
        <v>42</v>
      </c>
      <c r="AA1072" t="s">
        <v>35</v>
      </c>
      <c r="AB1072">
        <v>14</v>
      </c>
      <c r="AC1072">
        <v>3</v>
      </c>
      <c r="AD1072" t="str">
        <f t="shared" si="33"/>
        <v>Low Performance</v>
      </c>
      <c r="AE1072">
        <v>2</v>
      </c>
      <c r="AF1072">
        <v>80</v>
      </c>
      <c r="AG1072">
        <v>2</v>
      </c>
      <c r="AH1072">
        <v>8</v>
      </c>
      <c r="AI1072">
        <v>2</v>
      </c>
      <c r="AJ1072">
        <v>2</v>
      </c>
      <c r="AK1072" t="str" cm="1">
        <f t="array" ref="AK1072">_xlfn.IFS(AJ1072&lt;=2,"Poor",AJ1072&lt;=3,"Fair",AJ1072&gt;3,"Good")</f>
        <v>Poor</v>
      </c>
      <c r="AL1072">
        <v>8</v>
      </c>
      <c r="AM1072">
        <v>6</v>
      </c>
      <c r="AN1072">
        <v>1</v>
      </c>
      <c r="AO1072">
        <v>7</v>
      </c>
    </row>
    <row r="1073" spans="1:41" x14ac:dyDescent="0.2">
      <c r="A1073">
        <v>1285005</v>
      </c>
      <c r="B1073">
        <v>33</v>
      </c>
      <c r="C1073" t="str" cm="1">
        <f t="array" ref="C1073">_xlfn.IFS(B1073&lt;=25,"15-25",B1073&lt;=35,"26-35",B1073&lt;=45,"36-45",B1073&lt;=55,"46-55",B1073&lt;=65,"56-65")</f>
        <v>26-35</v>
      </c>
      <c r="D1073" t="s">
        <v>35</v>
      </c>
      <c r="E1073" t="str">
        <f t="shared" si="32"/>
        <v>Current Employee</v>
      </c>
      <c r="F1073" t="s">
        <v>36</v>
      </c>
      <c r="G1073">
        <v>516</v>
      </c>
      <c r="H1073" t="s">
        <v>45</v>
      </c>
      <c r="I1073">
        <v>8</v>
      </c>
      <c r="J1073">
        <v>5</v>
      </c>
      <c r="K1073" t="s">
        <v>38</v>
      </c>
      <c r="L1073">
        <v>1</v>
      </c>
      <c r="M1073">
        <v>4</v>
      </c>
      <c r="N1073" t="s">
        <v>46</v>
      </c>
      <c r="O1073">
        <v>69</v>
      </c>
      <c r="P1073">
        <v>3</v>
      </c>
      <c r="Q1073">
        <v>2</v>
      </c>
      <c r="R1073" t="s">
        <v>40</v>
      </c>
      <c r="S1073">
        <v>3</v>
      </c>
      <c r="T1073" t="str" cm="1">
        <f t="array" ref="T1073">_xlfn.IFS(S1073&lt;=2,"Poor",S1073&lt;=3,"Fair",S1073&gt;=4,"Good")</f>
        <v>Fair</v>
      </c>
      <c r="U1073" t="s">
        <v>41</v>
      </c>
      <c r="V1073" s="1">
        <v>6388</v>
      </c>
      <c r="W1073" t="str" cm="1">
        <f t="array" ref="W1073">_xlfn.IFS(V1073&lt;=5000,"Low Salary",V1073&lt;=12000,"Good Salary",V1073&gt;12000,"High Salary")</f>
        <v>Good Salary</v>
      </c>
      <c r="X1073">
        <v>22049</v>
      </c>
      <c r="Y1073">
        <v>2</v>
      </c>
      <c r="Z1073" t="s">
        <v>42</v>
      </c>
      <c r="AA1073" t="s">
        <v>43</v>
      </c>
      <c r="AB1073">
        <v>17</v>
      </c>
      <c r="AC1073">
        <v>3</v>
      </c>
      <c r="AD1073" t="str">
        <f t="shared" si="33"/>
        <v>Low Performance</v>
      </c>
      <c r="AE1073">
        <v>1</v>
      </c>
      <c r="AF1073">
        <v>80</v>
      </c>
      <c r="AG1073">
        <v>0</v>
      </c>
      <c r="AH1073">
        <v>14</v>
      </c>
      <c r="AI1073">
        <v>6</v>
      </c>
      <c r="AJ1073">
        <v>3</v>
      </c>
      <c r="AK1073" t="str" cm="1">
        <f t="array" ref="AK1073">_xlfn.IFS(AJ1073&lt;=2,"Poor",AJ1073&lt;=3,"Fair",AJ1073&gt;3,"Good")</f>
        <v>Fair</v>
      </c>
      <c r="AL1073">
        <v>0</v>
      </c>
      <c r="AM1073">
        <v>0</v>
      </c>
      <c r="AN1073">
        <v>0</v>
      </c>
      <c r="AO1073">
        <v>0</v>
      </c>
    </row>
    <row r="1074" spans="1:41" x14ac:dyDescent="0.2">
      <c r="A1074">
        <v>1700420</v>
      </c>
      <c r="B1074">
        <v>32</v>
      </c>
      <c r="C1074" t="str" cm="1">
        <f t="array" ref="C1074">_xlfn.IFS(B1074&lt;=25,"15-25",B1074&lt;=35,"26-35",B1074&lt;=45,"36-45",B1074&lt;=55,"46-55",B1074&lt;=65,"56-65")</f>
        <v>26-35</v>
      </c>
      <c r="D1074" t="s">
        <v>35</v>
      </c>
      <c r="E1074" t="str">
        <f t="shared" si="32"/>
        <v>Current Employee</v>
      </c>
      <c r="F1074" t="s">
        <v>36</v>
      </c>
      <c r="G1074">
        <v>495</v>
      </c>
      <c r="H1074" t="s">
        <v>54</v>
      </c>
      <c r="I1074">
        <v>10</v>
      </c>
      <c r="J1074">
        <v>3</v>
      </c>
      <c r="K1074" t="s">
        <v>49</v>
      </c>
      <c r="L1074">
        <v>1</v>
      </c>
      <c r="M1074">
        <v>3</v>
      </c>
      <c r="N1074" t="s">
        <v>46</v>
      </c>
      <c r="O1074">
        <v>64</v>
      </c>
      <c r="P1074">
        <v>3</v>
      </c>
      <c r="Q1074">
        <v>3</v>
      </c>
      <c r="R1074" t="s">
        <v>47</v>
      </c>
      <c r="S1074">
        <v>4</v>
      </c>
      <c r="T1074" t="str" cm="1">
        <f t="array" ref="T1074">_xlfn.IFS(S1074&lt;=2,"Poor",S1074&lt;=3,"Fair",S1074&gt;=4,"Good")</f>
        <v>Good</v>
      </c>
      <c r="U1074" t="s">
        <v>41</v>
      </c>
      <c r="V1074" s="1">
        <v>11244</v>
      </c>
      <c r="W1074" t="str" cm="1">
        <f t="array" ref="W1074">_xlfn.IFS(V1074&lt;=5000,"Low Salary",V1074&lt;=12000,"Good Salary",V1074&gt;12000,"High Salary")</f>
        <v>Good Salary</v>
      </c>
      <c r="X1074">
        <v>21072</v>
      </c>
      <c r="Y1074">
        <v>2</v>
      </c>
      <c r="Z1074" t="s">
        <v>42</v>
      </c>
      <c r="AA1074" t="s">
        <v>35</v>
      </c>
      <c r="AB1074">
        <v>25</v>
      </c>
      <c r="AC1074">
        <v>4</v>
      </c>
      <c r="AD1074" t="str">
        <f t="shared" si="33"/>
        <v>High Performance</v>
      </c>
      <c r="AE1074">
        <v>2</v>
      </c>
      <c r="AF1074">
        <v>80</v>
      </c>
      <c r="AG1074">
        <v>0</v>
      </c>
      <c r="AH1074">
        <v>10</v>
      </c>
      <c r="AI1074">
        <v>5</v>
      </c>
      <c r="AJ1074">
        <v>4</v>
      </c>
      <c r="AK1074" t="str" cm="1">
        <f t="array" ref="AK1074">_xlfn.IFS(AJ1074&lt;=2,"Poor",AJ1074&lt;=3,"Fair",AJ1074&gt;3,"Good")</f>
        <v>Good</v>
      </c>
      <c r="AL1074">
        <v>5</v>
      </c>
      <c r="AM1074">
        <v>2</v>
      </c>
      <c r="AN1074">
        <v>0</v>
      </c>
      <c r="AO1074">
        <v>0</v>
      </c>
    </row>
    <row r="1075" spans="1:41" x14ac:dyDescent="0.2">
      <c r="A1075">
        <v>1787068</v>
      </c>
      <c r="B1075">
        <v>54</v>
      </c>
      <c r="C1075" t="str" cm="1">
        <f t="array" ref="C1075">_xlfn.IFS(B1075&lt;=25,"15-25",B1075&lt;=35,"26-35",B1075&lt;=45,"36-45",B1075&lt;=55,"46-55",B1075&lt;=65,"56-65")</f>
        <v>46-55</v>
      </c>
      <c r="D1075" t="s">
        <v>35</v>
      </c>
      <c r="E1075" t="str">
        <f t="shared" si="32"/>
        <v>Current Employee</v>
      </c>
      <c r="F1075" t="s">
        <v>44</v>
      </c>
      <c r="G1075">
        <v>1050</v>
      </c>
      <c r="H1075" t="s">
        <v>54</v>
      </c>
      <c r="I1075">
        <v>11</v>
      </c>
      <c r="J1075">
        <v>4</v>
      </c>
      <c r="K1075" t="s">
        <v>49</v>
      </c>
      <c r="L1075">
        <v>1</v>
      </c>
      <c r="M1075">
        <v>2</v>
      </c>
      <c r="N1075" t="s">
        <v>39</v>
      </c>
      <c r="O1075">
        <v>87</v>
      </c>
      <c r="P1075">
        <v>3</v>
      </c>
      <c r="Q1075">
        <v>4</v>
      </c>
      <c r="R1075" t="s">
        <v>47</v>
      </c>
      <c r="S1075">
        <v>4</v>
      </c>
      <c r="T1075" t="str" cm="1">
        <f t="array" ref="T1075">_xlfn.IFS(S1075&lt;=2,"Poor",S1075&lt;=3,"Fair",S1075&gt;=4,"Good")</f>
        <v>Good</v>
      </c>
      <c r="U1075" t="s">
        <v>50</v>
      </c>
      <c r="V1075" s="1">
        <v>16032</v>
      </c>
      <c r="W1075" t="str" cm="1">
        <f t="array" ref="W1075">_xlfn.IFS(V1075&lt;=5000,"Low Salary",V1075&lt;=12000,"Good Salary",V1075&gt;12000,"High Salary")</f>
        <v>High Salary</v>
      </c>
      <c r="X1075">
        <v>24456</v>
      </c>
      <c r="Y1075">
        <v>3</v>
      </c>
      <c r="Z1075" t="s">
        <v>42</v>
      </c>
      <c r="AA1075" t="s">
        <v>35</v>
      </c>
      <c r="AB1075">
        <v>20</v>
      </c>
      <c r="AC1075">
        <v>4</v>
      </c>
      <c r="AD1075" t="str">
        <f t="shared" si="33"/>
        <v>High Performance</v>
      </c>
      <c r="AE1075">
        <v>1</v>
      </c>
      <c r="AF1075">
        <v>80</v>
      </c>
      <c r="AG1075">
        <v>1</v>
      </c>
      <c r="AH1075">
        <v>26</v>
      </c>
      <c r="AI1075">
        <v>2</v>
      </c>
      <c r="AJ1075">
        <v>3</v>
      </c>
      <c r="AK1075" t="str" cm="1">
        <f t="array" ref="AK1075">_xlfn.IFS(AJ1075&lt;=2,"Poor",AJ1075&lt;=3,"Fair",AJ1075&gt;3,"Good")</f>
        <v>Fair</v>
      </c>
      <c r="AL1075">
        <v>14</v>
      </c>
      <c r="AM1075">
        <v>9</v>
      </c>
      <c r="AN1075">
        <v>1</v>
      </c>
      <c r="AO1075">
        <v>12</v>
      </c>
    </row>
    <row r="1076" spans="1:41" x14ac:dyDescent="0.2">
      <c r="A1076">
        <v>1512296</v>
      </c>
      <c r="B1076">
        <v>29</v>
      </c>
      <c r="C1076" t="str" cm="1">
        <f t="array" ref="C1076">_xlfn.IFS(B1076&lt;=25,"15-25",B1076&lt;=35,"26-35",B1076&lt;=45,"36-45",B1076&lt;=55,"46-55",B1076&lt;=65,"56-65")</f>
        <v>26-35</v>
      </c>
      <c r="D1076" t="s">
        <v>43</v>
      </c>
      <c r="E1076" t="str">
        <f t="shared" si="32"/>
        <v>Former Employee</v>
      </c>
      <c r="F1076" t="s">
        <v>36</v>
      </c>
      <c r="G1076">
        <v>224</v>
      </c>
      <c r="H1076" t="s">
        <v>45</v>
      </c>
      <c r="I1076">
        <v>1</v>
      </c>
      <c r="J1076">
        <v>4</v>
      </c>
      <c r="K1076" t="s">
        <v>56</v>
      </c>
      <c r="L1076">
        <v>1</v>
      </c>
      <c r="M1076">
        <v>1</v>
      </c>
      <c r="N1076" t="s">
        <v>46</v>
      </c>
      <c r="O1076">
        <v>100</v>
      </c>
      <c r="P1076">
        <v>2</v>
      </c>
      <c r="Q1076">
        <v>1</v>
      </c>
      <c r="R1076" t="s">
        <v>47</v>
      </c>
      <c r="S1076">
        <v>1</v>
      </c>
      <c r="T1076" t="str" cm="1">
        <f t="array" ref="T1076">_xlfn.IFS(S1076&lt;=2,"Poor",S1076&lt;=3,"Fair",S1076&gt;=4,"Good")</f>
        <v>Poor</v>
      </c>
      <c r="U1076" t="s">
        <v>41</v>
      </c>
      <c r="V1076" s="1">
        <v>2362</v>
      </c>
      <c r="W1076" t="str" cm="1">
        <f t="array" ref="W1076">_xlfn.IFS(V1076&lt;=5000,"Low Salary",V1076&lt;=12000,"Good Salary",V1076&gt;12000,"High Salary")</f>
        <v>Low Salary</v>
      </c>
      <c r="X1076">
        <v>7568</v>
      </c>
      <c r="Y1076">
        <v>6</v>
      </c>
      <c r="Z1076" t="s">
        <v>42</v>
      </c>
      <c r="AA1076" t="s">
        <v>35</v>
      </c>
      <c r="AB1076">
        <v>13</v>
      </c>
      <c r="AC1076">
        <v>3</v>
      </c>
      <c r="AD1076" t="str">
        <f t="shared" si="33"/>
        <v>Low Performance</v>
      </c>
      <c r="AE1076">
        <v>3</v>
      </c>
      <c r="AF1076">
        <v>80</v>
      </c>
      <c r="AG1076">
        <v>0</v>
      </c>
      <c r="AH1076">
        <v>11</v>
      </c>
      <c r="AI1076">
        <v>2</v>
      </c>
      <c r="AJ1076">
        <v>1</v>
      </c>
      <c r="AK1076" t="str" cm="1">
        <f t="array" ref="AK1076">_xlfn.IFS(AJ1076&lt;=2,"Poor",AJ1076&lt;=3,"Fair",AJ1076&gt;3,"Good")</f>
        <v>Poor</v>
      </c>
      <c r="AL1076">
        <v>9</v>
      </c>
      <c r="AM1076">
        <v>7</v>
      </c>
      <c r="AN1076">
        <v>0</v>
      </c>
      <c r="AO1076">
        <v>7</v>
      </c>
    </row>
    <row r="1077" spans="1:41" x14ac:dyDescent="0.2">
      <c r="A1077">
        <v>1225168</v>
      </c>
      <c r="B1077">
        <v>44</v>
      </c>
      <c r="C1077" t="str" cm="1">
        <f t="array" ref="C1077">_xlfn.IFS(B1077&lt;=25,"15-25",B1077&lt;=35,"26-35",B1077&lt;=45,"36-45",B1077&lt;=55,"46-55",B1077&lt;=65,"56-65")</f>
        <v>36-45</v>
      </c>
      <c r="D1077" t="s">
        <v>35</v>
      </c>
      <c r="E1077" t="str">
        <f t="shared" si="32"/>
        <v>Current Employee</v>
      </c>
      <c r="F1077" t="s">
        <v>36</v>
      </c>
      <c r="G1077">
        <v>136</v>
      </c>
      <c r="H1077" t="s">
        <v>45</v>
      </c>
      <c r="I1077">
        <v>28</v>
      </c>
      <c r="J1077">
        <v>3</v>
      </c>
      <c r="K1077" t="s">
        <v>38</v>
      </c>
      <c r="L1077">
        <v>1</v>
      </c>
      <c r="M1077">
        <v>4</v>
      </c>
      <c r="N1077" t="s">
        <v>46</v>
      </c>
      <c r="O1077">
        <v>32</v>
      </c>
      <c r="P1077">
        <v>3</v>
      </c>
      <c r="Q1077">
        <v>4</v>
      </c>
      <c r="R1077" t="s">
        <v>53</v>
      </c>
      <c r="S1077">
        <v>1</v>
      </c>
      <c r="T1077" t="str" cm="1">
        <f t="array" ref="T1077">_xlfn.IFS(S1077&lt;=2,"Poor",S1077&lt;=3,"Fair",S1077&gt;=4,"Good")</f>
        <v>Poor</v>
      </c>
      <c r="U1077" t="s">
        <v>48</v>
      </c>
      <c r="V1077" s="1">
        <v>16328</v>
      </c>
      <c r="W1077" t="str" cm="1">
        <f t="array" ref="W1077">_xlfn.IFS(V1077&lt;=5000,"Low Salary",V1077&lt;=12000,"Good Salary",V1077&gt;12000,"High Salary")</f>
        <v>High Salary</v>
      </c>
      <c r="X1077">
        <v>22074</v>
      </c>
      <c r="Y1077">
        <v>3</v>
      </c>
      <c r="Z1077" t="s">
        <v>42</v>
      </c>
      <c r="AA1077" t="s">
        <v>35</v>
      </c>
      <c r="AB1077">
        <v>13</v>
      </c>
      <c r="AC1077">
        <v>3</v>
      </c>
      <c r="AD1077" t="str">
        <f t="shared" si="33"/>
        <v>Low Performance</v>
      </c>
      <c r="AE1077">
        <v>3</v>
      </c>
      <c r="AF1077">
        <v>80</v>
      </c>
      <c r="AG1077">
        <v>1</v>
      </c>
      <c r="AH1077">
        <v>24</v>
      </c>
      <c r="AI1077">
        <v>1</v>
      </c>
      <c r="AJ1077">
        <v>4</v>
      </c>
      <c r="AK1077" t="str" cm="1">
        <f t="array" ref="AK1077">_xlfn.IFS(AJ1077&lt;=2,"Poor",AJ1077&lt;=3,"Fair",AJ1077&gt;3,"Good")</f>
        <v>Good</v>
      </c>
      <c r="AL1077">
        <v>20</v>
      </c>
      <c r="AM1077">
        <v>6</v>
      </c>
      <c r="AN1077">
        <v>14</v>
      </c>
      <c r="AO1077">
        <v>17</v>
      </c>
    </row>
    <row r="1078" spans="1:41" x14ac:dyDescent="0.2">
      <c r="A1078">
        <v>1185178</v>
      </c>
      <c r="B1078">
        <v>39</v>
      </c>
      <c r="C1078" t="str" cm="1">
        <f t="array" ref="C1078">_xlfn.IFS(B1078&lt;=25,"15-25",B1078&lt;=35,"26-35",B1078&lt;=45,"36-45",B1078&lt;=55,"46-55",B1078&lt;=65,"56-65")</f>
        <v>36-45</v>
      </c>
      <c r="D1078" t="s">
        <v>35</v>
      </c>
      <c r="E1078" t="str">
        <f t="shared" si="32"/>
        <v>Current Employee</v>
      </c>
      <c r="F1078" t="s">
        <v>36</v>
      </c>
      <c r="G1078">
        <v>1089</v>
      </c>
      <c r="H1078" t="s">
        <v>54</v>
      </c>
      <c r="I1078">
        <v>6</v>
      </c>
      <c r="J1078">
        <v>3</v>
      </c>
      <c r="K1078" t="s">
        <v>38</v>
      </c>
      <c r="L1078">
        <v>1</v>
      </c>
      <c r="M1078">
        <v>2</v>
      </c>
      <c r="N1078" t="s">
        <v>39</v>
      </c>
      <c r="O1078">
        <v>32</v>
      </c>
      <c r="P1078">
        <v>3</v>
      </c>
      <c r="Q1078">
        <v>3</v>
      </c>
      <c r="R1078" t="s">
        <v>51</v>
      </c>
      <c r="S1078">
        <v>2</v>
      </c>
      <c r="T1078" t="str" cm="1">
        <f t="array" ref="T1078">_xlfn.IFS(S1078&lt;=2,"Poor",S1078&lt;=3,"Fair",S1078&gt;=4,"Good")</f>
        <v>Poor</v>
      </c>
      <c r="U1078" t="s">
        <v>41</v>
      </c>
      <c r="V1078" s="1">
        <v>8376</v>
      </c>
      <c r="W1078" t="str" cm="1">
        <f t="array" ref="W1078">_xlfn.IFS(V1078&lt;=5000,"Low Salary",V1078&lt;=12000,"Good Salary",V1078&gt;12000,"High Salary")</f>
        <v>Good Salary</v>
      </c>
      <c r="X1078">
        <v>9150</v>
      </c>
      <c r="Y1078">
        <v>4</v>
      </c>
      <c r="Z1078" t="s">
        <v>42</v>
      </c>
      <c r="AA1078" t="s">
        <v>35</v>
      </c>
      <c r="AB1078">
        <v>18</v>
      </c>
      <c r="AC1078">
        <v>3</v>
      </c>
      <c r="AD1078" t="str">
        <f t="shared" si="33"/>
        <v>Low Performance</v>
      </c>
      <c r="AE1078">
        <v>4</v>
      </c>
      <c r="AF1078">
        <v>80</v>
      </c>
      <c r="AG1078">
        <v>0</v>
      </c>
      <c r="AH1078">
        <v>9</v>
      </c>
      <c r="AI1078">
        <v>3</v>
      </c>
      <c r="AJ1078">
        <v>3</v>
      </c>
      <c r="AK1078" t="str" cm="1">
        <f t="array" ref="AK1078">_xlfn.IFS(AJ1078&lt;=2,"Poor",AJ1078&lt;=3,"Fair",AJ1078&gt;3,"Good")</f>
        <v>Fair</v>
      </c>
      <c r="AL1078">
        <v>2</v>
      </c>
      <c r="AM1078">
        <v>0</v>
      </c>
      <c r="AN1078">
        <v>2</v>
      </c>
      <c r="AO1078">
        <v>2</v>
      </c>
    </row>
    <row r="1079" spans="1:41" x14ac:dyDescent="0.2">
      <c r="A1079">
        <v>1791733</v>
      </c>
      <c r="B1079">
        <v>46</v>
      </c>
      <c r="C1079" t="str" cm="1">
        <f t="array" ref="C1079">_xlfn.IFS(B1079&lt;=25,"15-25",B1079&lt;=35,"26-35",B1079&lt;=45,"36-45",B1079&lt;=55,"46-55",B1079&lt;=65,"56-65")</f>
        <v>46-55</v>
      </c>
      <c r="D1079" t="s">
        <v>35</v>
      </c>
      <c r="E1079" t="str">
        <f t="shared" si="32"/>
        <v>Current Employee</v>
      </c>
      <c r="F1079" t="s">
        <v>36</v>
      </c>
      <c r="G1079">
        <v>228</v>
      </c>
      <c r="H1079" t="s">
        <v>37</v>
      </c>
      <c r="I1079">
        <v>3</v>
      </c>
      <c r="J1079">
        <v>3</v>
      </c>
      <c r="K1079" t="s">
        <v>38</v>
      </c>
      <c r="L1079">
        <v>1</v>
      </c>
      <c r="M1079">
        <v>3</v>
      </c>
      <c r="N1079" t="s">
        <v>39</v>
      </c>
      <c r="O1079">
        <v>51</v>
      </c>
      <c r="P1079">
        <v>3</v>
      </c>
      <c r="Q1079">
        <v>4</v>
      </c>
      <c r="R1079" t="s">
        <v>53</v>
      </c>
      <c r="S1079">
        <v>2</v>
      </c>
      <c r="T1079" t="str" cm="1">
        <f t="array" ref="T1079">_xlfn.IFS(S1079&lt;=2,"Poor",S1079&lt;=3,"Fair",S1079&gt;=4,"Good")</f>
        <v>Poor</v>
      </c>
      <c r="U1079" t="s">
        <v>48</v>
      </c>
      <c r="V1079" s="1">
        <v>16606</v>
      </c>
      <c r="W1079" t="str" cm="1">
        <f t="array" ref="W1079">_xlfn.IFS(V1079&lt;=5000,"Low Salary",V1079&lt;=12000,"Good Salary",V1079&gt;12000,"High Salary")</f>
        <v>High Salary</v>
      </c>
      <c r="X1079">
        <v>11380</v>
      </c>
      <c r="Y1079">
        <v>8</v>
      </c>
      <c r="Z1079" t="s">
        <v>42</v>
      </c>
      <c r="AA1079" t="s">
        <v>35</v>
      </c>
      <c r="AB1079">
        <v>12</v>
      </c>
      <c r="AC1079">
        <v>3</v>
      </c>
      <c r="AD1079" t="str">
        <f t="shared" si="33"/>
        <v>Low Performance</v>
      </c>
      <c r="AE1079">
        <v>4</v>
      </c>
      <c r="AF1079">
        <v>80</v>
      </c>
      <c r="AG1079">
        <v>1</v>
      </c>
      <c r="AH1079">
        <v>23</v>
      </c>
      <c r="AI1079">
        <v>2</v>
      </c>
      <c r="AJ1079">
        <v>4</v>
      </c>
      <c r="AK1079" t="str" cm="1">
        <f t="array" ref="AK1079">_xlfn.IFS(AJ1079&lt;=2,"Poor",AJ1079&lt;=3,"Fair",AJ1079&gt;3,"Good")</f>
        <v>Good</v>
      </c>
      <c r="AL1079">
        <v>13</v>
      </c>
      <c r="AM1079">
        <v>12</v>
      </c>
      <c r="AN1079">
        <v>5</v>
      </c>
      <c r="AO1079">
        <v>1</v>
      </c>
    </row>
    <row r="1080" spans="1:41" x14ac:dyDescent="0.2">
      <c r="A1080">
        <v>1445455</v>
      </c>
      <c r="B1080">
        <v>35</v>
      </c>
      <c r="C1080" t="str" cm="1">
        <f t="array" ref="C1080">_xlfn.IFS(B1080&lt;=25,"15-25",B1080&lt;=35,"26-35",B1080&lt;=45,"36-45",B1080&lt;=55,"46-55",B1080&lt;=65,"56-65")</f>
        <v>26-35</v>
      </c>
      <c r="D1080" t="s">
        <v>35</v>
      </c>
      <c r="E1080" t="str">
        <f t="shared" si="32"/>
        <v>Current Employee</v>
      </c>
      <c r="F1080" t="s">
        <v>36</v>
      </c>
      <c r="G1080">
        <v>1029</v>
      </c>
      <c r="H1080" t="s">
        <v>45</v>
      </c>
      <c r="I1080">
        <v>16</v>
      </c>
      <c r="J1080">
        <v>3</v>
      </c>
      <c r="K1080" t="s">
        <v>38</v>
      </c>
      <c r="L1080">
        <v>1</v>
      </c>
      <c r="M1080">
        <v>4</v>
      </c>
      <c r="N1080" t="s">
        <v>39</v>
      </c>
      <c r="O1080">
        <v>91</v>
      </c>
      <c r="P1080">
        <v>2</v>
      </c>
      <c r="Q1080">
        <v>3</v>
      </c>
      <c r="R1080" t="s">
        <v>40</v>
      </c>
      <c r="S1080">
        <v>2</v>
      </c>
      <c r="T1080" t="str" cm="1">
        <f t="array" ref="T1080">_xlfn.IFS(S1080&lt;=2,"Poor",S1080&lt;=3,"Fair",S1080&gt;=4,"Good")</f>
        <v>Poor</v>
      </c>
      <c r="U1080" t="s">
        <v>41</v>
      </c>
      <c r="V1080" s="1">
        <v>8606</v>
      </c>
      <c r="W1080" t="str" cm="1">
        <f t="array" ref="W1080">_xlfn.IFS(V1080&lt;=5000,"Low Salary",V1080&lt;=12000,"Good Salary",V1080&gt;12000,"High Salary")</f>
        <v>Good Salary</v>
      </c>
      <c r="X1080">
        <v>21195</v>
      </c>
      <c r="Y1080">
        <v>1</v>
      </c>
      <c r="Z1080" t="s">
        <v>42</v>
      </c>
      <c r="AA1080" t="s">
        <v>35</v>
      </c>
      <c r="AB1080">
        <v>19</v>
      </c>
      <c r="AC1080">
        <v>3</v>
      </c>
      <c r="AD1080" t="str">
        <f t="shared" si="33"/>
        <v>Low Performance</v>
      </c>
      <c r="AE1080">
        <v>4</v>
      </c>
      <c r="AF1080">
        <v>80</v>
      </c>
      <c r="AG1080">
        <v>0</v>
      </c>
      <c r="AH1080">
        <v>11</v>
      </c>
      <c r="AI1080">
        <v>3</v>
      </c>
      <c r="AJ1080">
        <v>1</v>
      </c>
      <c r="AK1080" t="str" cm="1">
        <f t="array" ref="AK1080">_xlfn.IFS(AJ1080&lt;=2,"Poor",AJ1080&lt;=3,"Fair",AJ1080&gt;3,"Good")</f>
        <v>Poor</v>
      </c>
      <c r="AL1080">
        <v>11</v>
      </c>
      <c r="AM1080">
        <v>8</v>
      </c>
      <c r="AN1080">
        <v>3</v>
      </c>
      <c r="AO1080">
        <v>3</v>
      </c>
    </row>
    <row r="1081" spans="1:41" x14ac:dyDescent="0.2">
      <c r="A1081">
        <v>1225098</v>
      </c>
      <c r="B1081">
        <v>23</v>
      </c>
      <c r="C1081" t="str" cm="1">
        <f t="array" ref="C1081">_xlfn.IFS(B1081&lt;=25,"15-25",B1081&lt;=35,"26-35",B1081&lt;=45,"36-45",B1081&lt;=55,"46-55",B1081&lt;=65,"56-65")</f>
        <v>15-25</v>
      </c>
      <c r="D1081" t="s">
        <v>35</v>
      </c>
      <c r="E1081" t="str">
        <f t="shared" si="32"/>
        <v>Current Employee</v>
      </c>
      <c r="F1081" t="s">
        <v>36</v>
      </c>
      <c r="G1081">
        <v>507</v>
      </c>
      <c r="H1081" t="s">
        <v>45</v>
      </c>
      <c r="I1081">
        <v>20</v>
      </c>
      <c r="J1081">
        <v>1</v>
      </c>
      <c r="K1081" t="s">
        <v>38</v>
      </c>
      <c r="L1081">
        <v>1</v>
      </c>
      <c r="M1081">
        <v>1</v>
      </c>
      <c r="N1081" t="s">
        <v>46</v>
      </c>
      <c r="O1081">
        <v>97</v>
      </c>
      <c r="P1081">
        <v>3</v>
      </c>
      <c r="Q1081">
        <v>2</v>
      </c>
      <c r="R1081" t="s">
        <v>40</v>
      </c>
      <c r="S1081">
        <v>3</v>
      </c>
      <c r="T1081" t="str" cm="1">
        <f t="array" ref="T1081">_xlfn.IFS(S1081&lt;=2,"Poor",S1081&lt;=3,"Fair",S1081&gt;=4,"Good")</f>
        <v>Fair</v>
      </c>
      <c r="U1081" t="s">
        <v>41</v>
      </c>
      <c r="V1081" s="1">
        <v>2272</v>
      </c>
      <c r="W1081" t="str" cm="1">
        <f t="array" ref="W1081">_xlfn.IFS(V1081&lt;=5000,"Low Salary",V1081&lt;=12000,"Good Salary",V1081&gt;12000,"High Salary")</f>
        <v>Low Salary</v>
      </c>
      <c r="X1081">
        <v>24812</v>
      </c>
      <c r="Y1081">
        <v>0</v>
      </c>
      <c r="Z1081" t="s">
        <v>42</v>
      </c>
      <c r="AA1081" t="s">
        <v>35</v>
      </c>
      <c r="AB1081">
        <v>14</v>
      </c>
      <c r="AC1081">
        <v>3</v>
      </c>
      <c r="AD1081" t="str">
        <f t="shared" si="33"/>
        <v>Low Performance</v>
      </c>
      <c r="AE1081">
        <v>2</v>
      </c>
      <c r="AF1081">
        <v>80</v>
      </c>
      <c r="AG1081">
        <v>0</v>
      </c>
      <c r="AH1081">
        <v>5</v>
      </c>
      <c r="AI1081">
        <v>2</v>
      </c>
      <c r="AJ1081">
        <v>3</v>
      </c>
      <c r="AK1081" t="str" cm="1">
        <f t="array" ref="AK1081">_xlfn.IFS(AJ1081&lt;=2,"Poor",AJ1081&lt;=3,"Fair",AJ1081&gt;3,"Good")</f>
        <v>Fair</v>
      </c>
      <c r="AL1081">
        <v>4</v>
      </c>
      <c r="AM1081">
        <v>3</v>
      </c>
      <c r="AN1081">
        <v>1</v>
      </c>
      <c r="AO1081">
        <v>2</v>
      </c>
    </row>
    <row r="1082" spans="1:41" x14ac:dyDescent="0.2">
      <c r="A1082">
        <v>1161882</v>
      </c>
      <c r="B1082">
        <v>40</v>
      </c>
      <c r="C1082" t="str" cm="1">
        <f t="array" ref="C1082">_xlfn.IFS(B1082&lt;=25,"15-25",B1082&lt;=35,"26-35",B1082&lt;=45,"36-45",B1082&lt;=55,"46-55",B1082&lt;=65,"56-65")</f>
        <v>36-45</v>
      </c>
      <c r="D1082" t="s">
        <v>43</v>
      </c>
      <c r="E1082" t="str">
        <f t="shared" si="32"/>
        <v>Former Employee</v>
      </c>
      <c r="F1082" t="s">
        <v>36</v>
      </c>
      <c r="G1082">
        <v>676</v>
      </c>
      <c r="H1082" t="s">
        <v>45</v>
      </c>
      <c r="I1082">
        <v>9</v>
      </c>
      <c r="J1082">
        <v>4</v>
      </c>
      <c r="K1082" t="s">
        <v>38</v>
      </c>
      <c r="L1082">
        <v>1</v>
      </c>
      <c r="M1082">
        <v>4</v>
      </c>
      <c r="N1082" t="s">
        <v>46</v>
      </c>
      <c r="O1082">
        <v>86</v>
      </c>
      <c r="P1082">
        <v>3</v>
      </c>
      <c r="Q1082">
        <v>1</v>
      </c>
      <c r="R1082" t="s">
        <v>40</v>
      </c>
      <c r="S1082">
        <v>1</v>
      </c>
      <c r="T1082" t="str" cm="1">
        <f t="array" ref="T1082">_xlfn.IFS(S1082&lt;=2,"Poor",S1082&lt;=3,"Fair",S1082&gt;=4,"Good")</f>
        <v>Poor</v>
      </c>
      <c r="U1082" t="s">
        <v>41</v>
      </c>
      <c r="V1082" s="1">
        <v>2018</v>
      </c>
      <c r="W1082" t="str" cm="1">
        <f t="array" ref="W1082">_xlfn.IFS(V1082&lt;=5000,"Low Salary",V1082&lt;=12000,"Good Salary",V1082&gt;12000,"High Salary")</f>
        <v>Low Salary</v>
      </c>
      <c r="X1082">
        <v>21831</v>
      </c>
      <c r="Y1082">
        <v>3</v>
      </c>
      <c r="Z1082" t="s">
        <v>42</v>
      </c>
      <c r="AA1082" t="s">
        <v>35</v>
      </c>
      <c r="AB1082">
        <v>14</v>
      </c>
      <c r="AC1082">
        <v>3</v>
      </c>
      <c r="AD1082" t="str">
        <f t="shared" si="33"/>
        <v>Low Performance</v>
      </c>
      <c r="AE1082">
        <v>2</v>
      </c>
      <c r="AF1082">
        <v>80</v>
      </c>
      <c r="AG1082">
        <v>0</v>
      </c>
      <c r="AH1082">
        <v>15</v>
      </c>
      <c r="AI1082">
        <v>3</v>
      </c>
      <c r="AJ1082">
        <v>1</v>
      </c>
      <c r="AK1082" t="str" cm="1">
        <f t="array" ref="AK1082">_xlfn.IFS(AJ1082&lt;=2,"Poor",AJ1082&lt;=3,"Fair",AJ1082&gt;3,"Good")</f>
        <v>Poor</v>
      </c>
      <c r="AL1082">
        <v>5</v>
      </c>
      <c r="AM1082">
        <v>4</v>
      </c>
      <c r="AN1082">
        <v>1</v>
      </c>
      <c r="AO1082">
        <v>0</v>
      </c>
    </row>
    <row r="1083" spans="1:41" x14ac:dyDescent="0.2">
      <c r="A1083">
        <v>1130650</v>
      </c>
      <c r="B1083">
        <v>34</v>
      </c>
      <c r="C1083" t="str" cm="1">
        <f t="array" ref="C1083">_xlfn.IFS(B1083&lt;=25,"15-25",B1083&lt;=35,"26-35",B1083&lt;=45,"36-45",B1083&lt;=55,"46-55",B1083&lt;=65,"56-65")</f>
        <v>26-35</v>
      </c>
      <c r="D1083" t="s">
        <v>35</v>
      </c>
      <c r="E1083" t="str">
        <f t="shared" si="32"/>
        <v>Current Employee</v>
      </c>
      <c r="F1083" t="s">
        <v>36</v>
      </c>
      <c r="G1083">
        <v>971</v>
      </c>
      <c r="H1083" t="s">
        <v>37</v>
      </c>
      <c r="I1083">
        <v>1</v>
      </c>
      <c r="J1083">
        <v>3</v>
      </c>
      <c r="K1083" t="s">
        <v>56</v>
      </c>
      <c r="L1083">
        <v>1</v>
      </c>
      <c r="M1083">
        <v>4</v>
      </c>
      <c r="N1083" t="s">
        <v>46</v>
      </c>
      <c r="O1083">
        <v>64</v>
      </c>
      <c r="P1083">
        <v>2</v>
      </c>
      <c r="Q1083">
        <v>3</v>
      </c>
      <c r="R1083" t="s">
        <v>40</v>
      </c>
      <c r="S1083">
        <v>3</v>
      </c>
      <c r="T1083" t="str" cm="1">
        <f t="array" ref="T1083">_xlfn.IFS(S1083&lt;=2,"Poor",S1083&lt;=3,"Fair",S1083&gt;=4,"Good")</f>
        <v>Fair</v>
      </c>
      <c r="U1083" t="s">
        <v>48</v>
      </c>
      <c r="V1083" s="1">
        <v>7083</v>
      </c>
      <c r="W1083" t="str" cm="1">
        <f t="array" ref="W1083">_xlfn.IFS(V1083&lt;=5000,"Low Salary",V1083&lt;=12000,"Good Salary",V1083&gt;12000,"High Salary")</f>
        <v>Good Salary</v>
      </c>
      <c r="X1083">
        <v>12288</v>
      </c>
      <c r="Y1083">
        <v>1</v>
      </c>
      <c r="Z1083" t="s">
        <v>42</v>
      </c>
      <c r="AA1083" t="s">
        <v>43</v>
      </c>
      <c r="AB1083">
        <v>14</v>
      </c>
      <c r="AC1083">
        <v>3</v>
      </c>
      <c r="AD1083" t="str">
        <f t="shared" si="33"/>
        <v>Low Performance</v>
      </c>
      <c r="AE1083">
        <v>4</v>
      </c>
      <c r="AF1083">
        <v>80</v>
      </c>
      <c r="AG1083">
        <v>0</v>
      </c>
      <c r="AH1083">
        <v>10</v>
      </c>
      <c r="AI1083">
        <v>3</v>
      </c>
      <c r="AJ1083">
        <v>3</v>
      </c>
      <c r="AK1083" t="str" cm="1">
        <f t="array" ref="AK1083">_xlfn.IFS(AJ1083&lt;=2,"Poor",AJ1083&lt;=3,"Fair",AJ1083&gt;3,"Good")</f>
        <v>Fair</v>
      </c>
      <c r="AL1083">
        <v>10</v>
      </c>
      <c r="AM1083">
        <v>9</v>
      </c>
      <c r="AN1083">
        <v>8</v>
      </c>
      <c r="AO1083">
        <v>6</v>
      </c>
    </row>
    <row r="1084" spans="1:41" x14ac:dyDescent="0.2">
      <c r="A1084">
        <v>1827679</v>
      </c>
      <c r="B1084">
        <v>31</v>
      </c>
      <c r="C1084" t="str" cm="1">
        <f t="array" ref="C1084">_xlfn.IFS(B1084&lt;=25,"15-25",B1084&lt;=35,"26-35",B1084&lt;=45,"36-45",B1084&lt;=55,"46-55",B1084&lt;=65,"56-65")</f>
        <v>26-35</v>
      </c>
      <c r="D1084" t="s">
        <v>43</v>
      </c>
      <c r="E1084" t="str">
        <f t="shared" si="32"/>
        <v>Former Employee</v>
      </c>
      <c r="F1084" t="s">
        <v>44</v>
      </c>
      <c r="G1084">
        <v>561</v>
      </c>
      <c r="H1084" t="s">
        <v>45</v>
      </c>
      <c r="I1084">
        <v>3</v>
      </c>
      <c r="J1084">
        <v>3</v>
      </c>
      <c r="K1084" t="s">
        <v>38</v>
      </c>
      <c r="L1084">
        <v>1</v>
      </c>
      <c r="M1084">
        <v>4</v>
      </c>
      <c r="N1084" t="s">
        <v>39</v>
      </c>
      <c r="O1084">
        <v>33</v>
      </c>
      <c r="P1084">
        <v>3</v>
      </c>
      <c r="Q1084">
        <v>1</v>
      </c>
      <c r="R1084" t="s">
        <v>47</v>
      </c>
      <c r="S1084">
        <v>3</v>
      </c>
      <c r="T1084" t="str" cm="1">
        <f t="array" ref="T1084">_xlfn.IFS(S1084&lt;=2,"Poor",S1084&lt;=3,"Fair",S1084&gt;=4,"Good")</f>
        <v>Fair</v>
      </c>
      <c r="U1084" t="s">
        <v>41</v>
      </c>
      <c r="V1084" s="1">
        <v>4084</v>
      </c>
      <c r="W1084" t="str" cm="1">
        <f t="array" ref="W1084">_xlfn.IFS(V1084&lt;=5000,"Low Salary",V1084&lt;=12000,"Good Salary",V1084&gt;12000,"High Salary")</f>
        <v>Low Salary</v>
      </c>
      <c r="X1084">
        <v>4156</v>
      </c>
      <c r="Y1084">
        <v>1</v>
      </c>
      <c r="Z1084" t="s">
        <v>42</v>
      </c>
      <c r="AA1084" t="s">
        <v>35</v>
      </c>
      <c r="AB1084">
        <v>12</v>
      </c>
      <c r="AC1084">
        <v>3</v>
      </c>
      <c r="AD1084" t="str">
        <f t="shared" si="33"/>
        <v>Low Performance</v>
      </c>
      <c r="AE1084">
        <v>1</v>
      </c>
      <c r="AF1084">
        <v>80</v>
      </c>
      <c r="AG1084">
        <v>0</v>
      </c>
      <c r="AH1084">
        <v>7</v>
      </c>
      <c r="AI1084">
        <v>2</v>
      </c>
      <c r="AJ1084">
        <v>1</v>
      </c>
      <c r="AK1084" t="str" cm="1">
        <f t="array" ref="AK1084">_xlfn.IFS(AJ1084&lt;=2,"Poor",AJ1084&lt;=3,"Fair",AJ1084&gt;3,"Good")</f>
        <v>Poor</v>
      </c>
      <c r="AL1084">
        <v>7</v>
      </c>
      <c r="AM1084">
        <v>2</v>
      </c>
      <c r="AN1084">
        <v>7</v>
      </c>
      <c r="AO1084">
        <v>7</v>
      </c>
    </row>
    <row r="1085" spans="1:41" x14ac:dyDescent="0.2">
      <c r="A1085">
        <v>1385384</v>
      </c>
      <c r="B1085">
        <v>50</v>
      </c>
      <c r="C1085" t="str" cm="1">
        <f t="array" ref="C1085">_xlfn.IFS(B1085&lt;=25,"15-25",B1085&lt;=35,"26-35",B1085&lt;=45,"36-45",B1085&lt;=55,"46-55",B1085&lt;=65,"56-65")</f>
        <v>46-55</v>
      </c>
      <c r="D1085" t="s">
        <v>35</v>
      </c>
      <c r="E1085" t="str">
        <f t="shared" si="32"/>
        <v>Current Employee</v>
      </c>
      <c r="F1085" t="s">
        <v>44</v>
      </c>
      <c r="G1085">
        <v>333</v>
      </c>
      <c r="H1085" t="s">
        <v>45</v>
      </c>
      <c r="I1085">
        <v>22</v>
      </c>
      <c r="J1085">
        <v>5</v>
      </c>
      <c r="K1085" t="s">
        <v>49</v>
      </c>
      <c r="L1085">
        <v>1</v>
      </c>
      <c r="M1085">
        <v>3</v>
      </c>
      <c r="N1085" t="s">
        <v>46</v>
      </c>
      <c r="O1085">
        <v>88</v>
      </c>
      <c r="P1085">
        <v>1</v>
      </c>
      <c r="Q1085">
        <v>4</v>
      </c>
      <c r="R1085" t="s">
        <v>53</v>
      </c>
      <c r="S1085">
        <v>4</v>
      </c>
      <c r="T1085" t="str" cm="1">
        <f t="array" ref="T1085">_xlfn.IFS(S1085&lt;=2,"Poor",S1085&lt;=3,"Fair",S1085&gt;=4,"Good")</f>
        <v>Good</v>
      </c>
      <c r="U1085" t="s">
        <v>41</v>
      </c>
      <c r="V1085" s="1">
        <v>14411</v>
      </c>
      <c r="W1085" t="str" cm="1">
        <f t="array" ref="W1085">_xlfn.IFS(V1085&lt;=5000,"Low Salary",V1085&lt;=12000,"Good Salary",V1085&gt;12000,"High Salary")</f>
        <v>High Salary</v>
      </c>
      <c r="X1085">
        <v>24450</v>
      </c>
      <c r="Y1085">
        <v>1</v>
      </c>
      <c r="Z1085" t="s">
        <v>42</v>
      </c>
      <c r="AA1085" t="s">
        <v>43</v>
      </c>
      <c r="AB1085">
        <v>13</v>
      </c>
      <c r="AC1085">
        <v>3</v>
      </c>
      <c r="AD1085" t="str">
        <f t="shared" si="33"/>
        <v>Low Performance</v>
      </c>
      <c r="AE1085">
        <v>4</v>
      </c>
      <c r="AF1085">
        <v>80</v>
      </c>
      <c r="AG1085">
        <v>0</v>
      </c>
      <c r="AH1085">
        <v>32</v>
      </c>
      <c r="AI1085">
        <v>2</v>
      </c>
      <c r="AJ1085">
        <v>3</v>
      </c>
      <c r="AK1085" t="str" cm="1">
        <f t="array" ref="AK1085">_xlfn.IFS(AJ1085&lt;=2,"Poor",AJ1085&lt;=3,"Fair",AJ1085&gt;3,"Good")</f>
        <v>Fair</v>
      </c>
      <c r="AL1085">
        <v>32</v>
      </c>
      <c r="AM1085">
        <v>6</v>
      </c>
      <c r="AN1085">
        <v>13</v>
      </c>
      <c r="AO1085">
        <v>9</v>
      </c>
    </row>
    <row r="1086" spans="1:41" x14ac:dyDescent="0.2">
      <c r="A1086">
        <v>1489531</v>
      </c>
      <c r="B1086">
        <v>34</v>
      </c>
      <c r="C1086" t="str" cm="1">
        <f t="array" ref="C1086">_xlfn.IFS(B1086&lt;=25,"15-25",B1086&lt;=35,"26-35",B1086&lt;=45,"36-45",B1086&lt;=55,"46-55",B1086&lt;=65,"56-65")</f>
        <v>26-35</v>
      </c>
      <c r="D1086" t="s">
        <v>35</v>
      </c>
      <c r="E1086" t="str">
        <f t="shared" si="32"/>
        <v>Current Employee</v>
      </c>
      <c r="F1086" t="s">
        <v>36</v>
      </c>
      <c r="G1086">
        <v>1440</v>
      </c>
      <c r="H1086" t="s">
        <v>37</v>
      </c>
      <c r="I1086">
        <v>7</v>
      </c>
      <c r="J1086">
        <v>2</v>
      </c>
      <c r="K1086" t="s">
        <v>56</v>
      </c>
      <c r="L1086">
        <v>1</v>
      </c>
      <c r="M1086">
        <v>2</v>
      </c>
      <c r="N1086" t="s">
        <v>46</v>
      </c>
      <c r="O1086">
        <v>55</v>
      </c>
      <c r="P1086">
        <v>3</v>
      </c>
      <c r="Q1086">
        <v>1</v>
      </c>
      <c r="R1086" t="s">
        <v>47</v>
      </c>
      <c r="S1086">
        <v>3</v>
      </c>
      <c r="T1086" t="str" cm="1">
        <f t="array" ref="T1086">_xlfn.IFS(S1086&lt;=2,"Poor",S1086&lt;=3,"Fair",S1086&gt;=4,"Good")</f>
        <v>Fair</v>
      </c>
      <c r="U1086" t="s">
        <v>48</v>
      </c>
      <c r="V1086" s="1">
        <v>2308</v>
      </c>
      <c r="W1086" t="str" cm="1">
        <f t="array" ref="W1086">_xlfn.IFS(V1086&lt;=5000,"Low Salary",V1086&lt;=12000,"Good Salary",V1086&gt;12000,"High Salary")</f>
        <v>Low Salary</v>
      </c>
      <c r="X1086">
        <v>4944</v>
      </c>
      <c r="Y1086">
        <v>0</v>
      </c>
      <c r="Z1086" t="s">
        <v>42</v>
      </c>
      <c r="AA1086" t="s">
        <v>43</v>
      </c>
      <c r="AB1086">
        <v>25</v>
      </c>
      <c r="AC1086">
        <v>4</v>
      </c>
      <c r="AD1086" t="str">
        <f t="shared" si="33"/>
        <v>High Performance</v>
      </c>
      <c r="AE1086">
        <v>2</v>
      </c>
      <c r="AF1086">
        <v>80</v>
      </c>
      <c r="AG1086">
        <v>1</v>
      </c>
      <c r="AH1086">
        <v>12</v>
      </c>
      <c r="AI1086">
        <v>4</v>
      </c>
      <c r="AJ1086">
        <v>3</v>
      </c>
      <c r="AK1086" t="str" cm="1">
        <f t="array" ref="AK1086">_xlfn.IFS(AJ1086&lt;=2,"Poor",AJ1086&lt;=3,"Fair",AJ1086&gt;3,"Good")</f>
        <v>Fair</v>
      </c>
      <c r="AL1086">
        <v>11</v>
      </c>
      <c r="AM1086">
        <v>10</v>
      </c>
      <c r="AN1086">
        <v>5</v>
      </c>
      <c r="AO1086">
        <v>7</v>
      </c>
    </row>
    <row r="1087" spans="1:41" x14ac:dyDescent="0.2">
      <c r="A1087">
        <v>1879823</v>
      </c>
      <c r="B1087">
        <v>42</v>
      </c>
      <c r="C1087" t="str" cm="1">
        <f t="array" ref="C1087">_xlfn.IFS(B1087&lt;=25,"15-25",B1087&lt;=35,"26-35",B1087&lt;=45,"36-45",B1087&lt;=55,"46-55",B1087&lt;=65,"56-65")</f>
        <v>36-45</v>
      </c>
      <c r="D1087" t="s">
        <v>35</v>
      </c>
      <c r="E1087" t="str">
        <f t="shared" si="32"/>
        <v>Current Employee</v>
      </c>
      <c r="F1087" t="s">
        <v>36</v>
      </c>
      <c r="G1087">
        <v>1210</v>
      </c>
      <c r="H1087" t="s">
        <v>45</v>
      </c>
      <c r="I1087">
        <v>2</v>
      </c>
      <c r="J1087">
        <v>3</v>
      </c>
      <c r="K1087" t="s">
        <v>49</v>
      </c>
      <c r="L1087">
        <v>1</v>
      </c>
      <c r="M1087">
        <v>3</v>
      </c>
      <c r="N1087" t="s">
        <v>46</v>
      </c>
      <c r="O1087">
        <v>68</v>
      </c>
      <c r="P1087">
        <v>2</v>
      </c>
      <c r="Q1087">
        <v>1</v>
      </c>
      <c r="R1087" t="s">
        <v>40</v>
      </c>
      <c r="S1087">
        <v>2</v>
      </c>
      <c r="T1087" t="str" cm="1">
        <f t="array" ref="T1087">_xlfn.IFS(S1087&lt;=2,"Poor",S1087&lt;=3,"Fair",S1087&gt;=4,"Good")</f>
        <v>Poor</v>
      </c>
      <c r="U1087" t="s">
        <v>48</v>
      </c>
      <c r="V1087" s="1">
        <v>4841</v>
      </c>
      <c r="W1087" t="str" cm="1">
        <f t="array" ref="W1087">_xlfn.IFS(V1087&lt;=5000,"Low Salary",V1087&lt;=12000,"Good Salary",V1087&gt;12000,"High Salary")</f>
        <v>Low Salary</v>
      </c>
      <c r="X1087">
        <v>24052</v>
      </c>
      <c r="Y1087">
        <v>4</v>
      </c>
      <c r="Z1087" t="s">
        <v>42</v>
      </c>
      <c r="AA1087" t="s">
        <v>35</v>
      </c>
      <c r="AB1087">
        <v>14</v>
      </c>
      <c r="AC1087">
        <v>3</v>
      </c>
      <c r="AD1087" t="str">
        <f t="shared" si="33"/>
        <v>Low Performance</v>
      </c>
      <c r="AE1087">
        <v>2</v>
      </c>
      <c r="AF1087">
        <v>80</v>
      </c>
      <c r="AG1087">
        <v>1</v>
      </c>
      <c r="AH1087">
        <v>4</v>
      </c>
      <c r="AI1087">
        <v>3</v>
      </c>
      <c r="AJ1087">
        <v>3</v>
      </c>
      <c r="AK1087" t="str" cm="1">
        <f t="array" ref="AK1087">_xlfn.IFS(AJ1087&lt;=2,"Poor",AJ1087&lt;=3,"Fair",AJ1087&gt;3,"Good")</f>
        <v>Fair</v>
      </c>
      <c r="AL1087">
        <v>1</v>
      </c>
      <c r="AM1087">
        <v>0</v>
      </c>
      <c r="AN1087">
        <v>0</v>
      </c>
      <c r="AO1087">
        <v>0</v>
      </c>
    </row>
    <row r="1088" spans="1:41" x14ac:dyDescent="0.2">
      <c r="A1088">
        <v>1072437</v>
      </c>
      <c r="B1088">
        <v>37</v>
      </c>
      <c r="C1088" t="str" cm="1">
        <f t="array" ref="C1088">_xlfn.IFS(B1088&lt;=25,"15-25",B1088&lt;=35,"26-35",B1088&lt;=45,"36-45",B1088&lt;=55,"46-55",B1088&lt;=65,"56-65")</f>
        <v>36-45</v>
      </c>
      <c r="D1088" t="s">
        <v>35</v>
      </c>
      <c r="E1088" t="str">
        <f t="shared" si="32"/>
        <v>Current Employee</v>
      </c>
      <c r="F1088" t="s">
        <v>36</v>
      </c>
      <c r="G1088">
        <v>674</v>
      </c>
      <c r="H1088" t="s">
        <v>45</v>
      </c>
      <c r="I1088">
        <v>13</v>
      </c>
      <c r="J1088">
        <v>3</v>
      </c>
      <c r="K1088" t="s">
        <v>49</v>
      </c>
      <c r="L1088">
        <v>1</v>
      </c>
      <c r="M1088">
        <v>1</v>
      </c>
      <c r="N1088" t="s">
        <v>46</v>
      </c>
      <c r="O1088">
        <v>47</v>
      </c>
      <c r="P1088">
        <v>3</v>
      </c>
      <c r="Q1088">
        <v>2</v>
      </c>
      <c r="R1088" t="s">
        <v>47</v>
      </c>
      <c r="S1088">
        <v>4</v>
      </c>
      <c r="T1088" t="str" cm="1">
        <f t="array" ref="T1088">_xlfn.IFS(S1088&lt;=2,"Poor",S1088&lt;=3,"Fair",S1088&gt;=4,"Good")</f>
        <v>Good</v>
      </c>
      <c r="U1088" t="s">
        <v>48</v>
      </c>
      <c r="V1088" s="1">
        <v>4285</v>
      </c>
      <c r="W1088" t="str" cm="1">
        <f t="array" ref="W1088">_xlfn.IFS(V1088&lt;=5000,"Low Salary",V1088&lt;=12000,"Good Salary",V1088&gt;12000,"High Salary")</f>
        <v>Low Salary</v>
      </c>
      <c r="X1088">
        <v>3031</v>
      </c>
      <c r="Y1088">
        <v>1</v>
      </c>
      <c r="Z1088" t="s">
        <v>42</v>
      </c>
      <c r="AA1088" t="s">
        <v>35</v>
      </c>
      <c r="AB1088">
        <v>17</v>
      </c>
      <c r="AC1088">
        <v>3</v>
      </c>
      <c r="AD1088" t="str">
        <f t="shared" si="33"/>
        <v>Low Performance</v>
      </c>
      <c r="AE1088">
        <v>1</v>
      </c>
      <c r="AF1088">
        <v>80</v>
      </c>
      <c r="AG1088">
        <v>0</v>
      </c>
      <c r="AH1088">
        <v>10</v>
      </c>
      <c r="AI1088">
        <v>2</v>
      </c>
      <c r="AJ1088">
        <v>3</v>
      </c>
      <c r="AK1088" t="str" cm="1">
        <f t="array" ref="AK1088">_xlfn.IFS(AJ1088&lt;=2,"Poor",AJ1088&lt;=3,"Fair",AJ1088&gt;3,"Good")</f>
        <v>Fair</v>
      </c>
      <c r="AL1088">
        <v>10</v>
      </c>
      <c r="AM1088">
        <v>8</v>
      </c>
      <c r="AN1088">
        <v>3</v>
      </c>
      <c r="AO1088">
        <v>7</v>
      </c>
    </row>
    <row r="1089" spans="1:41" x14ac:dyDescent="0.2">
      <c r="A1089">
        <v>1685917</v>
      </c>
      <c r="B1089">
        <v>29</v>
      </c>
      <c r="C1089" t="str" cm="1">
        <f t="array" ref="C1089">_xlfn.IFS(B1089&lt;=25,"15-25",B1089&lt;=35,"26-35",B1089&lt;=45,"36-45",B1089&lt;=55,"46-55",B1089&lt;=65,"56-65")</f>
        <v>26-35</v>
      </c>
      <c r="D1089" t="s">
        <v>35</v>
      </c>
      <c r="E1089" t="str">
        <f t="shared" si="32"/>
        <v>Current Employee</v>
      </c>
      <c r="F1089" t="s">
        <v>36</v>
      </c>
      <c r="G1089">
        <v>441</v>
      </c>
      <c r="H1089" t="s">
        <v>45</v>
      </c>
      <c r="I1089">
        <v>8</v>
      </c>
      <c r="J1089">
        <v>1</v>
      </c>
      <c r="K1089" t="s">
        <v>47</v>
      </c>
      <c r="L1089">
        <v>1</v>
      </c>
      <c r="M1089">
        <v>3</v>
      </c>
      <c r="N1089" t="s">
        <v>39</v>
      </c>
      <c r="O1089">
        <v>39</v>
      </c>
      <c r="P1089">
        <v>1</v>
      </c>
      <c r="Q1089">
        <v>2</v>
      </c>
      <c r="R1089" t="s">
        <v>40</v>
      </c>
      <c r="S1089">
        <v>1</v>
      </c>
      <c r="T1089" t="str" cm="1">
        <f t="array" ref="T1089">_xlfn.IFS(S1089&lt;=2,"Poor",S1089&lt;=3,"Fair",S1089&gt;=4,"Good")</f>
        <v>Poor</v>
      </c>
      <c r="U1089" t="s">
        <v>48</v>
      </c>
      <c r="V1089" s="1">
        <v>9715</v>
      </c>
      <c r="W1089" t="str" cm="1">
        <f t="array" ref="W1089">_xlfn.IFS(V1089&lt;=5000,"Low Salary",V1089&lt;=12000,"Good Salary",V1089&gt;12000,"High Salary")</f>
        <v>Good Salary</v>
      </c>
      <c r="X1089">
        <v>7288</v>
      </c>
      <c r="Y1089">
        <v>3</v>
      </c>
      <c r="Z1089" t="s">
        <v>42</v>
      </c>
      <c r="AA1089" t="s">
        <v>35</v>
      </c>
      <c r="AB1089">
        <v>13</v>
      </c>
      <c r="AC1089">
        <v>3</v>
      </c>
      <c r="AD1089" t="str">
        <f t="shared" si="33"/>
        <v>Low Performance</v>
      </c>
      <c r="AE1089">
        <v>3</v>
      </c>
      <c r="AF1089">
        <v>80</v>
      </c>
      <c r="AG1089">
        <v>1</v>
      </c>
      <c r="AH1089">
        <v>9</v>
      </c>
      <c r="AI1089">
        <v>3</v>
      </c>
      <c r="AJ1089">
        <v>3</v>
      </c>
      <c r="AK1089" t="str" cm="1">
        <f t="array" ref="AK1089">_xlfn.IFS(AJ1089&lt;=2,"Poor",AJ1089&lt;=3,"Fair",AJ1089&gt;3,"Good")</f>
        <v>Fair</v>
      </c>
      <c r="AL1089">
        <v>7</v>
      </c>
      <c r="AM1089">
        <v>7</v>
      </c>
      <c r="AN1089">
        <v>0</v>
      </c>
      <c r="AO1089">
        <v>7</v>
      </c>
    </row>
    <row r="1090" spans="1:41" x14ac:dyDescent="0.2">
      <c r="A1090">
        <v>1144941</v>
      </c>
      <c r="B1090">
        <v>33</v>
      </c>
      <c r="C1090" t="str" cm="1">
        <f t="array" ref="C1090">_xlfn.IFS(B1090&lt;=25,"15-25",B1090&lt;=35,"26-35",B1090&lt;=45,"36-45",B1090&lt;=55,"46-55",B1090&lt;=65,"56-65")</f>
        <v>26-35</v>
      </c>
      <c r="D1090" t="s">
        <v>35</v>
      </c>
      <c r="E1090" t="str">
        <f t="shared" si="32"/>
        <v>Current Employee</v>
      </c>
      <c r="F1090" t="s">
        <v>36</v>
      </c>
      <c r="G1090">
        <v>575</v>
      </c>
      <c r="H1090" t="s">
        <v>45</v>
      </c>
      <c r="I1090">
        <v>25</v>
      </c>
      <c r="J1090">
        <v>3</v>
      </c>
      <c r="K1090" t="s">
        <v>38</v>
      </c>
      <c r="L1090">
        <v>1</v>
      </c>
      <c r="M1090">
        <v>4</v>
      </c>
      <c r="N1090" t="s">
        <v>46</v>
      </c>
      <c r="O1090">
        <v>44</v>
      </c>
      <c r="P1090">
        <v>2</v>
      </c>
      <c r="Q1090">
        <v>2</v>
      </c>
      <c r="R1090" t="s">
        <v>51</v>
      </c>
      <c r="S1090">
        <v>2</v>
      </c>
      <c r="T1090" t="str" cm="1">
        <f t="array" ref="T1090">_xlfn.IFS(S1090&lt;=2,"Poor",S1090&lt;=3,"Fair",S1090&gt;=4,"Good")</f>
        <v>Poor</v>
      </c>
      <c r="U1090" t="s">
        <v>41</v>
      </c>
      <c r="V1090" s="1">
        <v>4320</v>
      </c>
      <c r="W1090" t="str" cm="1">
        <f t="array" ref="W1090">_xlfn.IFS(V1090&lt;=5000,"Low Salary",V1090&lt;=12000,"Good Salary",V1090&gt;12000,"High Salary")</f>
        <v>Low Salary</v>
      </c>
      <c r="X1090">
        <v>24152</v>
      </c>
      <c r="Y1090">
        <v>1</v>
      </c>
      <c r="Z1090" t="s">
        <v>42</v>
      </c>
      <c r="AA1090" t="s">
        <v>35</v>
      </c>
      <c r="AB1090">
        <v>13</v>
      </c>
      <c r="AC1090">
        <v>3</v>
      </c>
      <c r="AD1090" t="str">
        <f t="shared" si="33"/>
        <v>Low Performance</v>
      </c>
      <c r="AE1090">
        <v>4</v>
      </c>
      <c r="AF1090">
        <v>80</v>
      </c>
      <c r="AG1090">
        <v>0</v>
      </c>
      <c r="AH1090">
        <v>5</v>
      </c>
      <c r="AI1090">
        <v>2</v>
      </c>
      <c r="AJ1090">
        <v>3</v>
      </c>
      <c r="AK1090" t="str" cm="1">
        <f t="array" ref="AK1090">_xlfn.IFS(AJ1090&lt;=2,"Poor",AJ1090&lt;=3,"Fair",AJ1090&gt;3,"Good")</f>
        <v>Fair</v>
      </c>
      <c r="AL1090">
        <v>5</v>
      </c>
      <c r="AM1090">
        <v>3</v>
      </c>
      <c r="AN1090">
        <v>0</v>
      </c>
      <c r="AO1090">
        <v>2</v>
      </c>
    </row>
    <row r="1091" spans="1:41" x14ac:dyDescent="0.2">
      <c r="A1091">
        <v>1520707</v>
      </c>
      <c r="B1091">
        <v>45</v>
      </c>
      <c r="C1091" t="str" cm="1">
        <f t="array" ref="C1091">_xlfn.IFS(B1091&lt;=25,"15-25",B1091&lt;=35,"26-35",B1091&lt;=45,"36-45",B1091&lt;=55,"46-55",B1091&lt;=65,"56-65")</f>
        <v>36-45</v>
      </c>
      <c r="D1091" t="s">
        <v>35</v>
      </c>
      <c r="E1091" t="str">
        <f t="shared" ref="E1091:E1154" si="34">IF(D1091="No","Current Employee","Former Employee")</f>
        <v>Current Employee</v>
      </c>
      <c r="F1091" t="s">
        <v>36</v>
      </c>
      <c r="G1091">
        <v>950</v>
      </c>
      <c r="H1091" t="s">
        <v>45</v>
      </c>
      <c r="I1091">
        <v>28</v>
      </c>
      <c r="J1091">
        <v>3</v>
      </c>
      <c r="K1091" t="s">
        <v>56</v>
      </c>
      <c r="L1091">
        <v>1</v>
      </c>
      <c r="M1091">
        <v>4</v>
      </c>
      <c r="N1091" t="s">
        <v>46</v>
      </c>
      <c r="O1091">
        <v>97</v>
      </c>
      <c r="P1091">
        <v>3</v>
      </c>
      <c r="Q1091">
        <v>1</v>
      </c>
      <c r="R1091" t="s">
        <v>47</v>
      </c>
      <c r="S1091">
        <v>4</v>
      </c>
      <c r="T1091" t="str" cm="1">
        <f t="array" ref="T1091">_xlfn.IFS(S1091&lt;=2,"Poor",S1091&lt;=3,"Fair",S1091&gt;=4,"Good")</f>
        <v>Good</v>
      </c>
      <c r="U1091" t="s">
        <v>48</v>
      </c>
      <c r="V1091" s="1">
        <v>2132</v>
      </c>
      <c r="W1091" t="str" cm="1">
        <f t="array" ref="W1091">_xlfn.IFS(V1091&lt;=5000,"Low Salary",V1091&lt;=12000,"Good Salary",V1091&gt;12000,"High Salary")</f>
        <v>Low Salary</v>
      </c>
      <c r="X1091">
        <v>4585</v>
      </c>
      <c r="Y1091">
        <v>4</v>
      </c>
      <c r="Z1091" t="s">
        <v>42</v>
      </c>
      <c r="AA1091" t="s">
        <v>35</v>
      </c>
      <c r="AB1091">
        <v>20</v>
      </c>
      <c r="AC1091">
        <v>4</v>
      </c>
      <c r="AD1091" t="str">
        <f t="shared" ref="AD1091:AD1154" si="35">IF(AC1091&lt;=3,"Low Performance","High Performance")</f>
        <v>High Performance</v>
      </c>
      <c r="AE1091">
        <v>4</v>
      </c>
      <c r="AF1091">
        <v>80</v>
      </c>
      <c r="AG1091">
        <v>1</v>
      </c>
      <c r="AH1091">
        <v>8</v>
      </c>
      <c r="AI1091">
        <v>3</v>
      </c>
      <c r="AJ1091">
        <v>3</v>
      </c>
      <c r="AK1091" t="str" cm="1">
        <f t="array" ref="AK1091">_xlfn.IFS(AJ1091&lt;=2,"Poor",AJ1091&lt;=3,"Fair",AJ1091&gt;3,"Good")</f>
        <v>Fair</v>
      </c>
      <c r="AL1091">
        <v>5</v>
      </c>
      <c r="AM1091">
        <v>4</v>
      </c>
      <c r="AN1091">
        <v>0</v>
      </c>
      <c r="AO1091">
        <v>3</v>
      </c>
    </row>
    <row r="1092" spans="1:41" x14ac:dyDescent="0.2">
      <c r="A1092">
        <v>1655596</v>
      </c>
      <c r="B1092">
        <v>42</v>
      </c>
      <c r="C1092" t="str" cm="1">
        <f t="array" ref="C1092">_xlfn.IFS(B1092&lt;=25,"15-25",B1092&lt;=35,"26-35",B1092&lt;=45,"36-45",B1092&lt;=55,"46-55",B1092&lt;=65,"56-65")</f>
        <v>36-45</v>
      </c>
      <c r="D1092" t="s">
        <v>35</v>
      </c>
      <c r="E1092" t="str">
        <f t="shared" si="34"/>
        <v>Current Employee</v>
      </c>
      <c r="F1092" t="s">
        <v>44</v>
      </c>
      <c r="G1092">
        <v>288</v>
      </c>
      <c r="H1092" t="s">
        <v>45</v>
      </c>
      <c r="I1092">
        <v>2</v>
      </c>
      <c r="J1092">
        <v>3</v>
      </c>
      <c r="K1092" t="s">
        <v>38</v>
      </c>
      <c r="L1092">
        <v>1</v>
      </c>
      <c r="M1092">
        <v>4</v>
      </c>
      <c r="N1092" t="s">
        <v>46</v>
      </c>
      <c r="O1092">
        <v>40</v>
      </c>
      <c r="P1092">
        <v>3</v>
      </c>
      <c r="Q1092">
        <v>3</v>
      </c>
      <c r="R1092" t="s">
        <v>40</v>
      </c>
      <c r="S1092">
        <v>4</v>
      </c>
      <c r="T1092" t="str" cm="1">
        <f t="array" ref="T1092">_xlfn.IFS(S1092&lt;=2,"Poor",S1092&lt;=3,"Fair",S1092&gt;=4,"Good")</f>
        <v>Good</v>
      </c>
      <c r="U1092" t="s">
        <v>48</v>
      </c>
      <c r="V1092" s="1">
        <v>10124</v>
      </c>
      <c r="W1092" t="str" cm="1">
        <f t="array" ref="W1092">_xlfn.IFS(V1092&lt;=5000,"Low Salary",V1092&lt;=12000,"Good Salary",V1092&gt;12000,"High Salary")</f>
        <v>Good Salary</v>
      </c>
      <c r="X1092">
        <v>18611</v>
      </c>
      <c r="Y1092">
        <v>2</v>
      </c>
      <c r="Z1092" t="s">
        <v>42</v>
      </c>
      <c r="AA1092" t="s">
        <v>43</v>
      </c>
      <c r="AB1092">
        <v>14</v>
      </c>
      <c r="AC1092">
        <v>3</v>
      </c>
      <c r="AD1092" t="str">
        <f t="shared" si="35"/>
        <v>Low Performance</v>
      </c>
      <c r="AE1092">
        <v>3</v>
      </c>
      <c r="AF1092">
        <v>80</v>
      </c>
      <c r="AG1092">
        <v>1</v>
      </c>
      <c r="AH1092">
        <v>24</v>
      </c>
      <c r="AI1092">
        <v>3</v>
      </c>
      <c r="AJ1092">
        <v>1</v>
      </c>
      <c r="AK1092" t="str" cm="1">
        <f t="array" ref="AK1092">_xlfn.IFS(AJ1092&lt;=2,"Poor",AJ1092&lt;=3,"Fair",AJ1092&gt;3,"Good")</f>
        <v>Poor</v>
      </c>
      <c r="AL1092">
        <v>20</v>
      </c>
      <c r="AM1092">
        <v>8</v>
      </c>
      <c r="AN1092">
        <v>13</v>
      </c>
      <c r="AO1092">
        <v>9</v>
      </c>
    </row>
    <row r="1093" spans="1:41" x14ac:dyDescent="0.2">
      <c r="A1093">
        <v>1582511</v>
      </c>
      <c r="B1093">
        <v>40</v>
      </c>
      <c r="C1093" t="str" cm="1">
        <f t="array" ref="C1093">_xlfn.IFS(B1093&lt;=25,"15-25",B1093&lt;=35,"26-35",B1093&lt;=45,"36-45",B1093&lt;=55,"46-55",B1093&lt;=65,"56-65")</f>
        <v>36-45</v>
      </c>
      <c r="D1093" t="s">
        <v>35</v>
      </c>
      <c r="E1093" t="str">
        <f t="shared" si="34"/>
        <v>Current Employee</v>
      </c>
      <c r="F1093" t="s">
        <v>36</v>
      </c>
      <c r="G1093">
        <v>1342</v>
      </c>
      <c r="H1093" t="s">
        <v>37</v>
      </c>
      <c r="I1093">
        <v>9</v>
      </c>
      <c r="J1093">
        <v>2</v>
      </c>
      <c r="K1093" t="s">
        <v>49</v>
      </c>
      <c r="L1093">
        <v>1</v>
      </c>
      <c r="M1093">
        <v>1</v>
      </c>
      <c r="N1093" t="s">
        <v>46</v>
      </c>
      <c r="O1093">
        <v>47</v>
      </c>
      <c r="P1093">
        <v>3</v>
      </c>
      <c r="Q1093">
        <v>2</v>
      </c>
      <c r="R1093" t="s">
        <v>40</v>
      </c>
      <c r="S1093">
        <v>1</v>
      </c>
      <c r="T1093" t="str" cm="1">
        <f t="array" ref="T1093">_xlfn.IFS(S1093&lt;=2,"Poor",S1093&lt;=3,"Fair",S1093&gt;=4,"Good")</f>
        <v>Poor</v>
      </c>
      <c r="U1093" t="s">
        <v>48</v>
      </c>
      <c r="V1093" s="1">
        <v>5473</v>
      </c>
      <c r="W1093" t="str" cm="1">
        <f t="array" ref="W1093">_xlfn.IFS(V1093&lt;=5000,"Low Salary",V1093&lt;=12000,"Good Salary",V1093&gt;12000,"High Salary")</f>
        <v>Good Salary</v>
      </c>
      <c r="X1093">
        <v>19345</v>
      </c>
      <c r="Y1093">
        <v>0</v>
      </c>
      <c r="Z1093" t="s">
        <v>42</v>
      </c>
      <c r="AA1093" t="s">
        <v>35</v>
      </c>
      <c r="AB1093">
        <v>12</v>
      </c>
      <c r="AC1093">
        <v>3</v>
      </c>
      <c r="AD1093" t="str">
        <f t="shared" si="35"/>
        <v>Low Performance</v>
      </c>
      <c r="AE1093">
        <v>4</v>
      </c>
      <c r="AF1093">
        <v>80</v>
      </c>
      <c r="AG1093">
        <v>0</v>
      </c>
      <c r="AH1093">
        <v>9</v>
      </c>
      <c r="AI1093">
        <v>5</v>
      </c>
      <c r="AJ1093">
        <v>4</v>
      </c>
      <c r="AK1093" t="str" cm="1">
        <f t="array" ref="AK1093">_xlfn.IFS(AJ1093&lt;=2,"Poor",AJ1093&lt;=3,"Fair",AJ1093&gt;3,"Good")</f>
        <v>Good</v>
      </c>
      <c r="AL1093">
        <v>8</v>
      </c>
      <c r="AM1093">
        <v>4</v>
      </c>
      <c r="AN1093">
        <v>7</v>
      </c>
      <c r="AO1093">
        <v>1</v>
      </c>
    </row>
    <row r="1094" spans="1:41" x14ac:dyDescent="0.2">
      <c r="A1094">
        <v>1040101</v>
      </c>
      <c r="B1094">
        <v>33</v>
      </c>
      <c r="C1094" t="str" cm="1">
        <f t="array" ref="C1094">_xlfn.IFS(B1094&lt;=25,"15-25",B1094&lt;=35,"26-35",B1094&lt;=45,"36-45",B1094&lt;=55,"46-55",B1094&lt;=65,"56-65")</f>
        <v>26-35</v>
      </c>
      <c r="D1094" t="s">
        <v>35</v>
      </c>
      <c r="E1094" t="str">
        <f t="shared" si="34"/>
        <v>Current Employee</v>
      </c>
      <c r="F1094" t="s">
        <v>36</v>
      </c>
      <c r="G1094">
        <v>589</v>
      </c>
      <c r="H1094" t="s">
        <v>45</v>
      </c>
      <c r="I1094">
        <v>28</v>
      </c>
      <c r="J1094">
        <v>4</v>
      </c>
      <c r="K1094" t="s">
        <v>38</v>
      </c>
      <c r="L1094">
        <v>1</v>
      </c>
      <c r="M1094">
        <v>2</v>
      </c>
      <c r="N1094" t="s">
        <v>46</v>
      </c>
      <c r="O1094">
        <v>79</v>
      </c>
      <c r="P1094">
        <v>3</v>
      </c>
      <c r="Q1094">
        <v>2</v>
      </c>
      <c r="R1094" t="s">
        <v>40</v>
      </c>
      <c r="S1094">
        <v>3</v>
      </c>
      <c r="T1094" t="str" cm="1">
        <f t="array" ref="T1094">_xlfn.IFS(S1094&lt;=2,"Poor",S1094&lt;=3,"Fair",S1094&gt;=4,"Good")</f>
        <v>Fair</v>
      </c>
      <c r="U1094" t="s">
        <v>48</v>
      </c>
      <c r="V1094" s="1">
        <v>5207</v>
      </c>
      <c r="W1094" t="str" cm="1">
        <f t="array" ref="W1094">_xlfn.IFS(V1094&lt;=5000,"Low Salary",V1094&lt;=12000,"Good Salary",V1094&gt;12000,"High Salary")</f>
        <v>Good Salary</v>
      </c>
      <c r="X1094">
        <v>22949</v>
      </c>
      <c r="Y1094">
        <v>1</v>
      </c>
      <c r="Z1094" t="s">
        <v>42</v>
      </c>
      <c r="AA1094" t="s">
        <v>43</v>
      </c>
      <c r="AB1094">
        <v>12</v>
      </c>
      <c r="AC1094">
        <v>3</v>
      </c>
      <c r="AD1094" t="str">
        <f t="shared" si="35"/>
        <v>Low Performance</v>
      </c>
      <c r="AE1094">
        <v>2</v>
      </c>
      <c r="AF1094">
        <v>80</v>
      </c>
      <c r="AG1094">
        <v>1</v>
      </c>
      <c r="AH1094">
        <v>15</v>
      </c>
      <c r="AI1094">
        <v>3</v>
      </c>
      <c r="AJ1094">
        <v>3</v>
      </c>
      <c r="AK1094" t="str" cm="1">
        <f t="array" ref="AK1094">_xlfn.IFS(AJ1094&lt;=2,"Poor",AJ1094&lt;=3,"Fair",AJ1094&gt;3,"Good")</f>
        <v>Fair</v>
      </c>
      <c r="AL1094">
        <v>15</v>
      </c>
      <c r="AM1094">
        <v>14</v>
      </c>
      <c r="AN1094">
        <v>5</v>
      </c>
      <c r="AO1094">
        <v>7</v>
      </c>
    </row>
    <row r="1095" spans="1:41" x14ac:dyDescent="0.2">
      <c r="A1095">
        <v>1795482</v>
      </c>
      <c r="B1095">
        <v>40</v>
      </c>
      <c r="C1095" t="str" cm="1">
        <f t="array" ref="C1095">_xlfn.IFS(B1095&lt;=25,"15-25",B1095&lt;=35,"26-35",B1095&lt;=45,"36-45",B1095&lt;=55,"46-55",B1095&lt;=65,"56-65")</f>
        <v>36-45</v>
      </c>
      <c r="D1095" t="s">
        <v>35</v>
      </c>
      <c r="E1095" t="str">
        <f t="shared" si="34"/>
        <v>Current Employee</v>
      </c>
      <c r="F1095" t="s">
        <v>36</v>
      </c>
      <c r="G1095">
        <v>898</v>
      </c>
      <c r="H1095" t="s">
        <v>54</v>
      </c>
      <c r="I1095">
        <v>6</v>
      </c>
      <c r="J1095">
        <v>2</v>
      </c>
      <c r="K1095" t="s">
        <v>49</v>
      </c>
      <c r="L1095">
        <v>1</v>
      </c>
      <c r="M1095">
        <v>3</v>
      </c>
      <c r="N1095" t="s">
        <v>46</v>
      </c>
      <c r="O1095">
        <v>38</v>
      </c>
      <c r="P1095">
        <v>3</v>
      </c>
      <c r="Q1095">
        <v>4</v>
      </c>
      <c r="R1095" t="s">
        <v>53</v>
      </c>
      <c r="S1095">
        <v>4</v>
      </c>
      <c r="T1095" t="str" cm="1">
        <f t="array" ref="T1095">_xlfn.IFS(S1095&lt;=2,"Poor",S1095&lt;=3,"Fair",S1095&gt;=4,"Good")</f>
        <v>Good</v>
      </c>
      <c r="U1095" t="s">
        <v>41</v>
      </c>
      <c r="V1095" s="1">
        <v>16437</v>
      </c>
      <c r="W1095" t="str" cm="1">
        <f t="array" ref="W1095">_xlfn.IFS(V1095&lt;=5000,"Low Salary",V1095&lt;=12000,"Good Salary",V1095&gt;12000,"High Salary")</f>
        <v>High Salary</v>
      </c>
      <c r="X1095">
        <v>17381</v>
      </c>
      <c r="Y1095">
        <v>1</v>
      </c>
      <c r="Z1095" t="s">
        <v>42</v>
      </c>
      <c r="AA1095" t="s">
        <v>43</v>
      </c>
      <c r="AB1095">
        <v>21</v>
      </c>
      <c r="AC1095">
        <v>4</v>
      </c>
      <c r="AD1095" t="str">
        <f t="shared" si="35"/>
        <v>High Performance</v>
      </c>
      <c r="AE1095">
        <v>4</v>
      </c>
      <c r="AF1095">
        <v>80</v>
      </c>
      <c r="AG1095">
        <v>0</v>
      </c>
      <c r="AH1095">
        <v>21</v>
      </c>
      <c r="AI1095">
        <v>2</v>
      </c>
      <c r="AJ1095">
        <v>3</v>
      </c>
      <c r="AK1095" t="str" cm="1">
        <f t="array" ref="AK1095">_xlfn.IFS(AJ1095&lt;=2,"Poor",AJ1095&lt;=3,"Fair",AJ1095&gt;3,"Good")</f>
        <v>Fair</v>
      </c>
      <c r="AL1095">
        <v>21</v>
      </c>
      <c r="AM1095">
        <v>7</v>
      </c>
      <c r="AN1095">
        <v>7</v>
      </c>
      <c r="AO1095">
        <v>7</v>
      </c>
    </row>
    <row r="1096" spans="1:41" x14ac:dyDescent="0.2">
      <c r="A1096">
        <v>1487869</v>
      </c>
      <c r="B1096">
        <v>24</v>
      </c>
      <c r="C1096" t="str" cm="1">
        <f t="array" ref="C1096">_xlfn.IFS(B1096&lt;=25,"15-25",B1096&lt;=35,"26-35",B1096&lt;=45,"36-45",B1096&lt;=55,"46-55",B1096&lt;=65,"56-65")</f>
        <v>15-25</v>
      </c>
      <c r="D1096" t="s">
        <v>35</v>
      </c>
      <c r="E1096" t="str">
        <f t="shared" si="34"/>
        <v>Current Employee</v>
      </c>
      <c r="F1096" t="s">
        <v>36</v>
      </c>
      <c r="G1096">
        <v>350</v>
      </c>
      <c r="H1096" t="s">
        <v>45</v>
      </c>
      <c r="I1096">
        <v>21</v>
      </c>
      <c r="J1096">
        <v>2</v>
      </c>
      <c r="K1096" t="s">
        <v>56</v>
      </c>
      <c r="L1096">
        <v>1</v>
      </c>
      <c r="M1096">
        <v>3</v>
      </c>
      <c r="N1096" t="s">
        <v>46</v>
      </c>
      <c r="O1096">
        <v>57</v>
      </c>
      <c r="P1096">
        <v>2</v>
      </c>
      <c r="Q1096">
        <v>1</v>
      </c>
      <c r="R1096" t="s">
        <v>40</v>
      </c>
      <c r="S1096">
        <v>1</v>
      </c>
      <c r="T1096" t="str" cm="1">
        <f t="array" ref="T1096">_xlfn.IFS(S1096&lt;=2,"Poor",S1096&lt;=3,"Fair",S1096&gt;=4,"Good")</f>
        <v>Poor</v>
      </c>
      <c r="U1096" t="s">
        <v>50</v>
      </c>
      <c r="V1096" s="1">
        <v>2296</v>
      </c>
      <c r="W1096" t="str" cm="1">
        <f t="array" ref="W1096">_xlfn.IFS(V1096&lt;=5000,"Low Salary",V1096&lt;=12000,"Good Salary",V1096&gt;12000,"High Salary")</f>
        <v>Low Salary</v>
      </c>
      <c r="X1096">
        <v>10036</v>
      </c>
      <c r="Y1096">
        <v>0</v>
      </c>
      <c r="Z1096" t="s">
        <v>42</v>
      </c>
      <c r="AA1096" t="s">
        <v>35</v>
      </c>
      <c r="AB1096">
        <v>14</v>
      </c>
      <c r="AC1096">
        <v>3</v>
      </c>
      <c r="AD1096" t="str">
        <f t="shared" si="35"/>
        <v>Low Performance</v>
      </c>
      <c r="AE1096">
        <v>2</v>
      </c>
      <c r="AF1096">
        <v>80</v>
      </c>
      <c r="AG1096">
        <v>3</v>
      </c>
      <c r="AH1096">
        <v>2</v>
      </c>
      <c r="AI1096">
        <v>3</v>
      </c>
      <c r="AJ1096">
        <v>3</v>
      </c>
      <c r="AK1096" t="str" cm="1">
        <f t="array" ref="AK1096">_xlfn.IFS(AJ1096&lt;=2,"Poor",AJ1096&lt;=3,"Fair",AJ1096&gt;3,"Good")</f>
        <v>Fair</v>
      </c>
      <c r="AL1096">
        <v>1</v>
      </c>
      <c r="AM1096">
        <v>1</v>
      </c>
      <c r="AN1096">
        <v>0</v>
      </c>
      <c r="AO1096">
        <v>0</v>
      </c>
    </row>
    <row r="1097" spans="1:41" x14ac:dyDescent="0.2">
      <c r="A1097">
        <v>1757748</v>
      </c>
      <c r="B1097">
        <v>40</v>
      </c>
      <c r="C1097" t="str" cm="1">
        <f t="array" ref="C1097">_xlfn.IFS(B1097&lt;=25,"15-25",B1097&lt;=35,"26-35",B1097&lt;=45,"36-45",B1097&lt;=55,"46-55",B1097&lt;=65,"56-65")</f>
        <v>36-45</v>
      </c>
      <c r="D1097" t="s">
        <v>35</v>
      </c>
      <c r="E1097" t="str">
        <f t="shared" si="34"/>
        <v>Current Employee</v>
      </c>
      <c r="F1097" t="s">
        <v>52</v>
      </c>
      <c r="G1097">
        <v>1142</v>
      </c>
      <c r="H1097" t="s">
        <v>45</v>
      </c>
      <c r="I1097">
        <v>8</v>
      </c>
      <c r="J1097">
        <v>2</v>
      </c>
      <c r="K1097" t="s">
        <v>38</v>
      </c>
      <c r="L1097">
        <v>1</v>
      </c>
      <c r="M1097">
        <v>4</v>
      </c>
      <c r="N1097" t="s">
        <v>46</v>
      </c>
      <c r="O1097">
        <v>72</v>
      </c>
      <c r="P1097">
        <v>3</v>
      </c>
      <c r="Q1097">
        <v>2</v>
      </c>
      <c r="R1097" t="s">
        <v>40</v>
      </c>
      <c r="S1097">
        <v>4</v>
      </c>
      <c r="T1097" t="str" cm="1">
        <f t="array" ref="T1097">_xlfn.IFS(S1097&lt;=2,"Poor",S1097&lt;=3,"Fair",S1097&gt;=4,"Good")</f>
        <v>Good</v>
      </c>
      <c r="U1097" t="s">
        <v>50</v>
      </c>
      <c r="V1097" s="1">
        <v>4069</v>
      </c>
      <c r="W1097" t="str" cm="1">
        <f t="array" ref="W1097">_xlfn.IFS(V1097&lt;=5000,"Low Salary",V1097&lt;=12000,"Good Salary",V1097&gt;12000,"High Salary")</f>
        <v>Low Salary</v>
      </c>
      <c r="X1097">
        <v>8841</v>
      </c>
      <c r="Y1097">
        <v>3</v>
      </c>
      <c r="Z1097" t="s">
        <v>42</v>
      </c>
      <c r="AA1097" t="s">
        <v>43</v>
      </c>
      <c r="AB1097">
        <v>18</v>
      </c>
      <c r="AC1097">
        <v>3</v>
      </c>
      <c r="AD1097" t="str">
        <f t="shared" si="35"/>
        <v>Low Performance</v>
      </c>
      <c r="AE1097">
        <v>3</v>
      </c>
      <c r="AF1097">
        <v>80</v>
      </c>
      <c r="AG1097">
        <v>0</v>
      </c>
      <c r="AH1097">
        <v>8</v>
      </c>
      <c r="AI1097">
        <v>2</v>
      </c>
      <c r="AJ1097">
        <v>3</v>
      </c>
      <c r="AK1097" t="str" cm="1">
        <f t="array" ref="AK1097">_xlfn.IFS(AJ1097&lt;=2,"Poor",AJ1097&lt;=3,"Fair",AJ1097&gt;3,"Good")</f>
        <v>Fair</v>
      </c>
      <c r="AL1097">
        <v>2</v>
      </c>
      <c r="AM1097">
        <v>2</v>
      </c>
      <c r="AN1097">
        <v>2</v>
      </c>
      <c r="AO1097">
        <v>2</v>
      </c>
    </row>
    <row r="1098" spans="1:41" x14ac:dyDescent="0.2">
      <c r="A1098">
        <v>1044155</v>
      </c>
      <c r="B1098">
        <v>45</v>
      </c>
      <c r="C1098" t="str" cm="1">
        <f t="array" ref="C1098">_xlfn.IFS(B1098&lt;=25,"15-25",B1098&lt;=35,"26-35",B1098&lt;=45,"36-45",B1098&lt;=55,"46-55",B1098&lt;=65,"56-65")</f>
        <v>36-45</v>
      </c>
      <c r="D1098" t="s">
        <v>35</v>
      </c>
      <c r="E1098" t="str">
        <f t="shared" si="34"/>
        <v>Current Employee</v>
      </c>
      <c r="F1098" t="s">
        <v>36</v>
      </c>
      <c r="G1098">
        <v>538</v>
      </c>
      <c r="H1098" t="s">
        <v>45</v>
      </c>
      <c r="I1098">
        <v>1</v>
      </c>
      <c r="J1098">
        <v>4</v>
      </c>
      <c r="K1098" t="s">
        <v>56</v>
      </c>
      <c r="L1098">
        <v>1</v>
      </c>
      <c r="M1098">
        <v>1</v>
      </c>
      <c r="N1098" t="s">
        <v>46</v>
      </c>
      <c r="O1098">
        <v>66</v>
      </c>
      <c r="P1098">
        <v>3</v>
      </c>
      <c r="Q1098">
        <v>3</v>
      </c>
      <c r="R1098" t="s">
        <v>40</v>
      </c>
      <c r="S1098">
        <v>2</v>
      </c>
      <c r="T1098" t="str" cm="1">
        <f t="array" ref="T1098">_xlfn.IFS(S1098&lt;=2,"Poor",S1098&lt;=3,"Fair",S1098&gt;=4,"Good")</f>
        <v>Poor</v>
      </c>
      <c r="U1098" t="s">
        <v>50</v>
      </c>
      <c r="V1098" s="1">
        <v>7441</v>
      </c>
      <c r="W1098" t="str" cm="1">
        <f t="array" ref="W1098">_xlfn.IFS(V1098&lt;=5000,"Low Salary",V1098&lt;=12000,"Good Salary",V1098&gt;12000,"High Salary")</f>
        <v>Good Salary</v>
      </c>
      <c r="X1098">
        <v>20933</v>
      </c>
      <c r="Y1098">
        <v>1</v>
      </c>
      <c r="Z1098" t="s">
        <v>42</v>
      </c>
      <c r="AA1098" t="s">
        <v>35</v>
      </c>
      <c r="AB1098">
        <v>12</v>
      </c>
      <c r="AC1098">
        <v>3</v>
      </c>
      <c r="AD1098" t="str">
        <f t="shared" si="35"/>
        <v>Low Performance</v>
      </c>
      <c r="AE1098">
        <v>1</v>
      </c>
      <c r="AF1098">
        <v>80</v>
      </c>
      <c r="AG1098">
        <v>3</v>
      </c>
      <c r="AH1098">
        <v>10</v>
      </c>
      <c r="AI1098">
        <v>4</v>
      </c>
      <c r="AJ1098">
        <v>3</v>
      </c>
      <c r="AK1098" t="str" cm="1">
        <f t="array" ref="AK1098">_xlfn.IFS(AJ1098&lt;=2,"Poor",AJ1098&lt;=3,"Fair",AJ1098&gt;3,"Good")</f>
        <v>Fair</v>
      </c>
      <c r="AL1098">
        <v>10</v>
      </c>
      <c r="AM1098">
        <v>8</v>
      </c>
      <c r="AN1098">
        <v>7</v>
      </c>
      <c r="AO1098">
        <v>7</v>
      </c>
    </row>
    <row r="1099" spans="1:41" x14ac:dyDescent="0.2">
      <c r="A1099">
        <v>1751058</v>
      </c>
      <c r="B1099">
        <v>35</v>
      </c>
      <c r="C1099" t="str" cm="1">
        <f t="array" ref="C1099">_xlfn.IFS(B1099&lt;=25,"15-25",B1099&lt;=35,"26-35",B1099&lt;=45,"36-45",B1099&lt;=55,"46-55",B1099&lt;=65,"56-65")</f>
        <v>26-35</v>
      </c>
      <c r="D1099" t="s">
        <v>35</v>
      </c>
      <c r="E1099" t="str">
        <f t="shared" si="34"/>
        <v>Current Employee</v>
      </c>
      <c r="F1099" t="s">
        <v>36</v>
      </c>
      <c r="G1099">
        <v>1402</v>
      </c>
      <c r="H1099" t="s">
        <v>37</v>
      </c>
      <c r="I1099">
        <v>28</v>
      </c>
      <c r="J1099">
        <v>4</v>
      </c>
      <c r="K1099" t="s">
        <v>38</v>
      </c>
      <c r="L1099">
        <v>1</v>
      </c>
      <c r="M1099">
        <v>2</v>
      </c>
      <c r="N1099" t="s">
        <v>39</v>
      </c>
      <c r="O1099">
        <v>98</v>
      </c>
      <c r="P1099">
        <v>2</v>
      </c>
      <c r="Q1099">
        <v>1</v>
      </c>
      <c r="R1099" t="s">
        <v>47</v>
      </c>
      <c r="S1099">
        <v>3</v>
      </c>
      <c r="T1099" t="str" cm="1">
        <f t="array" ref="T1099">_xlfn.IFS(S1099&lt;=2,"Poor",S1099&lt;=3,"Fair",S1099&gt;=4,"Good")</f>
        <v>Fair</v>
      </c>
      <c r="U1099" t="s">
        <v>48</v>
      </c>
      <c r="V1099" s="1">
        <v>2430</v>
      </c>
      <c r="W1099" t="str" cm="1">
        <f t="array" ref="W1099">_xlfn.IFS(V1099&lt;=5000,"Low Salary",V1099&lt;=12000,"Good Salary",V1099&gt;12000,"High Salary")</f>
        <v>Low Salary</v>
      </c>
      <c r="X1099">
        <v>26204</v>
      </c>
      <c r="Y1099">
        <v>0</v>
      </c>
      <c r="Z1099" t="s">
        <v>42</v>
      </c>
      <c r="AA1099" t="s">
        <v>35</v>
      </c>
      <c r="AB1099">
        <v>23</v>
      </c>
      <c r="AC1099">
        <v>4</v>
      </c>
      <c r="AD1099" t="str">
        <f t="shared" si="35"/>
        <v>High Performance</v>
      </c>
      <c r="AE1099">
        <v>1</v>
      </c>
      <c r="AF1099">
        <v>80</v>
      </c>
      <c r="AG1099">
        <v>2</v>
      </c>
      <c r="AH1099">
        <v>6</v>
      </c>
      <c r="AI1099">
        <v>5</v>
      </c>
      <c r="AJ1099">
        <v>3</v>
      </c>
      <c r="AK1099" t="str" cm="1">
        <f t="array" ref="AK1099">_xlfn.IFS(AJ1099&lt;=2,"Poor",AJ1099&lt;=3,"Fair",AJ1099&gt;3,"Good")</f>
        <v>Fair</v>
      </c>
      <c r="AL1099">
        <v>5</v>
      </c>
      <c r="AM1099">
        <v>3</v>
      </c>
      <c r="AN1099">
        <v>4</v>
      </c>
      <c r="AO1099">
        <v>2</v>
      </c>
    </row>
    <row r="1100" spans="1:41" x14ac:dyDescent="0.2">
      <c r="A1100">
        <v>1800789</v>
      </c>
      <c r="B1100">
        <v>32</v>
      </c>
      <c r="C1100" t="str" cm="1">
        <f t="array" ref="C1100">_xlfn.IFS(B1100&lt;=25,"15-25",B1100&lt;=35,"26-35",B1100&lt;=45,"36-45",B1100&lt;=55,"46-55",B1100&lt;=65,"56-65")</f>
        <v>26-35</v>
      </c>
      <c r="D1100" t="s">
        <v>35</v>
      </c>
      <c r="E1100" t="str">
        <f t="shared" si="34"/>
        <v>Current Employee</v>
      </c>
      <c r="F1100" t="s">
        <v>36</v>
      </c>
      <c r="G1100">
        <v>824</v>
      </c>
      <c r="H1100" t="s">
        <v>45</v>
      </c>
      <c r="I1100">
        <v>5</v>
      </c>
      <c r="J1100">
        <v>2</v>
      </c>
      <c r="K1100" t="s">
        <v>38</v>
      </c>
      <c r="L1100">
        <v>1</v>
      </c>
      <c r="M1100">
        <v>4</v>
      </c>
      <c r="N1100" t="s">
        <v>39</v>
      </c>
      <c r="O1100">
        <v>67</v>
      </c>
      <c r="P1100">
        <v>2</v>
      </c>
      <c r="Q1100">
        <v>2</v>
      </c>
      <c r="R1100" t="s">
        <v>47</v>
      </c>
      <c r="S1100">
        <v>2</v>
      </c>
      <c r="T1100" t="str" cm="1">
        <f t="array" ref="T1100">_xlfn.IFS(S1100&lt;=2,"Poor",S1100&lt;=3,"Fair",S1100&gt;=4,"Good")</f>
        <v>Poor</v>
      </c>
      <c r="U1100" t="s">
        <v>48</v>
      </c>
      <c r="V1100" s="1">
        <v>5878</v>
      </c>
      <c r="W1100" t="str" cm="1">
        <f t="array" ref="W1100">_xlfn.IFS(V1100&lt;=5000,"Low Salary",V1100&lt;=12000,"Good Salary",V1100&gt;12000,"High Salary")</f>
        <v>Good Salary</v>
      </c>
      <c r="X1100">
        <v>15624</v>
      </c>
      <c r="Y1100">
        <v>3</v>
      </c>
      <c r="Z1100" t="s">
        <v>42</v>
      </c>
      <c r="AA1100" t="s">
        <v>35</v>
      </c>
      <c r="AB1100">
        <v>12</v>
      </c>
      <c r="AC1100">
        <v>3</v>
      </c>
      <c r="AD1100" t="str">
        <f t="shared" si="35"/>
        <v>Low Performance</v>
      </c>
      <c r="AE1100">
        <v>1</v>
      </c>
      <c r="AF1100">
        <v>80</v>
      </c>
      <c r="AG1100">
        <v>1</v>
      </c>
      <c r="AH1100">
        <v>12</v>
      </c>
      <c r="AI1100">
        <v>2</v>
      </c>
      <c r="AJ1100">
        <v>3</v>
      </c>
      <c r="AK1100" t="str" cm="1">
        <f t="array" ref="AK1100">_xlfn.IFS(AJ1100&lt;=2,"Poor",AJ1100&lt;=3,"Fair",AJ1100&gt;3,"Good")</f>
        <v>Fair</v>
      </c>
      <c r="AL1100">
        <v>7</v>
      </c>
      <c r="AM1100">
        <v>1</v>
      </c>
      <c r="AN1100">
        <v>2</v>
      </c>
      <c r="AO1100">
        <v>5</v>
      </c>
    </row>
    <row r="1101" spans="1:41" x14ac:dyDescent="0.2">
      <c r="A1101">
        <v>1258148</v>
      </c>
      <c r="B1101">
        <v>36</v>
      </c>
      <c r="C1101" t="str" cm="1">
        <f t="array" ref="C1101">_xlfn.IFS(B1101&lt;=25,"15-25",B1101&lt;=35,"26-35",B1101&lt;=45,"36-45",B1101&lt;=55,"46-55",B1101&lt;=65,"56-65")</f>
        <v>36-45</v>
      </c>
      <c r="D1101" t="s">
        <v>35</v>
      </c>
      <c r="E1101" t="str">
        <f t="shared" si="34"/>
        <v>Current Employee</v>
      </c>
      <c r="F1101" t="s">
        <v>36</v>
      </c>
      <c r="G1101">
        <v>1157</v>
      </c>
      <c r="H1101" t="s">
        <v>37</v>
      </c>
      <c r="I1101">
        <v>2</v>
      </c>
      <c r="J1101">
        <v>4</v>
      </c>
      <c r="K1101" t="s">
        <v>38</v>
      </c>
      <c r="L1101">
        <v>1</v>
      </c>
      <c r="M1101">
        <v>3</v>
      </c>
      <c r="N1101" t="s">
        <v>46</v>
      </c>
      <c r="O1101">
        <v>70</v>
      </c>
      <c r="P1101">
        <v>3</v>
      </c>
      <c r="Q1101">
        <v>1</v>
      </c>
      <c r="R1101" t="s">
        <v>47</v>
      </c>
      <c r="S1101">
        <v>4</v>
      </c>
      <c r="T1101" t="str" cm="1">
        <f t="array" ref="T1101">_xlfn.IFS(S1101&lt;=2,"Poor",S1101&lt;=3,"Fair",S1101&gt;=4,"Good")</f>
        <v>Good</v>
      </c>
      <c r="U1101" t="s">
        <v>41</v>
      </c>
      <c r="V1101" s="1">
        <v>2644</v>
      </c>
      <c r="W1101" t="str" cm="1">
        <f t="array" ref="W1101">_xlfn.IFS(V1101&lt;=5000,"Low Salary",V1101&lt;=12000,"Good Salary",V1101&gt;12000,"High Salary")</f>
        <v>Low Salary</v>
      </c>
      <c r="X1101">
        <v>17001</v>
      </c>
      <c r="Y1101">
        <v>3</v>
      </c>
      <c r="Z1101" t="s">
        <v>42</v>
      </c>
      <c r="AA1101" t="s">
        <v>43</v>
      </c>
      <c r="AB1101">
        <v>21</v>
      </c>
      <c r="AC1101">
        <v>4</v>
      </c>
      <c r="AD1101" t="str">
        <f t="shared" si="35"/>
        <v>High Performance</v>
      </c>
      <c r="AE1101">
        <v>4</v>
      </c>
      <c r="AF1101">
        <v>80</v>
      </c>
      <c r="AG1101">
        <v>0</v>
      </c>
      <c r="AH1101">
        <v>7</v>
      </c>
      <c r="AI1101">
        <v>3</v>
      </c>
      <c r="AJ1101">
        <v>2</v>
      </c>
      <c r="AK1101" t="str" cm="1">
        <f t="array" ref="AK1101">_xlfn.IFS(AJ1101&lt;=2,"Poor",AJ1101&lt;=3,"Fair",AJ1101&gt;3,"Good")</f>
        <v>Poor</v>
      </c>
      <c r="AL1101">
        <v>3</v>
      </c>
      <c r="AM1101">
        <v>2</v>
      </c>
      <c r="AN1101">
        <v>1</v>
      </c>
      <c r="AO1101">
        <v>2</v>
      </c>
    </row>
    <row r="1102" spans="1:41" x14ac:dyDescent="0.2">
      <c r="A1102">
        <v>1120429</v>
      </c>
      <c r="B1102">
        <v>48</v>
      </c>
      <c r="C1102" t="str" cm="1">
        <f t="array" ref="C1102">_xlfn.IFS(B1102&lt;=25,"15-25",B1102&lt;=35,"26-35",B1102&lt;=45,"36-45",B1102&lt;=55,"46-55",B1102&lt;=65,"56-65")</f>
        <v>46-55</v>
      </c>
      <c r="D1102" t="s">
        <v>35</v>
      </c>
      <c r="E1102" t="str">
        <f t="shared" si="34"/>
        <v>Current Employee</v>
      </c>
      <c r="F1102" t="s">
        <v>36</v>
      </c>
      <c r="G1102">
        <v>492</v>
      </c>
      <c r="H1102" t="s">
        <v>37</v>
      </c>
      <c r="I1102">
        <v>16</v>
      </c>
      <c r="J1102">
        <v>4</v>
      </c>
      <c r="K1102" t="s">
        <v>38</v>
      </c>
      <c r="L1102">
        <v>1</v>
      </c>
      <c r="M1102">
        <v>3</v>
      </c>
      <c r="N1102" t="s">
        <v>39</v>
      </c>
      <c r="O1102">
        <v>96</v>
      </c>
      <c r="P1102">
        <v>3</v>
      </c>
      <c r="Q1102">
        <v>2</v>
      </c>
      <c r="R1102" t="s">
        <v>40</v>
      </c>
      <c r="S1102">
        <v>3</v>
      </c>
      <c r="T1102" t="str" cm="1">
        <f t="array" ref="T1102">_xlfn.IFS(S1102&lt;=2,"Poor",S1102&lt;=3,"Fair",S1102&gt;=4,"Good")</f>
        <v>Fair</v>
      </c>
      <c r="U1102" t="s">
        <v>50</v>
      </c>
      <c r="V1102" s="1">
        <v>6439</v>
      </c>
      <c r="W1102" t="str" cm="1">
        <f t="array" ref="W1102">_xlfn.IFS(V1102&lt;=5000,"Low Salary",V1102&lt;=12000,"Good Salary",V1102&gt;12000,"High Salary")</f>
        <v>Good Salary</v>
      </c>
      <c r="X1102">
        <v>13693</v>
      </c>
      <c r="Y1102">
        <v>8</v>
      </c>
      <c r="Z1102" t="s">
        <v>42</v>
      </c>
      <c r="AA1102" t="s">
        <v>35</v>
      </c>
      <c r="AB1102">
        <v>14</v>
      </c>
      <c r="AC1102">
        <v>3</v>
      </c>
      <c r="AD1102" t="str">
        <f t="shared" si="35"/>
        <v>Low Performance</v>
      </c>
      <c r="AE1102">
        <v>3</v>
      </c>
      <c r="AF1102">
        <v>80</v>
      </c>
      <c r="AG1102">
        <v>1</v>
      </c>
      <c r="AH1102">
        <v>18</v>
      </c>
      <c r="AI1102">
        <v>2</v>
      </c>
      <c r="AJ1102">
        <v>3</v>
      </c>
      <c r="AK1102" t="str" cm="1">
        <f t="array" ref="AK1102">_xlfn.IFS(AJ1102&lt;=2,"Poor",AJ1102&lt;=3,"Fair",AJ1102&gt;3,"Good")</f>
        <v>Fair</v>
      </c>
      <c r="AL1102">
        <v>8</v>
      </c>
      <c r="AM1102">
        <v>7</v>
      </c>
      <c r="AN1102">
        <v>7</v>
      </c>
      <c r="AO1102">
        <v>7</v>
      </c>
    </row>
    <row r="1103" spans="1:41" x14ac:dyDescent="0.2">
      <c r="A1103">
        <v>1604996</v>
      </c>
      <c r="B1103">
        <v>29</v>
      </c>
      <c r="C1103" t="str" cm="1">
        <f t="array" ref="C1103">_xlfn.IFS(B1103&lt;=25,"15-25",B1103&lt;=35,"26-35",B1103&lt;=45,"36-45",B1103&lt;=55,"46-55",B1103&lt;=65,"56-65")</f>
        <v>26-35</v>
      </c>
      <c r="D1103" t="s">
        <v>35</v>
      </c>
      <c r="E1103" t="str">
        <f t="shared" si="34"/>
        <v>Current Employee</v>
      </c>
      <c r="F1103" t="s">
        <v>36</v>
      </c>
      <c r="G1103">
        <v>598</v>
      </c>
      <c r="H1103" t="s">
        <v>45</v>
      </c>
      <c r="I1103">
        <v>9</v>
      </c>
      <c r="J1103">
        <v>3</v>
      </c>
      <c r="K1103" t="s">
        <v>38</v>
      </c>
      <c r="L1103">
        <v>1</v>
      </c>
      <c r="M1103">
        <v>3</v>
      </c>
      <c r="N1103" t="s">
        <v>46</v>
      </c>
      <c r="O1103">
        <v>91</v>
      </c>
      <c r="P1103">
        <v>4</v>
      </c>
      <c r="Q1103">
        <v>1</v>
      </c>
      <c r="R1103" t="s">
        <v>47</v>
      </c>
      <c r="S1103">
        <v>3</v>
      </c>
      <c r="T1103" t="str" cm="1">
        <f t="array" ref="T1103">_xlfn.IFS(S1103&lt;=2,"Poor",S1103&lt;=3,"Fair",S1103&gt;=4,"Good")</f>
        <v>Fair</v>
      </c>
      <c r="U1103" t="s">
        <v>48</v>
      </c>
      <c r="V1103" s="1">
        <v>2451</v>
      </c>
      <c r="W1103" t="str" cm="1">
        <f t="array" ref="W1103">_xlfn.IFS(V1103&lt;=5000,"Low Salary",V1103&lt;=12000,"Good Salary",V1103&gt;12000,"High Salary")</f>
        <v>Low Salary</v>
      </c>
      <c r="X1103">
        <v>22376</v>
      </c>
      <c r="Y1103">
        <v>6</v>
      </c>
      <c r="Z1103" t="s">
        <v>42</v>
      </c>
      <c r="AA1103" t="s">
        <v>35</v>
      </c>
      <c r="AB1103">
        <v>18</v>
      </c>
      <c r="AC1103">
        <v>3</v>
      </c>
      <c r="AD1103" t="str">
        <f t="shared" si="35"/>
        <v>Low Performance</v>
      </c>
      <c r="AE1103">
        <v>1</v>
      </c>
      <c r="AF1103">
        <v>80</v>
      </c>
      <c r="AG1103">
        <v>2</v>
      </c>
      <c r="AH1103">
        <v>5</v>
      </c>
      <c r="AI1103">
        <v>2</v>
      </c>
      <c r="AJ1103">
        <v>2</v>
      </c>
      <c r="AK1103" t="str" cm="1">
        <f t="array" ref="AK1103">_xlfn.IFS(AJ1103&lt;=2,"Poor",AJ1103&lt;=3,"Fair",AJ1103&gt;3,"Good")</f>
        <v>Poor</v>
      </c>
      <c r="AL1103">
        <v>1</v>
      </c>
      <c r="AM1103">
        <v>0</v>
      </c>
      <c r="AN1103">
        <v>0</v>
      </c>
      <c r="AO1103">
        <v>0</v>
      </c>
    </row>
    <row r="1104" spans="1:41" x14ac:dyDescent="0.2">
      <c r="A1104">
        <v>1152504</v>
      </c>
      <c r="B1104">
        <v>33</v>
      </c>
      <c r="C1104" t="str" cm="1">
        <f t="array" ref="C1104">_xlfn.IFS(B1104&lt;=25,"15-25",B1104&lt;=35,"26-35",B1104&lt;=45,"36-45",B1104&lt;=55,"46-55",B1104&lt;=65,"56-65")</f>
        <v>26-35</v>
      </c>
      <c r="D1104" t="s">
        <v>35</v>
      </c>
      <c r="E1104" t="str">
        <f t="shared" si="34"/>
        <v>Current Employee</v>
      </c>
      <c r="F1104" t="s">
        <v>36</v>
      </c>
      <c r="G1104">
        <v>1242</v>
      </c>
      <c r="H1104" t="s">
        <v>37</v>
      </c>
      <c r="I1104">
        <v>8</v>
      </c>
      <c r="J1104">
        <v>4</v>
      </c>
      <c r="K1104" t="s">
        <v>38</v>
      </c>
      <c r="L1104">
        <v>1</v>
      </c>
      <c r="M1104">
        <v>1</v>
      </c>
      <c r="N1104" t="s">
        <v>46</v>
      </c>
      <c r="O1104">
        <v>46</v>
      </c>
      <c r="P1104">
        <v>3</v>
      </c>
      <c r="Q1104">
        <v>2</v>
      </c>
      <c r="R1104" t="s">
        <v>40</v>
      </c>
      <c r="S1104">
        <v>1</v>
      </c>
      <c r="T1104" t="str" cm="1">
        <f t="array" ref="T1104">_xlfn.IFS(S1104&lt;=2,"Poor",S1104&lt;=3,"Fair",S1104&gt;=4,"Good")</f>
        <v>Poor</v>
      </c>
      <c r="U1104" t="s">
        <v>48</v>
      </c>
      <c r="V1104" s="1">
        <v>6392</v>
      </c>
      <c r="W1104" t="str" cm="1">
        <f t="array" ref="W1104">_xlfn.IFS(V1104&lt;=5000,"Low Salary",V1104&lt;=12000,"Good Salary",V1104&gt;12000,"High Salary")</f>
        <v>Good Salary</v>
      </c>
      <c r="X1104">
        <v>10589</v>
      </c>
      <c r="Y1104">
        <v>2</v>
      </c>
      <c r="Z1104" t="s">
        <v>42</v>
      </c>
      <c r="AA1104" t="s">
        <v>35</v>
      </c>
      <c r="AB1104">
        <v>13</v>
      </c>
      <c r="AC1104">
        <v>3</v>
      </c>
      <c r="AD1104" t="str">
        <f t="shared" si="35"/>
        <v>Low Performance</v>
      </c>
      <c r="AE1104">
        <v>4</v>
      </c>
      <c r="AF1104">
        <v>80</v>
      </c>
      <c r="AG1104">
        <v>1</v>
      </c>
      <c r="AH1104">
        <v>8</v>
      </c>
      <c r="AI1104">
        <v>6</v>
      </c>
      <c r="AJ1104">
        <v>1</v>
      </c>
      <c r="AK1104" t="str" cm="1">
        <f t="array" ref="AK1104">_xlfn.IFS(AJ1104&lt;=2,"Poor",AJ1104&lt;=3,"Fair",AJ1104&gt;3,"Good")</f>
        <v>Poor</v>
      </c>
      <c r="AL1104">
        <v>2</v>
      </c>
      <c r="AM1104">
        <v>2</v>
      </c>
      <c r="AN1104">
        <v>2</v>
      </c>
      <c r="AO1104">
        <v>2</v>
      </c>
    </row>
    <row r="1105" spans="1:41" x14ac:dyDescent="0.2">
      <c r="A1105">
        <v>1093589</v>
      </c>
      <c r="B1105">
        <v>30</v>
      </c>
      <c r="C1105" t="str" cm="1">
        <f t="array" ref="C1105">_xlfn.IFS(B1105&lt;=25,"15-25",B1105&lt;=35,"26-35",B1105&lt;=45,"36-45",B1105&lt;=55,"46-55",B1105&lt;=65,"56-65")</f>
        <v>26-35</v>
      </c>
      <c r="D1105" t="s">
        <v>35</v>
      </c>
      <c r="E1105" t="str">
        <f t="shared" si="34"/>
        <v>Current Employee</v>
      </c>
      <c r="F1105" t="s">
        <v>36</v>
      </c>
      <c r="G1105">
        <v>740</v>
      </c>
      <c r="H1105" t="s">
        <v>37</v>
      </c>
      <c r="I1105">
        <v>1</v>
      </c>
      <c r="J1105">
        <v>3</v>
      </c>
      <c r="K1105" t="s">
        <v>38</v>
      </c>
      <c r="L1105">
        <v>1</v>
      </c>
      <c r="M1105">
        <v>2</v>
      </c>
      <c r="N1105" t="s">
        <v>46</v>
      </c>
      <c r="O1105">
        <v>64</v>
      </c>
      <c r="P1105">
        <v>2</v>
      </c>
      <c r="Q1105">
        <v>2</v>
      </c>
      <c r="R1105" t="s">
        <v>40</v>
      </c>
      <c r="S1105">
        <v>1</v>
      </c>
      <c r="T1105" t="str" cm="1">
        <f t="array" ref="T1105">_xlfn.IFS(S1105&lt;=2,"Poor",S1105&lt;=3,"Fair",S1105&gt;=4,"Good")</f>
        <v>Poor</v>
      </c>
      <c r="U1105" t="s">
        <v>48</v>
      </c>
      <c r="V1105" s="1">
        <v>9714</v>
      </c>
      <c r="W1105" t="str" cm="1">
        <f t="array" ref="W1105">_xlfn.IFS(V1105&lt;=5000,"Low Salary",V1105&lt;=12000,"Good Salary",V1105&gt;12000,"High Salary")</f>
        <v>Good Salary</v>
      </c>
      <c r="X1105">
        <v>5323</v>
      </c>
      <c r="Y1105">
        <v>1</v>
      </c>
      <c r="Z1105" t="s">
        <v>42</v>
      </c>
      <c r="AA1105" t="s">
        <v>35</v>
      </c>
      <c r="AB1105">
        <v>11</v>
      </c>
      <c r="AC1105">
        <v>3</v>
      </c>
      <c r="AD1105" t="str">
        <f t="shared" si="35"/>
        <v>Low Performance</v>
      </c>
      <c r="AE1105">
        <v>4</v>
      </c>
      <c r="AF1105">
        <v>80</v>
      </c>
      <c r="AG1105">
        <v>1</v>
      </c>
      <c r="AH1105">
        <v>10</v>
      </c>
      <c r="AI1105">
        <v>4</v>
      </c>
      <c r="AJ1105">
        <v>3</v>
      </c>
      <c r="AK1105" t="str" cm="1">
        <f t="array" ref="AK1105">_xlfn.IFS(AJ1105&lt;=2,"Poor",AJ1105&lt;=3,"Fair",AJ1105&gt;3,"Good")</f>
        <v>Fair</v>
      </c>
      <c r="AL1105">
        <v>10</v>
      </c>
      <c r="AM1105">
        <v>8</v>
      </c>
      <c r="AN1105">
        <v>6</v>
      </c>
      <c r="AO1105">
        <v>7</v>
      </c>
    </row>
    <row r="1106" spans="1:41" x14ac:dyDescent="0.2">
      <c r="A1106">
        <v>1152723</v>
      </c>
      <c r="B1106">
        <v>38</v>
      </c>
      <c r="C1106" t="str" cm="1">
        <f t="array" ref="C1106">_xlfn.IFS(B1106&lt;=25,"15-25",B1106&lt;=35,"26-35",B1106&lt;=45,"36-45",B1106&lt;=55,"46-55",B1106&lt;=65,"56-65")</f>
        <v>36-45</v>
      </c>
      <c r="D1106" t="s">
        <v>35</v>
      </c>
      <c r="E1106" t="str">
        <f t="shared" si="34"/>
        <v>Current Employee</v>
      </c>
      <c r="F1106" t="s">
        <v>44</v>
      </c>
      <c r="G1106">
        <v>888</v>
      </c>
      <c r="H1106" t="s">
        <v>54</v>
      </c>
      <c r="I1106">
        <v>10</v>
      </c>
      <c r="J1106">
        <v>4</v>
      </c>
      <c r="K1106" t="s">
        <v>57</v>
      </c>
      <c r="L1106">
        <v>1</v>
      </c>
      <c r="M1106">
        <v>3</v>
      </c>
      <c r="N1106" t="s">
        <v>46</v>
      </c>
      <c r="O1106">
        <v>71</v>
      </c>
      <c r="P1106">
        <v>3</v>
      </c>
      <c r="Q1106">
        <v>2</v>
      </c>
      <c r="R1106" t="s">
        <v>47</v>
      </c>
      <c r="S1106">
        <v>3</v>
      </c>
      <c r="T1106" t="str" cm="1">
        <f t="array" ref="T1106">_xlfn.IFS(S1106&lt;=2,"Poor",S1106&lt;=3,"Fair",S1106&gt;=4,"Good")</f>
        <v>Fair</v>
      </c>
      <c r="U1106" t="s">
        <v>48</v>
      </c>
      <c r="V1106" s="1">
        <v>6077</v>
      </c>
      <c r="W1106" t="str" cm="1">
        <f t="array" ref="W1106">_xlfn.IFS(V1106&lt;=5000,"Low Salary",V1106&lt;=12000,"Good Salary",V1106&gt;12000,"High Salary")</f>
        <v>Good Salary</v>
      </c>
      <c r="X1106">
        <v>14814</v>
      </c>
      <c r="Y1106">
        <v>3</v>
      </c>
      <c r="Z1106" t="s">
        <v>42</v>
      </c>
      <c r="AA1106" t="s">
        <v>35</v>
      </c>
      <c r="AB1106">
        <v>11</v>
      </c>
      <c r="AC1106">
        <v>3</v>
      </c>
      <c r="AD1106" t="str">
        <f t="shared" si="35"/>
        <v>Low Performance</v>
      </c>
      <c r="AE1106">
        <v>3</v>
      </c>
      <c r="AF1106">
        <v>80</v>
      </c>
      <c r="AG1106">
        <v>0</v>
      </c>
      <c r="AH1106">
        <v>10</v>
      </c>
      <c r="AI1106">
        <v>2</v>
      </c>
      <c r="AJ1106">
        <v>3</v>
      </c>
      <c r="AK1106" t="str" cm="1">
        <f t="array" ref="AK1106">_xlfn.IFS(AJ1106&lt;=2,"Poor",AJ1106&lt;=3,"Fair",AJ1106&gt;3,"Good")</f>
        <v>Fair</v>
      </c>
      <c r="AL1106">
        <v>6</v>
      </c>
      <c r="AM1106">
        <v>3</v>
      </c>
      <c r="AN1106">
        <v>1</v>
      </c>
      <c r="AO1106">
        <v>2</v>
      </c>
    </row>
    <row r="1107" spans="1:41" x14ac:dyDescent="0.2">
      <c r="A1107">
        <v>1561423</v>
      </c>
      <c r="B1107">
        <v>35</v>
      </c>
      <c r="C1107" t="str" cm="1">
        <f t="array" ref="C1107">_xlfn.IFS(B1107&lt;=25,"15-25",B1107&lt;=35,"26-35",B1107&lt;=45,"36-45",B1107&lt;=55,"46-55",B1107&lt;=65,"56-65")</f>
        <v>26-35</v>
      </c>
      <c r="D1107" t="s">
        <v>35</v>
      </c>
      <c r="E1107" t="str">
        <f t="shared" si="34"/>
        <v>Current Employee</v>
      </c>
      <c r="F1107" t="s">
        <v>36</v>
      </c>
      <c r="G1107">
        <v>992</v>
      </c>
      <c r="H1107" t="s">
        <v>45</v>
      </c>
      <c r="I1107">
        <v>1</v>
      </c>
      <c r="J1107">
        <v>3</v>
      </c>
      <c r="K1107" t="s">
        <v>49</v>
      </c>
      <c r="L1107">
        <v>1</v>
      </c>
      <c r="M1107">
        <v>4</v>
      </c>
      <c r="N1107" t="s">
        <v>46</v>
      </c>
      <c r="O1107">
        <v>68</v>
      </c>
      <c r="P1107">
        <v>2</v>
      </c>
      <c r="Q1107">
        <v>1</v>
      </c>
      <c r="R1107" t="s">
        <v>40</v>
      </c>
      <c r="S1107">
        <v>1</v>
      </c>
      <c r="T1107" t="str" cm="1">
        <f t="array" ref="T1107">_xlfn.IFS(S1107&lt;=2,"Poor",S1107&lt;=3,"Fair",S1107&gt;=4,"Good")</f>
        <v>Poor</v>
      </c>
      <c r="U1107" t="s">
        <v>41</v>
      </c>
      <c r="V1107" s="1">
        <v>2450</v>
      </c>
      <c r="W1107" t="str" cm="1">
        <f t="array" ref="W1107">_xlfn.IFS(V1107&lt;=5000,"Low Salary",V1107&lt;=12000,"Good Salary",V1107&gt;12000,"High Salary")</f>
        <v>Low Salary</v>
      </c>
      <c r="X1107">
        <v>21731</v>
      </c>
      <c r="Y1107">
        <v>1</v>
      </c>
      <c r="Z1107" t="s">
        <v>42</v>
      </c>
      <c r="AA1107" t="s">
        <v>35</v>
      </c>
      <c r="AB1107">
        <v>19</v>
      </c>
      <c r="AC1107">
        <v>3</v>
      </c>
      <c r="AD1107" t="str">
        <f t="shared" si="35"/>
        <v>Low Performance</v>
      </c>
      <c r="AE1107">
        <v>2</v>
      </c>
      <c r="AF1107">
        <v>80</v>
      </c>
      <c r="AG1107">
        <v>0</v>
      </c>
      <c r="AH1107">
        <v>3</v>
      </c>
      <c r="AI1107">
        <v>3</v>
      </c>
      <c r="AJ1107">
        <v>3</v>
      </c>
      <c r="AK1107" t="str" cm="1">
        <f t="array" ref="AK1107">_xlfn.IFS(AJ1107&lt;=2,"Poor",AJ1107&lt;=3,"Fair",AJ1107&gt;3,"Good")</f>
        <v>Fair</v>
      </c>
      <c r="AL1107">
        <v>3</v>
      </c>
      <c r="AM1107">
        <v>0</v>
      </c>
      <c r="AN1107">
        <v>1</v>
      </c>
      <c r="AO1107">
        <v>2</v>
      </c>
    </row>
    <row r="1108" spans="1:41" x14ac:dyDescent="0.2">
      <c r="A1108">
        <v>1603233</v>
      </c>
      <c r="B1108">
        <v>30</v>
      </c>
      <c r="C1108" t="str" cm="1">
        <f t="array" ref="C1108">_xlfn.IFS(B1108&lt;=25,"15-25",B1108&lt;=35,"26-35",B1108&lt;=45,"36-45",B1108&lt;=55,"46-55",B1108&lt;=65,"56-65")</f>
        <v>26-35</v>
      </c>
      <c r="D1108" t="s">
        <v>35</v>
      </c>
      <c r="E1108" t="str">
        <f t="shared" si="34"/>
        <v>Current Employee</v>
      </c>
      <c r="F1108" t="s">
        <v>36</v>
      </c>
      <c r="G1108">
        <v>1288</v>
      </c>
      <c r="H1108" t="s">
        <v>37</v>
      </c>
      <c r="I1108">
        <v>29</v>
      </c>
      <c r="J1108">
        <v>4</v>
      </c>
      <c r="K1108" t="s">
        <v>56</v>
      </c>
      <c r="L1108">
        <v>1</v>
      </c>
      <c r="M1108">
        <v>3</v>
      </c>
      <c r="N1108" t="s">
        <v>46</v>
      </c>
      <c r="O1108">
        <v>33</v>
      </c>
      <c r="P1108">
        <v>3</v>
      </c>
      <c r="Q1108">
        <v>3</v>
      </c>
      <c r="R1108" t="s">
        <v>40</v>
      </c>
      <c r="S1108">
        <v>2</v>
      </c>
      <c r="T1108" t="str" cm="1">
        <f t="array" ref="T1108">_xlfn.IFS(S1108&lt;=2,"Poor",S1108&lt;=3,"Fair",S1108&gt;=4,"Good")</f>
        <v>Poor</v>
      </c>
      <c r="U1108" t="s">
        <v>48</v>
      </c>
      <c r="V1108" s="1">
        <v>9250</v>
      </c>
      <c r="W1108" t="str" cm="1">
        <f t="array" ref="W1108">_xlfn.IFS(V1108&lt;=5000,"Low Salary",V1108&lt;=12000,"Good Salary",V1108&gt;12000,"High Salary")</f>
        <v>Good Salary</v>
      </c>
      <c r="X1108">
        <v>17799</v>
      </c>
      <c r="Y1108">
        <v>3</v>
      </c>
      <c r="Z1108" t="s">
        <v>42</v>
      </c>
      <c r="AA1108" t="s">
        <v>35</v>
      </c>
      <c r="AB1108">
        <v>12</v>
      </c>
      <c r="AC1108">
        <v>3</v>
      </c>
      <c r="AD1108" t="str">
        <f t="shared" si="35"/>
        <v>Low Performance</v>
      </c>
      <c r="AE1108">
        <v>2</v>
      </c>
      <c r="AF1108">
        <v>80</v>
      </c>
      <c r="AG1108">
        <v>1</v>
      </c>
      <c r="AH1108">
        <v>9</v>
      </c>
      <c r="AI1108">
        <v>3</v>
      </c>
      <c r="AJ1108">
        <v>3</v>
      </c>
      <c r="AK1108" t="str" cm="1">
        <f t="array" ref="AK1108">_xlfn.IFS(AJ1108&lt;=2,"Poor",AJ1108&lt;=3,"Fair",AJ1108&gt;3,"Good")</f>
        <v>Fair</v>
      </c>
      <c r="AL1108">
        <v>4</v>
      </c>
      <c r="AM1108">
        <v>2</v>
      </c>
      <c r="AN1108">
        <v>1</v>
      </c>
      <c r="AO1108">
        <v>3</v>
      </c>
    </row>
    <row r="1109" spans="1:41" x14ac:dyDescent="0.2">
      <c r="A1109">
        <v>1286513</v>
      </c>
      <c r="B1109">
        <v>35</v>
      </c>
      <c r="C1109" t="str" cm="1">
        <f t="array" ref="C1109">_xlfn.IFS(B1109&lt;=25,"15-25",B1109&lt;=35,"26-35",B1109&lt;=45,"36-45",B1109&lt;=55,"46-55",B1109&lt;=65,"56-65")</f>
        <v>26-35</v>
      </c>
      <c r="D1109" t="s">
        <v>43</v>
      </c>
      <c r="E1109" t="str">
        <f t="shared" si="34"/>
        <v>Former Employee</v>
      </c>
      <c r="F1109" t="s">
        <v>36</v>
      </c>
      <c r="G1109">
        <v>104</v>
      </c>
      <c r="H1109" t="s">
        <v>45</v>
      </c>
      <c r="I1109">
        <v>2</v>
      </c>
      <c r="J1109">
        <v>3</v>
      </c>
      <c r="K1109" t="s">
        <v>38</v>
      </c>
      <c r="L1109">
        <v>1</v>
      </c>
      <c r="M1109">
        <v>1</v>
      </c>
      <c r="N1109" t="s">
        <v>39</v>
      </c>
      <c r="O1109">
        <v>69</v>
      </c>
      <c r="P1109">
        <v>3</v>
      </c>
      <c r="Q1109">
        <v>1</v>
      </c>
      <c r="R1109" t="s">
        <v>40</v>
      </c>
      <c r="S1109">
        <v>1</v>
      </c>
      <c r="T1109" t="str" cm="1">
        <f t="array" ref="T1109">_xlfn.IFS(S1109&lt;=2,"Poor",S1109&lt;=3,"Fair",S1109&gt;=4,"Good")</f>
        <v>Poor</v>
      </c>
      <c r="U1109" t="s">
        <v>50</v>
      </c>
      <c r="V1109" s="1">
        <v>2074</v>
      </c>
      <c r="W1109" t="str" cm="1">
        <f t="array" ref="W1109">_xlfn.IFS(V1109&lt;=5000,"Low Salary",V1109&lt;=12000,"Good Salary",V1109&gt;12000,"High Salary")</f>
        <v>Low Salary</v>
      </c>
      <c r="X1109">
        <v>26619</v>
      </c>
      <c r="Y1109">
        <v>1</v>
      </c>
      <c r="Z1109" t="s">
        <v>42</v>
      </c>
      <c r="AA1109" t="s">
        <v>43</v>
      </c>
      <c r="AB1109">
        <v>12</v>
      </c>
      <c r="AC1109">
        <v>3</v>
      </c>
      <c r="AD1109" t="str">
        <f t="shared" si="35"/>
        <v>Low Performance</v>
      </c>
      <c r="AE1109">
        <v>4</v>
      </c>
      <c r="AF1109">
        <v>80</v>
      </c>
      <c r="AG1109">
        <v>1</v>
      </c>
      <c r="AH1109">
        <v>1</v>
      </c>
      <c r="AI1109">
        <v>2</v>
      </c>
      <c r="AJ1109">
        <v>3</v>
      </c>
      <c r="AK1109" t="str" cm="1">
        <f t="array" ref="AK1109">_xlfn.IFS(AJ1109&lt;=2,"Poor",AJ1109&lt;=3,"Fair",AJ1109&gt;3,"Good")</f>
        <v>Fair</v>
      </c>
      <c r="AL1109">
        <v>1</v>
      </c>
      <c r="AM1109">
        <v>0</v>
      </c>
      <c r="AN1109">
        <v>0</v>
      </c>
      <c r="AO1109">
        <v>0</v>
      </c>
    </row>
    <row r="1110" spans="1:41" x14ac:dyDescent="0.2">
      <c r="A1110">
        <v>1313838</v>
      </c>
      <c r="B1110">
        <v>53</v>
      </c>
      <c r="C1110" t="str" cm="1">
        <f t="array" ref="C1110">_xlfn.IFS(B1110&lt;=25,"15-25",B1110&lt;=35,"26-35",B1110&lt;=45,"36-45",B1110&lt;=55,"46-55",B1110&lt;=65,"56-65")</f>
        <v>46-55</v>
      </c>
      <c r="D1110" t="s">
        <v>35</v>
      </c>
      <c r="E1110" t="str">
        <f t="shared" si="34"/>
        <v>Current Employee</v>
      </c>
      <c r="F1110" t="s">
        <v>36</v>
      </c>
      <c r="G1110">
        <v>607</v>
      </c>
      <c r="H1110" t="s">
        <v>54</v>
      </c>
      <c r="I1110">
        <v>2</v>
      </c>
      <c r="J1110">
        <v>5</v>
      </c>
      <c r="K1110" t="s">
        <v>56</v>
      </c>
      <c r="L1110">
        <v>1</v>
      </c>
      <c r="M1110">
        <v>3</v>
      </c>
      <c r="N1110" t="s">
        <v>39</v>
      </c>
      <c r="O1110">
        <v>78</v>
      </c>
      <c r="P1110">
        <v>2</v>
      </c>
      <c r="Q1110">
        <v>3</v>
      </c>
      <c r="R1110" t="s">
        <v>51</v>
      </c>
      <c r="S1110">
        <v>4</v>
      </c>
      <c r="T1110" t="str" cm="1">
        <f t="array" ref="T1110">_xlfn.IFS(S1110&lt;=2,"Poor",S1110&lt;=3,"Fair",S1110&gt;=4,"Good")</f>
        <v>Good</v>
      </c>
      <c r="U1110" t="s">
        <v>48</v>
      </c>
      <c r="V1110" s="1">
        <v>10169</v>
      </c>
      <c r="W1110" t="str" cm="1">
        <f t="array" ref="W1110">_xlfn.IFS(V1110&lt;=5000,"Low Salary",V1110&lt;=12000,"Good Salary",V1110&gt;12000,"High Salary")</f>
        <v>Good Salary</v>
      </c>
      <c r="X1110">
        <v>14618</v>
      </c>
      <c r="Y1110">
        <v>0</v>
      </c>
      <c r="Z1110" t="s">
        <v>42</v>
      </c>
      <c r="AA1110" t="s">
        <v>35</v>
      </c>
      <c r="AB1110">
        <v>16</v>
      </c>
      <c r="AC1110">
        <v>3</v>
      </c>
      <c r="AD1110" t="str">
        <f t="shared" si="35"/>
        <v>Low Performance</v>
      </c>
      <c r="AE1110">
        <v>2</v>
      </c>
      <c r="AF1110">
        <v>80</v>
      </c>
      <c r="AG1110">
        <v>1</v>
      </c>
      <c r="AH1110">
        <v>34</v>
      </c>
      <c r="AI1110">
        <v>4</v>
      </c>
      <c r="AJ1110">
        <v>3</v>
      </c>
      <c r="AK1110" t="str" cm="1">
        <f t="array" ref="AK1110">_xlfn.IFS(AJ1110&lt;=2,"Poor",AJ1110&lt;=3,"Fair",AJ1110&gt;3,"Good")</f>
        <v>Fair</v>
      </c>
      <c r="AL1110">
        <v>33</v>
      </c>
      <c r="AM1110">
        <v>7</v>
      </c>
      <c r="AN1110">
        <v>1</v>
      </c>
      <c r="AO1110">
        <v>9</v>
      </c>
    </row>
    <row r="1111" spans="1:41" x14ac:dyDescent="0.2">
      <c r="A1111">
        <v>1819647</v>
      </c>
      <c r="B1111">
        <v>38</v>
      </c>
      <c r="C1111" t="str" cm="1">
        <f t="array" ref="C1111">_xlfn.IFS(B1111&lt;=25,"15-25",B1111&lt;=35,"26-35",B1111&lt;=45,"36-45",B1111&lt;=55,"46-55",B1111&lt;=65,"56-65")</f>
        <v>36-45</v>
      </c>
      <c r="D1111" t="s">
        <v>35</v>
      </c>
      <c r="E1111" t="str">
        <f t="shared" si="34"/>
        <v>Current Employee</v>
      </c>
      <c r="F1111" t="s">
        <v>36</v>
      </c>
      <c r="G1111">
        <v>903</v>
      </c>
      <c r="H1111" t="s">
        <v>54</v>
      </c>
      <c r="I1111">
        <v>2</v>
      </c>
      <c r="J1111">
        <v>3</v>
      </c>
      <c r="K1111" t="s">
        <v>49</v>
      </c>
      <c r="L1111">
        <v>1</v>
      </c>
      <c r="M1111">
        <v>3</v>
      </c>
      <c r="N1111" t="s">
        <v>46</v>
      </c>
      <c r="O1111">
        <v>81</v>
      </c>
      <c r="P1111">
        <v>3</v>
      </c>
      <c r="Q1111">
        <v>2</v>
      </c>
      <c r="R1111" t="s">
        <v>51</v>
      </c>
      <c r="S1111">
        <v>2</v>
      </c>
      <c r="T1111" t="str" cm="1">
        <f t="array" ref="T1111">_xlfn.IFS(S1111&lt;=2,"Poor",S1111&lt;=3,"Fair",S1111&gt;=4,"Good")</f>
        <v>Poor</v>
      </c>
      <c r="U1111" t="s">
        <v>48</v>
      </c>
      <c r="V1111" s="1">
        <v>4855</v>
      </c>
      <c r="W1111" t="str" cm="1">
        <f t="array" ref="W1111">_xlfn.IFS(V1111&lt;=5000,"Low Salary",V1111&lt;=12000,"Good Salary",V1111&gt;12000,"High Salary")</f>
        <v>Low Salary</v>
      </c>
      <c r="X1111">
        <v>7653</v>
      </c>
      <c r="Y1111">
        <v>4</v>
      </c>
      <c r="Z1111" t="s">
        <v>42</v>
      </c>
      <c r="AA1111" t="s">
        <v>35</v>
      </c>
      <c r="AB1111">
        <v>11</v>
      </c>
      <c r="AC1111">
        <v>3</v>
      </c>
      <c r="AD1111" t="str">
        <f t="shared" si="35"/>
        <v>Low Performance</v>
      </c>
      <c r="AE1111">
        <v>1</v>
      </c>
      <c r="AF1111">
        <v>80</v>
      </c>
      <c r="AG1111">
        <v>2</v>
      </c>
      <c r="AH1111">
        <v>7</v>
      </c>
      <c r="AI1111">
        <v>2</v>
      </c>
      <c r="AJ1111">
        <v>3</v>
      </c>
      <c r="AK1111" t="str" cm="1">
        <f t="array" ref="AK1111">_xlfn.IFS(AJ1111&lt;=2,"Poor",AJ1111&lt;=3,"Fair",AJ1111&gt;3,"Good")</f>
        <v>Fair</v>
      </c>
      <c r="AL1111">
        <v>5</v>
      </c>
      <c r="AM1111">
        <v>2</v>
      </c>
      <c r="AN1111">
        <v>1</v>
      </c>
      <c r="AO1111">
        <v>4</v>
      </c>
    </row>
    <row r="1112" spans="1:41" x14ac:dyDescent="0.2">
      <c r="A1112">
        <v>1316836</v>
      </c>
      <c r="B1112">
        <v>32</v>
      </c>
      <c r="C1112" t="str" cm="1">
        <f t="array" ref="C1112">_xlfn.IFS(B1112&lt;=25,"15-25",B1112&lt;=35,"26-35",B1112&lt;=45,"36-45",B1112&lt;=55,"46-55",B1112&lt;=65,"56-65")</f>
        <v>26-35</v>
      </c>
      <c r="D1112" t="s">
        <v>35</v>
      </c>
      <c r="E1112" t="str">
        <f t="shared" si="34"/>
        <v>Current Employee</v>
      </c>
      <c r="F1112" t="s">
        <v>52</v>
      </c>
      <c r="G1112">
        <v>1200</v>
      </c>
      <c r="H1112" t="s">
        <v>45</v>
      </c>
      <c r="I1112">
        <v>1</v>
      </c>
      <c r="J1112">
        <v>4</v>
      </c>
      <c r="K1112" t="s">
        <v>56</v>
      </c>
      <c r="L1112">
        <v>1</v>
      </c>
      <c r="M1112">
        <v>4</v>
      </c>
      <c r="N1112" t="s">
        <v>46</v>
      </c>
      <c r="O1112">
        <v>62</v>
      </c>
      <c r="P1112">
        <v>3</v>
      </c>
      <c r="Q1112">
        <v>2</v>
      </c>
      <c r="R1112" t="s">
        <v>47</v>
      </c>
      <c r="S1112">
        <v>1</v>
      </c>
      <c r="T1112" t="str" cm="1">
        <f t="array" ref="T1112">_xlfn.IFS(S1112&lt;=2,"Poor",S1112&lt;=3,"Fair",S1112&gt;=4,"Good")</f>
        <v>Poor</v>
      </c>
      <c r="U1112" t="s">
        <v>48</v>
      </c>
      <c r="V1112" s="1">
        <v>4087</v>
      </c>
      <c r="W1112" t="str" cm="1">
        <f t="array" ref="W1112">_xlfn.IFS(V1112&lt;=5000,"Low Salary",V1112&lt;=12000,"Good Salary",V1112&gt;12000,"High Salary")</f>
        <v>Low Salary</v>
      </c>
      <c r="X1112">
        <v>25174</v>
      </c>
      <c r="Y1112">
        <v>4</v>
      </c>
      <c r="Z1112" t="s">
        <v>42</v>
      </c>
      <c r="AA1112" t="s">
        <v>35</v>
      </c>
      <c r="AB1112">
        <v>14</v>
      </c>
      <c r="AC1112">
        <v>3</v>
      </c>
      <c r="AD1112" t="str">
        <f t="shared" si="35"/>
        <v>Low Performance</v>
      </c>
      <c r="AE1112">
        <v>2</v>
      </c>
      <c r="AF1112">
        <v>80</v>
      </c>
      <c r="AG1112">
        <v>1</v>
      </c>
      <c r="AH1112">
        <v>9</v>
      </c>
      <c r="AI1112">
        <v>3</v>
      </c>
      <c r="AJ1112">
        <v>2</v>
      </c>
      <c r="AK1112" t="str" cm="1">
        <f t="array" ref="AK1112">_xlfn.IFS(AJ1112&lt;=2,"Poor",AJ1112&lt;=3,"Fair",AJ1112&gt;3,"Good")</f>
        <v>Poor</v>
      </c>
      <c r="AL1112">
        <v>6</v>
      </c>
      <c r="AM1112">
        <v>5</v>
      </c>
      <c r="AN1112">
        <v>1</v>
      </c>
      <c r="AO1112">
        <v>2</v>
      </c>
    </row>
    <row r="1113" spans="1:41" x14ac:dyDescent="0.2">
      <c r="A1113">
        <v>1595159</v>
      </c>
      <c r="B1113">
        <v>48</v>
      </c>
      <c r="C1113" t="str" cm="1">
        <f t="array" ref="C1113">_xlfn.IFS(B1113&lt;=25,"15-25",B1113&lt;=35,"26-35",B1113&lt;=45,"36-45",B1113&lt;=55,"46-55",B1113&lt;=65,"56-65")</f>
        <v>46-55</v>
      </c>
      <c r="D1113" t="s">
        <v>35</v>
      </c>
      <c r="E1113" t="str">
        <f t="shared" si="34"/>
        <v>Current Employee</v>
      </c>
      <c r="F1113" t="s">
        <v>36</v>
      </c>
      <c r="G1113">
        <v>1108</v>
      </c>
      <c r="H1113" t="s">
        <v>45</v>
      </c>
      <c r="I1113">
        <v>15</v>
      </c>
      <c r="J1113">
        <v>4</v>
      </c>
      <c r="K1113" t="s">
        <v>47</v>
      </c>
      <c r="L1113">
        <v>1</v>
      </c>
      <c r="M1113">
        <v>3</v>
      </c>
      <c r="N1113" t="s">
        <v>39</v>
      </c>
      <c r="O1113">
        <v>65</v>
      </c>
      <c r="P1113">
        <v>3</v>
      </c>
      <c r="Q1113">
        <v>1</v>
      </c>
      <c r="R1113" t="s">
        <v>47</v>
      </c>
      <c r="S1113">
        <v>1</v>
      </c>
      <c r="T1113" t="str" cm="1">
        <f t="array" ref="T1113">_xlfn.IFS(S1113&lt;=2,"Poor",S1113&lt;=3,"Fair",S1113&gt;=4,"Good")</f>
        <v>Poor</v>
      </c>
      <c r="U1113" t="s">
        <v>48</v>
      </c>
      <c r="V1113" s="1">
        <v>2367</v>
      </c>
      <c r="W1113" t="str" cm="1">
        <f t="array" ref="W1113">_xlfn.IFS(V1113&lt;=5000,"Low Salary",V1113&lt;=12000,"Good Salary",V1113&gt;12000,"High Salary")</f>
        <v>Low Salary</v>
      </c>
      <c r="X1113">
        <v>16530</v>
      </c>
      <c r="Y1113">
        <v>8</v>
      </c>
      <c r="Z1113" t="s">
        <v>42</v>
      </c>
      <c r="AA1113" t="s">
        <v>35</v>
      </c>
      <c r="AB1113">
        <v>12</v>
      </c>
      <c r="AC1113">
        <v>3</v>
      </c>
      <c r="AD1113" t="str">
        <f t="shared" si="35"/>
        <v>Low Performance</v>
      </c>
      <c r="AE1113">
        <v>4</v>
      </c>
      <c r="AF1113">
        <v>80</v>
      </c>
      <c r="AG1113">
        <v>1</v>
      </c>
      <c r="AH1113">
        <v>10</v>
      </c>
      <c r="AI1113">
        <v>3</v>
      </c>
      <c r="AJ1113">
        <v>2</v>
      </c>
      <c r="AK1113" t="str" cm="1">
        <f t="array" ref="AK1113">_xlfn.IFS(AJ1113&lt;=2,"Poor",AJ1113&lt;=3,"Fair",AJ1113&gt;3,"Good")</f>
        <v>Poor</v>
      </c>
      <c r="AL1113">
        <v>8</v>
      </c>
      <c r="AM1113">
        <v>2</v>
      </c>
      <c r="AN1113">
        <v>7</v>
      </c>
      <c r="AO1113">
        <v>6</v>
      </c>
    </row>
    <row r="1114" spans="1:41" x14ac:dyDescent="0.2">
      <c r="A1114">
        <v>1679356</v>
      </c>
      <c r="B1114">
        <v>34</v>
      </c>
      <c r="C1114" t="str" cm="1">
        <f t="array" ref="C1114">_xlfn.IFS(B1114&lt;=25,"15-25",B1114&lt;=35,"26-35",B1114&lt;=45,"36-45",B1114&lt;=55,"46-55",B1114&lt;=65,"56-65")</f>
        <v>26-35</v>
      </c>
      <c r="D1114" t="s">
        <v>35</v>
      </c>
      <c r="E1114" t="str">
        <f t="shared" si="34"/>
        <v>Current Employee</v>
      </c>
      <c r="F1114" t="s">
        <v>36</v>
      </c>
      <c r="G1114">
        <v>479</v>
      </c>
      <c r="H1114" t="s">
        <v>45</v>
      </c>
      <c r="I1114">
        <v>7</v>
      </c>
      <c r="J1114">
        <v>4</v>
      </c>
      <c r="K1114" t="s">
        <v>49</v>
      </c>
      <c r="L1114">
        <v>1</v>
      </c>
      <c r="M1114">
        <v>1</v>
      </c>
      <c r="N1114" t="s">
        <v>46</v>
      </c>
      <c r="O1114">
        <v>35</v>
      </c>
      <c r="P1114">
        <v>3</v>
      </c>
      <c r="Q1114">
        <v>1</v>
      </c>
      <c r="R1114" t="s">
        <v>47</v>
      </c>
      <c r="S1114">
        <v>4</v>
      </c>
      <c r="T1114" t="str" cm="1">
        <f t="array" ref="T1114">_xlfn.IFS(S1114&lt;=2,"Poor",S1114&lt;=3,"Fair",S1114&gt;=4,"Good")</f>
        <v>Good</v>
      </c>
      <c r="U1114" t="s">
        <v>41</v>
      </c>
      <c r="V1114" s="1">
        <v>2972</v>
      </c>
      <c r="W1114" t="str" cm="1">
        <f t="array" ref="W1114">_xlfn.IFS(V1114&lt;=5000,"Low Salary",V1114&lt;=12000,"Good Salary",V1114&gt;12000,"High Salary")</f>
        <v>Low Salary</v>
      </c>
      <c r="X1114">
        <v>22061</v>
      </c>
      <c r="Y1114">
        <v>1</v>
      </c>
      <c r="Z1114" t="s">
        <v>42</v>
      </c>
      <c r="AA1114" t="s">
        <v>35</v>
      </c>
      <c r="AB1114">
        <v>13</v>
      </c>
      <c r="AC1114">
        <v>3</v>
      </c>
      <c r="AD1114" t="str">
        <f t="shared" si="35"/>
        <v>Low Performance</v>
      </c>
      <c r="AE1114">
        <v>3</v>
      </c>
      <c r="AF1114">
        <v>80</v>
      </c>
      <c r="AG1114">
        <v>0</v>
      </c>
      <c r="AH1114">
        <v>1</v>
      </c>
      <c r="AI1114">
        <v>4</v>
      </c>
      <c r="AJ1114">
        <v>1</v>
      </c>
      <c r="AK1114" t="str" cm="1">
        <f t="array" ref="AK1114">_xlfn.IFS(AJ1114&lt;=2,"Poor",AJ1114&lt;=3,"Fair",AJ1114&gt;3,"Good")</f>
        <v>Poor</v>
      </c>
      <c r="AL1114">
        <v>1</v>
      </c>
      <c r="AM1114">
        <v>0</v>
      </c>
      <c r="AN1114">
        <v>0</v>
      </c>
      <c r="AO1114">
        <v>0</v>
      </c>
    </row>
    <row r="1115" spans="1:41" x14ac:dyDescent="0.2">
      <c r="A1115">
        <v>1729981</v>
      </c>
      <c r="B1115">
        <v>55</v>
      </c>
      <c r="C1115" t="str" cm="1">
        <f t="array" ref="C1115">_xlfn.IFS(B1115&lt;=25,"15-25",B1115&lt;=35,"26-35",B1115&lt;=45,"36-45",B1115&lt;=55,"46-55",B1115&lt;=65,"56-65")</f>
        <v>46-55</v>
      </c>
      <c r="D1115" t="s">
        <v>35</v>
      </c>
      <c r="E1115" t="str">
        <f t="shared" si="34"/>
        <v>Current Employee</v>
      </c>
      <c r="F1115" t="s">
        <v>36</v>
      </c>
      <c r="G1115">
        <v>685</v>
      </c>
      <c r="H1115" t="s">
        <v>37</v>
      </c>
      <c r="I1115">
        <v>26</v>
      </c>
      <c r="J1115">
        <v>5</v>
      </c>
      <c r="K1115" t="s">
        <v>55</v>
      </c>
      <c r="L1115">
        <v>1</v>
      </c>
      <c r="M1115">
        <v>3</v>
      </c>
      <c r="N1115" t="s">
        <v>46</v>
      </c>
      <c r="O1115">
        <v>60</v>
      </c>
      <c r="P1115">
        <v>2</v>
      </c>
      <c r="Q1115">
        <v>5</v>
      </c>
      <c r="R1115" t="s">
        <v>53</v>
      </c>
      <c r="S1115">
        <v>4</v>
      </c>
      <c r="T1115" t="str" cm="1">
        <f t="array" ref="T1115">_xlfn.IFS(S1115&lt;=2,"Poor",S1115&lt;=3,"Fair",S1115&gt;=4,"Good")</f>
        <v>Good</v>
      </c>
      <c r="U1115" t="s">
        <v>48</v>
      </c>
      <c r="V1115" s="1">
        <v>19586</v>
      </c>
      <c r="W1115" t="str" cm="1">
        <f t="array" ref="W1115">_xlfn.IFS(V1115&lt;=5000,"Low Salary",V1115&lt;=12000,"Good Salary",V1115&gt;12000,"High Salary")</f>
        <v>High Salary</v>
      </c>
      <c r="X1115">
        <v>23037</v>
      </c>
      <c r="Y1115">
        <v>1</v>
      </c>
      <c r="Z1115" t="s">
        <v>42</v>
      </c>
      <c r="AA1115" t="s">
        <v>35</v>
      </c>
      <c r="AB1115">
        <v>21</v>
      </c>
      <c r="AC1115">
        <v>4</v>
      </c>
      <c r="AD1115" t="str">
        <f t="shared" si="35"/>
        <v>High Performance</v>
      </c>
      <c r="AE1115">
        <v>3</v>
      </c>
      <c r="AF1115">
        <v>80</v>
      </c>
      <c r="AG1115">
        <v>1</v>
      </c>
      <c r="AH1115">
        <v>36</v>
      </c>
      <c r="AI1115">
        <v>3</v>
      </c>
      <c r="AJ1115">
        <v>3</v>
      </c>
      <c r="AK1115" t="str" cm="1">
        <f t="array" ref="AK1115">_xlfn.IFS(AJ1115&lt;=2,"Poor",AJ1115&lt;=3,"Fair",AJ1115&gt;3,"Good")</f>
        <v>Fair</v>
      </c>
      <c r="AL1115">
        <v>36</v>
      </c>
      <c r="AM1115">
        <v>6</v>
      </c>
      <c r="AN1115">
        <v>2</v>
      </c>
      <c r="AO1115">
        <v>13</v>
      </c>
    </row>
    <row r="1116" spans="1:41" x14ac:dyDescent="0.2">
      <c r="A1116">
        <v>1597323</v>
      </c>
      <c r="B1116">
        <v>34</v>
      </c>
      <c r="C1116" t="str" cm="1">
        <f t="array" ref="C1116">_xlfn.IFS(B1116&lt;=25,"15-25",B1116&lt;=35,"26-35",B1116&lt;=45,"36-45",B1116&lt;=55,"46-55",B1116&lt;=65,"56-65")</f>
        <v>26-35</v>
      </c>
      <c r="D1116" t="s">
        <v>35</v>
      </c>
      <c r="E1116" t="str">
        <f t="shared" si="34"/>
        <v>Current Employee</v>
      </c>
      <c r="F1116" t="s">
        <v>36</v>
      </c>
      <c r="G1116">
        <v>1351</v>
      </c>
      <c r="H1116" t="s">
        <v>45</v>
      </c>
      <c r="I1116">
        <v>1</v>
      </c>
      <c r="J1116">
        <v>4</v>
      </c>
      <c r="K1116" t="s">
        <v>38</v>
      </c>
      <c r="L1116">
        <v>1</v>
      </c>
      <c r="M1116">
        <v>2</v>
      </c>
      <c r="N1116" t="s">
        <v>46</v>
      </c>
      <c r="O1116">
        <v>45</v>
      </c>
      <c r="P1116">
        <v>3</v>
      </c>
      <c r="Q1116">
        <v>2</v>
      </c>
      <c r="R1116" t="s">
        <v>47</v>
      </c>
      <c r="S1116">
        <v>4</v>
      </c>
      <c r="T1116" t="str" cm="1">
        <f t="array" ref="T1116">_xlfn.IFS(S1116&lt;=2,"Poor",S1116&lt;=3,"Fair",S1116&gt;=4,"Good")</f>
        <v>Good</v>
      </c>
      <c r="U1116" t="s">
        <v>48</v>
      </c>
      <c r="V1116" s="1">
        <v>5484</v>
      </c>
      <c r="W1116" t="str" cm="1">
        <f t="array" ref="W1116">_xlfn.IFS(V1116&lt;=5000,"Low Salary",V1116&lt;=12000,"Good Salary",V1116&gt;12000,"High Salary")</f>
        <v>Good Salary</v>
      </c>
      <c r="X1116">
        <v>13008</v>
      </c>
      <c r="Y1116">
        <v>9</v>
      </c>
      <c r="Z1116" t="s">
        <v>42</v>
      </c>
      <c r="AA1116" t="s">
        <v>35</v>
      </c>
      <c r="AB1116">
        <v>17</v>
      </c>
      <c r="AC1116">
        <v>3</v>
      </c>
      <c r="AD1116" t="str">
        <f t="shared" si="35"/>
        <v>Low Performance</v>
      </c>
      <c r="AE1116">
        <v>2</v>
      </c>
      <c r="AF1116">
        <v>80</v>
      </c>
      <c r="AG1116">
        <v>1</v>
      </c>
      <c r="AH1116">
        <v>9</v>
      </c>
      <c r="AI1116">
        <v>3</v>
      </c>
      <c r="AJ1116">
        <v>2</v>
      </c>
      <c r="AK1116" t="str" cm="1">
        <f t="array" ref="AK1116">_xlfn.IFS(AJ1116&lt;=2,"Poor",AJ1116&lt;=3,"Fair",AJ1116&gt;3,"Good")</f>
        <v>Poor</v>
      </c>
      <c r="AL1116">
        <v>2</v>
      </c>
      <c r="AM1116">
        <v>2</v>
      </c>
      <c r="AN1116">
        <v>2</v>
      </c>
      <c r="AO1116">
        <v>1</v>
      </c>
    </row>
    <row r="1117" spans="1:41" x14ac:dyDescent="0.2">
      <c r="A1117">
        <v>1765716</v>
      </c>
      <c r="B1117">
        <v>26</v>
      </c>
      <c r="C1117" t="str" cm="1">
        <f t="array" ref="C1117">_xlfn.IFS(B1117&lt;=25,"15-25",B1117&lt;=35,"26-35",B1117&lt;=45,"36-45",B1117&lt;=55,"46-55",B1117&lt;=65,"56-65")</f>
        <v>26-35</v>
      </c>
      <c r="D1117" t="s">
        <v>35</v>
      </c>
      <c r="E1117" t="str">
        <f t="shared" si="34"/>
        <v>Current Employee</v>
      </c>
      <c r="F1117" t="s">
        <v>36</v>
      </c>
      <c r="G1117">
        <v>474</v>
      </c>
      <c r="H1117" t="s">
        <v>45</v>
      </c>
      <c r="I1117">
        <v>3</v>
      </c>
      <c r="J1117">
        <v>3</v>
      </c>
      <c r="K1117" t="s">
        <v>38</v>
      </c>
      <c r="L1117">
        <v>1</v>
      </c>
      <c r="M1117">
        <v>1</v>
      </c>
      <c r="N1117" t="s">
        <v>39</v>
      </c>
      <c r="O1117">
        <v>89</v>
      </c>
      <c r="P1117">
        <v>3</v>
      </c>
      <c r="Q1117">
        <v>1</v>
      </c>
      <c r="R1117" t="s">
        <v>47</v>
      </c>
      <c r="S1117">
        <v>4</v>
      </c>
      <c r="T1117" t="str" cm="1">
        <f t="array" ref="T1117">_xlfn.IFS(S1117&lt;=2,"Poor",S1117&lt;=3,"Fair",S1117&gt;=4,"Good")</f>
        <v>Good</v>
      </c>
      <c r="U1117" t="s">
        <v>48</v>
      </c>
      <c r="V1117" s="1">
        <v>2061</v>
      </c>
      <c r="W1117" t="str" cm="1">
        <f t="array" ref="W1117">_xlfn.IFS(V1117&lt;=5000,"Low Salary",V1117&lt;=12000,"Good Salary",V1117&gt;12000,"High Salary")</f>
        <v>Low Salary</v>
      </c>
      <c r="X1117">
        <v>11133</v>
      </c>
      <c r="Y1117">
        <v>1</v>
      </c>
      <c r="Z1117" t="s">
        <v>42</v>
      </c>
      <c r="AA1117" t="s">
        <v>35</v>
      </c>
      <c r="AB1117">
        <v>21</v>
      </c>
      <c r="AC1117">
        <v>4</v>
      </c>
      <c r="AD1117" t="str">
        <f t="shared" si="35"/>
        <v>High Performance</v>
      </c>
      <c r="AE1117">
        <v>1</v>
      </c>
      <c r="AF1117">
        <v>80</v>
      </c>
      <c r="AG1117">
        <v>0</v>
      </c>
      <c r="AH1117">
        <v>1</v>
      </c>
      <c r="AI1117">
        <v>5</v>
      </c>
      <c r="AJ1117">
        <v>3</v>
      </c>
      <c r="AK1117" t="str" cm="1">
        <f t="array" ref="AK1117">_xlfn.IFS(AJ1117&lt;=2,"Poor",AJ1117&lt;=3,"Fair",AJ1117&gt;3,"Good")</f>
        <v>Fair</v>
      </c>
      <c r="AL1117">
        <v>1</v>
      </c>
      <c r="AM1117">
        <v>0</v>
      </c>
      <c r="AN1117">
        <v>0</v>
      </c>
      <c r="AO1117">
        <v>0</v>
      </c>
    </row>
    <row r="1118" spans="1:41" x14ac:dyDescent="0.2">
      <c r="A1118">
        <v>1573518</v>
      </c>
      <c r="B1118">
        <v>38</v>
      </c>
      <c r="C1118" t="str" cm="1">
        <f t="array" ref="C1118">_xlfn.IFS(B1118&lt;=25,"15-25",B1118&lt;=35,"26-35",B1118&lt;=45,"36-45",B1118&lt;=55,"46-55",B1118&lt;=65,"56-65")</f>
        <v>36-45</v>
      </c>
      <c r="D1118" t="s">
        <v>35</v>
      </c>
      <c r="E1118" t="str">
        <f t="shared" si="34"/>
        <v>Current Employee</v>
      </c>
      <c r="F1118" t="s">
        <v>36</v>
      </c>
      <c r="G1118">
        <v>1245</v>
      </c>
      <c r="H1118" t="s">
        <v>37</v>
      </c>
      <c r="I1118">
        <v>14</v>
      </c>
      <c r="J1118">
        <v>3</v>
      </c>
      <c r="K1118" t="s">
        <v>38</v>
      </c>
      <c r="L1118">
        <v>1</v>
      </c>
      <c r="M1118">
        <v>3</v>
      </c>
      <c r="N1118" t="s">
        <v>46</v>
      </c>
      <c r="O1118">
        <v>80</v>
      </c>
      <c r="P1118">
        <v>3</v>
      </c>
      <c r="Q1118">
        <v>2</v>
      </c>
      <c r="R1118" t="s">
        <v>40</v>
      </c>
      <c r="S1118">
        <v>2</v>
      </c>
      <c r="T1118" t="str" cm="1">
        <f t="array" ref="T1118">_xlfn.IFS(S1118&lt;=2,"Poor",S1118&lt;=3,"Fair",S1118&gt;=4,"Good")</f>
        <v>Poor</v>
      </c>
      <c r="U1118" t="s">
        <v>48</v>
      </c>
      <c r="V1118" s="1">
        <v>9924</v>
      </c>
      <c r="W1118" t="str" cm="1">
        <f t="array" ref="W1118">_xlfn.IFS(V1118&lt;=5000,"Low Salary",V1118&lt;=12000,"Good Salary",V1118&gt;12000,"High Salary")</f>
        <v>Good Salary</v>
      </c>
      <c r="X1118">
        <v>12355</v>
      </c>
      <c r="Y1118">
        <v>0</v>
      </c>
      <c r="Z1118" t="s">
        <v>42</v>
      </c>
      <c r="AA1118" t="s">
        <v>35</v>
      </c>
      <c r="AB1118">
        <v>11</v>
      </c>
      <c r="AC1118">
        <v>3</v>
      </c>
      <c r="AD1118" t="str">
        <f t="shared" si="35"/>
        <v>Low Performance</v>
      </c>
      <c r="AE1118">
        <v>4</v>
      </c>
      <c r="AF1118">
        <v>80</v>
      </c>
      <c r="AG1118">
        <v>1</v>
      </c>
      <c r="AH1118">
        <v>10</v>
      </c>
      <c r="AI1118">
        <v>3</v>
      </c>
      <c r="AJ1118">
        <v>3</v>
      </c>
      <c r="AK1118" t="str" cm="1">
        <f t="array" ref="AK1118">_xlfn.IFS(AJ1118&lt;=2,"Poor",AJ1118&lt;=3,"Fair",AJ1118&gt;3,"Good")</f>
        <v>Fair</v>
      </c>
      <c r="AL1118">
        <v>9</v>
      </c>
      <c r="AM1118">
        <v>8</v>
      </c>
      <c r="AN1118">
        <v>7</v>
      </c>
      <c r="AO1118">
        <v>7</v>
      </c>
    </row>
    <row r="1119" spans="1:41" x14ac:dyDescent="0.2">
      <c r="A1119">
        <v>1755222</v>
      </c>
      <c r="B1119">
        <v>38</v>
      </c>
      <c r="C1119" t="str" cm="1">
        <f t="array" ref="C1119">_xlfn.IFS(B1119&lt;=25,"15-25",B1119&lt;=35,"26-35",B1119&lt;=45,"36-45",B1119&lt;=55,"46-55",B1119&lt;=65,"56-65")</f>
        <v>36-45</v>
      </c>
      <c r="D1119" t="s">
        <v>35</v>
      </c>
      <c r="E1119" t="str">
        <f t="shared" si="34"/>
        <v>Current Employee</v>
      </c>
      <c r="F1119" t="s">
        <v>36</v>
      </c>
      <c r="G1119">
        <v>437</v>
      </c>
      <c r="H1119" t="s">
        <v>37</v>
      </c>
      <c r="I1119">
        <v>16</v>
      </c>
      <c r="J1119">
        <v>3</v>
      </c>
      <c r="K1119" t="s">
        <v>38</v>
      </c>
      <c r="L1119">
        <v>1</v>
      </c>
      <c r="M1119">
        <v>2</v>
      </c>
      <c r="N1119" t="s">
        <v>39</v>
      </c>
      <c r="O1119">
        <v>90</v>
      </c>
      <c r="P1119">
        <v>3</v>
      </c>
      <c r="Q1119">
        <v>2</v>
      </c>
      <c r="R1119" t="s">
        <v>40</v>
      </c>
      <c r="S1119">
        <v>2</v>
      </c>
      <c r="T1119" t="str" cm="1">
        <f t="array" ref="T1119">_xlfn.IFS(S1119&lt;=2,"Poor",S1119&lt;=3,"Fair",S1119&gt;=4,"Good")</f>
        <v>Poor</v>
      </c>
      <c r="U1119" t="s">
        <v>41</v>
      </c>
      <c r="V1119" s="1">
        <v>4198</v>
      </c>
      <c r="W1119" t="str" cm="1">
        <f t="array" ref="W1119">_xlfn.IFS(V1119&lt;=5000,"Low Salary",V1119&lt;=12000,"Good Salary",V1119&gt;12000,"High Salary")</f>
        <v>Low Salary</v>
      </c>
      <c r="X1119">
        <v>16379</v>
      </c>
      <c r="Y1119">
        <v>2</v>
      </c>
      <c r="Z1119" t="s">
        <v>42</v>
      </c>
      <c r="AA1119" t="s">
        <v>35</v>
      </c>
      <c r="AB1119">
        <v>12</v>
      </c>
      <c r="AC1119">
        <v>3</v>
      </c>
      <c r="AD1119" t="str">
        <f t="shared" si="35"/>
        <v>Low Performance</v>
      </c>
      <c r="AE1119">
        <v>2</v>
      </c>
      <c r="AF1119">
        <v>80</v>
      </c>
      <c r="AG1119">
        <v>0</v>
      </c>
      <c r="AH1119">
        <v>8</v>
      </c>
      <c r="AI1119">
        <v>5</v>
      </c>
      <c r="AJ1119">
        <v>4</v>
      </c>
      <c r="AK1119" t="str" cm="1">
        <f t="array" ref="AK1119">_xlfn.IFS(AJ1119&lt;=2,"Poor",AJ1119&lt;=3,"Fair",AJ1119&gt;3,"Good")</f>
        <v>Good</v>
      </c>
      <c r="AL1119">
        <v>3</v>
      </c>
      <c r="AM1119">
        <v>2</v>
      </c>
      <c r="AN1119">
        <v>1</v>
      </c>
      <c r="AO1119">
        <v>2</v>
      </c>
    </row>
    <row r="1120" spans="1:41" x14ac:dyDescent="0.2">
      <c r="A1120">
        <v>1689960</v>
      </c>
      <c r="B1120">
        <v>36</v>
      </c>
      <c r="C1120" t="str" cm="1">
        <f t="array" ref="C1120">_xlfn.IFS(B1120&lt;=25,"15-25",B1120&lt;=35,"26-35",B1120&lt;=45,"36-45",B1120&lt;=55,"46-55",B1120&lt;=65,"56-65")</f>
        <v>36-45</v>
      </c>
      <c r="D1120" t="s">
        <v>35</v>
      </c>
      <c r="E1120" t="str">
        <f t="shared" si="34"/>
        <v>Current Employee</v>
      </c>
      <c r="F1120" t="s">
        <v>36</v>
      </c>
      <c r="G1120">
        <v>884</v>
      </c>
      <c r="H1120" t="s">
        <v>37</v>
      </c>
      <c r="I1120">
        <v>1</v>
      </c>
      <c r="J1120">
        <v>4</v>
      </c>
      <c r="K1120" t="s">
        <v>38</v>
      </c>
      <c r="L1120">
        <v>1</v>
      </c>
      <c r="M1120">
        <v>2</v>
      </c>
      <c r="N1120" t="s">
        <v>39</v>
      </c>
      <c r="O1120">
        <v>73</v>
      </c>
      <c r="P1120">
        <v>3</v>
      </c>
      <c r="Q1120">
        <v>2</v>
      </c>
      <c r="R1120" t="s">
        <v>40</v>
      </c>
      <c r="S1120">
        <v>3</v>
      </c>
      <c r="T1120" t="str" cm="1">
        <f t="array" ref="T1120">_xlfn.IFS(S1120&lt;=2,"Poor",S1120&lt;=3,"Fair",S1120&gt;=4,"Good")</f>
        <v>Fair</v>
      </c>
      <c r="U1120" t="s">
        <v>41</v>
      </c>
      <c r="V1120" s="1">
        <v>6815</v>
      </c>
      <c r="W1120" t="str" cm="1">
        <f t="array" ref="W1120">_xlfn.IFS(V1120&lt;=5000,"Low Salary",V1120&lt;=12000,"Good Salary",V1120&gt;12000,"High Salary")</f>
        <v>Good Salary</v>
      </c>
      <c r="X1120">
        <v>21447</v>
      </c>
      <c r="Y1120">
        <v>6</v>
      </c>
      <c r="Z1120" t="s">
        <v>42</v>
      </c>
      <c r="AA1120" t="s">
        <v>35</v>
      </c>
      <c r="AB1120">
        <v>13</v>
      </c>
      <c r="AC1120">
        <v>3</v>
      </c>
      <c r="AD1120" t="str">
        <f t="shared" si="35"/>
        <v>Low Performance</v>
      </c>
      <c r="AE1120">
        <v>1</v>
      </c>
      <c r="AF1120">
        <v>80</v>
      </c>
      <c r="AG1120">
        <v>0</v>
      </c>
      <c r="AH1120">
        <v>15</v>
      </c>
      <c r="AI1120">
        <v>5</v>
      </c>
      <c r="AJ1120">
        <v>3</v>
      </c>
      <c r="AK1120" t="str" cm="1">
        <f t="array" ref="AK1120">_xlfn.IFS(AJ1120&lt;=2,"Poor",AJ1120&lt;=3,"Fair",AJ1120&gt;3,"Good")</f>
        <v>Fair</v>
      </c>
      <c r="AL1120">
        <v>1</v>
      </c>
      <c r="AM1120">
        <v>0</v>
      </c>
      <c r="AN1120">
        <v>0</v>
      </c>
      <c r="AO1120">
        <v>0</v>
      </c>
    </row>
    <row r="1121" spans="1:41" x14ac:dyDescent="0.2">
      <c r="A1121">
        <v>1321308</v>
      </c>
      <c r="B1121">
        <v>29</v>
      </c>
      <c r="C1121" t="str" cm="1">
        <f t="array" ref="C1121">_xlfn.IFS(B1121&lt;=25,"15-25",B1121&lt;=35,"26-35",B1121&lt;=45,"36-45",B1121&lt;=55,"46-55",B1121&lt;=65,"56-65")</f>
        <v>26-35</v>
      </c>
      <c r="D1121" t="s">
        <v>35</v>
      </c>
      <c r="E1121" t="str">
        <f t="shared" si="34"/>
        <v>Current Employee</v>
      </c>
      <c r="F1121" t="s">
        <v>36</v>
      </c>
      <c r="G1121">
        <v>1370</v>
      </c>
      <c r="H1121" t="s">
        <v>45</v>
      </c>
      <c r="I1121">
        <v>3</v>
      </c>
      <c r="J1121">
        <v>1</v>
      </c>
      <c r="K1121" t="s">
        <v>49</v>
      </c>
      <c r="L1121">
        <v>1</v>
      </c>
      <c r="M1121">
        <v>2</v>
      </c>
      <c r="N1121" t="s">
        <v>46</v>
      </c>
      <c r="O1121">
        <v>87</v>
      </c>
      <c r="P1121">
        <v>3</v>
      </c>
      <c r="Q1121">
        <v>1</v>
      </c>
      <c r="R1121" t="s">
        <v>40</v>
      </c>
      <c r="S1121">
        <v>1</v>
      </c>
      <c r="T1121" t="str" cm="1">
        <f t="array" ref="T1121">_xlfn.IFS(S1121&lt;=2,"Poor",S1121&lt;=3,"Fair",S1121&gt;=4,"Good")</f>
        <v>Poor</v>
      </c>
      <c r="U1121" t="s">
        <v>41</v>
      </c>
      <c r="V1121" s="1">
        <v>4723</v>
      </c>
      <c r="W1121" t="str" cm="1">
        <f t="array" ref="W1121">_xlfn.IFS(V1121&lt;=5000,"Low Salary",V1121&lt;=12000,"Good Salary",V1121&gt;12000,"High Salary")</f>
        <v>Low Salary</v>
      </c>
      <c r="X1121">
        <v>16213</v>
      </c>
      <c r="Y1121">
        <v>1</v>
      </c>
      <c r="Z1121" t="s">
        <v>42</v>
      </c>
      <c r="AA1121" t="s">
        <v>43</v>
      </c>
      <c r="AB1121">
        <v>18</v>
      </c>
      <c r="AC1121">
        <v>3</v>
      </c>
      <c r="AD1121" t="str">
        <f t="shared" si="35"/>
        <v>Low Performance</v>
      </c>
      <c r="AE1121">
        <v>4</v>
      </c>
      <c r="AF1121">
        <v>80</v>
      </c>
      <c r="AG1121">
        <v>0</v>
      </c>
      <c r="AH1121">
        <v>10</v>
      </c>
      <c r="AI1121">
        <v>3</v>
      </c>
      <c r="AJ1121">
        <v>3</v>
      </c>
      <c r="AK1121" t="str" cm="1">
        <f t="array" ref="AK1121">_xlfn.IFS(AJ1121&lt;=2,"Poor",AJ1121&lt;=3,"Fair",AJ1121&gt;3,"Good")</f>
        <v>Fair</v>
      </c>
      <c r="AL1121">
        <v>10</v>
      </c>
      <c r="AM1121">
        <v>9</v>
      </c>
      <c r="AN1121">
        <v>1</v>
      </c>
      <c r="AO1121">
        <v>5</v>
      </c>
    </row>
    <row r="1122" spans="1:41" x14ac:dyDescent="0.2">
      <c r="A1122">
        <v>1261502</v>
      </c>
      <c r="B1122">
        <v>35</v>
      </c>
      <c r="C1122" t="str" cm="1">
        <f t="array" ref="C1122">_xlfn.IFS(B1122&lt;=25,"15-25",B1122&lt;=35,"26-35",B1122&lt;=45,"36-45",B1122&lt;=55,"46-55",B1122&lt;=65,"56-65")</f>
        <v>26-35</v>
      </c>
      <c r="D1122" t="s">
        <v>35</v>
      </c>
      <c r="E1122" t="str">
        <f t="shared" si="34"/>
        <v>Current Employee</v>
      </c>
      <c r="F1122" t="s">
        <v>36</v>
      </c>
      <c r="G1122">
        <v>670</v>
      </c>
      <c r="H1122" t="s">
        <v>45</v>
      </c>
      <c r="I1122">
        <v>10</v>
      </c>
      <c r="J1122">
        <v>4</v>
      </c>
      <c r="K1122" t="s">
        <v>49</v>
      </c>
      <c r="L1122">
        <v>1</v>
      </c>
      <c r="M1122">
        <v>1</v>
      </c>
      <c r="N1122" t="s">
        <v>39</v>
      </c>
      <c r="O1122">
        <v>51</v>
      </c>
      <c r="P1122">
        <v>3</v>
      </c>
      <c r="Q1122">
        <v>2</v>
      </c>
      <c r="R1122" t="s">
        <v>40</v>
      </c>
      <c r="S1122">
        <v>3</v>
      </c>
      <c r="T1122" t="str" cm="1">
        <f t="array" ref="T1122">_xlfn.IFS(S1122&lt;=2,"Poor",S1122&lt;=3,"Fair",S1122&gt;=4,"Good")</f>
        <v>Fair</v>
      </c>
      <c r="U1122" t="s">
        <v>41</v>
      </c>
      <c r="V1122" s="1">
        <v>6142</v>
      </c>
      <c r="W1122" t="str" cm="1">
        <f t="array" ref="W1122">_xlfn.IFS(V1122&lt;=5000,"Low Salary",V1122&lt;=12000,"Good Salary",V1122&gt;12000,"High Salary")</f>
        <v>Good Salary</v>
      </c>
      <c r="X1122">
        <v>4223</v>
      </c>
      <c r="Y1122">
        <v>3</v>
      </c>
      <c r="Z1122" t="s">
        <v>42</v>
      </c>
      <c r="AA1122" t="s">
        <v>43</v>
      </c>
      <c r="AB1122">
        <v>16</v>
      </c>
      <c r="AC1122">
        <v>3</v>
      </c>
      <c r="AD1122" t="str">
        <f t="shared" si="35"/>
        <v>Low Performance</v>
      </c>
      <c r="AE1122">
        <v>3</v>
      </c>
      <c r="AF1122">
        <v>80</v>
      </c>
      <c r="AG1122">
        <v>0</v>
      </c>
      <c r="AH1122">
        <v>10</v>
      </c>
      <c r="AI1122">
        <v>4</v>
      </c>
      <c r="AJ1122">
        <v>3</v>
      </c>
      <c r="AK1122" t="str" cm="1">
        <f t="array" ref="AK1122">_xlfn.IFS(AJ1122&lt;=2,"Poor",AJ1122&lt;=3,"Fair",AJ1122&gt;3,"Good")</f>
        <v>Fair</v>
      </c>
      <c r="AL1122">
        <v>5</v>
      </c>
      <c r="AM1122">
        <v>2</v>
      </c>
      <c r="AN1122">
        <v>0</v>
      </c>
      <c r="AO1122">
        <v>4</v>
      </c>
    </row>
    <row r="1123" spans="1:41" x14ac:dyDescent="0.2">
      <c r="A1123">
        <v>1041532</v>
      </c>
      <c r="B1123">
        <v>39</v>
      </c>
      <c r="C1123" t="str" cm="1">
        <f t="array" ref="C1123">_xlfn.IFS(B1123&lt;=25,"15-25",B1123&lt;=35,"26-35",B1123&lt;=45,"36-45",B1123&lt;=55,"46-55",B1123&lt;=65,"56-65")</f>
        <v>36-45</v>
      </c>
      <c r="D1123" t="s">
        <v>35</v>
      </c>
      <c r="E1123" t="str">
        <f t="shared" si="34"/>
        <v>Current Employee</v>
      </c>
      <c r="F1123" t="s">
        <v>36</v>
      </c>
      <c r="G1123">
        <v>1462</v>
      </c>
      <c r="H1123" t="s">
        <v>37</v>
      </c>
      <c r="I1123">
        <v>6</v>
      </c>
      <c r="J1123">
        <v>3</v>
      </c>
      <c r="K1123" t="s">
        <v>49</v>
      </c>
      <c r="L1123">
        <v>1</v>
      </c>
      <c r="M1123">
        <v>4</v>
      </c>
      <c r="N1123" t="s">
        <v>46</v>
      </c>
      <c r="O1123">
        <v>38</v>
      </c>
      <c r="P1123">
        <v>4</v>
      </c>
      <c r="Q1123">
        <v>3</v>
      </c>
      <c r="R1123" t="s">
        <v>40</v>
      </c>
      <c r="S1123">
        <v>3</v>
      </c>
      <c r="T1123" t="str" cm="1">
        <f t="array" ref="T1123">_xlfn.IFS(S1123&lt;=2,"Poor",S1123&lt;=3,"Fair",S1123&gt;=4,"Good")</f>
        <v>Fair</v>
      </c>
      <c r="U1123" t="s">
        <v>48</v>
      </c>
      <c r="V1123" s="1">
        <v>8237</v>
      </c>
      <c r="W1123" t="str" cm="1">
        <f t="array" ref="W1123">_xlfn.IFS(V1123&lt;=5000,"Low Salary",V1123&lt;=12000,"Good Salary",V1123&gt;12000,"High Salary")</f>
        <v>Good Salary</v>
      </c>
      <c r="X1123">
        <v>4658</v>
      </c>
      <c r="Y1123">
        <v>2</v>
      </c>
      <c r="Z1123" t="s">
        <v>42</v>
      </c>
      <c r="AA1123" t="s">
        <v>35</v>
      </c>
      <c r="AB1123">
        <v>11</v>
      </c>
      <c r="AC1123">
        <v>3</v>
      </c>
      <c r="AD1123" t="str">
        <f t="shared" si="35"/>
        <v>Low Performance</v>
      </c>
      <c r="AE1123">
        <v>1</v>
      </c>
      <c r="AF1123">
        <v>80</v>
      </c>
      <c r="AG1123">
        <v>1</v>
      </c>
      <c r="AH1123">
        <v>11</v>
      </c>
      <c r="AI1123">
        <v>3</v>
      </c>
      <c r="AJ1123">
        <v>3</v>
      </c>
      <c r="AK1123" t="str" cm="1">
        <f t="array" ref="AK1123">_xlfn.IFS(AJ1123&lt;=2,"Poor",AJ1123&lt;=3,"Fair",AJ1123&gt;3,"Good")</f>
        <v>Fair</v>
      </c>
      <c r="AL1123">
        <v>7</v>
      </c>
      <c r="AM1123">
        <v>6</v>
      </c>
      <c r="AN1123">
        <v>7</v>
      </c>
      <c r="AO1123">
        <v>6</v>
      </c>
    </row>
    <row r="1124" spans="1:41" x14ac:dyDescent="0.2">
      <c r="A1124">
        <v>1828789</v>
      </c>
      <c r="B1124">
        <v>29</v>
      </c>
      <c r="C1124" t="str" cm="1">
        <f t="array" ref="C1124">_xlfn.IFS(B1124&lt;=25,"15-25",B1124&lt;=35,"26-35",B1124&lt;=45,"36-45",B1124&lt;=55,"46-55",B1124&lt;=65,"56-65")</f>
        <v>26-35</v>
      </c>
      <c r="D1124" t="s">
        <v>35</v>
      </c>
      <c r="E1124" t="str">
        <f t="shared" si="34"/>
        <v>Current Employee</v>
      </c>
      <c r="F1124" t="s">
        <v>44</v>
      </c>
      <c r="G1124">
        <v>995</v>
      </c>
      <c r="H1124" t="s">
        <v>45</v>
      </c>
      <c r="I1124">
        <v>2</v>
      </c>
      <c r="J1124">
        <v>1</v>
      </c>
      <c r="K1124" t="s">
        <v>38</v>
      </c>
      <c r="L1124">
        <v>1</v>
      </c>
      <c r="M1124">
        <v>1</v>
      </c>
      <c r="N1124" t="s">
        <v>46</v>
      </c>
      <c r="O1124">
        <v>87</v>
      </c>
      <c r="P1124">
        <v>3</v>
      </c>
      <c r="Q1124">
        <v>2</v>
      </c>
      <c r="R1124" t="s">
        <v>40</v>
      </c>
      <c r="S1124">
        <v>4</v>
      </c>
      <c r="T1124" t="str" cm="1">
        <f t="array" ref="T1124">_xlfn.IFS(S1124&lt;=2,"Poor",S1124&lt;=3,"Fair",S1124&gt;=4,"Good")</f>
        <v>Good</v>
      </c>
      <c r="U1124" t="s">
        <v>50</v>
      </c>
      <c r="V1124" s="1">
        <v>8853</v>
      </c>
      <c r="W1124" t="str" cm="1">
        <f t="array" ref="W1124">_xlfn.IFS(V1124&lt;=5000,"Low Salary",V1124&lt;=12000,"Good Salary",V1124&gt;12000,"High Salary")</f>
        <v>Good Salary</v>
      </c>
      <c r="X1124">
        <v>24483</v>
      </c>
      <c r="Y1124">
        <v>1</v>
      </c>
      <c r="Z1124" t="s">
        <v>42</v>
      </c>
      <c r="AA1124" t="s">
        <v>35</v>
      </c>
      <c r="AB1124">
        <v>19</v>
      </c>
      <c r="AC1124">
        <v>3</v>
      </c>
      <c r="AD1124" t="str">
        <f t="shared" si="35"/>
        <v>Low Performance</v>
      </c>
      <c r="AE1124">
        <v>4</v>
      </c>
      <c r="AF1124">
        <v>80</v>
      </c>
      <c r="AG1124">
        <v>1</v>
      </c>
      <c r="AH1124">
        <v>6</v>
      </c>
      <c r="AI1124">
        <v>0</v>
      </c>
      <c r="AJ1124">
        <v>4</v>
      </c>
      <c r="AK1124" t="str" cm="1">
        <f t="array" ref="AK1124">_xlfn.IFS(AJ1124&lt;=2,"Poor",AJ1124&lt;=3,"Fair",AJ1124&gt;3,"Good")</f>
        <v>Good</v>
      </c>
      <c r="AL1124">
        <v>6</v>
      </c>
      <c r="AM1124">
        <v>4</v>
      </c>
      <c r="AN1124">
        <v>1</v>
      </c>
      <c r="AO1124">
        <v>3</v>
      </c>
    </row>
    <row r="1125" spans="1:41" x14ac:dyDescent="0.2">
      <c r="A1125">
        <v>1638427</v>
      </c>
      <c r="B1125">
        <v>50</v>
      </c>
      <c r="C1125" t="str" cm="1">
        <f t="array" ref="C1125">_xlfn.IFS(B1125&lt;=25,"15-25",B1125&lt;=35,"26-35",B1125&lt;=45,"36-45",B1125&lt;=55,"46-55",B1125&lt;=65,"56-65")</f>
        <v>46-55</v>
      </c>
      <c r="D1125" t="s">
        <v>35</v>
      </c>
      <c r="E1125" t="str">
        <f t="shared" si="34"/>
        <v>Current Employee</v>
      </c>
      <c r="F1125" t="s">
        <v>36</v>
      </c>
      <c r="G1125">
        <v>264</v>
      </c>
      <c r="H1125" t="s">
        <v>37</v>
      </c>
      <c r="I1125">
        <v>9</v>
      </c>
      <c r="J1125">
        <v>3</v>
      </c>
      <c r="K1125" t="s">
        <v>55</v>
      </c>
      <c r="L1125">
        <v>1</v>
      </c>
      <c r="M1125">
        <v>3</v>
      </c>
      <c r="N1125" t="s">
        <v>46</v>
      </c>
      <c r="O1125">
        <v>59</v>
      </c>
      <c r="P1125">
        <v>3</v>
      </c>
      <c r="Q1125">
        <v>5</v>
      </c>
      <c r="R1125" t="s">
        <v>53</v>
      </c>
      <c r="S1125">
        <v>3</v>
      </c>
      <c r="T1125" t="str" cm="1">
        <f t="array" ref="T1125">_xlfn.IFS(S1125&lt;=2,"Poor",S1125&lt;=3,"Fair",S1125&gt;=4,"Good")</f>
        <v>Fair</v>
      </c>
      <c r="U1125" t="s">
        <v>48</v>
      </c>
      <c r="V1125" s="1">
        <v>19331</v>
      </c>
      <c r="W1125" t="str" cm="1">
        <f t="array" ref="W1125">_xlfn.IFS(V1125&lt;=5000,"Low Salary",V1125&lt;=12000,"Good Salary",V1125&gt;12000,"High Salary")</f>
        <v>High Salary</v>
      </c>
      <c r="X1125">
        <v>19519</v>
      </c>
      <c r="Y1125">
        <v>4</v>
      </c>
      <c r="Z1125" t="s">
        <v>42</v>
      </c>
      <c r="AA1125" t="s">
        <v>43</v>
      </c>
      <c r="AB1125">
        <v>16</v>
      </c>
      <c r="AC1125">
        <v>3</v>
      </c>
      <c r="AD1125" t="str">
        <f t="shared" si="35"/>
        <v>Low Performance</v>
      </c>
      <c r="AE1125">
        <v>3</v>
      </c>
      <c r="AF1125">
        <v>80</v>
      </c>
      <c r="AG1125">
        <v>1</v>
      </c>
      <c r="AH1125">
        <v>27</v>
      </c>
      <c r="AI1125">
        <v>2</v>
      </c>
      <c r="AJ1125">
        <v>3</v>
      </c>
      <c r="AK1125" t="str" cm="1">
        <f t="array" ref="AK1125">_xlfn.IFS(AJ1125&lt;=2,"Poor",AJ1125&lt;=3,"Fair",AJ1125&gt;3,"Good")</f>
        <v>Fair</v>
      </c>
      <c r="AL1125">
        <v>1</v>
      </c>
      <c r="AM1125">
        <v>0</v>
      </c>
      <c r="AN1125">
        <v>0</v>
      </c>
      <c r="AO1125">
        <v>0</v>
      </c>
    </row>
    <row r="1126" spans="1:41" x14ac:dyDescent="0.2">
      <c r="A1126">
        <v>1788553</v>
      </c>
      <c r="B1126">
        <v>23</v>
      </c>
      <c r="C1126" t="str" cm="1">
        <f t="array" ref="C1126">_xlfn.IFS(B1126&lt;=25,"15-25",B1126&lt;=35,"26-35",B1126&lt;=45,"36-45",B1126&lt;=55,"46-55",B1126&lt;=65,"56-65")</f>
        <v>15-25</v>
      </c>
      <c r="D1126" t="s">
        <v>35</v>
      </c>
      <c r="E1126" t="str">
        <f t="shared" si="34"/>
        <v>Current Employee</v>
      </c>
      <c r="F1126" t="s">
        <v>36</v>
      </c>
      <c r="G1126">
        <v>977</v>
      </c>
      <c r="H1126" t="s">
        <v>45</v>
      </c>
      <c r="I1126">
        <v>10</v>
      </c>
      <c r="J1126">
        <v>3</v>
      </c>
      <c r="K1126" t="s">
        <v>56</v>
      </c>
      <c r="L1126">
        <v>1</v>
      </c>
      <c r="M1126">
        <v>4</v>
      </c>
      <c r="N1126" t="s">
        <v>46</v>
      </c>
      <c r="O1126">
        <v>45</v>
      </c>
      <c r="P1126">
        <v>4</v>
      </c>
      <c r="Q1126">
        <v>1</v>
      </c>
      <c r="R1126" t="s">
        <v>47</v>
      </c>
      <c r="S1126">
        <v>3</v>
      </c>
      <c r="T1126" t="str" cm="1">
        <f t="array" ref="T1126">_xlfn.IFS(S1126&lt;=2,"Poor",S1126&lt;=3,"Fair",S1126&gt;=4,"Good")</f>
        <v>Fair</v>
      </c>
      <c r="U1126" t="s">
        <v>48</v>
      </c>
      <c r="V1126" s="1">
        <v>2073</v>
      </c>
      <c r="W1126" t="str" cm="1">
        <f t="array" ref="W1126">_xlfn.IFS(V1126&lt;=5000,"Low Salary",V1126&lt;=12000,"Good Salary",V1126&gt;12000,"High Salary")</f>
        <v>Low Salary</v>
      </c>
      <c r="X1126">
        <v>12826</v>
      </c>
      <c r="Y1126">
        <v>2</v>
      </c>
      <c r="Z1126" t="s">
        <v>42</v>
      </c>
      <c r="AA1126" t="s">
        <v>35</v>
      </c>
      <c r="AB1126">
        <v>16</v>
      </c>
      <c r="AC1126">
        <v>3</v>
      </c>
      <c r="AD1126" t="str">
        <f t="shared" si="35"/>
        <v>Low Performance</v>
      </c>
      <c r="AE1126">
        <v>4</v>
      </c>
      <c r="AF1126">
        <v>80</v>
      </c>
      <c r="AG1126">
        <v>1</v>
      </c>
      <c r="AH1126">
        <v>4</v>
      </c>
      <c r="AI1126">
        <v>2</v>
      </c>
      <c r="AJ1126">
        <v>3</v>
      </c>
      <c r="AK1126" t="str" cm="1">
        <f t="array" ref="AK1126">_xlfn.IFS(AJ1126&lt;=2,"Poor",AJ1126&lt;=3,"Fair",AJ1126&gt;3,"Good")</f>
        <v>Fair</v>
      </c>
      <c r="AL1126">
        <v>2</v>
      </c>
      <c r="AM1126">
        <v>2</v>
      </c>
      <c r="AN1126">
        <v>2</v>
      </c>
      <c r="AO1126">
        <v>2</v>
      </c>
    </row>
    <row r="1127" spans="1:41" x14ac:dyDescent="0.2">
      <c r="A1127">
        <v>1599847</v>
      </c>
      <c r="B1127">
        <v>36</v>
      </c>
      <c r="C1127" t="str" cm="1">
        <f t="array" ref="C1127">_xlfn.IFS(B1127&lt;=25,"15-25",B1127&lt;=35,"26-35",B1127&lt;=45,"36-45",B1127&lt;=55,"46-55",B1127&lt;=65,"56-65")</f>
        <v>36-45</v>
      </c>
      <c r="D1127" t="s">
        <v>35</v>
      </c>
      <c r="E1127" t="str">
        <f t="shared" si="34"/>
        <v>Current Employee</v>
      </c>
      <c r="F1127" t="s">
        <v>44</v>
      </c>
      <c r="G1127">
        <v>1302</v>
      </c>
      <c r="H1127" t="s">
        <v>45</v>
      </c>
      <c r="I1127">
        <v>6</v>
      </c>
      <c r="J1127">
        <v>4</v>
      </c>
      <c r="K1127" t="s">
        <v>38</v>
      </c>
      <c r="L1127">
        <v>1</v>
      </c>
      <c r="M1127">
        <v>1</v>
      </c>
      <c r="N1127" t="s">
        <v>46</v>
      </c>
      <c r="O1127">
        <v>80</v>
      </c>
      <c r="P1127">
        <v>4</v>
      </c>
      <c r="Q1127">
        <v>2</v>
      </c>
      <c r="R1127" t="s">
        <v>40</v>
      </c>
      <c r="S1127">
        <v>1</v>
      </c>
      <c r="T1127" t="str" cm="1">
        <f t="array" ref="T1127">_xlfn.IFS(S1127&lt;=2,"Poor",S1127&lt;=3,"Fair",S1127&gt;=4,"Good")</f>
        <v>Poor</v>
      </c>
      <c r="U1127" t="s">
        <v>48</v>
      </c>
      <c r="V1127" s="1">
        <v>5562</v>
      </c>
      <c r="W1127" t="str" cm="1">
        <f t="array" ref="W1127">_xlfn.IFS(V1127&lt;=5000,"Low Salary",V1127&lt;=12000,"Good Salary",V1127&gt;12000,"High Salary")</f>
        <v>Good Salary</v>
      </c>
      <c r="X1127">
        <v>19711</v>
      </c>
      <c r="Y1127">
        <v>3</v>
      </c>
      <c r="Z1127" t="s">
        <v>42</v>
      </c>
      <c r="AA1127" t="s">
        <v>43</v>
      </c>
      <c r="AB1127">
        <v>13</v>
      </c>
      <c r="AC1127">
        <v>3</v>
      </c>
      <c r="AD1127" t="str">
        <f t="shared" si="35"/>
        <v>Low Performance</v>
      </c>
      <c r="AE1127">
        <v>4</v>
      </c>
      <c r="AF1127">
        <v>80</v>
      </c>
      <c r="AG1127">
        <v>1</v>
      </c>
      <c r="AH1127">
        <v>9</v>
      </c>
      <c r="AI1127">
        <v>3</v>
      </c>
      <c r="AJ1127">
        <v>3</v>
      </c>
      <c r="AK1127" t="str" cm="1">
        <f t="array" ref="AK1127">_xlfn.IFS(AJ1127&lt;=2,"Poor",AJ1127&lt;=3,"Fair",AJ1127&gt;3,"Good")</f>
        <v>Fair</v>
      </c>
      <c r="AL1127">
        <v>3</v>
      </c>
      <c r="AM1127">
        <v>2</v>
      </c>
      <c r="AN1127">
        <v>0</v>
      </c>
      <c r="AO1127">
        <v>2</v>
      </c>
    </row>
    <row r="1128" spans="1:41" x14ac:dyDescent="0.2">
      <c r="A1128">
        <v>1856176</v>
      </c>
      <c r="B1128">
        <v>42</v>
      </c>
      <c r="C1128" t="str" cm="1">
        <f t="array" ref="C1128">_xlfn.IFS(B1128&lt;=25,"15-25",B1128&lt;=35,"26-35",B1128&lt;=45,"36-45",B1128&lt;=55,"46-55",B1128&lt;=65,"56-65")</f>
        <v>36-45</v>
      </c>
      <c r="D1128" t="s">
        <v>35</v>
      </c>
      <c r="E1128" t="str">
        <f t="shared" si="34"/>
        <v>Current Employee</v>
      </c>
      <c r="F1128" t="s">
        <v>36</v>
      </c>
      <c r="G1128">
        <v>1059</v>
      </c>
      <c r="H1128" t="s">
        <v>54</v>
      </c>
      <c r="I1128">
        <v>9</v>
      </c>
      <c r="J1128">
        <v>2</v>
      </c>
      <c r="K1128" t="s">
        <v>47</v>
      </c>
      <c r="L1128">
        <v>1</v>
      </c>
      <c r="M1128">
        <v>4</v>
      </c>
      <c r="N1128" t="s">
        <v>46</v>
      </c>
      <c r="O1128">
        <v>93</v>
      </c>
      <c r="P1128">
        <v>2</v>
      </c>
      <c r="Q1128">
        <v>5</v>
      </c>
      <c r="R1128" t="s">
        <v>47</v>
      </c>
      <c r="S1128">
        <v>4</v>
      </c>
      <c r="T1128" t="str" cm="1">
        <f t="array" ref="T1128">_xlfn.IFS(S1128&lt;=2,"Poor",S1128&lt;=3,"Fair",S1128&gt;=4,"Good")</f>
        <v>Good</v>
      </c>
      <c r="U1128" t="s">
        <v>41</v>
      </c>
      <c r="V1128" s="1">
        <v>19613</v>
      </c>
      <c r="W1128" t="str" cm="1">
        <f t="array" ref="W1128">_xlfn.IFS(V1128&lt;=5000,"Low Salary",V1128&lt;=12000,"Good Salary",V1128&gt;12000,"High Salary")</f>
        <v>High Salary</v>
      </c>
      <c r="X1128">
        <v>26362</v>
      </c>
      <c r="Y1128">
        <v>8</v>
      </c>
      <c r="Z1128" t="s">
        <v>42</v>
      </c>
      <c r="AA1128" t="s">
        <v>35</v>
      </c>
      <c r="AB1128">
        <v>22</v>
      </c>
      <c r="AC1128">
        <v>4</v>
      </c>
      <c r="AD1128" t="str">
        <f t="shared" si="35"/>
        <v>High Performance</v>
      </c>
      <c r="AE1128">
        <v>4</v>
      </c>
      <c r="AF1128">
        <v>80</v>
      </c>
      <c r="AG1128">
        <v>0</v>
      </c>
      <c r="AH1128">
        <v>24</v>
      </c>
      <c r="AI1128">
        <v>2</v>
      </c>
      <c r="AJ1128">
        <v>3</v>
      </c>
      <c r="AK1128" t="str" cm="1">
        <f t="array" ref="AK1128">_xlfn.IFS(AJ1128&lt;=2,"Poor",AJ1128&lt;=3,"Fair",AJ1128&gt;3,"Good")</f>
        <v>Fair</v>
      </c>
      <c r="AL1128">
        <v>1</v>
      </c>
      <c r="AM1128">
        <v>0</v>
      </c>
      <c r="AN1128">
        <v>0</v>
      </c>
      <c r="AO1128">
        <v>1</v>
      </c>
    </row>
    <row r="1129" spans="1:41" x14ac:dyDescent="0.2">
      <c r="A1129">
        <v>1106946</v>
      </c>
      <c r="B1129">
        <v>35</v>
      </c>
      <c r="C1129" t="str" cm="1">
        <f t="array" ref="C1129">_xlfn.IFS(B1129&lt;=25,"15-25",B1129&lt;=35,"26-35",B1129&lt;=45,"36-45",B1129&lt;=55,"46-55",B1129&lt;=65,"56-65")</f>
        <v>26-35</v>
      </c>
      <c r="D1129" t="s">
        <v>35</v>
      </c>
      <c r="E1129" t="str">
        <f t="shared" si="34"/>
        <v>Current Employee</v>
      </c>
      <c r="F1129" t="s">
        <v>36</v>
      </c>
      <c r="G1129">
        <v>750</v>
      </c>
      <c r="H1129" t="s">
        <v>45</v>
      </c>
      <c r="I1129">
        <v>28</v>
      </c>
      <c r="J1129">
        <v>3</v>
      </c>
      <c r="K1129" t="s">
        <v>38</v>
      </c>
      <c r="L1129">
        <v>1</v>
      </c>
      <c r="M1129">
        <v>2</v>
      </c>
      <c r="N1129" t="s">
        <v>46</v>
      </c>
      <c r="O1129">
        <v>46</v>
      </c>
      <c r="P1129">
        <v>4</v>
      </c>
      <c r="Q1129">
        <v>2</v>
      </c>
      <c r="R1129" t="s">
        <v>40</v>
      </c>
      <c r="S1129">
        <v>3</v>
      </c>
      <c r="T1129" t="str" cm="1">
        <f t="array" ref="T1129">_xlfn.IFS(S1129&lt;=2,"Poor",S1129&lt;=3,"Fair",S1129&gt;=4,"Good")</f>
        <v>Fair</v>
      </c>
      <c r="U1129" t="s">
        <v>48</v>
      </c>
      <c r="V1129" s="1">
        <v>3407</v>
      </c>
      <c r="W1129" t="str" cm="1">
        <f t="array" ref="W1129">_xlfn.IFS(V1129&lt;=5000,"Low Salary",V1129&lt;=12000,"Good Salary",V1129&gt;12000,"High Salary")</f>
        <v>Low Salary</v>
      </c>
      <c r="X1129">
        <v>25348</v>
      </c>
      <c r="Y1129">
        <v>1</v>
      </c>
      <c r="Z1129" t="s">
        <v>42</v>
      </c>
      <c r="AA1129" t="s">
        <v>35</v>
      </c>
      <c r="AB1129">
        <v>17</v>
      </c>
      <c r="AC1129">
        <v>3</v>
      </c>
      <c r="AD1129" t="str">
        <f t="shared" si="35"/>
        <v>Low Performance</v>
      </c>
      <c r="AE1129">
        <v>4</v>
      </c>
      <c r="AF1129">
        <v>80</v>
      </c>
      <c r="AG1129">
        <v>2</v>
      </c>
      <c r="AH1129">
        <v>10</v>
      </c>
      <c r="AI1129">
        <v>3</v>
      </c>
      <c r="AJ1129">
        <v>2</v>
      </c>
      <c r="AK1129" t="str" cm="1">
        <f t="array" ref="AK1129">_xlfn.IFS(AJ1129&lt;=2,"Poor",AJ1129&lt;=3,"Fair",AJ1129&gt;3,"Good")</f>
        <v>Poor</v>
      </c>
      <c r="AL1129">
        <v>10</v>
      </c>
      <c r="AM1129">
        <v>9</v>
      </c>
      <c r="AN1129">
        <v>6</v>
      </c>
      <c r="AO1129">
        <v>8</v>
      </c>
    </row>
    <row r="1130" spans="1:41" x14ac:dyDescent="0.2">
      <c r="A1130">
        <v>1866800</v>
      </c>
      <c r="B1130">
        <v>34</v>
      </c>
      <c r="C1130" t="str" cm="1">
        <f t="array" ref="C1130">_xlfn.IFS(B1130&lt;=25,"15-25",B1130&lt;=35,"26-35",B1130&lt;=45,"36-45",B1130&lt;=55,"46-55",B1130&lt;=65,"56-65")</f>
        <v>26-35</v>
      </c>
      <c r="D1130" t="s">
        <v>35</v>
      </c>
      <c r="E1130" t="str">
        <f t="shared" si="34"/>
        <v>Current Employee</v>
      </c>
      <c r="F1130" t="s">
        <v>44</v>
      </c>
      <c r="G1130">
        <v>653</v>
      </c>
      <c r="H1130" t="s">
        <v>45</v>
      </c>
      <c r="I1130">
        <v>10</v>
      </c>
      <c r="J1130">
        <v>4</v>
      </c>
      <c r="K1130" t="s">
        <v>56</v>
      </c>
      <c r="L1130">
        <v>1</v>
      </c>
      <c r="M1130">
        <v>4</v>
      </c>
      <c r="N1130" t="s">
        <v>46</v>
      </c>
      <c r="O1130">
        <v>92</v>
      </c>
      <c r="P1130">
        <v>2</v>
      </c>
      <c r="Q1130">
        <v>2</v>
      </c>
      <c r="R1130" t="s">
        <v>40</v>
      </c>
      <c r="S1130">
        <v>3</v>
      </c>
      <c r="T1130" t="str" cm="1">
        <f t="array" ref="T1130">_xlfn.IFS(S1130&lt;=2,"Poor",S1130&lt;=3,"Fair",S1130&gt;=4,"Good")</f>
        <v>Fair</v>
      </c>
      <c r="U1130" t="s">
        <v>48</v>
      </c>
      <c r="V1130" s="1">
        <v>5063</v>
      </c>
      <c r="W1130" t="str" cm="1">
        <f t="array" ref="W1130">_xlfn.IFS(V1130&lt;=5000,"Low Salary",V1130&lt;=12000,"Good Salary",V1130&gt;12000,"High Salary")</f>
        <v>Good Salary</v>
      </c>
      <c r="X1130">
        <v>15332</v>
      </c>
      <c r="Y1130">
        <v>1</v>
      </c>
      <c r="Z1130" t="s">
        <v>42</v>
      </c>
      <c r="AA1130" t="s">
        <v>35</v>
      </c>
      <c r="AB1130">
        <v>14</v>
      </c>
      <c r="AC1130">
        <v>3</v>
      </c>
      <c r="AD1130" t="str">
        <f t="shared" si="35"/>
        <v>Low Performance</v>
      </c>
      <c r="AE1130">
        <v>2</v>
      </c>
      <c r="AF1130">
        <v>80</v>
      </c>
      <c r="AG1130">
        <v>1</v>
      </c>
      <c r="AH1130">
        <v>8</v>
      </c>
      <c r="AI1130">
        <v>3</v>
      </c>
      <c r="AJ1130">
        <v>2</v>
      </c>
      <c r="AK1130" t="str" cm="1">
        <f t="array" ref="AK1130">_xlfn.IFS(AJ1130&lt;=2,"Poor",AJ1130&lt;=3,"Fair",AJ1130&gt;3,"Good")</f>
        <v>Poor</v>
      </c>
      <c r="AL1130">
        <v>8</v>
      </c>
      <c r="AM1130">
        <v>2</v>
      </c>
      <c r="AN1130">
        <v>7</v>
      </c>
      <c r="AO1130">
        <v>7</v>
      </c>
    </row>
    <row r="1131" spans="1:41" x14ac:dyDescent="0.2">
      <c r="A1131">
        <v>1492385</v>
      </c>
      <c r="B1131">
        <v>40</v>
      </c>
      <c r="C1131" t="str" cm="1">
        <f t="array" ref="C1131">_xlfn.IFS(B1131&lt;=25,"15-25",B1131&lt;=35,"26-35",B1131&lt;=45,"36-45",B1131&lt;=55,"46-55",B1131&lt;=65,"56-65")</f>
        <v>36-45</v>
      </c>
      <c r="D1131" t="s">
        <v>35</v>
      </c>
      <c r="E1131" t="str">
        <f t="shared" si="34"/>
        <v>Current Employee</v>
      </c>
      <c r="F1131" t="s">
        <v>36</v>
      </c>
      <c r="G1131">
        <v>118</v>
      </c>
      <c r="H1131" t="s">
        <v>37</v>
      </c>
      <c r="I1131">
        <v>14</v>
      </c>
      <c r="J1131">
        <v>2</v>
      </c>
      <c r="K1131" t="s">
        <v>38</v>
      </c>
      <c r="L1131">
        <v>1</v>
      </c>
      <c r="M1131">
        <v>4</v>
      </c>
      <c r="N1131" t="s">
        <v>39</v>
      </c>
      <c r="O1131">
        <v>84</v>
      </c>
      <c r="P1131">
        <v>3</v>
      </c>
      <c r="Q1131">
        <v>2</v>
      </c>
      <c r="R1131" t="s">
        <v>40</v>
      </c>
      <c r="S1131">
        <v>1</v>
      </c>
      <c r="T1131" t="str" cm="1">
        <f t="array" ref="T1131">_xlfn.IFS(S1131&lt;=2,"Poor",S1131&lt;=3,"Fair",S1131&gt;=4,"Good")</f>
        <v>Poor</v>
      </c>
      <c r="U1131" t="s">
        <v>48</v>
      </c>
      <c r="V1131" s="1">
        <v>4639</v>
      </c>
      <c r="W1131" t="str" cm="1">
        <f t="array" ref="W1131">_xlfn.IFS(V1131&lt;=5000,"Low Salary",V1131&lt;=12000,"Good Salary",V1131&gt;12000,"High Salary")</f>
        <v>Low Salary</v>
      </c>
      <c r="X1131">
        <v>11262</v>
      </c>
      <c r="Y1131">
        <v>1</v>
      </c>
      <c r="Z1131" t="s">
        <v>42</v>
      </c>
      <c r="AA1131" t="s">
        <v>35</v>
      </c>
      <c r="AB1131">
        <v>15</v>
      </c>
      <c r="AC1131">
        <v>3</v>
      </c>
      <c r="AD1131" t="str">
        <f t="shared" si="35"/>
        <v>Low Performance</v>
      </c>
      <c r="AE1131">
        <v>3</v>
      </c>
      <c r="AF1131">
        <v>80</v>
      </c>
      <c r="AG1131">
        <v>1</v>
      </c>
      <c r="AH1131">
        <v>5</v>
      </c>
      <c r="AI1131">
        <v>2</v>
      </c>
      <c r="AJ1131">
        <v>3</v>
      </c>
      <c r="AK1131" t="str" cm="1">
        <f t="array" ref="AK1131">_xlfn.IFS(AJ1131&lt;=2,"Poor",AJ1131&lt;=3,"Fair",AJ1131&gt;3,"Good")</f>
        <v>Fair</v>
      </c>
      <c r="AL1131">
        <v>5</v>
      </c>
      <c r="AM1131">
        <v>4</v>
      </c>
      <c r="AN1131">
        <v>1</v>
      </c>
      <c r="AO1131">
        <v>2</v>
      </c>
    </row>
    <row r="1132" spans="1:41" x14ac:dyDescent="0.2">
      <c r="A1132">
        <v>1463621</v>
      </c>
      <c r="B1132">
        <v>43</v>
      </c>
      <c r="C1132" t="str" cm="1">
        <f t="array" ref="C1132">_xlfn.IFS(B1132&lt;=25,"15-25",B1132&lt;=35,"26-35",B1132&lt;=45,"36-45",B1132&lt;=55,"46-55",B1132&lt;=65,"56-65")</f>
        <v>36-45</v>
      </c>
      <c r="D1132" t="s">
        <v>35</v>
      </c>
      <c r="E1132" t="str">
        <f t="shared" si="34"/>
        <v>Current Employee</v>
      </c>
      <c r="F1132" t="s">
        <v>36</v>
      </c>
      <c r="G1132">
        <v>990</v>
      </c>
      <c r="H1132" t="s">
        <v>45</v>
      </c>
      <c r="I1132">
        <v>27</v>
      </c>
      <c r="J1132">
        <v>3</v>
      </c>
      <c r="K1132" t="s">
        <v>56</v>
      </c>
      <c r="L1132">
        <v>1</v>
      </c>
      <c r="M1132">
        <v>4</v>
      </c>
      <c r="N1132" t="s">
        <v>46</v>
      </c>
      <c r="O1132">
        <v>87</v>
      </c>
      <c r="P1132">
        <v>4</v>
      </c>
      <c r="Q1132">
        <v>1</v>
      </c>
      <c r="R1132" t="s">
        <v>40</v>
      </c>
      <c r="S1132">
        <v>2</v>
      </c>
      <c r="T1132" t="str" cm="1">
        <f t="array" ref="T1132">_xlfn.IFS(S1132&lt;=2,"Poor",S1132&lt;=3,"Fair",S1132&gt;=4,"Good")</f>
        <v>Poor</v>
      </c>
      <c r="U1132" t="s">
        <v>50</v>
      </c>
      <c r="V1132" s="1">
        <v>4876</v>
      </c>
      <c r="W1132" t="str" cm="1">
        <f t="array" ref="W1132">_xlfn.IFS(V1132&lt;=5000,"Low Salary",V1132&lt;=12000,"Good Salary",V1132&gt;12000,"High Salary")</f>
        <v>Low Salary</v>
      </c>
      <c r="X1132">
        <v>5855</v>
      </c>
      <c r="Y1132">
        <v>5</v>
      </c>
      <c r="Z1132" t="s">
        <v>42</v>
      </c>
      <c r="AA1132" t="s">
        <v>35</v>
      </c>
      <c r="AB1132">
        <v>12</v>
      </c>
      <c r="AC1132">
        <v>3</v>
      </c>
      <c r="AD1132" t="str">
        <f t="shared" si="35"/>
        <v>Low Performance</v>
      </c>
      <c r="AE1132">
        <v>3</v>
      </c>
      <c r="AF1132">
        <v>80</v>
      </c>
      <c r="AG1132">
        <v>1</v>
      </c>
      <c r="AH1132">
        <v>8</v>
      </c>
      <c r="AI1132">
        <v>0</v>
      </c>
      <c r="AJ1132">
        <v>3</v>
      </c>
      <c r="AK1132" t="str" cm="1">
        <f t="array" ref="AK1132">_xlfn.IFS(AJ1132&lt;=2,"Poor",AJ1132&lt;=3,"Fair",AJ1132&gt;3,"Good")</f>
        <v>Fair</v>
      </c>
      <c r="AL1132">
        <v>6</v>
      </c>
      <c r="AM1132">
        <v>4</v>
      </c>
      <c r="AN1132">
        <v>0</v>
      </c>
      <c r="AO1132">
        <v>2</v>
      </c>
    </row>
    <row r="1133" spans="1:41" x14ac:dyDescent="0.2">
      <c r="A1133">
        <v>1562191</v>
      </c>
      <c r="B1133">
        <v>35</v>
      </c>
      <c r="C1133" t="str" cm="1">
        <f t="array" ref="C1133">_xlfn.IFS(B1133&lt;=25,"15-25",B1133&lt;=35,"26-35",B1133&lt;=45,"36-45",B1133&lt;=55,"46-55",B1133&lt;=65,"56-65")</f>
        <v>26-35</v>
      </c>
      <c r="D1133" t="s">
        <v>35</v>
      </c>
      <c r="E1133" t="str">
        <f t="shared" si="34"/>
        <v>Current Employee</v>
      </c>
      <c r="F1133" t="s">
        <v>36</v>
      </c>
      <c r="G1133">
        <v>1349</v>
      </c>
      <c r="H1133" t="s">
        <v>45</v>
      </c>
      <c r="I1133">
        <v>7</v>
      </c>
      <c r="J1133">
        <v>2</v>
      </c>
      <c r="K1133" t="s">
        <v>38</v>
      </c>
      <c r="L1133">
        <v>1</v>
      </c>
      <c r="M1133">
        <v>3</v>
      </c>
      <c r="N1133" t="s">
        <v>46</v>
      </c>
      <c r="O1133">
        <v>63</v>
      </c>
      <c r="P1133">
        <v>2</v>
      </c>
      <c r="Q1133">
        <v>1</v>
      </c>
      <c r="R1133" t="s">
        <v>40</v>
      </c>
      <c r="S1133">
        <v>4</v>
      </c>
      <c r="T1133" t="str" cm="1">
        <f t="array" ref="T1133">_xlfn.IFS(S1133&lt;=2,"Poor",S1133&lt;=3,"Fair",S1133&gt;=4,"Good")</f>
        <v>Good</v>
      </c>
      <c r="U1133" t="s">
        <v>48</v>
      </c>
      <c r="V1133" s="1">
        <v>2690</v>
      </c>
      <c r="W1133" t="str" cm="1">
        <f t="array" ref="W1133">_xlfn.IFS(V1133&lt;=5000,"Low Salary",V1133&lt;=12000,"Good Salary",V1133&gt;12000,"High Salary")</f>
        <v>Low Salary</v>
      </c>
      <c r="X1133">
        <v>7713</v>
      </c>
      <c r="Y1133">
        <v>1</v>
      </c>
      <c r="Z1133" t="s">
        <v>42</v>
      </c>
      <c r="AA1133" t="s">
        <v>35</v>
      </c>
      <c r="AB1133">
        <v>18</v>
      </c>
      <c r="AC1133">
        <v>3</v>
      </c>
      <c r="AD1133" t="str">
        <f t="shared" si="35"/>
        <v>Low Performance</v>
      </c>
      <c r="AE1133">
        <v>4</v>
      </c>
      <c r="AF1133">
        <v>80</v>
      </c>
      <c r="AG1133">
        <v>1</v>
      </c>
      <c r="AH1133">
        <v>1</v>
      </c>
      <c r="AI1133">
        <v>5</v>
      </c>
      <c r="AJ1133">
        <v>2</v>
      </c>
      <c r="AK1133" t="str" cm="1">
        <f t="array" ref="AK1133">_xlfn.IFS(AJ1133&lt;=2,"Poor",AJ1133&lt;=3,"Fair",AJ1133&gt;3,"Good")</f>
        <v>Poor</v>
      </c>
      <c r="AL1133">
        <v>1</v>
      </c>
      <c r="AM1133">
        <v>0</v>
      </c>
      <c r="AN1133">
        <v>0</v>
      </c>
      <c r="AO1133">
        <v>1</v>
      </c>
    </row>
    <row r="1134" spans="1:41" x14ac:dyDescent="0.2">
      <c r="A1134">
        <v>1801915</v>
      </c>
      <c r="B1134">
        <v>46</v>
      </c>
      <c r="C1134" t="str" cm="1">
        <f t="array" ref="C1134">_xlfn.IFS(B1134&lt;=25,"15-25",B1134&lt;=35,"26-35",B1134&lt;=45,"36-45",B1134&lt;=55,"46-55",B1134&lt;=65,"56-65")</f>
        <v>46-55</v>
      </c>
      <c r="D1134" t="s">
        <v>35</v>
      </c>
      <c r="E1134" t="str">
        <f t="shared" si="34"/>
        <v>Current Employee</v>
      </c>
      <c r="F1134" t="s">
        <v>36</v>
      </c>
      <c r="G1134">
        <v>563</v>
      </c>
      <c r="H1134" t="s">
        <v>37</v>
      </c>
      <c r="I1134">
        <v>1</v>
      </c>
      <c r="J1134">
        <v>4</v>
      </c>
      <c r="K1134" t="s">
        <v>38</v>
      </c>
      <c r="L1134">
        <v>1</v>
      </c>
      <c r="M1134">
        <v>4</v>
      </c>
      <c r="N1134" t="s">
        <v>46</v>
      </c>
      <c r="O1134">
        <v>56</v>
      </c>
      <c r="P1134">
        <v>4</v>
      </c>
      <c r="Q1134">
        <v>4</v>
      </c>
      <c r="R1134" t="s">
        <v>53</v>
      </c>
      <c r="S1134">
        <v>1</v>
      </c>
      <c r="T1134" t="str" cm="1">
        <f t="array" ref="T1134">_xlfn.IFS(S1134&lt;=2,"Poor",S1134&lt;=3,"Fair",S1134&gt;=4,"Good")</f>
        <v>Poor</v>
      </c>
      <c r="U1134" t="s">
        <v>41</v>
      </c>
      <c r="V1134" s="1">
        <v>17567</v>
      </c>
      <c r="W1134" t="str" cm="1">
        <f t="array" ref="W1134">_xlfn.IFS(V1134&lt;=5000,"Low Salary",V1134&lt;=12000,"Good Salary",V1134&gt;12000,"High Salary")</f>
        <v>High Salary</v>
      </c>
      <c r="X1134">
        <v>3156</v>
      </c>
      <c r="Y1134">
        <v>1</v>
      </c>
      <c r="Z1134" t="s">
        <v>42</v>
      </c>
      <c r="AA1134" t="s">
        <v>35</v>
      </c>
      <c r="AB1134">
        <v>15</v>
      </c>
      <c r="AC1134">
        <v>3</v>
      </c>
      <c r="AD1134" t="str">
        <f t="shared" si="35"/>
        <v>Low Performance</v>
      </c>
      <c r="AE1134">
        <v>2</v>
      </c>
      <c r="AF1134">
        <v>80</v>
      </c>
      <c r="AG1134">
        <v>0</v>
      </c>
      <c r="AH1134">
        <v>27</v>
      </c>
      <c r="AI1134">
        <v>5</v>
      </c>
      <c r="AJ1134">
        <v>1</v>
      </c>
      <c r="AK1134" t="str" cm="1">
        <f t="array" ref="AK1134">_xlfn.IFS(AJ1134&lt;=2,"Poor",AJ1134&lt;=3,"Fair",AJ1134&gt;3,"Good")</f>
        <v>Poor</v>
      </c>
      <c r="AL1134">
        <v>26</v>
      </c>
      <c r="AM1134">
        <v>0</v>
      </c>
      <c r="AN1134">
        <v>0</v>
      </c>
      <c r="AO1134">
        <v>12</v>
      </c>
    </row>
    <row r="1135" spans="1:41" x14ac:dyDescent="0.2">
      <c r="A1135">
        <v>1064286</v>
      </c>
      <c r="B1135">
        <v>28</v>
      </c>
      <c r="C1135" t="str" cm="1">
        <f t="array" ref="C1135">_xlfn.IFS(B1135&lt;=25,"15-25",B1135&lt;=35,"26-35",B1135&lt;=45,"36-45",B1135&lt;=55,"46-55",B1135&lt;=65,"56-65")</f>
        <v>26-35</v>
      </c>
      <c r="D1135" t="s">
        <v>43</v>
      </c>
      <c r="E1135" t="str">
        <f t="shared" si="34"/>
        <v>Former Employee</v>
      </c>
      <c r="F1135" t="s">
        <v>36</v>
      </c>
      <c r="G1135">
        <v>329</v>
      </c>
      <c r="H1135" t="s">
        <v>45</v>
      </c>
      <c r="I1135">
        <v>24</v>
      </c>
      <c r="J1135">
        <v>3</v>
      </c>
      <c r="K1135" t="s">
        <v>49</v>
      </c>
      <c r="L1135">
        <v>1</v>
      </c>
      <c r="M1135">
        <v>3</v>
      </c>
      <c r="N1135" t="s">
        <v>46</v>
      </c>
      <c r="O1135">
        <v>51</v>
      </c>
      <c r="P1135">
        <v>3</v>
      </c>
      <c r="Q1135">
        <v>1</v>
      </c>
      <c r="R1135" t="s">
        <v>40</v>
      </c>
      <c r="S1135">
        <v>2</v>
      </c>
      <c r="T1135" t="str" cm="1">
        <f t="array" ref="T1135">_xlfn.IFS(S1135&lt;=2,"Poor",S1135&lt;=3,"Fair",S1135&gt;=4,"Good")</f>
        <v>Poor</v>
      </c>
      <c r="U1135" t="s">
        <v>48</v>
      </c>
      <c r="V1135" s="1">
        <v>2408</v>
      </c>
      <c r="W1135" t="str" cm="1">
        <f t="array" ref="W1135">_xlfn.IFS(V1135&lt;=5000,"Low Salary",V1135&lt;=12000,"Good Salary",V1135&gt;12000,"High Salary")</f>
        <v>Low Salary</v>
      </c>
      <c r="X1135">
        <v>7324</v>
      </c>
      <c r="Y1135">
        <v>1</v>
      </c>
      <c r="Z1135" t="s">
        <v>42</v>
      </c>
      <c r="AA1135" t="s">
        <v>43</v>
      </c>
      <c r="AB1135">
        <v>17</v>
      </c>
      <c r="AC1135">
        <v>3</v>
      </c>
      <c r="AD1135" t="str">
        <f t="shared" si="35"/>
        <v>Low Performance</v>
      </c>
      <c r="AE1135">
        <v>3</v>
      </c>
      <c r="AF1135">
        <v>80</v>
      </c>
      <c r="AG1135">
        <v>3</v>
      </c>
      <c r="AH1135">
        <v>1</v>
      </c>
      <c r="AI1135">
        <v>3</v>
      </c>
      <c r="AJ1135">
        <v>3</v>
      </c>
      <c r="AK1135" t="str" cm="1">
        <f t="array" ref="AK1135">_xlfn.IFS(AJ1135&lt;=2,"Poor",AJ1135&lt;=3,"Fair",AJ1135&gt;3,"Good")</f>
        <v>Fair</v>
      </c>
      <c r="AL1135">
        <v>1</v>
      </c>
      <c r="AM1135">
        <v>1</v>
      </c>
      <c r="AN1135">
        <v>0</v>
      </c>
      <c r="AO1135">
        <v>0</v>
      </c>
    </row>
    <row r="1136" spans="1:41" x14ac:dyDescent="0.2">
      <c r="A1136">
        <v>1494533</v>
      </c>
      <c r="B1136">
        <v>22</v>
      </c>
      <c r="C1136" t="str" cm="1">
        <f t="array" ref="C1136">_xlfn.IFS(B1136&lt;=25,"15-25",B1136&lt;=35,"26-35",B1136&lt;=45,"36-45",B1136&lt;=55,"46-55",B1136&lt;=65,"56-65")</f>
        <v>15-25</v>
      </c>
      <c r="D1136" t="s">
        <v>43</v>
      </c>
      <c r="E1136" t="str">
        <f t="shared" si="34"/>
        <v>Former Employee</v>
      </c>
      <c r="F1136" t="s">
        <v>52</v>
      </c>
      <c r="G1136">
        <v>457</v>
      </c>
      <c r="H1136" t="s">
        <v>45</v>
      </c>
      <c r="I1136">
        <v>26</v>
      </c>
      <c r="J1136">
        <v>2</v>
      </c>
      <c r="K1136" t="s">
        <v>47</v>
      </c>
      <c r="L1136">
        <v>1</v>
      </c>
      <c r="M1136">
        <v>2</v>
      </c>
      <c r="N1136" t="s">
        <v>39</v>
      </c>
      <c r="O1136">
        <v>85</v>
      </c>
      <c r="P1136">
        <v>2</v>
      </c>
      <c r="Q1136">
        <v>1</v>
      </c>
      <c r="R1136" t="s">
        <v>47</v>
      </c>
      <c r="S1136">
        <v>3</v>
      </c>
      <c r="T1136" t="str" cm="1">
        <f t="array" ref="T1136">_xlfn.IFS(S1136&lt;=2,"Poor",S1136&lt;=3,"Fair",S1136&gt;=4,"Good")</f>
        <v>Fair</v>
      </c>
      <c r="U1136" t="s">
        <v>48</v>
      </c>
      <c r="V1136" s="1">
        <v>2814</v>
      </c>
      <c r="W1136" t="str" cm="1">
        <f t="array" ref="W1136">_xlfn.IFS(V1136&lt;=5000,"Low Salary",V1136&lt;=12000,"Good Salary",V1136&gt;12000,"High Salary")</f>
        <v>Low Salary</v>
      </c>
      <c r="X1136">
        <v>10293</v>
      </c>
      <c r="Y1136">
        <v>1</v>
      </c>
      <c r="Z1136" t="s">
        <v>42</v>
      </c>
      <c r="AA1136" t="s">
        <v>43</v>
      </c>
      <c r="AB1136">
        <v>14</v>
      </c>
      <c r="AC1136">
        <v>3</v>
      </c>
      <c r="AD1136" t="str">
        <f t="shared" si="35"/>
        <v>Low Performance</v>
      </c>
      <c r="AE1136">
        <v>2</v>
      </c>
      <c r="AF1136">
        <v>80</v>
      </c>
      <c r="AG1136">
        <v>0</v>
      </c>
      <c r="AH1136">
        <v>4</v>
      </c>
      <c r="AI1136">
        <v>2</v>
      </c>
      <c r="AJ1136">
        <v>2</v>
      </c>
      <c r="AK1136" t="str" cm="1">
        <f t="array" ref="AK1136">_xlfn.IFS(AJ1136&lt;=2,"Poor",AJ1136&lt;=3,"Fair",AJ1136&gt;3,"Good")</f>
        <v>Poor</v>
      </c>
      <c r="AL1136">
        <v>4</v>
      </c>
      <c r="AM1136">
        <v>2</v>
      </c>
      <c r="AN1136">
        <v>1</v>
      </c>
      <c r="AO1136">
        <v>3</v>
      </c>
    </row>
    <row r="1137" spans="1:41" x14ac:dyDescent="0.2">
      <c r="A1137">
        <v>1618456</v>
      </c>
      <c r="B1137">
        <v>50</v>
      </c>
      <c r="C1137" t="str" cm="1">
        <f t="array" ref="C1137">_xlfn.IFS(B1137&lt;=25,"15-25",B1137&lt;=35,"26-35",B1137&lt;=45,"36-45",B1137&lt;=55,"46-55",B1137&lt;=65,"56-65")</f>
        <v>46-55</v>
      </c>
      <c r="D1137" t="s">
        <v>35</v>
      </c>
      <c r="E1137" t="str">
        <f t="shared" si="34"/>
        <v>Current Employee</v>
      </c>
      <c r="F1137" t="s">
        <v>44</v>
      </c>
      <c r="G1137">
        <v>1234</v>
      </c>
      <c r="H1137" t="s">
        <v>45</v>
      </c>
      <c r="I1137">
        <v>20</v>
      </c>
      <c r="J1137">
        <v>5</v>
      </c>
      <c r="K1137" t="s">
        <v>49</v>
      </c>
      <c r="L1137">
        <v>1</v>
      </c>
      <c r="M1137">
        <v>2</v>
      </c>
      <c r="N1137" t="s">
        <v>46</v>
      </c>
      <c r="O1137">
        <v>41</v>
      </c>
      <c r="P1137">
        <v>3</v>
      </c>
      <c r="Q1137">
        <v>4</v>
      </c>
      <c r="R1137" t="s">
        <v>40</v>
      </c>
      <c r="S1137">
        <v>3</v>
      </c>
      <c r="T1137" t="str" cm="1">
        <f t="array" ref="T1137">_xlfn.IFS(S1137&lt;=2,"Poor",S1137&lt;=3,"Fair",S1137&gt;=4,"Good")</f>
        <v>Fair</v>
      </c>
      <c r="U1137" t="s">
        <v>48</v>
      </c>
      <c r="V1137" s="1">
        <v>11245</v>
      </c>
      <c r="W1137" t="str" cm="1">
        <f t="array" ref="W1137">_xlfn.IFS(V1137&lt;=5000,"Low Salary",V1137&lt;=12000,"Good Salary",V1137&gt;12000,"High Salary")</f>
        <v>Good Salary</v>
      </c>
      <c r="X1137">
        <v>20689</v>
      </c>
      <c r="Y1137">
        <v>2</v>
      </c>
      <c r="Z1137" t="s">
        <v>42</v>
      </c>
      <c r="AA1137" t="s">
        <v>43</v>
      </c>
      <c r="AB1137">
        <v>15</v>
      </c>
      <c r="AC1137">
        <v>3</v>
      </c>
      <c r="AD1137" t="str">
        <f t="shared" si="35"/>
        <v>Low Performance</v>
      </c>
      <c r="AE1137">
        <v>3</v>
      </c>
      <c r="AF1137">
        <v>80</v>
      </c>
      <c r="AG1137">
        <v>1</v>
      </c>
      <c r="AH1137">
        <v>32</v>
      </c>
      <c r="AI1137">
        <v>3</v>
      </c>
      <c r="AJ1137">
        <v>3</v>
      </c>
      <c r="AK1137" t="str" cm="1">
        <f t="array" ref="AK1137">_xlfn.IFS(AJ1137&lt;=2,"Poor",AJ1137&lt;=3,"Fair",AJ1137&gt;3,"Good")</f>
        <v>Fair</v>
      </c>
      <c r="AL1137">
        <v>30</v>
      </c>
      <c r="AM1137">
        <v>8</v>
      </c>
      <c r="AN1137">
        <v>12</v>
      </c>
      <c r="AO1137">
        <v>13</v>
      </c>
    </row>
    <row r="1138" spans="1:41" x14ac:dyDescent="0.2">
      <c r="A1138">
        <v>1072876</v>
      </c>
      <c r="B1138">
        <v>32</v>
      </c>
      <c r="C1138" t="str" cm="1">
        <f t="array" ref="C1138">_xlfn.IFS(B1138&lt;=25,"15-25",B1138&lt;=35,"26-35",B1138&lt;=45,"36-45",B1138&lt;=55,"46-55",B1138&lt;=65,"56-65")</f>
        <v>26-35</v>
      </c>
      <c r="D1138" t="s">
        <v>35</v>
      </c>
      <c r="E1138" t="str">
        <f t="shared" si="34"/>
        <v>Current Employee</v>
      </c>
      <c r="F1138" t="s">
        <v>36</v>
      </c>
      <c r="G1138">
        <v>634</v>
      </c>
      <c r="H1138" t="s">
        <v>45</v>
      </c>
      <c r="I1138">
        <v>5</v>
      </c>
      <c r="J1138">
        <v>4</v>
      </c>
      <c r="K1138" t="s">
        <v>47</v>
      </c>
      <c r="L1138">
        <v>1</v>
      </c>
      <c r="M1138">
        <v>2</v>
      </c>
      <c r="N1138" t="s">
        <v>39</v>
      </c>
      <c r="O1138">
        <v>35</v>
      </c>
      <c r="P1138">
        <v>4</v>
      </c>
      <c r="Q1138">
        <v>1</v>
      </c>
      <c r="R1138" t="s">
        <v>47</v>
      </c>
      <c r="S1138">
        <v>4</v>
      </c>
      <c r="T1138" t="str" cm="1">
        <f t="array" ref="T1138">_xlfn.IFS(S1138&lt;=2,"Poor",S1138&lt;=3,"Fair",S1138&gt;=4,"Good")</f>
        <v>Good</v>
      </c>
      <c r="U1138" t="s">
        <v>48</v>
      </c>
      <c r="V1138" s="1">
        <v>3312</v>
      </c>
      <c r="W1138" t="str" cm="1">
        <f t="array" ref="W1138">_xlfn.IFS(V1138&lt;=5000,"Low Salary",V1138&lt;=12000,"Good Salary",V1138&gt;12000,"High Salary")</f>
        <v>Low Salary</v>
      </c>
      <c r="X1138">
        <v>18783</v>
      </c>
      <c r="Y1138">
        <v>3</v>
      </c>
      <c r="Z1138" t="s">
        <v>42</v>
      </c>
      <c r="AA1138" t="s">
        <v>35</v>
      </c>
      <c r="AB1138">
        <v>17</v>
      </c>
      <c r="AC1138">
        <v>3</v>
      </c>
      <c r="AD1138" t="str">
        <f t="shared" si="35"/>
        <v>Low Performance</v>
      </c>
      <c r="AE1138">
        <v>4</v>
      </c>
      <c r="AF1138">
        <v>80</v>
      </c>
      <c r="AG1138">
        <v>2</v>
      </c>
      <c r="AH1138">
        <v>6</v>
      </c>
      <c r="AI1138">
        <v>3</v>
      </c>
      <c r="AJ1138">
        <v>3</v>
      </c>
      <c r="AK1138" t="str" cm="1">
        <f t="array" ref="AK1138">_xlfn.IFS(AJ1138&lt;=2,"Poor",AJ1138&lt;=3,"Fair",AJ1138&gt;3,"Good")</f>
        <v>Fair</v>
      </c>
      <c r="AL1138">
        <v>3</v>
      </c>
      <c r="AM1138">
        <v>2</v>
      </c>
      <c r="AN1138">
        <v>0</v>
      </c>
      <c r="AO1138">
        <v>2</v>
      </c>
    </row>
    <row r="1139" spans="1:41" x14ac:dyDescent="0.2">
      <c r="A1139">
        <v>1393835</v>
      </c>
      <c r="B1139">
        <v>44</v>
      </c>
      <c r="C1139" t="str" cm="1">
        <f t="array" ref="C1139">_xlfn.IFS(B1139&lt;=25,"15-25",B1139&lt;=35,"26-35",B1139&lt;=45,"36-45",B1139&lt;=55,"46-55",B1139&lt;=65,"56-65")</f>
        <v>36-45</v>
      </c>
      <c r="D1139" t="s">
        <v>35</v>
      </c>
      <c r="E1139" t="str">
        <f t="shared" si="34"/>
        <v>Current Employee</v>
      </c>
      <c r="F1139" t="s">
        <v>36</v>
      </c>
      <c r="G1139">
        <v>1313</v>
      </c>
      <c r="H1139" t="s">
        <v>45</v>
      </c>
      <c r="I1139">
        <v>7</v>
      </c>
      <c r="J1139">
        <v>3</v>
      </c>
      <c r="K1139" t="s">
        <v>49</v>
      </c>
      <c r="L1139">
        <v>1</v>
      </c>
      <c r="M1139">
        <v>2</v>
      </c>
      <c r="N1139" t="s">
        <v>39</v>
      </c>
      <c r="O1139">
        <v>31</v>
      </c>
      <c r="P1139">
        <v>3</v>
      </c>
      <c r="Q1139">
        <v>5</v>
      </c>
      <c r="R1139" t="s">
        <v>53</v>
      </c>
      <c r="S1139">
        <v>4</v>
      </c>
      <c r="T1139" t="str" cm="1">
        <f t="array" ref="T1139">_xlfn.IFS(S1139&lt;=2,"Poor",S1139&lt;=3,"Fair",S1139&gt;=4,"Good")</f>
        <v>Good</v>
      </c>
      <c r="U1139" t="s">
        <v>50</v>
      </c>
      <c r="V1139" s="1">
        <v>19049</v>
      </c>
      <c r="W1139" t="str" cm="1">
        <f t="array" ref="W1139">_xlfn.IFS(V1139&lt;=5000,"Low Salary",V1139&lt;=12000,"Good Salary",V1139&gt;12000,"High Salary")</f>
        <v>High Salary</v>
      </c>
      <c r="X1139">
        <v>3549</v>
      </c>
      <c r="Y1139">
        <v>0</v>
      </c>
      <c r="Z1139" t="s">
        <v>42</v>
      </c>
      <c r="AA1139" t="s">
        <v>43</v>
      </c>
      <c r="AB1139">
        <v>14</v>
      </c>
      <c r="AC1139">
        <v>3</v>
      </c>
      <c r="AD1139" t="str">
        <f t="shared" si="35"/>
        <v>Low Performance</v>
      </c>
      <c r="AE1139">
        <v>4</v>
      </c>
      <c r="AF1139">
        <v>80</v>
      </c>
      <c r="AG1139">
        <v>1</v>
      </c>
      <c r="AH1139">
        <v>23</v>
      </c>
      <c r="AI1139">
        <v>4</v>
      </c>
      <c r="AJ1139">
        <v>2</v>
      </c>
      <c r="AK1139" t="str" cm="1">
        <f t="array" ref="AK1139">_xlfn.IFS(AJ1139&lt;=2,"Poor",AJ1139&lt;=3,"Fair",AJ1139&gt;3,"Good")</f>
        <v>Poor</v>
      </c>
      <c r="AL1139">
        <v>22</v>
      </c>
      <c r="AM1139">
        <v>7</v>
      </c>
      <c r="AN1139">
        <v>1</v>
      </c>
      <c r="AO1139">
        <v>10</v>
      </c>
    </row>
    <row r="1140" spans="1:41" x14ac:dyDescent="0.2">
      <c r="A1140">
        <v>1466602</v>
      </c>
      <c r="B1140">
        <v>30</v>
      </c>
      <c r="C1140" t="str" cm="1">
        <f t="array" ref="C1140">_xlfn.IFS(B1140&lt;=25,"15-25",B1140&lt;=35,"26-35",B1140&lt;=45,"36-45",B1140&lt;=55,"46-55",B1140&lt;=65,"56-65")</f>
        <v>26-35</v>
      </c>
      <c r="D1140" t="s">
        <v>35</v>
      </c>
      <c r="E1140" t="str">
        <f t="shared" si="34"/>
        <v>Current Employee</v>
      </c>
      <c r="F1140" t="s">
        <v>36</v>
      </c>
      <c r="G1140">
        <v>241</v>
      </c>
      <c r="H1140" t="s">
        <v>45</v>
      </c>
      <c r="I1140">
        <v>7</v>
      </c>
      <c r="J1140">
        <v>3</v>
      </c>
      <c r="K1140" t="s">
        <v>49</v>
      </c>
      <c r="L1140">
        <v>1</v>
      </c>
      <c r="M1140">
        <v>2</v>
      </c>
      <c r="N1140" t="s">
        <v>46</v>
      </c>
      <c r="O1140">
        <v>48</v>
      </c>
      <c r="P1140">
        <v>2</v>
      </c>
      <c r="Q1140">
        <v>1</v>
      </c>
      <c r="R1140" t="s">
        <v>47</v>
      </c>
      <c r="S1140">
        <v>2</v>
      </c>
      <c r="T1140" t="str" cm="1">
        <f t="array" ref="T1140">_xlfn.IFS(S1140&lt;=2,"Poor",S1140&lt;=3,"Fair",S1140&gt;=4,"Good")</f>
        <v>Poor</v>
      </c>
      <c r="U1140" t="s">
        <v>48</v>
      </c>
      <c r="V1140" s="1">
        <v>2141</v>
      </c>
      <c r="W1140" t="str" cm="1">
        <f t="array" ref="W1140">_xlfn.IFS(V1140&lt;=5000,"Low Salary",V1140&lt;=12000,"Good Salary",V1140&gt;12000,"High Salary")</f>
        <v>Low Salary</v>
      </c>
      <c r="X1140">
        <v>5348</v>
      </c>
      <c r="Y1140">
        <v>1</v>
      </c>
      <c r="Z1140" t="s">
        <v>42</v>
      </c>
      <c r="AA1140" t="s">
        <v>35</v>
      </c>
      <c r="AB1140">
        <v>12</v>
      </c>
      <c r="AC1140">
        <v>3</v>
      </c>
      <c r="AD1140" t="str">
        <f t="shared" si="35"/>
        <v>Low Performance</v>
      </c>
      <c r="AE1140">
        <v>2</v>
      </c>
      <c r="AF1140">
        <v>80</v>
      </c>
      <c r="AG1140">
        <v>1</v>
      </c>
      <c r="AH1140">
        <v>6</v>
      </c>
      <c r="AI1140">
        <v>3</v>
      </c>
      <c r="AJ1140">
        <v>2</v>
      </c>
      <c r="AK1140" t="str" cm="1">
        <f t="array" ref="AK1140">_xlfn.IFS(AJ1140&lt;=2,"Poor",AJ1140&lt;=3,"Fair",AJ1140&gt;3,"Good")</f>
        <v>Poor</v>
      </c>
      <c r="AL1140">
        <v>6</v>
      </c>
      <c r="AM1140">
        <v>4</v>
      </c>
      <c r="AN1140">
        <v>1</v>
      </c>
      <c r="AO1140">
        <v>1</v>
      </c>
    </row>
    <row r="1141" spans="1:41" x14ac:dyDescent="0.2">
      <c r="A1141">
        <v>1135463</v>
      </c>
      <c r="B1141">
        <v>45</v>
      </c>
      <c r="C1141" t="str" cm="1">
        <f t="array" ref="C1141">_xlfn.IFS(B1141&lt;=25,"15-25",B1141&lt;=35,"26-35",B1141&lt;=45,"36-45",B1141&lt;=55,"46-55",B1141&lt;=65,"56-65")</f>
        <v>36-45</v>
      </c>
      <c r="D1141" t="s">
        <v>35</v>
      </c>
      <c r="E1141" t="str">
        <f t="shared" si="34"/>
        <v>Current Employee</v>
      </c>
      <c r="F1141" t="s">
        <v>36</v>
      </c>
      <c r="G1141">
        <v>1015</v>
      </c>
      <c r="H1141" t="s">
        <v>45</v>
      </c>
      <c r="I1141">
        <v>5</v>
      </c>
      <c r="J1141">
        <v>5</v>
      </c>
      <c r="K1141" t="s">
        <v>49</v>
      </c>
      <c r="L1141">
        <v>1</v>
      </c>
      <c r="M1141">
        <v>3</v>
      </c>
      <c r="N1141" t="s">
        <v>39</v>
      </c>
      <c r="O1141">
        <v>50</v>
      </c>
      <c r="P1141">
        <v>1</v>
      </c>
      <c r="Q1141">
        <v>2</v>
      </c>
      <c r="R1141" t="s">
        <v>40</v>
      </c>
      <c r="S1141">
        <v>1</v>
      </c>
      <c r="T1141" t="str" cm="1">
        <f t="array" ref="T1141">_xlfn.IFS(S1141&lt;=2,"Poor",S1141&lt;=3,"Fair",S1141&gt;=4,"Good")</f>
        <v>Poor</v>
      </c>
      <c r="U1141" t="s">
        <v>41</v>
      </c>
      <c r="V1141" s="1">
        <v>5769</v>
      </c>
      <c r="W1141" t="str" cm="1">
        <f t="array" ref="W1141">_xlfn.IFS(V1141&lt;=5000,"Low Salary",V1141&lt;=12000,"Good Salary",V1141&gt;12000,"High Salary")</f>
        <v>Good Salary</v>
      </c>
      <c r="X1141">
        <v>23447</v>
      </c>
      <c r="Y1141">
        <v>1</v>
      </c>
      <c r="Z1141" t="s">
        <v>42</v>
      </c>
      <c r="AA1141" t="s">
        <v>43</v>
      </c>
      <c r="AB1141">
        <v>14</v>
      </c>
      <c r="AC1141">
        <v>3</v>
      </c>
      <c r="AD1141" t="str">
        <f t="shared" si="35"/>
        <v>Low Performance</v>
      </c>
      <c r="AE1141">
        <v>1</v>
      </c>
      <c r="AF1141">
        <v>80</v>
      </c>
      <c r="AG1141">
        <v>0</v>
      </c>
      <c r="AH1141">
        <v>10</v>
      </c>
      <c r="AI1141">
        <v>3</v>
      </c>
      <c r="AJ1141">
        <v>3</v>
      </c>
      <c r="AK1141" t="str" cm="1">
        <f t="array" ref="AK1141">_xlfn.IFS(AJ1141&lt;=2,"Poor",AJ1141&lt;=3,"Fair",AJ1141&gt;3,"Good")</f>
        <v>Fair</v>
      </c>
      <c r="AL1141">
        <v>10</v>
      </c>
      <c r="AM1141">
        <v>7</v>
      </c>
      <c r="AN1141">
        <v>1</v>
      </c>
      <c r="AO1141">
        <v>4</v>
      </c>
    </row>
    <row r="1142" spans="1:41" x14ac:dyDescent="0.2">
      <c r="A1142">
        <v>1792202</v>
      </c>
      <c r="B1142">
        <v>45</v>
      </c>
      <c r="C1142" t="str" cm="1">
        <f t="array" ref="C1142">_xlfn.IFS(B1142&lt;=25,"15-25",B1142&lt;=35,"26-35",B1142&lt;=45,"36-45",B1142&lt;=55,"46-55",B1142&lt;=65,"56-65")</f>
        <v>36-45</v>
      </c>
      <c r="D1142" t="s">
        <v>35</v>
      </c>
      <c r="E1142" t="str">
        <f t="shared" si="34"/>
        <v>Current Employee</v>
      </c>
      <c r="F1142" t="s">
        <v>52</v>
      </c>
      <c r="G1142">
        <v>336</v>
      </c>
      <c r="H1142" t="s">
        <v>37</v>
      </c>
      <c r="I1142">
        <v>26</v>
      </c>
      <c r="J1142">
        <v>3</v>
      </c>
      <c r="K1142" t="s">
        <v>55</v>
      </c>
      <c r="L1142">
        <v>1</v>
      </c>
      <c r="M1142">
        <v>1</v>
      </c>
      <c r="N1142" t="s">
        <v>46</v>
      </c>
      <c r="O1142">
        <v>52</v>
      </c>
      <c r="P1142">
        <v>2</v>
      </c>
      <c r="Q1142">
        <v>2</v>
      </c>
      <c r="R1142" t="s">
        <v>40</v>
      </c>
      <c r="S1142">
        <v>1</v>
      </c>
      <c r="T1142" t="str" cm="1">
        <f t="array" ref="T1142">_xlfn.IFS(S1142&lt;=2,"Poor",S1142&lt;=3,"Fair",S1142&gt;=4,"Good")</f>
        <v>Poor</v>
      </c>
      <c r="U1142" t="s">
        <v>48</v>
      </c>
      <c r="V1142" s="1">
        <v>4385</v>
      </c>
      <c r="W1142" t="str" cm="1">
        <f t="array" ref="W1142">_xlfn.IFS(V1142&lt;=5000,"Low Salary",V1142&lt;=12000,"Good Salary",V1142&gt;12000,"High Salary")</f>
        <v>Low Salary</v>
      </c>
      <c r="X1142">
        <v>24162</v>
      </c>
      <c r="Y1142">
        <v>1</v>
      </c>
      <c r="Z1142" t="s">
        <v>42</v>
      </c>
      <c r="AA1142" t="s">
        <v>35</v>
      </c>
      <c r="AB1142">
        <v>15</v>
      </c>
      <c r="AC1142">
        <v>3</v>
      </c>
      <c r="AD1142" t="str">
        <f t="shared" si="35"/>
        <v>Low Performance</v>
      </c>
      <c r="AE1142">
        <v>1</v>
      </c>
      <c r="AF1142">
        <v>80</v>
      </c>
      <c r="AG1142">
        <v>1</v>
      </c>
      <c r="AH1142">
        <v>10</v>
      </c>
      <c r="AI1142">
        <v>2</v>
      </c>
      <c r="AJ1142">
        <v>3</v>
      </c>
      <c r="AK1142" t="str" cm="1">
        <f t="array" ref="AK1142">_xlfn.IFS(AJ1142&lt;=2,"Poor",AJ1142&lt;=3,"Fair",AJ1142&gt;3,"Good")</f>
        <v>Fair</v>
      </c>
      <c r="AL1142">
        <v>10</v>
      </c>
      <c r="AM1142">
        <v>7</v>
      </c>
      <c r="AN1142">
        <v>4</v>
      </c>
      <c r="AO1142">
        <v>5</v>
      </c>
    </row>
    <row r="1143" spans="1:41" x14ac:dyDescent="0.2">
      <c r="A1143">
        <v>1428612</v>
      </c>
      <c r="B1143">
        <v>31</v>
      </c>
      <c r="C1143" t="str" cm="1">
        <f t="array" ref="C1143">_xlfn.IFS(B1143&lt;=25,"15-25",B1143&lt;=35,"26-35",B1143&lt;=45,"36-45",B1143&lt;=55,"46-55",B1143&lt;=65,"56-65")</f>
        <v>26-35</v>
      </c>
      <c r="D1143" t="s">
        <v>35</v>
      </c>
      <c r="E1143" t="str">
        <f t="shared" si="34"/>
        <v>Current Employee</v>
      </c>
      <c r="F1143" t="s">
        <v>44</v>
      </c>
      <c r="G1143">
        <v>715</v>
      </c>
      <c r="H1143" t="s">
        <v>37</v>
      </c>
      <c r="I1143">
        <v>2</v>
      </c>
      <c r="J1143">
        <v>4</v>
      </c>
      <c r="K1143" t="s">
        <v>47</v>
      </c>
      <c r="L1143">
        <v>1</v>
      </c>
      <c r="M1143">
        <v>4</v>
      </c>
      <c r="N1143" t="s">
        <v>46</v>
      </c>
      <c r="O1143">
        <v>54</v>
      </c>
      <c r="P1143">
        <v>3</v>
      </c>
      <c r="Q1143">
        <v>2</v>
      </c>
      <c r="R1143" t="s">
        <v>40</v>
      </c>
      <c r="S1143">
        <v>1</v>
      </c>
      <c r="T1143" t="str" cm="1">
        <f t="array" ref="T1143">_xlfn.IFS(S1143&lt;=2,"Poor",S1143&lt;=3,"Fair",S1143&gt;=4,"Good")</f>
        <v>Poor</v>
      </c>
      <c r="U1143" t="s">
        <v>41</v>
      </c>
      <c r="V1143" s="1">
        <v>5332</v>
      </c>
      <c r="W1143" t="str" cm="1">
        <f t="array" ref="W1143">_xlfn.IFS(V1143&lt;=5000,"Low Salary",V1143&lt;=12000,"Good Salary",V1143&gt;12000,"High Salary")</f>
        <v>Good Salary</v>
      </c>
      <c r="X1143">
        <v>21602</v>
      </c>
      <c r="Y1143">
        <v>7</v>
      </c>
      <c r="Z1143" t="s">
        <v>42</v>
      </c>
      <c r="AA1143" t="s">
        <v>35</v>
      </c>
      <c r="AB1143">
        <v>13</v>
      </c>
      <c r="AC1143">
        <v>3</v>
      </c>
      <c r="AD1143" t="str">
        <f t="shared" si="35"/>
        <v>Low Performance</v>
      </c>
      <c r="AE1143">
        <v>4</v>
      </c>
      <c r="AF1143">
        <v>80</v>
      </c>
      <c r="AG1143">
        <v>0</v>
      </c>
      <c r="AH1143">
        <v>10</v>
      </c>
      <c r="AI1143">
        <v>3</v>
      </c>
      <c r="AJ1143">
        <v>3</v>
      </c>
      <c r="AK1143" t="str" cm="1">
        <f t="array" ref="AK1143">_xlfn.IFS(AJ1143&lt;=2,"Poor",AJ1143&lt;=3,"Fair",AJ1143&gt;3,"Good")</f>
        <v>Fair</v>
      </c>
      <c r="AL1143">
        <v>5</v>
      </c>
      <c r="AM1143">
        <v>2</v>
      </c>
      <c r="AN1143">
        <v>0</v>
      </c>
      <c r="AO1143">
        <v>3</v>
      </c>
    </row>
    <row r="1144" spans="1:41" x14ac:dyDescent="0.2">
      <c r="A1144">
        <v>1831818</v>
      </c>
      <c r="B1144">
        <v>36</v>
      </c>
      <c r="C1144" t="str" cm="1">
        <f t="array" ref="C1144">_xlfn.IFS(B1144&lt;=25,"15-25",B1144&lt;=35,"26-35",B1144&lt;=45,"36-45",B1144&lt;=55,"46-55",B1144&lt;=65,"56-65")</f>
        <v>36-45</v>
      </c>
      <c r="D1144" t="s">
        <v>35</v>
      </c>
      <c r="E1144" t="str">
        <f t="shared" si="34"/>
        <v>Current Employee</v>
      </c>
      <c r="F1144" t="s">
        <v>36</v>
      </c>
      <c r="G1144">
        <v>559</v>
      </c>
      <c r="H1144" t="s">
        <v>45</v>
      </c>
      <c r="I1144">
        <v>12</v>
      </c>
      <c r="J1144">
        <v>4</v>
      </c>
      <c r="K1144" t="s">
        <v>38</v>
      </c>
      <c r="L1144">
        <v>1</v>
      </c>
      <c r="M1144">
        <v>3</v>
      </c>
      <c r="N1144" t="s">
        <v>39</v>
      </c>
      <c r="O1144">
        <v>76</v>
      </c>
      <c r="P1144">
        <v>3</v>
      </c>
      <c r="Q1144">
        <v>2</v>
      </c>
      <c r="R1144" t="s">
        <v>51</v>
      </c>
      <c r="S1144">
        <v>3</v>
      </c>
      <c r="T1144" t="str" cm="1">
        <f t="array" ref="T1144">_xlfn.IFS(S1144&lt;=2,"Poor",S1144&lt;=3,"Fair",S1144&gt;=4,"Good")</f>
        <v>Fair</v>
      </c>
      <c r="U1144" t="s">
        <v>48</v>
      </c>
      <c r="V1144" s="1">
        <v>4663</v>
      </c>
      <c r="W1144" t="str" cm="1">
        <f t="array" ref="W1144">_xlfn.IFS(V1144&lt;=5000,"Low Salary",V1144&lt;=12000,"Good Salary",V1144&gt;12000,"High Salary")</f>
        <v>Low Salary</v>
      </c>
      <c r="X1144">
        <v>12421</v>
      </c>
      <c r="Y1144">
        <v>9</v>
      </c>
      <c r="Z1144" t="s">
        <v>42</v>
      </c>
      <c r="AA1144" t="s">
        <v>43</v>
      </c>
      <c r="AB1144">
        <v>12</v>
      </c>
      <c r="AC1144">
        <v>3</v>
      </c>
      <c r="AD1144" t="str">
        <f t="shared" si="35"/>
        <v>Low Performance</v>
      </c>
      <c r="AE1144">
        <v>2</v>
      </c>
      <c r="AF1144">
        <v>80</v>
      </c>
      <c r="AG1144">
        <v>2</v>
      </c>
      <c r="AH1144">
        <v>7</v>
      </c>
      <c r="AI1144">
        <v>2</v>
      </c>
      <c r="AJ1144">
        <v>3</v>
      </c>
      <c r="AK1144" t="str" cm="1">
        <f t="array" ref="AK1144">_xlfn.IFS(AJ1144&lt;=2,"Poor",AJ1144&lt;=3,"Fair",AJ1144&gt;3,"Good")</f>
        <v>Fair</v>
      </c>
      <c r="AL1144">
        <v>3</v>
      </c>
      <c r="AM1144">
        <v>2</v>
      </c>
      <c r="AN1144">
        <v>1</v>
      </c>
      <c r="AO1144">
        <v>1</v>
      </c>
    </row>
    <row r="1145" spans="1:41" x14ac:dyDescent="0.2">
      <c r="A1145">
        <v>1624104</v>
      </c>
      <c r="B1145">
        <v>34</v>
      </c>
      <c r="C1145" t="str" cm="1">
        <f t="array" ref="C1145">_xlfn.IFS(B1145&lt;=25,"15-25",B1145&lt;=35,"26-35",B1145&lt;=45,"36-45",B1145&lt;=55,"46-55",B1145&lt;=65,"56-65")</f>
        <v>26-35</v>
      </c>
      <c r="D1145" t="s">
        <v>35</v>
      </c>
      <c r="E1145" t="str">
        <f t="shared" si="34"/>
        <v>Current Employee</v>
      </c>
      <c r="F1145" t="s">
        <v>44</v>
      </c>
      <c r="G1145">
        <v>426</v>
      </c>
      <c r="H1145" t="s">
        <v>45</v>
      </c>
      <c r="I1145">
        <v>10</v>
      </c>
      <c r="J1145">
        <v>4</v>
      </c>
      <c r="K1145" t="s">
        <v>38</v>
      </c>
      <c r="L1145">
        <v>1</v>
      </c>
      <c r="M1145">
        <v>3</v>
      </c>
      <c r="N1145" t="s">
        <v>46</v>
      </c>
      <c r="O1145">
        <v>42</v>
      </c>
      <c r="P1145">
        <v>4</v>
      </c>
      <c r="Q1145">
        <v>2</v>
      </c>
      <c r="R1145" t="s">
        <v>51</v>
      </c>
      <c r="S1145">
        <v>4</v>
      </c>
      <c r="T1145" t="str" cm="1">
        <f t="array" ref="T1145">_xlfn.IFS(S1145&lt;=2,"Poor",S1145&lt;=3,"Fair",S1145&gt;=4,"Good")</f>
        <v>Good</v>
      </c>
      <c r="U1145" t="s">
        <v>50</v>
      </c>
      <c r="V1145" s="1">
        <v>4724</v>
      </c>
      <c r="W1145" t="str" cm="1">
        <f t="array" ref="W1145">_xlfn.IFS(V1145&lt;=5000,"Low Salary",V1145&lt;=12000,"Good Salary",V1145&gt;12000,"High Salary")</f>
        <v>Low Salary</v>
      </c>
      <c r="X1145">
        <v>17000</v>
      </c>
      <c r="Y1145">
        <v>1</v>
      </c>
      <c r="Z1145" t="s">
        <v>42</v>
      </c>
      <c r="AA1145" t="s">
        <v>35</v>
      </c>
      <c r="AB1145">
        <v>13</v>
      </c>
      <c r="AC1145">
        <v>3</v>
      </c>
      <c r="AD1145" t="str">
        <f t="shared" si="35"/>
        <v>Low Performance</v>
      </c>
      <c r="AE1145">
        <v>1</v>
      </c>
      <c r="AF1145">
        <v>80</v>
      </c>
      <c r="AG1145">
        <v>1</v>
      </c>
      <c r="AH1145">
        <v>9</v>
      </c>
      <c r="AI1145">
        <v>3</v>
      </c>
      <c r="AJ1145">
        <v>3</v>
      </c>
      <c r="AK1145" t="str" cm="1">
        <f t="array" ref="AK1145">_xlfn.IFS(AJ1145&lt;=2,"Poor",AJ1145&lt;=3,"Fair",AJ1145&gt;3,"Good")</f>
        <v>Fair</v>
      </c>
      <c r="AL1145">
        <v>9</v>
      </c>
      <c r="AM1145">
        <v>7</v>
      </c>
      <c r="AN1145">
        <v>7</v>
      </c>
      <c r="AO1145">
        <v>2</v>
      </c>
    </row>
    <row r="1146" spans="1:41" x14ac:dyDescent="0.2">
      <c r="A1146">
        <v>1594457</v>
      </c>
      <c r="B1146">
        <v>49</v>
      </c>
      <c r="C1146" t="str" cm="1">
        <f t="array" ref="C1146">_xlfn.IFS(B1146&lt;=25,"15-25",B1146&lt;=35,"26-35",B1146&lt;=45,"36-45",B1146&lt;=55,"46-55",B1146&lt;=65,"56-65")</f>
        <v>46-55</v>
      </c>
      <c r="D1146" t="s">
        <v>35</v>
      </c>
      <c r="E1146" t="str">
        <f t="shared" si="34"/>
        <v>Current Employee</v>
      </c>
      <c r="F1146" t="s">
        <v>36</v>
      </c>
      <c r="G1146">
        <v>722</v>
      </c>
      <c r="H1146" t="s">
        <v>45</v>
      </c>
      <c r="I1146">
        <v>25</v>
      </c>
      <c r="J1146">
        <v>4</v>
      </c>
      <c r="K1146" t="s">
        <v>38</v>
      </c>
      <c r="L1146">
        <v>1</v>
      </c>
      <c r="M1146">
        <v>3</v>
      </c>
      <c r="N1146" t="s">
        <v>39</v>
      </c>
      <c r="O1146">
        <v>84</v>
      </c>
      <c r="P1146">
        <v>3</v>
      </c>
      <c r="Q1146">
        <v>1</v>
      </c>
      <c r="R1146" t="s">
        <v>40</v>
      </c>
      <c r="S1146">
        <v>1</v>
      </c>
      <c r="T1146" t="str" cm="1">
        <f t="array" ref="T1146">_xlfn.IFS(S1146&lt;=2,"Poor",S1146&lt;=3,"Fair",S1146&gt;=4,"Good")</f>
        <v>Poor</v>
      </c>
      <c r="U1146" t="s">
        <v>48</v>
      </c>
      <c r="V1146" s="1">
        <v>3211</v>
      </c>
      <c r="W1146" t="str" cm="1">
        <f t="array" ref="W1146">_xlfn.IFS(V1146&lt;=5000,"Low Salary",V1146&lt;=12000,"Good Salary",V1146&gt;12000,"High Salary")</f>
        <v>Low Salary</v>
      </c>
      <c r="X1146">
        <v>22102</v>
      </c>
      <c r="Y1146">
        <v>1</v>
      </c>
      <c r="Z1146" t="s">
        <v>42</v>
      </c>
      <c r="AA1146" t="s">
        <v>35</v>
      </c>
      <c r="AB1146">
        <v>14</v>
      </c>
      <c r="AC1146">
        <v>3</v>
      </c>
      <c r="AD1146" t="str">
        <f t="shared" si="35"/>
        <v>Low Performance</v>
      </c>
      <c r="AE1146">
        <v>4</v>
      </c>
      <c r="AF1146">
        <v>80</v>
      </c>
      <c r="AG1146">
        <v>1</v>
      </c>
      <c r="AH1146">
        <v>10</v>
      </c>
      <c r="AI1146">
        <v>3</v>
      </c>
      <c r="AJ1146">
        <v>2</v>
      </c>
      <c r="AK1146" t="str" cm="1">
        <f t="array" ref="AK1146">_xlfn.IFS(AJ1146&lt;=2,"Poor",AJ1146&lt;=3,"Fair",AJ1146&gt;3,"Good")</f>
        <v>Poor</v>
      </c>
      <c r="AL1146">
        <v>9</v>
      </c>
      <c r="AM1146">
        <v>6</v>
      </c>
      <c r="AN1146">
        <v>1</v>
      </c>
      <c r="AO1146">
        <v>4</v>
      </c>
    </row>
    <row r="1147" spans="1:41" x14ac:dyDescent="0.2">
      <c r="A1147">
        <v>1871083</v>
      </c>
      <c r="B1147">
        <v>39</v>
      </c>
      <c r="C1147" t="str" cm="1">
        <f t="array" ref="C1147">_xlfn.IFS(B1147&lt;=25,"15-25",B1147&lt;=35,"26-35",B1147&lt;=45,"36-45",B1147&lt;=55,"46-55",B1147&lt;=65,"56-65")</f>
        <v>36-45</v>
      </c>
      <c r="D1147" t="s">
        <v>35</v>
      </c>
      <c r="E1147" t="str">
        <f t="shared" si="34"/>
        <v>Current Employee</v>
      </c>
      <c r="F1147" t="s">
        <v>36</v>
      </c>
      <c r="G1147">
        <v>1387</v>
      </c>
      <c r="H1147" t="s">
        <v>45</v>
      </c>
      <c r="I1147">
        <v>10</v>
      </c>
      <c r="J1147">
        <v>5</v>
      </c>
      <c r="K1147" t="s">
        <v>49</v>
      </c>
      <c r="L1147">
        <v>1</v>
      </c>
      <c r="M1147">
        <v>2</v>
      </c>
      <c r="N1147" t="s">
        <v>46</v>
      </c>
      <c r="O1147">
        <v>76</v>
      </c>
      <c r="P1147">
        <v>3</v>
      </c>
      <c r="Q1147">
        <v>2</v>
      </c>
      <c r="R1147" t="s">
        <v>51</v>
      </c>
      <c r="S1147">
        <v>1</v>
      </c>
      <c r="T1147" t="str" cm="1">
        <f t="array" ref="T1147">_xlfn.IFS(S1147&lt;=2,"Poor",S1147&lt;=3,"Fair",S1147&gt;=4,"Good")</f>
        <v>Poor</v>
      </c>
      <c r="U1147" t="s">
        <v>48</v>
      </c>
      <c r="V1147" s="1">
        <v>5377</v>
      </c>
      <c r="W1147" t="str" cm="1">
        <f t="array" ref="W1147">_xlfn.IFS(V1147&lt;=5000,"Low Salary",V1147&lt;=12000,"Good Salary",V1147&gt;12000,"High Salary")</f>
        <v>Good Salary</v>
      </c>
      <c r="X1147">
        <v>3835</v>
      </c>
      <c r="Y1147">
        <v>2</v>
      </c>
      <c r="Z1147" t="s">
        <v>42</v>
      </c>
      <c r="AA1147" t="s">
        <v>35</v>
      </c>
      <c r="AB1147">
        <v>13</v>
      </c>
      <c r="AC1147">
        <v>3</v>
      </c>
      <c r="AD1147" t="str">
        <f t="shared" si="35"/>
        <v>Low Performance</v>
      </c>
      <c r="AE1147">
        <v>4</v>
      </c>
      <c r="AF1147">
        <v>80</v>
      </c>
      <c r="AG1147">
        <v>3</v>
      </c>
      <c r="AH1147">
        <v>10</v>
      </c>
      <c r="AI1147">
        <v>3</v>
      </c>
      <c r="AJ1147">
        <v>3</v>
      </c>
      <c r="AK1147" t="str" cm="1">
        <f t="array" ref="AK1147">_xlfn.IFS(AJ1147&lt;=2,"Poor",AJ1147&lt;=3,"Fair",AJ1147&gt;3,"Good")</f>
        <v>Fair</v>
      </c>
      <c r="AL1147">
        <v>7</v>
      </c>
      <c r="AM1147">
        <v>7</v>
      </c>
      <c r="AN1147">
        <v>7</v>
      </c>
      <c r="AO1147">
        <v>7</v>
      </c>
    </row>
    <row r="1148" spans="1:41" x14ac:dyDescent="0.2">
      <c r="A1148">
        <v>1448152</v>
      </c>
      <c r="B1148">
        <v>27</v>
      </c>
      <c r="C1148" t="str" cm="1">
        <f t="array" ref="C1148">_xlfn.IFS(B1148&lt;=25,"15-25",B1148&lt;=35,"26-35",B1148&lt;=45,"36-45",B1148&lt;=55,"46-55",B1148&lt;=65,"56-65")</f>
        <v>26-35</v>
      </c>
      <c r="D1148" t="s">
        <v>35</v>
      </c>
      <c r="E1148" t="str">
        <f t="shared" si="34"/>
        <v>Current Employee</v>
      </c>
      <c r="F1148" t="s">
        <v>36</v>
      </c>
      <c r="G1148">
        <v>1302</v>
      </c>
      <c r="H1148" t="s">
        <v>45</v>
      </c>
      <c r="I1148">
        <v>19</v>
      </c>
      <c r="J1148">
        <v>3</v>
      </c>
      <c r="K1148" t="s">
        <v>47</v>
      </c>
      <c r="L1148">
        <v>1</v>
      </c>
      <c r="M1148">
        <v>4</v>
      </c>
      <c r="N1148" t="s">
        <v>46</v>
      </c>
      <c r="O1148">
        <v>67</v>
      </c>
      <c r="P1148">
        <v>2</v>
      </c>
      <c r="Q1148">
        <v>1</v>
      </c>
      <c r="R1148" t="s">
        <v>40</v>
      </c>
      <c r="S1148">
        <v>1</v>
      </c>
      <c r="T1148" t="str" cm="1">
        <f t="array" ref="T1148">_xlfn.IFS(S1148&lt;=2,"Poor",S1148&lt;=3,"Fair",S1148&gt;=4,"Good")</f>
        <v>Poor</v>
      </c>
      <c r="U1148" t="s">
        <v>50</v>
      </c>
      <c r="V1148" s="1">
        <v>4066</v>
      </c>
      <c r="W1148" t="str" cm="1">
        <f t="array" ref="W1148">_xlfn.IFS(V1148&lt;=5000,"Low Salary",V1148&lt;=12000,"Good Salary",V1148&gt;12000,"High Salary")</f>
        <v>Low Salary</v>
      </c>
      <c r="X1148">
        <v>16290</v>
      </c>
      <c r="Y1148">
        <v>1</v>
      </c>
      <c r="Z1148" t="s">
        <v>42</v>
      </c>
      <c r="AA1148" t="s">
        <v>35</v>
      </c>
      <c r="AB1148">
        <v>11</v>
      </c>
      <c r="AC1148">
        <v>3</v>
      </c>
      <c r="AD1148" t="str">
        <f t="shared" si="35"/>
        <v>Low Performance</v>
      </c>
      <c r="AE1148">
        <v>1</v>
      </c>
      <c r="AF1148">
        <v>80</v>
      </c>
      <c r="AG1148">
        <v>2</v>
      </c>
      <c r="AH1148">
        <v>7</v>
      </c>
      <c r="AI1148">
        <v>3</v>
      </c>
      <c r="AJ1148">
        <v>3</v>
      </c>
      <c r="AK1148" t="str" cm="1">
        <f t="array" ref="AK1148">_xlfn.IFS(AJ1148&lt;=2,"Poor",AJ1148&lt;=3,"Fair",AJ1148&gt;3,"Good")</f>
        <v>Fair</v>
      </c>
      <c r="AL1148">
        <v>7</v>
      </c>
      <c r="AM1148">
        <v>7</v>
      </c>
      <c r="AN1148">
        <v>0</v>
      </c>
      <c r="AO1148">
        <v>7</v>
      </c>
    </row>
    <row r="1149" spans="1:41" x14ac:dyDescent="0.2">
      <c r="A1149">
        <v>1577752</v>
      </c>
      <c r="B1149">
        <v>35</v>
      </c>
      <c r="C1149" t="str" cm="1">
        <f t="array" ref="C1149">_xlfn.IFS(B1149&lt;=25,"15-25",B1149&lt;=35,"26-35",B1149&lt;=45,"36-45",B1149&lt;=55,"46-55",B1149&lt;=65,"56-65")</f>
        <v>26-35</v>
      </c>
      <c r="D1149" t="s">
        <v>35</v>
      </c>
      <c r="E1149" t="str">
        <f t="shared" si="34"/>
        <v>Current Employee</v>
      </c>
      <c r="F1149" t="s">
        <v>36</v>
      </c>
      <c r="G1149">
        <v>819</v>
      </c>
      <c r="H1149" t="s">
        <v>45</v>
      </c>
      <c r="I1149">
        <v>18</v>
      </c>
      <c r="J1149">
        <v>5</v>
      </c>
      <c r="K1149" t="s">
        <v>38</v>
      </c>
      <c r="L1149">
        <v>1</v>
      </c>
      <c r="M1149">
        <v>2</v>
      </c>
      <c r="N1149" t="s">
        <v>46</v>
      </c>
      <c r="O1149">
        <v>48</v>
      </c>
      <c r="P1149">
        <v>4</v>
      </c>
      <c r="Q1149">
        <v>2</v>
      </c>
      <c r="R1149" t="s">
        <v>47</v>
      </c>
      <c r="S1149">
        <v>1</v>
      </c>
      <c r="T1149" t="str" cm="1">
        <f t="array" ref="T1149">_xlfn.IFS(S1149&lt;=2,"Poor",S1149&lt;=3,"Fair",S1149&gt;=4,"Good")</f>
        <v>Poor</v>
      </c>
      <c r="U1149" t="s">
        <v>48</v>
      </c>
      <c r="V1149" s="1">
        <v>5208</v>
      </c>
      <c r="W1149" t="str" cm="1">
        <f t="array" ref="W1149">_xlfn.IFS(V1149&lt;=5000,"Low Salary",V1149&lt;=12000,"Good Salary",V1149&gt;12000,"High Salary")</f>
        <v>Good Salary</v>
      </c>
      <c r="X1149">
        <v>26312</v>
      </c>
      <c r="Y1149">
        <v>1</v>
      </c>
      <c r="Z1149" t="s">
        <v>42</v>
      </c>
      <c r="AA1149" t="s">
        <v>35</v>
      </c>
      <c r="AB1149">
        <v>11</v>
      </c>
      <c r="AC1149">
        <v>3</v>
      </c>
      <c r="AD1149" t="str">
        <f t="shared" si="35"/>
        <v>Low Performance</v>
      </c>
      <c r="AE1149">
        <v>4</v>
      </c>
      <c r="AF1149">
        <v>80</v>
      </c>
      <c r="AG1149">
        <v>0</v>
      </c>
      <c r="AH1149">
        <v>16</v>
      </c>
      <c r="AI1149">
        <v>2</v>
      </c>
      <c r="AJ1149">
        <v>3</v>
      </c>
      <c r="AK1149" t="str" cm="1">
        <f t="array" ref="AK1149">_xlfn.IFS(AJ1149&lt;=2,"Poor",AJ1149&lt;=3,"Fair",AJ1149&gt;3,"Good")</f>
        <v>Fair</v>
      </c>
      <c r="AL1149">
        <v>16</v>
      </c>
      <c r="AM1149">
        <v>15</v>
      </c>
      <c r="AN1149">
        <v>1</v>
      </c>
      <c r="AO1149">
        <v>10</v>
      </c>
    </row>
    <row r="1150" spans="1:41" x14ac:dyDescent="0.2">
      <c r="A1150">
        <v>1475967</v>
      </c>
      <c r="B1150">
        <v>28</v>
      </c>
      <c r="C1150" t="str" cm="1">
        <f t="array" ref="C1150">_xlfn.IFS(B1150&lt;=25,"15-25",B1150&lt;=35,"26-35",B1150&lt;=45,"36-45",B1150&lt;=55,"46-55",B1150&lt;=65,"56-65")</f>
        <v>26-35</v>
      </c>
      <c r="D1150" t="s">
        <v>35</v>
      </c>
      <c r="E1150" t="str">
        <f t="shared" si="34"/>
        <v>Current Employee</v>
      </c>
      <c r="F1150" t="s">
        <v>36</v>
      </c>
      <c r="G1150">
        <v>580</v>
      </c>
      <c r="H1150" t="s">
        <v>45</v>
      </c>
      <c r="I1150">
        <v>27</v>
      </c>
      <c r="J1150">
        <v>3</v>
      </c>
      <c r="K1150" t="s">
        <v>49</v>
      </c>
      <c r="L1150">
        <v>1</v>
      </c>
      <c r="M1150">
        <v>2</v>
      </c>
      <c r="N1150" t="s">
        <v>39</v>
      </c>
      <c r="O1150">
        <v>39</v>
      </c>
      <c r="P1150">
        <v>1</v>
      </c>
      <c r="Q1150">
        <v>2</v>
      </c>
      <c r="R1150" t="s">
        <v>51</v>
      </c>
      <c r="S1150">
        <v>1</v>
      </c>
      <c r="T1150" t="str" cm="1">
        <f t="array" ref="T1150">_xlfn.IFS(S1150&lt;=2,"Poor",S1150&lt;=3,"Fair",S1150&gt;=4,"Good")</f>
        <v>Poor</v>
      </c>
      <c r="U1150" t="s">
        <v>50</v>
      </c>
      <c r="V1150" s="1">
        <v>4877</v>
      </c>
      <c r="W1150" t="str" cm="1">
        <f t="array" ref="W1150">_xlfn.IFS(V1150&lt;=5000,"Low Salary",V1150&lt;=12000,"Good Salary",V1150&gt;12000,"High Salary")</f>
        <v>Low Salary</v>
      </c>
      <c r="X1150">
        <v>20460</v>
      </c>
      <c r="Y1150">
        <v>0</v>
      </c>
      <c r="Z1150" t="s">
        <v>42</v>
      </c>
      <c r="AA1150" t="s">
        <v>35</v>
      </c>
      <c r="AB1150">
        <v>21</v>
      </c>
      <c r="AC1150">
        <v>4</v>
      </c>
      <c r="AD1150" t="str">
        <f t="shared" si="35"/>
        <v>High Performance</v>
      </c>
      <c r="AE1150">
        <v>2</v>
      </c>
      <c r="AF1150">
        <v>80</v>
      </c>
      <c r="AG1150">
        <v>1</v>
      </c>
      <c r="AH1150">
        <v>6</v>
      </c>
      <c r="AI1150">
        <v>5</v>
      </c>
      <c r="AJ1150">
        <v>2</v>
      </c>
      <c r="AK1150" t="str" cm="1">
        <f t="array" ref="AK1150">_xlfn.IFS(AJ1150&lt;=2,"Poor",AJ1150&lt;=3,"Fair",AJ1150&gt;3,"Good")</f>
        <v>Poor</v>
      </c>
      <c r="AL1150">
        <v>5</v>
      </c>
      <c r="AM1150">
        <v>3</v>
      </c>
      <c r="AN1150">
        <v>0</v>
      </c>
      <c r="AO1150">
        <v>0</v>
      </c>
    </row>
    <row r="1151" spans="1:41" x14ac:dyDescent="0.2">
      <c r="A1151">
        <v>1797790</v>
      </c>
      <c r="B1151">
        <v>21</v>
      </c>
      <c r="C1151" t="str" cm="1">
        <f t="array" ref="C1151">_xlfn.IFS(B1151&lt;=25,"15-25",B1151&lt;=35,"26-35",B1151&lt;=45,"36-45",B1151&lt;=55,"46-55",B1151&lt;=65,"56-65")</f>
        <v>15-25</v>
      </c>
      <c r="D1151" t="s">
        <v>35</v>
      </c>
      <c r="E1151" t="str">
        <f t="shared" si="34"/>
        <v>Current Employee</v>
      </c>
      <c r="F1151" t="s">
        <v>36</v>
      </c>
      <c r="G1151">
        <v>546</v>
      </c>
      <c r="H1151" t="s">
        <v>45</v>
      </c>
      <c r="I1151">
        <v>5</v>
      </c>
      <c r="J1151">
        <v>1</v>
      </c>
      <c r="K1151" t="s">
        <v>49</v>
      </c>
      <c r="L1151">
        <v>1</v>
      </c>
      <c r="M1151">
        <v>3</v>
      </c>
      <c r="N1151" t="s">
        <v>46</v>
      </c>
      <c r="O1151">
        <v>97</v>
      </c>
      <c r="P1151">
        <v>3</v>
      </c>
      <c r="Q1151">
        <v>1</v>
      </c>
      <c r="R1151" t="s">
        <v>47</v>
      </c>
      <c r="S1151">
        <v>4</v>
      </c>
      <c r="T1151" t="str" cm="1">
        <f t="array" ref="T1151">_xlfn.IFS(S1151&lt;=2,"Poor",S1151&lt;=3,"Fair",S1151&gt;=4,"Good")</f>
        <v>Good</v>
      </c>
      <c r="U1151" t="s">
        <v>41</v>
      </c>
      <c r="V1151" s="1">
        <v>3117</v>
      </c>
      <c r="W1151" t="str" cm="1">
        <f t="array" ref="W1151">_xlfn.IFS(V1151&lt;=5000,"Low Salary",V1151&lt;=12000,"Good Salary",V1151&gt;12000,"High Salary")</f>
        <v>Low Salary</v>
      </c>
      <c r="X1151">
        <v>26009</v>
      </c>
      <c r="Y1151">
        <v>1</v>
      </c>
      <c r="Z1151" t="s">
        <v>42</v>
      </c>
      <c r="AA1151" t="s">
        <v>35</v>
      </c>
      <c r="AB1151">
        <v>18</v>
      </c>
      <c r="AC1151">
        <v>3</v>
      </c>
      <c r="AD1151" t="str">
        <f t="shared" si="35"/>
        <v>Low Performance</v>
      </c>
      <c r="AE1151">
        <v>3</v>
      </c>
      <c r="AF1151">
        <v>80</v>
      </c>
      <c r="AG1151">
        <v>0</v>
      </c>
      <c r="AH1151">
        <v>3</v>
      </c>
      <c r="AI1151">
        <v>2</v>
      </c>
      <c r="AJ1151">
        <v>3</v>
      </c>
      <c r="AK1151" t="str" cm="1">
        <f t="array" ref="AK1151">_xlfn.IFS(AJ1151&lt;=2,"Poor",AJ1151&lt;=3,"Fair",AJ1151&gt;3,"Good")</f>
        <v>Fair</v>
      </c>
      <c r="AL1151">
        <v>2</v>
      </c>
      <c r="AM1151">
        <v>2</v>
      </c>
      <c r="AN1151">
        <v>2</v>
      </c>
      <c r="AO1151">
        <v>2</v>
      </c>
    </row>
    <row r="1152" spans="1:41" x14ac:dyDescent="0.2">
      <c r="A1152">
        <v>1741354</v>
      </c>
      <c r="B1152">
        <v>18</v>
      </c>
      <c r="C1152" t="str" cm="1">
        <f t="array" ref="C1152">_xlfn.IFS(B1152&lt;=25,"15-25",B1152&lt;=35,"26-35",B1152&lt;=45,"36-45",B1152&lt;=55,"46-55",B1152&lt;=65,"56-65")</f>
        <v>15-25</v>
      </c>
      <c r="D1152" t="s">
        <v>43</v>
      </c>
      <c r="E1152" t="str">
        <f t="shared" si="34"/>
        <v>Former Employee</v>
      </c>
      <c r="F1152" t="s">
        <v>44</v>
      </c>
      <c r="G1152">
        <v>544</v>
      </c>
      <c r="H1152" t="s">
        <v>37</v>
      </c>
      <c r="I1152">
        <v>3</v>
      </c>
      <c r="J1152">
        <v>2</v>
      </c>
      <c r="K1152" t="s">
        <v>49</v>
      </c>
      <c r="L1152">
        <v>1</v>
      </c>
      <c r="M1152">
        <v>2</v>
      </c>
      <c r="N1152" t="s">
        <v>39</v>
      </c>
      <c r="O1152">
        <v>70</v>
      </c>
      <c r="P1152">
        <v>3</v>
      </c>
      <c r="Q1152">
        <v>1</v>
      </c>
      <c r="R1152" t="s">
        <v>47</v>
      </c>
      <c r="S1152">
        <v>4</v>
      </c>
      <c r="T1152" t="str" cm="1">
        <f t="array" ref="T1152">_xlfn.IFS(S1152&lt;=2,"Poor",S1152&lt;=3,"Fair",S1152&gt;=4,"Good")</f>
        <v>Good</v>
      </c>
      <c r="U1152" t="s">
        <v>41</v>
      </c>
      <c r="V1152" s="1">
        <v>1569</v>
      </c>
      <c r="W1152" t="str" cm="1">
        <f t="array" ref="W1152">_xlfn.IFS(V1152&lt;=5000,"Low Salary",V1152&lt;=12000,"Good Salary",V1152&gt;12000,"High Salary")</f>
        <v>Low Salary</v>
      </c>
      <c r="X1152">
        <v>18420</v>
      </c>
      <c r="Y1152">
        <v>1</v>
      </c>
      <c r="Z1152" t="s">
        <v>42</v>
      </c>
      <c r="AA1152" t="s">
        <v>43</v>
      </c>
      <c r="AB1152">
        <v>12</v>
      </c>
      <c r="AC1152">
        <v>3</v>
      </c>
      <c r="AD1152" t="str">
        <f t="shared" si="35"/>
        <v>Low Performance</v>
      </c>
      <c r="AE1152">
        <v>3</v>
      </c>
      <c r="AF1152">
        <v>80</v>
      </c>
      <c r="AG1152">
        <v>0</v>
      </c>
      <c r="AH1152">
        <v>0</v>
      </c>
      <c r="AI1152">
        <v>2</v>
      </c>
      <c r="AJ1152">
        <v>4</v>
      </c>
      <c r="AK1152" t="str" cm="1">
        <f t="array" ref="AK1152">_xlfn.IFS(AJ1152&lt;=2,"Poor",AJ1152&lt;=3,"Fair",AJ1152&gt;3,"Good")</f>
        <v>Good</v>
      </c>
      <c r="AL1152">
        <v>0</v>
      </c>
      <c r="AM1152">
        <v>0</v>
      </c>
      <c r="AN1152">
        <v>0</v>
      </c>
      <c r="AO1152">
        <v>0</v>
      </c>
    </row>
    <row r="1153" spans="1:41" x14ac:dyDescent="0.2">
      <c r="A1153">
        <v>1665873</v>
      </c>
      <c r="B1153">
        <v>47</v>
      </c>
      <c r="C1153" t="str" cm="1">
        <f t="array" ref="C1153">_xlfn.IFS(B1153&lt;=25,"15-25",B1153&lt;=35,"26-35",B1153&lt;=45,"36-45",B1153&lt;=55,"46-55",B1153&lt;=65,"56-65")</f>
        <v>46-55</v>
      </c>
      <c r="D1153" t="s">
        <v>35</v>
      </c>
      <c r="E1153" t="str">
        <f t="shared" si="34"/>
        <v>Current Employee</v>
      </c>
      <c r="F1153" t="s">
        <v>36</v>
      </c>
      <c r="G1153">
        <v>1176</v>
      </c>
      <c r="H1153" t="s">
        <v>54</v>
      </c>
      <c r="I1153">
        <v>26</v>
      </c>
      <c r="J1153">
        <v>4</v>
      </c>
      <c r="K1153" t="s">
        <v>38</v>
      </c>
      <c r="L1153">
        <v>1</v>
      </c>
      <c r="M1153">
        <v>4</v>
      </c>
      <c r="N1153" t="s">
        <v>39</v>
      </c>
      <c r="O1153">
        <v>98</v>
      </c>
      <c r="P1153">
        <v>3</v>
      </c>
      <c r="Q1153">
        <v>5</v>
      </c>
      <c r="R1153" t="s">
        <v>53</v>
      </c>
      <c r="S1153">
        <v>3</v>
      </c>
      <c r="T1153" t="str" cm="1">
        <f t="array" ref="T1153">_xlfn.IFS(S1153&lt;=2,"Poor",S1153&lt;=3,"Fair",S1153&gt;=4,"Good")</f>
        <v>Fair</v>
      </c>
      <c r="U1153" t="s">
        <v>48</v>
      </c>
      <c r="V1153" s="1">
        <v>19658</v>
      </c>
      <c r="W1153" t="str" cm="1">
        <f t="array" ref="W1153">_xlfn.IFS(V1153&lt;=5000,"Low Salary",V1153&lt;=12000,"Good Salary",V1153&gt;12000,"High Salary")</f>
        <v>High Salary</v>
      </c>
      <c r="X1153">
        <v>5220</v>
      </c>
      <c r="Y1153">
        <v>3</v>
      </c>
      <c r="Z1153" t="s">
        <v>42</v>
      </c>
      <c r="AA1153" t="s">
        <v>35</v>
      </c>
      <c r="AB1153">
        <v>11</v>
      </c>
      <c r="AC1153">
        <v>3</v>
      </c>
      <c r="AD1153" t="str">
        <f t="shared" si="35"/>
        <v>Low Performance</v>
      </c>
      <c r="AE1153">
        <v>3</v>
      </c>
      <c r="AF1153">
        <v>80</v>
      </c>
      <c r="AG1153">
        <v>1</v>
      </c>
      <c r="AH1153">
        <v>27</v>
      </c>
      <c r="AI1153">
        <v>2</v>
      </c>
      <c r="AJ1153">
        <v>3</v>
      </c>
      <c r="AK1153" t="str" cm="1">
        <f t="array" ref="AK1153">_xlfn.IFS(AJ1153&lt;=2,"Poor",AJ1153&lt;=3,"Fair",AJ1153&gt;3,"Good")</f>
        <v>Fair</v>
      </c>
      <c r="AL1153">
        <v>5</v>
      </c>
      <c r="AM1153">
        <v>2</v>
      </c>
      <c r="AN1153">
        <v>1</v>
      </c>
      <c r="AO1153">
        <v>0</v>
      </c>
    </row>
    <row r="1154" spans="1:41" x14ac:dyDescent="0.2">
      <c r="A1154">
        <v>1604086</v>
      </c>
      <c r="B1154">
        <v>39</v>
      </c>
      <c r="C1154" t="str" cm="1">
        <f t="array" ref="C1154">_xlfn.IFS(B1154&lt;=25,"15-25",B1154&lt;=35,"26-35",B1154&lt;=45,"36-45",B1154&lt;=55,"46-55",B1154&lt;=65,"56-65")</f>
        <v>36-45</v>
      </c>
      <c r="D1154" t="s">
        <v>35</v>
      </c>
      <c r="E1154" t="str">
        <f t="shared" si="34"/>
        <v>Current Employee</v>
      </c>
      <c r="F1154" t="s">
        <v>36</v>
      </c>
      <c r="G1154">
        <v>170</v>
      </c>
      <c r="H1154" t="s">
        <v>45</v>
      </c>
      <c r="I1154">
        <v>3</v>
      </c>
      <c r="J1154">
        <v>2</v>
      </c>
      <c r="K1154" t="s">
        <v>49</v>
      </c>
      <c r="L1154">
        <v>1</v>
      </c>
      <c r="M1154">
        <v>3</v>
      </c>
      <c r="N1154" t="s">
        <v>46</v>
      </c>
      <c r="O1154">
        <v>76</v>
      </c>
      <c r="P1154">
        <v>2</v>
      </c>
      <c r="Q1154">
        <v>2</v>
      </c>
      <c r="R1154" t="s">
        <v>40</v>
      </c>
      <c r="S1154">
        <v>3</v>
      </c>
      <c r="T1154" t="str" cm="1">
        <f t="array" ref="T1154">_xlfn.IFS(S1154&lt;=2,"Poor",S1154&lt;=3,"Fair",S1154&gt;=4,"Good")</f>
        <v>Fair</v>
      </c>
      <c r="U1154" t="s">
        <v>50</v>
      </c>
      <c r="V1154" s="1">
        <v>3069</v>
      </c>
      <c r="W1154" t="str" cm="1">
        <f t="array" ref="W1154">_xlfn.IFS(V1154&lt;=5000,"Low Salary",V1154&lt;=12000,"Good Salary",V1154&gt;12000,"High Salary")</f>
        <v>Low Salary</v>
      </c>
      <c r="X1154">
        <v>10302</v>
      </c>
      <c r="Y1154">
        <v>0</v>
      </c>
      <c r="Z1154" t="s">
        <v>42</v>
      </c>
      <c r="AA1154" t="s">
        <v>35</v>
      </c>
      <c r="AB1154">
        <v>15</v>
      </c>
      <c r="AC1154">
        <v>3</v>
      </c>
      <c r="AD1154" t="str">
        <f t="shared" si="35"/>
        <v>Low Performance</v>
      </c>
      <c r="AE1154">
        <v>4</v>
      </c>
      <c r="AF1154">
        <v>80</v>
      </c>
      <c r="AG1154">
        <v>1</v>
      </c>
      <c r="AH1154">
        <v>11</v>
      </c>
      <c r="AI1154">
        <v>3</v>
      </c>
      <c r="AJ1154">
        <v>3</v>
      </c>
      <c r="AK1154" t="str" cm="1">
        <f t="array" ref="AK1154">_xlfn.IFS(AJ1154&lt;=2,"Poor",AJ1154&lt;=3,"Fair",AJ1154&gt;3,"Good")</f>
        <v>Fair</v>
      </c>
      <c r="AL1154">
        <v>10</v>
      </c>
      <c r="AM1154">
        <v>8</v>
      </c>
      <c r="AN1154">
        <v>0</v>
      </c>
      <c r="AO1154">
        <v>7</v>
      </c>
    </row>
    <row r="1155" spans="1:41" x14ac:dyDescent="0.2">
      <c r="A1155">
        <v>1687357</v>
      </c>
      <c r="B1155">
        <v>40</v>
      </c>
      <c r="C1155" t="str" cm="1">
        <f t="array" ref="C1155">_xlfn.IFS(B1155&lt;=25,"15-25",B1155&lt;=35,"26-35",B1155&lt;=45,"36-45",B1155&lt;=55,"46-55",B1155&lt;=65,"56-65")</f>
        <v>36-45</v>
      </c>
      <c r="D1155" t="s">
        <v>35</v>
      </c>
      <c r="E1155" t="str">
        <f t="shared" ref="E1155:E1218" si="36">IF(D1155="No","Current Employee","Former Employee")</f>
        <v>Current Employee</v>
      </c>
      <c r="F1155" t="s">
        <v>36</v>
      </c>
      <c r="G1155">
        <v>884</v>
      </c>
      <c r="H1155" t="s">
        <v>45</v>
      </c>
      <c r="I1155">
        <v>15</v>
      </c>
      <c r="J1155">
        <v>3</v>
      </c>
      <c r="K1155" t="s">
        <v>38</v>
      </c>
      <c r="L1155">
        <v>1</v>
      </c>
      <c r="M1155">
        <v>1</v>
      </c>
      <c r="N1155" t="s">
        <v>39</v>
      </c>
      <c r="O1155">
        <v>80</v>
      </c>
      <c r="P1155">
        <v>2</v>
      </c>
      <c r="Q1155">
        <v>3</v>
      </c>
      <c r="R1155" t="s">
        <v>51</v>
      </c>
      <c r="S1155">
        <v>3</v>
      </c>
      <c r="T1155" t="str" cm="1">
        <f t="array" ref="T1155">_xlfn.IFS(S1155&lt;=2,"Poor",S1155&lt;=3,"Fair",S1155&gt;=4,"Good")</f>
        <v>Fair</v>
      </c>
      <c r="U1155" t="s">
        <v>48</v>
      </c>
      <c r="V1155" s="1">
        <v>10435</v>
      </c>
      <c r="W1155" t="str" cm="1">
        <f t="array" ref="W1155">_xlfn.IFS(V1155&lt;=5000,"Low Salary",V1155&lt;=12000,"Good Salary",V1155&gt;12000,"High Salary")</f>
        <v>Good Salary</v>
      </c>
      <c r="X1155">
        <v>25800</v>
      </c>
      <c r="Y1155">
        <v>1</v>
      </c>
      <c r="Z1155" t="s">
        <v>42</v>
      </c>
      <c r="AA1155" t="s">
        <v>35</v>
      </c>
      <c r="AB1155">
        <v>13</v>
      </c>
      <c r="AC1155">
        <v>3</v>
      </c>
      <c r="AD1155" t="str">
        <f t="shared" ref="AD1155:AD1218" si="37">IF(AC1155&lt;=3,"Low Performance","High Performance")</f>
        <v>Low Performance</v>
      </c>
      <c r="AE1155">
        <v>4</v>
      </c>
      <c r="AF1155">
        <v>80</v>
      </c>
      <c r="AG1155">
        <v>2</v>
      </c>
      <c r="AH1155">
        <v>18</v>
      </c>
      <c r="AI1155">
        <v>2</v>
      </c>
      <c r="AJ1155">
        <v>3</v>
      </c>
      <c r="AK1155" t="str" cm="1">
        <f t="array" ref="AK1155">_xlfn.IFS(AJ1155&lt;=2,"Poor",AJ1155&lt;=3,"Fair",AJ1155&gt;3,"Good")</f>
        <v>Fair</v>
      </c>
      <c r="AL1155">
        <v>18</v>
      </c>
      <c r="AM1155">
        <v>15</v>
      </c>
      <c r="AN1155">
        <v>14</v>
      </c>
      <c r="AO1155">
        <v>12</v>
      </c>
    </row>
    <row r="1156" spans="1:41" x14ac:dyDescent="0.2">
      <c r="A1156">
        <v>1645854</v>
      </c>
      <c r="B1156">
        <v>35</v>
      </c>
      <c r="C1156" t="str" cm="1">
        <f t="array" ref="C1156">_xlfn.IFS(B1156&lt;=25,"15-25",B1156&lt;=35,"26-35",B1156&lt;=45,"36-45",B1156&lt;=55,"46-55",B1156&lt;=65,"56-65")</f>
        <v>26-35</v>
      </c>
      <c r="D1156" t="s">
        <v>35</v>
      </c>
      <c r="E1156" t="str">
        <f t="shared" si="36"/>
        <v>Current Employee</v>
      </c>
      <c r="F1156" t="s">
        <v>52</v>
      </c>
      <c r="G1156">
        <v>208</v>
      </c>
      <c r="H1156" t="s">
        <v>45</v>
      </c>
      <c r="I1156">
        <v>8</v>
      </c>
      <c r="J1156">
        <v>4</v>
      </c>
      <c r="K1156" t="s">
        <v>38</v>
      </c>
      <c r="L1156">
        <v>1</v>
      </c>
      <c r="M1156">
        <v>3</v>
      </c>
      <c r="N1156" t="s">
        <v>39</v>
      </c>
      <c r="O1156">
        <v>52</v>
      </c>
      <c r="P1156">
        <v>3</v>
      </c>
      <c r="Q1156">
        <v>2</v>
      </c>
      <c r="R1156" t="s">
        <v>40</v>
      </c>
      <c r="S1156">
        <v>3</v>
      </c>
      <c r="T1156" t="str" cm="1">
        <f t="array" ref="T1156">_xlfn.IFS(S1156&lt;=2,"Poor",S1156&lt;=3,"Fair",S1156&gt;=4,"Good")</f>
        <v>Fair</v>
      </c>
      <c r="U1156" t="s">
        <v>48</v>
      </c>
      <c r="V1156" s="1">
        <v>4148</v>
      </c>
      <c r="W1156" t="str" cm="1">
        <f t="array" ref="W1156">_xlfn.IFS(V1156&lt;=5000,"Low Salary",V1156&lt;=12000,"Good Salary",V1156&gt;12000,"High Salary")</f>
        <v>Low Salary</v>
      </c>
      <c r="X1156">
        <v>12250</v>
      </c>
      <c r="Y1156">
        <v>1</v>
      </c>
      <c r="Z1156" t="s">
        <v>42</v>
      </c>
      <c r="AA1156" t="s">
        <v>35</v>
      </c>
      <c r="AB1156">
        <v>12</v>
      </c>
      <c r="AC1156">
        <v>3</v>
      </c>
      <c r="AD1156" t="str">
        <f t="shared" si="37"/>
        <v>Low Performance</v>
      </c>
      <c r="AE1156">
        <v>4</v>
      </c>
      <c r="AF1156">
        <v>80</v>
      </c>
      <c r="AG1156">
        <v>1</v>
      </c>
      <c r="AH1156">
        <v>15</v>
      </c>
      <c r="AI1156">
        <v>5</v>
      </c>
      <c r="AJ1156">
        <v>3</v>
      </c>
      <c r="AK1156" t="str" cm="1">
        <f t="array" ref="AK1156">_xlfn.IFS(AJ1156&lt;=2,"Poor",AJ1156&lt;=3,"Fair",AJ1156&gt;3,"Good")</f>
        <v>Fair</v>
      </c>
      <c r="AL1156">
        <v>14</v>
      </c>
      <c r="AM1156">
        <v>11</v>
      </c>
      <c r="AN1156">
        <v>2</v>
      </c>
      <c r="AO1156">
        <v>9</v>
      </c>
    </row>
    <row r="1157" spans="1:41" x14ac:dyDescent="0.2">
      <c r="A1157">
        <v>1693873</v>
      </c>
      <c r="B1157">
        <v>37</v>
      </c>
      <c r="C1157" t="str" cm="1">
        <f t="array" ref="C1157">_xlfn.IFS(B1157&lt;=25,"15-25",B1157&lt;=35,"26-35",B1157&lt;=45,"36-45",B1157&lt;=55,"46-55",B1157&lt;=65,"56-65")</f>
        <v>36-45</v>
      </c>
      <c r="D1157" t="s">
        <v>35</v>
      </c>
      <c r="E1157" t="str">
        <f t="shared" si="36"/>
        <v>Current Employee</v>
      </c>
      <c r="F1157" t="s">
        <v>36</v>
      </c>
      <c r="G1157">
        <v>671</v>
      </c>
      <c r="H1157" t="s">
        <v>45</v>
      </c>
      <c r="I1157">
        <v>19</v>
      </c>
      <c r="J1157">
        <v>3</v>
      </c>
      <c r="K1157" t="s">
        <v>38</v>
      </c>
      <c r="L1157">
        <v>1</v>
      </c>
      <c r="M1157">
        <v>3</v>
      </c>
      <c r="N1157" t="s">
        <v>46</v>
      </c>
      <c r="O1157">
        <v>85</v>
      </c>
      <c r="P1157">
        <v>3</v>
      </c>
      <c r="Q1157">
        <v>2</v>
      </c>
      <c r="R1157" t="s">
        <v>51</v>
      </c>
      <c r="S1157">
        <v>3</v>
      </c>
      <c r="T1157" t="str" cm="1">
        <f t="array" ref="T1157">_xlfn.IFS(S1157&lt;=2,"Poor",S1157&lt;=3,"Fair",S1157&gt;=4,"Good")</f>
        <v>Fair</v>
      </c>
      <c r="U1157" t="s">
        <v>48</v>
      </c>
      <c r="V1157" s="1">
        <v>5768</v>
      </c>
      <c r="W1157" t="str" cm="1">
        <f t="array" ref="W1157">_xlfn.IFS(V1157&lt;=5000,"Low Salary",V1157&lt;=12000,"Good Salary",V1157&gt;12000,"High Salary")</f>
        <v>Good Salary</v>
      </c>
      <c r="X1157">
        <v>26493</v>
      </c>
      <c r="Y1157">
        <v>3</v>
      </c>
      <c r="Z1157" t="s">
        <v>42</v>
      </c>
      <c r="AA1157" t="s">
        <v>35</v>
      </c>
      <c r="AB1157">
        <v>17</v>
      </c>
      <c r="AC1157">
        <v>3</v>
      </c>
      <c r="AD1157" t="str">
        <f t="shared" si="37"/>
        <v>Low Performance</v>
      </c>
      <c r="AE1157">
        <v>1</v>
      </c>
      <c r="AF1157">
        <v>80</v>
      </c>
      <c r="AG1157">
        <v>3</v>
      </c>
      <c r="AH1157">
        <v>9</v>
      </c>
      <c r="AI1157">
        <v>2</v>
      </c>
      <c r="AJ1157">
        <v>2</v>
      </c>
      <c r="AK1157" t="str" cm="1">
        <f t="array" ref="AK1157">_xlfn.IFS(AJ1157&lt;=2,"Poor",AJ1157&lt;=3,"Fair",AJ1157&gt;3,"Good")</f>
        <v>Poor</v>
      </c>
      <c r="AL1157">
        <v>4</v>
      </c>
      <c r="AM1157">
        <v>3</v>
      </c>
      <c r="AN1157">
        <v>0</v>
      </c>
      <c r="AO1157">
        <v>2</v>
      </c>
    </row>
    <row r="1158" spans="1:41" x14ac:dyDescent="0.2">
      <c r="A1158">
        <v>1032199</v>
      </c>
      <c r="B1158">
        <v>39</v>
      </c>
      <c r="C1158" t="str" cm="1">
        <f t="array" ref="C1158">_xlfn.IFS(B1158&lt;=25,"15-25",B1158&lt;=35,"26-35",B1158&lt;=45,"36-45",B1158&lt;=55,"46-55",B1158&lt;=65,"56-65")</f>
        <v>36-45</v>
      </c>
      <c r="D1158" t="s">
        <v>35</v>
      </c>
      <c r="E1158" t="str">
        <f t="shared" si="36"/>
        <v>Current Employee</v>
      </c>
      <c r="F1158" t="s">
        <v>44</v>
      </c>
      <c r="G1158">
        <v>711</v>
      </c>
      <c r="H1158" t="s">
        <v>54</v>
      </c>
      <c r="I1158">
        <v>4</v>
      </c>
      <c r="J1158">
        <v>3</v>
      </c>
      <c r="K1158" t="s">
        <v>49</v>
      </c>
      <c r="L1158">
        <v>1</v>
      </c>
      <c r="M1158">
        <v>1</v>
      </c>
      <c r="N1158" t="s">
        <v>39</v>
      </c>
      <c r="O1158">
        <v>81</v>
      </c>
      <c r="P1158">
        <v>3</v>
      </c>
      <c r="Q1158">
        <v>2</v>
      </c>
      <c r="R1158" t="s">
        <v>51</v>
      </c>
      <c r="S1158">
        <v>3</v>
      </c>
      <c r="T1158" t="str" cm="1">
        <f t="array" ref="T1158">_xlfn.IFS(S1158&lt;=2,"Poor",S1158&lt;=3,"Fair",S1158&gt;=4,"Good")</f>
        <v>Fair</v>
      </c>
      <c r="U1158" t="s">
        <v>41</v>
      </c>
      <c r="V1158" s="1">
        <v>5042</v>
      </c>
      <c r="W1158" t="str" cm="1">
        <f t="array" ref="W1158">_xlfn.IFS(V1158&lt;=5000,"Low Salary",V1158&lt;=12000,"Good Salary",V1158&gt;12000,"High Salary")</f>
        <v>Good Salary</v>
      </c>
      <c r="X1158">
        <v>3140</v>
      </c>
      <c r="Y1158">
        <v>0</v>
      </c>
      <c r="Z1158" t="s">
        <v>42</v>
      </c>
      <c r="AA1158" t="s">
        <v>35</v>
      </c>
      <c r="AB1158">
        <v>13</v>
      </c>
      <c r="AC1158">
        <v>3</v>
      </c>
      <c r="AD1158" t="str">
        <f t="shared" si="37"/>
        <v>Low Performance</v>
      </c>
      <c r="AE1158">
        <v>4</v>
      </c>
      <c r="AF1158">
        <v>80</v>
      </c>
      <c r="AG1158">
        <v>0</v>
      </c>
      <c r="AH1158">
        <v>10</v>
      </c>
      <c r="AI1158">
        <v>2</v>
      </c>
      <c r="AJ1158">
        <v>1</v>
      </c>
      <c r="AK1158" t="str" cm="1">
        <f t="array" ref="AK1158">_xlfn.IFS(AJ1158&lt;=2,"Poor",AJ1158&lt;=3,"Fair",AJ1158&gt;3,"Good")</f>
        <v>Poor</v>
      </c>
      <c r="AL1158">
        <v>9</v>
      </c>
      <c r="AM1158">
        <v>2</v>
      </c>
      <c r="AN1158">
        <v>3</v>
      </c>
      <c r="AO1158">
        <v>8</v>
      </c>
    </row>
    <row r="1159" spans="1:41" x14ac:dyDescent="0.2">
      <c r="A1159">
        <v>1646893</v>
      </c>
      <c r="B1159">
        <v>45</v>
      </c>
      <c r="C1159" t="str" cm="1">
        <f t="array" ref="C1159">_xlfn.IFS(B1159&lt;=25,"15-25",B1159&lt;=35,"26-35",B1159&lt;=45,"36-45",B1159&lt;=55,"46-55",B1159&lt;=65,"56-65")</f>
        <v>36-45</v>
      </c>
      <c r="D1159" t="s">
        <v>35</v>
      </c>
      <c r="E1159" t="str">
        <f t="shared" si="36"/>
        <v>Current Employee</v>
      </c>
      <c r="F1159" t="s">
        <v>36</v>
      </c>
      <c r="G1159">
        <v>1329</v>
      </c>
      <c r="H1159" t="s">
        <v>54</v>
      </c>
      <c r="I1159">
        <v>2</v>
      </c>
      <c r="J1159">
        <v>2</v>
      </c>
      <c r="K1159" t="s">
        <v>47</v>
      </c>
      <c r="L1159">
        <v>1</v>
      </c>
      <c r="M1159">
        <v>4</v>
      </c>
      <c r="N1159" t="s">
        <v>39</v>
      </c>
      <c r="O1159">
        <v>59</v>
      </c>
      <c r="P1159">
        <v>2</v>
      </c>
      <c r="Q1159">
        <v>2</v>
      </c>
      <c r="R1159" t="s">
        <v>51</v>
      </c>
      <c r="S1159">
        <v>4</v>
      </c>
      <c r="T1159" t="str" cm="1">
        <f t="array" ref="T1159">_xlfn.IFS(S1159&lt;=2,"Poor",S1159&lt;=3,"Fair",S1159&gt;=4,"Good")</f>
        <v>Good</v>
      </c>
      <c r="U1159" t="s">
        <v>50</v>
      </c>
      <c r="V1159" s="1">
        <v>5770</v>
      </c>
      <c r="W1159" t="str" cm="1">
        <f t="array" ref="W1159">_xlfn.IFS(V1159&lt;=5000,"Low Salary",V1159&lt;=12000,"Good Salary",V1159&gt;12000,"High Salary")</f>
        <v>Good Salary</v>
      </c>
      <c r="X1159">
        <v>5388</v>
      </c>
      <c r="Y1159">
        <v>1</v>
      </c>
      <c r="Z1159" t="s">
        <v>42</v>
      </c>
      <c r="AA1159" t="s">
        <v>35</v>
      </c>
      <c r="AB1159">
        <v>19</v>
      </c>
      <c r="AC1159">
        <v>3</v>
      </c>
      <c r="AD1159" t="str">
        <f t="shared" si="37"/>
        <v>Low Performance</v>
      </c>
      <c r="AE1159">
        <v>1</v>
      </c>
      <c r="AF1159">
        <v>80</v>
      </c>
      <c r="AG1159">
        <v>2</v>
      </c>
      <c r="AH1159">
        <v>10</v>
      </c>
      <c r="AI1159">
        <v>3</v>
      </c>
      <c r="AJ1159">
        <v>3</v>
      </c>
      <c r="AK1159" t="str" cm="1">
        <f t="array" ref="AK1159">_xlfn.IFS(AJ1159&lt;=2,"Poor",AJ1159&lt;=3,"Fair",AJ1159&gt;3,"Good")</f>
        <v>Fair</v>
      </c>
      <c r="AL1159">
        <v>10</v>
      </c>
      <c r="AM1159">
        <v>7</v>
      </c>
      <c r="AN1159">
        <v>3</v>
      </c>
      <c r="AO1159">
        <v>9</v>
      </c>
    </row>
    <row r="1160" spans="1:41" x14ac:dyDescent="0.2">
      <c r="A1160">
        <v>1641732</v>
      </c>
      <c r="B1160">
        <v>38</v>
      </c>
      <c r="C1160" t="str" cm="1">
        <f t="array" ref="C1160">_xlfn.IFS(B1160&lt;=25,"15-25",B1160&lt;=35,"26-35",B1160&lt;=45,"36-45",B1160&lt;=55,"46-55",B1160&lt;=65,"56-65")</f>
        <v>36-45</v>
      </c>
      <c r="D1160" t="s">
        <v>35</v>
      </c>
      <c r="E1160" t="str">
        <f t="shared" si="36"/>
        <v>Current Employee</v>
      </c>
      <c r="F1160" t="s">
        <v>36</v>
      </c>
      <c r="G1160">
        <v>397</v>
      </c>
      <c r="H1160" t="s">
        <v>54</v>
      </c>
      <c r="I1160">
        <v>2</v>
      </c>
      <c r="J1160">
        <v>2</v>
      </c>
      <c r="K1160" t="s">
        <v>49</v>
      </c>
      <c r="L1160">
        <v>1</v>
      </c>
      <c r="M1160">
        <v>4</v>
      </c>
      <c r="N1160" t="s">
        <v>39</v>
      </c>
      <c r="O1160">
        <v>54</v>
      </c>
      <c r="P1160">
        <v>2</v>
      </c>
      <c r="Q1160">
        <v>3</v>
      </c>
      <c r="R1160" t="s">
        <v>51</v>
      </c>
      <c r="S1160">
        <v>3</v>
      </c>
      <c r="T1160" t="str" cm="1">
        <f t="array" ref="T1160">_xlfn.IFS(S1160&lt;=2,"Poor",S1160&lt;=3,"Fair",S1160&gt;=4,"Good")</f>
        <v>Fair</v>
      </c>
      <c r="U1160" t="s">
        <v>48</v>
      </c>
      <c r="V1160" s="1">
        <v>7756</v>
      </c>
      <c r="W1160" t="str" cm="1">
        <f t="array" ref="W1160">_xlfn.IFS(V1160&lt;=5000,"Low Salary",V1160&lt;=12000,"Good Salary",V1160&gt;12000,"High Salary")</f>
        <v>Good Salary</v>
      </c>
      <c r="X1160">
        <v>14199</v>
      </c>
      <c r="Y1160">
        <v>3</v>
      </c>
      <c r="Z1160" t="s">
        <v>42</v>
      </c>
      <c r="AA1160" t="s">
        <v>43</v>
      </c>
      <c r="AB1160">
        <v>19</v>
      </c>
      <c r="AC1160">
        <v>3</v>
      </c>
      <c r="AD1160" t="str">
        <f t="shared" si="37"/>
        <v>Low Performance</v>
      </c>
      <c r="AE1160">
        <v>4</v>
      </c>
      <c r="AF1160">
        <v>80</v>
      </c>
      <c r="AG1160">
        <v>1</v>
      </c>
      <c r="AH1160">
        <v>10</v>
      </c>
      <c r="AI1160">
        <v>6</v>
      </c>
      <c r="AJ1160">
        <v>4</v>
      </c>
      <c r="AK1160" t="str" cm="1">
        <f t="array" ref="AK1160">_xlfn.IFS(AJ1160&lt;=2,"Poor",AJ1160&lt;=3,"Fair",AJ1160&gt;3,"Good")</f>
        <v>Good</v>
      </c>
      <c r="AL1160">
        <v>5</v>
      </c>
      <c r="AM1160">
        <v>4</v>
      </c>
      <c r="AN1160">
        <v>0</v>
      </c>
      <c r="AO1160">
        <v>2</v>
      </c>
    </row>
    <row r="1161" spans="1:41" x14ac:dyDescent="0.2">
      <c r="A1161">
        <v>1626748</v>
      </c>
      <c r="B1161">
        <v>35</v>
      </c>
      <c r="C1161" t="str" cm="1">
        <f t="array" ref="C1161">_xlfn.IFS(B1161&lt;=25,"15-25",B1161&lt;=35,"26-35",B1161&lt;=45,"36-45",B1161&lt;=55,"46-55",B1161&lt;=65,"56-65")</f>
        <v>26-35</v>
      </c>
      <c r="D1161" t="s">
        <v>35</v>
      </c>
      <c r="E1161" t="str">
        <f t="shared" si="36"/>
        <v>Current Employee</v>
      </c>
      <c r="F1161" t="s">
        <v>36</v>
      </c>
      <c r="G1161">
        <v>737</v>
      </c>
      <c r="H1161" t="s">
        <v>37</v>
      </c>
      <c r="I1161">
        <v>10</v>
      </c>
      <c r="J1161">
        <v>3</v>
      </c>
      <c r="K1161" t="s">
        <v>49</v>
      </c>
      <c r="L1161">
        <v>1</v>
      </c>
      <c r="M1161">
        <v>4</v>
      </c>
      <c r="N1161" t="s">
        <v>46</v>
      </c>
      <c r="O1161">
        <v>55</v>
      </c>
      <c r="P1161">
        <v>2</v>
      </c>
      <c r="Q1161">
        <v>3</v>
      </c>
      <c r="R1161" t="s">
        <v>40</v>
      </c>
      <c r="S1161">
        <v>1</v>
      </c>
      <c r="T1161" t="str" cm="1">
        <f t="array" ref="T1161">_xlfn.IFS(S1161&lt;=2,"Poor",S1161&lt;=3,"Fair",S1161&gt;=4,"Good")</f>
        <v>Poor</v>
      </c>
      <c r="U1161" t="s">
        <v>48</v>
      </c>
      <c r="V1161" s="1">
        <v>10306</v>
      </c>
      <c r="W1161" t="str" cm="1">
        <f t="array" ref="W1161">_xlfn.IFS(V1161&lt;=5000,"Low Salary",V1161&lt;=12000,"Good Salary",V1161&gt;12000,"High Salary")</f>
        <v>Good Salary</v>
      </c>
      <c r="X1161">
        <v>21530</v>
      </c>
      <c r="Y1161">
        <v>9</v>
      </c>
      <c r="Z1161" t="s">
        <v>42</v>
      </c>
      <c r="AA1161" t="s">
        <v>35</v>
      </c>
      <c r="AB1161">
        <v>17</v>
      </c>
      <c r="AC1161">
        <v>3</v>
      </c>
      <c r="AD1161" t="str">
        <f t="shared" si="37"/>
        <v>Low Performance</v>
      </c>
      <c r="AE1161">
        <v>3</v>
      </c>
      <c r="AF1161">
        <v>80</v>
      </c>
      <c r="AG1161">
        <v>0</v>
      </c>
      <c r="AH1161">
        <v>15</v>
      </c>
      <c r="AI1161">
        <v>3</v>
      </c>
      <c r="AJ1161">
        <v>3</v>
      </c>
      <c r="AK1161" t="str" cm="1">
        <f t="array" ref="AK1161">_xlfn.IFS(AJ1161&lt;=2,"Poor",AJ1161&lt;=3,"Fair",AJ1161&gt;3,"Good")</f>
        <v>Fair</v>
      </c>
      <c r="AL1161">
        <v>13</v>
      </c>
      <c r="AM1161">
        <v>12</v>
      </c>
      <c r="AN1161">
        <v>6</v>
      </c>
      <c r="AO1161">
        <v>0</v>
      </c>
    </row>
    <row r="1162" spans="1:41" x14ac:dyDescent="0.2">
      <c r="A1162">
        <v>1552731</v>
      </c>
      <c r="B1162">
        <v>37</v>
      </c>
      <c r="C1162" t="str" cm="1">
        <f t="array" ref="C1162">_xlfn.IFS(B1162&lt;=25,"15-25",B1162&lt;=35,"26-35",B1162&lt;=45,"36-45",B1162&lt;=55,"46-55",B1162&lt;=65,"56-65")</f>
        <v>36-45</v>
      </c>
      <c r="D1162" t="s">
        <v>35</v>
      </c>
      <c r="E1162" t="str">
        <f t="shared" si="36"/>
        <v>Current Employee</v>
      </c>
      <c r="F1162" t="s">
        <v>36</v>
      </c>
      <c r="G1162">
        <v>1470</v>
      </c>
      <c r="H1162" t="s">
        <v>45</v>
      </c>
      <c r="I1162">
        <v>10</v>
      </c>
      <c r="J1162">
        <v>3</v>
      </c>
      <c r="K1162" t="s">
        <v>49</v>
      </c>
      <c r="L1162">
        <v>1</v>
      </c>
      <c r="M1162">
        <v>2</v>
      </c>
      <c r="N1162" t="s">
        <v>39</v>
      </c>
      <c r="O1162">
        <v>71</v>
      </c>
      <c r="P1162">
        <v>3</v>
      </c>
      <c r="Q1162">
        <v>1</v>
      </c>
      <c r="R1162" t="s">
        <v>47</v>
      </c>
      <c r="S1162">
        <v>2</v>
      </c>
      <c r="T1162" t="str" cm="1">
        <f t="array" ref="T1162">_xlfn.IFS(S1162&lt;=2,"Poor",S1162&lt;=3,"Fair",S1162&gt;=4,"Good")</f>
        <v>Poor</v>
      </c>
      <c r="U1162" t="s">
        <v>48</v>
      </c>
      <c r="V1162" s="1">
        <v>3936</v>
      </c>
      <c r="W1162" t="str" cm="1">
        <f t="array" ref="W1162">_xlfn.IFS(V1162&lt;=5000,"Low Salary",V1162&lt;=12000,"Good Salary",V1162&gt;12000,"High Salary")</f>
        <v>Low Salary</v>
      </c>
      <c r="X1162">
        <v>9953</v>
      </c>
      <c r="Y1162">
        <v>1</v>
      </c>
      <c r="Z1162" t="s">
        <v>42</v>
      </c>
      <c r="AA1162" t="s">
        <v>35</v>
      </c>
      <c r="AB1162">
        <v>11</v>
      </c>
      <c r="AC1162">
        <v>3</v>
      </c>
      <c r="AD1162" t="str">
        <f t="shared" si="37"/>
        <v>Low Performance</v>
      </c>
      <c r="AE1162">
        <v>1</v>
      </c>
      <c r="AF1162">
        <v>80</v>
      </c>
      <c r="AG1162">
        <v>1</v>
      </c>
      <c r="AH1162">
        <v>8</v>
      </c>
      <c r="AI1162">
        <v>2</v>
      </c>
      <c r="AJ1162">
        <v>1</v>
      </c>
      <c r="AK1162" t="str" cm="1">
        <f t="array" ref="AK1162">_xlfn.IFS(AJ1162&lt;=2,"Poor",AJ1162&lt;=3,"Fair",AJ1162&gt;3,"Good")</f>
        <v>Poor</v>
      </c>
      <c r="AL1162">
        <v>8</v>
      </c>
      <c r="AM1162">
        <v>4</v>
      </c>
      <c r="AN1162">
        <v>7</v>
      </c>
      <c r="AO1162">
        <v>7</v>
      </c>
    </row>
    <row r="1163" spans="1:41" x14ac:dyDescent="0.2">
      <c r="A1163">
        <v>1294986</v>
      </c>
      <c r="B1163">
        <v>40</v>
      </c>
      <c r="C1163" t="str" cm="1">
        <f t="array" ref="C1163">_xlfn.IFS(B1163&lt;=25,"15-25",B1163&lt;=35,"26-35",B1163&lt;=45,"36-45",B1163&lt;=55,"46-55",B1163&lt;=65,"56-65")</f>
        <v>36-45</v>
      </c>
      <c r="D1163" t="s">
        <v>35</v>
      </c>
      <c r="E1163" t="str">
        <f t="shared" si="36"/>
        <v>Current Employee</v>
      </c>
      <c r="F1163" t="s">
        <v>36</v>
      </c>
      <c r="G1163">
        <v>448</v>
      </c>
      <c r="H1163" t="s">
        <v>45</v>
      </c>
      <c r="I1163">
        <v>16</v>
      </c>
      <c r="J1163">
        <v>3</v>
      </c>
      <c r="K1163" t="s">
        <v>38</v>
      </c>
      <c r="L1163">
        <v>1</v>
      </c>
      <c r="M1163">
        <v>3</v>
      </c>
      <c r="N1163" t="s">
        <v>39</v>
      </c>
      <c r="O1163">
        <v>84</v>
      </c>
      <c r="P1163">
        <v>3</v>
      </c>
      <c r="Q1163">
        <v>3</v>
      </c>
      <c r="R1163" t="s">
        <v>51</v>
      </c>
      <c r="S1163">
        <v>4</v>
      </c>
      <c r="T1163" t="str" cm="1">
        <f t="array" ref="T1163">_xlfn.IFS(S1163&lt;=2,"Poor",S1163&lt;=3,"Fair",S1163&gt;=4,"Good")</f>
        <v>Good</v>
      </c>
      <c r="U1163" t="s">
        <v>41</v>
      </c>
      <c r="V1163" s="1">
        <v>7945</v>
      </c>
      <c r="W1163" t="str" cm="1">
        <f t="array" ref="W1163">_xlfn.IFS(V1163&lt;=5000,"Low Salary",V1163&lt;=12000,"Good Salary",V1163&gt;12000,"High Salary")</f>
        <v>Good Salary</v>
      </c>
      <c r="X1163">
        <v>19948</v>
      </c>
      <c r="Y1163">
        <v>6</v>
      </c>
      <c r="Z1163" t="s">
        <v>42</v>
      </c>
      <c r="AA1163" t="s">
        <v>43</v>
      </c>
      <c r="AB1163">
        <v>15</v>
      </c>
      <c r="AC1163">
        <v>3</v>
      </c>
      <c r="AD1163" t="str">
        <f t="shared" si="37"/>
        <v>Low Performance</v>
      </c>
      <c r="AE1163">
        <v>4</v>
      </c>
      <c r="AF1163">
        <v>80</v>
      </c>
      <c r="AG1163">
        <v>0</v>
      </c>
      <c r="AH1163">
        <v>18</v>
      </c>
      <c r="AI1163">
        <v>2</v>
      </c>
      <c r="AJ1163">
        <v>2</v>
      </c>
      <c r="AK1163" t="str" cm="1">
        <f t="array" ref="AK1163">_xlfn.IFS(AJ1163&lt;=2,"Poor",AJ1163&lt;=3,"Fair",AJ1163&gt;3,"Good")</f>
        <v>Poor</v>
      </c>
      <c r="AL1163">
        <v>4</v>
      </c>
      <c r="AM1163">
        <v>2</v>
      </c>
      <c r="AN1163">
        <v>3</v>
      </c>
      <c r="AO1163">
        <v>3</v>
      </c>
    </row>
    <row r="1164" spans="1:41" x14ac:dyDescent="0.2">
      <c r="A1164">
        <v>1219188</v>
      </c>
      <c r="B1164">
        <v>44</v>
      </c>
      <c r="C1164" t="str" cm="1">
        <f t="array" ref="C1164">_xlfn.IFS(B1164&lt;=25,"15-25",B1164&lt;=35,"26-35",B1164&lt;=45,"36-45",B1164&lt;=55,"46-55",B1164&lt;=65,"56-65")</f>
        <v>36-45</v>
      </c>
      <c r="D1164" t="s">
        <v>35</v>
      </c>
      <c r="E1164" t="str">
        <f t="shared" si="36"/>
        <v>Current Employee</v>
      </c>
      <c r="F1164" t="s">
        <v>44</v>
      </c>
      <c r="G1164">
        <v>602</v>
      </c>
      <c r="H1164" t="s">
        <v>54</v>
      </c>
      <c r="I1164">
        <v>1</v>
      </c>
      <c r="J1164">
        <v>5</v>
      </c>
      <c r="K1164" t="s">
        <v>57</v>
      </c>
      <c r="L1164">
        <v>1</v>
      </c>
      <c r="M1164">
        <v>1</v>
      </c>
      <c r="N1164" t="s">
        <v>46</v>
      </c>
      <c r="O1164">
        <v>37</v>
      </c>
      <c r="P1164">
        <v>3</v>
      </c>
      <c r="Q1164">
        <v>2</v>
      </c>
      <c r="R1164" t="s">
        <v>47</v>
      </c>
      <c r="S1164">
        <v>4</v>
      </c>
      <c r="T1164" t="str" cm="1">
        <f t="array" ref="T1164">_xlfn.IFS(S1164&lt;=2,"Poor",S1164&lt;=3,"Fair",S1164&gt;=4,"Good")</f>
        <v>Good</v>
      </c>
      <c r="U1164" t="s">
        <v>48</v>
      </c>
      <c r="V1164" s="1">
        <v>5743</v>
      </c>
      <c r="W1164" t="str" cm="1">
        <f t="array" ref="W1164">_xlfn.IFS(V1164&lt;=5000,"Low Salary",V1164&lt;=12000,"Good Salary",V1164&gt;12000,"High Salary")</f>
        <v>Good Salary</v>
      </c>
      <c r="X1164">
        <v>10503</v>
      </c>
      <c r="Y1164">
        <v>4</v>
      </c>
      <c r="Z1164" t="s">
        <v>42</v>
      </c>
      <c r="AA1164" t="s">
        <v>43</v>
      </c>
      <c r="AB1164">
        <v>11</v>
      </c>
      <c r="AC1164">
        <v>3</v>
      </c>
      <c r="AD1164" t="str">
        <f t="shared" si="37"/>
        <v>Low Performance</v>
      </c>
      <c r="AE1164">
        <v>3</v>
      </c>
      <c r="AF1164">
        <v>80</v>
      </c>
      <c r="AG1164">
        <v>0</v>
      </c>
      <c r="AH1164">
        <v>14</v>
      </c>
      <c r="AI1164">
        <v>3</v>
      </c>
      <c r="AJ1164">
        <v>3</v>
      </c>
      <c r="AK1164" t="str" cm="1">
        <f t="array" ref="AK1164">_xlfn.IFS(AJ1164&lt;=2,"Poor",AJ1164&lt;=3,"Fair",AJ1164&gt;3,"Good")</f>
        <v>Fair</v>
      </c>
      <c r="AL1164">
        <v>10</v>
      </c>
      <c r="AM1164">
        <v>7</v>
      </c>
      <c r="AN1164">
        <v>0</v>
      </c>
      <c r="AO1164">
        <v>2</v>
      </c>
    </row>
    <row r="1165" spans="1:41" x14ac:dyDescent="0.2">
      <c r="A1165">
        <v>1533221</v>
      </c>
      <c r="B1165">
        <v>48</v>
      </c>
      <c r="C1165" t="str" cm="1">
        <f t="array" ref="C1165">_xlfn.IFS(B1165&lt;=25,"15-25",B1165&lt;=35,"26-35",B1165&lt;=45,"36-45",B1165&lt;=55,"46-55",B1165&lt;=65,"56-65")</f>
        <v>46-55</v>
      </c>
      <c r="D1165" t="s">
        <v>35</v>
      </c>
      <c r="E1165" t="str">
        <f t="shared" si="36"/>
        <v>Current Employee</v>
      </c>
      <c r="F1165" t="s">
        <v>44</v>
      </c>
      <c r="G1165">
        <v>365</v>
      </c>
      <c r="H1165" t="s">
        <v>54</v>
      </c>
      <c r="I1165">
        <v>4</v>
      </c>
      <c r="J1165">
        <v>5</v>
      </c>
      <c r="K1165" t="s">
        <v>49</v>
      </c>
      <c r="L1165">
        <v>1</v>
      </c>
      <c r="M1165">
        <v>3</v>
      </c>
      <c r="N1165" t="s">
        <v>46</v>
      </c>
      <c r="O1165">
        <v>89</v>
      </c>
      <c r="P1165">
        <v>2</v>
      </c>
      <c r="Q1165">
        <v>4</v>
      </c>
      <c r="R1165" t="s">
        <v>47</v>
      </c>
      <c r="S1165">
        <v>4</v>
      </c>
      <c r="T1165" t="str" cm="1">
        <f t="array" ref="T1165">_xlfn.IFS(S1165&lt;=2,"Poor",S1165&lt;=3,"Fair",S1165&gt;=4,"Good")</f>
        <v>Good</v>
      </c>
      <c r="U1165" t="s">
        <v>48</v>
      </c>
      <c r="V1165" s="1">
        <v>15202</v>
      </c>
      <c r="W1165" t="str" cm="1">
        <f t="array" ref="W1165">_xlfn.IFS(V1165&lt;=5000,"Low Salary",V1165&lt;=12000,"Good Salary",V1165&gt;12000,"High Salary")</f>
        <v>High Salary</v>
      </c>
      <c r="X1165">
        <v>5602</v>
      </c>
      <c r="Y1165">
        <v>2</v>
      </c>
      <c r="Z1165" t="s">
        <v>42</v>
      </c>
      <c r="AA1165" t="s">
        <v>35</v>
      </c>
      <c r="AB1165">
        <v>25</v>
      </c>
      <c r="AC1165">
        <v>4</v>
      </c>
      <c r="AD1165" t="str">
        <f t="shared" si="37"/>
        <v>High Performance</v>
      </c>
      <c r="AE1165">
        <v>2</v>
      </c>
      <c r="AF1165">
        <v>80</v>
      </c>
      <c r="AG1165">
        <v>1</v>
      </c>
      <c r="AH1165">
        <v>23</v>
      </c>
      <c r="AI1165">
        <v>3</v>
      </c>
      <c r="AJ1165">
        <v>3</v>
      </c>
      <c r="AK1165" t="str" cm="1">
        <f t="array" ref="AK1165">_xlfn.IFS(AJ1165&lt;=2,"Poor",AJ1165&lt;=3,"Fair",AJ1165&gt;3,"Good")</f>
        <v>Fair</v>
      </c>
      <c r="AL1165">
        <v>2</v>
      </c>
      <c r="AM1165">
        <v>2</v>
      </c>
      <c r="AN1165">
        <v>2</v>
      </c>
      <c r="AO1165">
        <v>2</v>
      </c>
    </row>
    <row r="1166" spans="1:41" x14ac:dyDescent="0.2">
      <c r="A1166">
        <v>1107055</v>
      </c>
      <c r="B1166">
        <v>35</v>
      </c>
      <c r="C1166" t="str" cm="1">
        <f t="array" ref="C1166">_xlfn.IFS(B1166&lt;=25,"15-25",B1166&lt;=35,"26-35",B1166&lt;=45,"36-45",B1166&lt;=55,"46-55",B1166&lt;=65,"56-65")</f>
        <v>26-35</v>
      </c>
      <c r="D1166" t="s">
        <v>43</v>
      </c>
      <c r="E1166" t="str">
        <f t="shared" si="36"/>
        <v>Former Employee</v>
      </c>
      <c r="F1166" t="s">
        <v>36</v>
      </c>
      <c r="G1166">
        <v>763</v>
      </c>
      <c r="H1166" t="s">
        <v>37</v>
      </c>
      <c r="I1166">
        <v>15</v>
      </c>
      <c r="J1166">
        <v>2</v>
      </c>
      <c r="K1166" t="s">
        <v>49</v>
      </c>
      <c r="L1166">
        <v>1</v>
      </c>
      <c r="M1166">
        <v>1</v>
      </c>
      <c r="N1166" t="s">
        <v>46</v>
      </c>
      <c r="O1166">
        <v>59</v>
      </c>
      <c r="P1166">
        <v>1</v>
      </c>
      <c r="Q1166">
        <v>2</v>
      </c>
      <c r="R1166" t="s">
        <v>40</v>
      </c>
      <c r="S1166">
        <v>4</v>
      </c>
      <c r="T1166" t="str" cm="1">
        <f t="array" ref="T1166">_xlfn.IFS(S1166&lt;=2,"Poor",S1166&lt;=3,"Fair",S1166&gt;=4,"Good")</f>
        <v>Good</v>
      </c>
      <c r="U1166" t="s">
        <v>50</v>
      </c>
      <c r="V1166" s="1">
        <v>5440</v>
      </c>
      <c r="W1166" t="str" cm="1">
        <f t="array" ref="W1166">_xlfn.IFS(V1166&lt;=5000,"Low Salary",V1166&lt;=12000,"Good Salary",V1166&gt;12000,"High Salary")</f>
        <v>Good Salary</v>
      </c>
      <c r="X1166">
        <v>22098</v>
      </c>
      <c r="Y1166">
        <v>6</v>
      </c>
      <c r="Z1166" t="s">
        <v>42</v>
      </c>
      <c r="AA1166" t="s">
        <v>43</v>
      </c>
      <c r="AB1166">
        <v>14</v>
      </c>
      <c r="AC1166">
        <v>3</v>
      </c>
      <c r="AD1166" t="str">
        <f t="shared" si="37"/>
        <v>Low Performance</v>
      </c>
      <c r="AE1166">
        <v>4</v>
      </c>
      <c r="AF1166">
        <v>80</v>
      </c>
      <c r="AG1166">
        <v>2</v>
      </c>
      <c r="AH1166">
        <v>7</v>
      </c>
      <c r="AI1166">
        <v>2</v>
      </c>
      <c r="AJ1166">
        <v>2</v>
      </c>
      <c r="AK1166" t="str" cm="1">
        <f t="array" ref="AK1166">_xlfn.IFS(AJ1166&lt;=2,"Poor",AJ1166&lt;=3,"Fair",AJ1166&gt;3,"Good")</f>
        <v>Poor</v>
      </c>
      <c r="AL1166">
        <v>2</v>
      </c>
      <c r="AM1166">
        <v>2</v>
      </c>
      <c r="AN1166">
        <v>2</v>
      </c>
      <c r="AO1166">
        <v>2</v>
      </c>
    </row>
    <row r="1167" spans="1:41" x14ac:dyDescent="0.2">
      <c r="A1167">
        <v>1644021</v>
      </c>
      <c r="B1167">
        <v>24</v>
      </c>
      <c r="C1167" t="str" cm="1">
        <f t="array" ref="C1167">_xlfn.IFS(B1167&lt;=25,"15-25",B1167&lt;=35,"26-35",B1167&lt;=45,"36-45",B1167&lt;=55,"46-55",B1167&lt;=65,"56-65")</f>
        <v>15-25</v>
      </c>
      <c r="D1167" t="s">
        <v>43</v>
      </c>
      <c r="E1167" t="str">
        <f t="shared" si="36"/>
        <v>Former Employee</v>
      </c>
      <c r="F1167" t="s">
        <v>44</v>
      </c>
      <c r="G1167">
        <v>567</v>
      </c>
      <c r="H1167" t="s">
        <v>45</v>
      </c>
      <c r="I1167">
        <v>2</v>
      </c>
      <c r="J1167">
        <v>1</v>
      </c>
      <c r="K1167" t="s">
        <v>56</v>
      </c>
      <c r="L1167">
        <v>1</v>
      </c>
      <c r="M1167">
        <v>1</v>
      </c>
      <c r="N1167" t="s">
        <v>39</v>
      </c>
      <c r="O1167">
        <v>32</v>
      </c>
      <c r="P1167">
        <v>3</v>
      </c>
      <c r="Q1167">
        <v>1</v>
      </c>
      <c r="R1167" t="s">
        <v>47</v>
      </c>
      <c r="S1167">
        <v>4</v>
      </c>
      <c r="T1167" t="str" cm="1">
        <f t="array" ref="T1167">_xlfn.IFS(S1167&lt;=2,"Poor",S1167&lt;=3,"Fair",S1167&gt;=4,"Good")</f>
        <v>Good</v>
      </c>
      <c r="U1167" t="s">
        <v>41</v>
      </c>
      <c r="V1167" s="1">
        <v>3760</v>
      </c>
      <c r="W1167" t="str" cm="1">
        <f t="array" ref="W1167">_xlfn.IFS(V1167&lt;=5000,"Low Salary",V1167&lt;=12000,"Good Salary",V1167&gt;12000,"High Salary")</f>
        <v>Low Salary</v>
      </c>
      <c r="X1167">
        <v>17218</v>
      </c>
      <c r="Y1167">
        <v>1</v>
      </c>
      <c r="Z1167" t="s">
        <v>42</v>
      </c>
      <c r="AA1167" t="s">
        <v>43</v>
      </c>
      <c r="AB1167">
        <v>13</v>
      </c>
      <c r="AC1167">
        <v>3</v>
      </c>
      <c r="AD1167" t="str">
        <f t="shared" si="37"/>
        <v>Low Performance</v>
      </c>
      <c r="AE1167">
        <v>3</v>
      </c>
      <c r="AF1167">
        <v>80</v>
      </c>
      <c r="AG1167">
        <v>0</v>
      </c>
      <c r="AH1167">
        <v>6</v>
      </c>
      <c r="AI1167">
        <v>2</v>
      </c>
      <c r="AJ1167">
        <v>3</v>
      </c>
      <c r="AK1167" t="str" cm="1">
        <f t="array" ref="AK1167">_xlfn.IFS(AJ1167&lt;=2,"Poor",AJ1167&lt;=3,"Fair",AJ1167&gt;3,"Good")</f>
        <v>Fair</v>
      </c>
      <c r="AL1167">
        <v>6</v>
      </c>
      <c r="AM1167">
        <v>3</v>
      </c>
      <c r="AN1167">
        <v>1</v>
      </c>
      <c r="AO1167">
        <v>3</v>
      </c>
    </row>
    <row r="1168" spans="1:41" x14ac:dyDescent="0.2">
      <c r="A1168">
        <v>1236753</v>
      </c>
      <c r="B1168">
        <v>27</v>
      </c>
      <c r="C1168" t="str" cm="1">
        <f t="array" ref="C1168">_xlfn.IFS(B1168&lt;=25,"15-25",B1168&lt;=35,"26-35",B1168&lt;=45,"36-45",B1168&lt;=55,"46-55",B1168&lt;=65,"56-65")</f>
        <v>26-35</v>
      </c>
      <c r="D1168" t="s">
        <v>35</v>
      </c>
      <c r="E1168" t="str">
        <f t="shared" si="36"/>
        <v>Current Employee</v>
      </c>
      <c r="F1168" t="s">
        <v>36</v>
      </c>
      <c r="G1168">
        <v>486</v>
      </c>
      <c r="H1168" t="s">
        <v>45</v>
      </c>
      <c r="I1168">
        <v>8</v>
      </c>
      <c r="J1168">
        <v>3</v>
      </c>
      <c r="K1168" t="s">
        <v>49</v>
      </c>
      <c r="L1168">
        <v>1</v>
      </c>
      <c r="M1168">
        <v>2</v>
      </c>
      <c r="N1168" t="s">
        <v>39</v>
      </c>
      <c r="O1168">
        <v>86</v>
      </c>
      <c r="P1168">
        <v>4</v>
      </c>
      <c r="Q1168">
        <v>1</v>
      </c>
      <c r="R1168" t="s">
        <v>47</v>
      </c>
      <c r="S1168">
        <v>3</v>
      </c>
      <c r="T1168" t="str" cm="1">
        <f t="array" ref="T1168">_xlfn.IFS(S1168&lt;=2,"Poor",S1168&lt;=3,"Fair",S1168&gt;=4,"Good")</f>
        <v>Fair</v>
      </c>
      <c r="U1168" t="s">
        <v>48</v>
      </c>
      <c r="V1168" s="1">
        <v>3517</v>
      </c>
      <c r="W1168" t="str" cm="1">
        <f t="array" ref="W1168">_xlfn.IFS(V1168&lt;=5000,"Low Salary",V1168&lt;=12000,"Good Salary",V1168&gt;12000,"High Salary")</f>
        <v>Low Salary</v>
      </c>
      <c r="X1168">
        <v>22490</v>
      </c>
      <c r="Y1168">
        <v>7</v>
      </c>
      <c r="Z1168" t="s">
        <v>42</v>
      </c>
      <c r="AA1168" t="s">
        <v>35</v>
      </c>
      <c r="AB1168">
        <v>17</v>
      </c>
      <c r="AC1168">
        <v>3</v>
      </c>
      <c r="AD1168" t="str">
        <f t="shared" si="37"/>
        <v>Low Performance</v>
      </c>
      <c r="AE1168">
        <v>1</v>
      </c>
      <c r="AF1168">
        <v>80</v>
      </c>
      <c r="AG1168">
        <v>0</v>
      </c>
      <c r="AH1168">
        <v>5</v>
      </c>
      <c r="AI1168">
        <v>0</v>
      </c>
      <c r="AJ1168">
        <v>3</v>
      </c>
      <c r="AK1168" t="str" cm="1">
        <f t="array" ref="AK1168">_xlfn.IFS(AJ1168&lt;=2,"Poor",AJ1168&lt;=3,"Fair",AJ1168&gt;3,"Good")</f>
        <v>Fair</v>
      </c>
      <c r="AL1168">
        <v>3</v>
      </c>
      <c r="AM1168">
        <v>2</v>
      </c>
      <c r="AN1168">
        <v>0</v>
      </c>
      <c r="AO1168">
        <v>2</v>
      </c>
    </row>
    <row r="1169" spans="1:41" x14ac:dyDescent="0.2">
      <c r="A1169">
        <v>1731640</v>
      </c>
      <c r="B1169">
        <v>27</v>
      </c>
      <c r="C1169" t="str" cm="1">
        <f t="array" ref="C1169">_xlfn.IFS(B1169&lt;=25,"15-25",B1169&lt;=35,"26-35",B1169&lt;=45,"36-45",B1169&lt;=55,"46-55",B1169&lt;=65,"56-65")</f>
        <v>26-35</v>
      </c>
      <c r="D1169" t="s">
        <v>35</v>
      </c>
      <c r="E1169" t="str">
        <f t="shared" si="36"/>
        <v>Current Employee</v>
      </c>
      <c r="F1169" t="s">
        <v>44</v>
      </c>
      <c r="G1169">
        <v>591</v>
      </c>
      <c r="H1169" t="s">
        <v>45</v>
      </c>
      <c r="I1169">
        <v>2</v>
      </c>
      <c r="J1169">
        <v>3</v>
      </c>
      <c r="K1169" t="s">
        <v>49</v>
      </c>
      <c r="L1169">
        <v>1</v>
      </c>
      <c r="M1169">
        <v>4</v>
      </c>
      <c r="N1169" t="s">
        <v>46</v>
      </c>
      <c r="O1169">
        <v>87</v>
      </c>
      <c r="P1169">
        <v>3</v>
      </c>
      <c r="Q1169">
        <v>1</v>
      </c>
      <c r="R1169" t="s">
        <v>47</v>
      </c>
      <c r="S1169">
        <v>4</v>
      </c>
      <c r="T1169" t="str" cm="1">
        <f t="array" ref="T1169">_xlfn.IFS(S1169&lt;=2,"Poor",S1169&lt;=3,"Fair",S1169&gt;=4,"Good")</f>
        <v>Good</v>
      </c>
      <c r="U1169" t="s">
        <v>41</v>
      </c>
      <c r="V1169" s="1">
        <v>2580</v>
      </c>
      <c r="W1169" t="str" cm="1">
        <f t="array" ref="W1169">_xlfn.IFS(V1169&lt;=5000,"Low Salary",V1169&lt;=12000,"Good Salary",V1169&gt;12000,"High Salary")</f>
        <v>Low Salary</v>
      </c>
      <c r="X1169">
        <v>6297</v>
      </c>
      <c r="Y1169">
        <v>2</v>
      </c>
      <c r="Z1169" t="s">
        <v>42</v>
      </c>
      <c r="AA1169" t="s">
        <v>35</v>
      </c>
      <c r="AB1169">
        <v>13</v>
      </c>
      <c r="AC1169">
        <v>3</v>
      </c>
      <c r="AD1169" t="str">
        <f t="shared" si="37"/>
        <v>Low Performance</v>
      </c>
      <c r="AE1169">
        <v>3</v>
      </c>
      <c r="AF1169">
        <v>80</v>
      </c>
      <c r="AG1169">
        <v>0</v>
      </c>
      <c r="AH1169">
        <v>6</v>
      </c>
      <c r="AI1169">
        <v>0</v>
      </c>
      <c r="AJ1169">
        <v>2</v>
      </c>
      <c r="AK1169" t="str" cm="1">
        <f t="array" ref="AK1169">_xlfn.IFS(AJ1169&lt;=2,"Poor",AJ1169&lt;=3,"Fair",AJ1169&gt;3,"Good")</f>
        <v>Poor</v>
      </c>
      <c r="AL1169">
        <v>4</v>
      </c>
      <c r="AM1169">
        <v>2</v>
      </c>
      <c r="AN1169">
        <v>1</v>
      </c>
      <c r="AO1169">
        <v>2</v>
      </c>
    </row>
    <row r="1170" spans="1:41" x14ac:dyDescent="0.2">
      <c r="A1170">
        <v>1883424</v>
      </c>
      <c r="B1170">
        <v>40</v>
      </c>
      <c r="C1170" t="str" cm="1">
        <f t="array" ref="C1170">_xlfn.IFS(B1170&lt;=25,"15-25",B1170&lt;=35,"26-35",B1170&lt;=45,"36-45",B1170&lt;=55,"46-55",B1170&lt;=65,"56-65")</f>
        <v>36-45</v>
      </c>
      <c r="D1170" t="s">
        <v>43</v>
      </c>
      <c r="E1170" t="str">
        <f t="shared" si="36"/>
        <v>Former Employee</v>
      </c>
      <c r="F1170" t="s">
        <v>36</v>
      </c>
      <c r="G1170">
        <v>1329</v>
      </c>
      <c r="H1170" t="s">
        <v>45</v>
      </c>
      <c r="I1170">
        <v>7</v>
      </c>
      <c r="J1170">
        <v>3</v>
      </c>
      <c r="K1170" t="s">
        <v>38</v>
      </c>
      <c r="L1170">
        <v>1</v>
      </c>
      <c r="M1170">
        <v>1</v>
      </c>
      <c r="N1170" t="s">
        <v>46</v>
      </c>
      <c r="O1170">
        <v>73</v>
      </c>
      <c r="P1170">
        <v>3</v>
      </c>
      <c r="Q1170">
        <v>1</v>
      </c>
      <c r="R1170" t="s">
        <v>40</v>
      </c>
      <c r="S1170">
        <v>1</v>
      </c>
      <c r="T1170" t="str" cm="1">
        <f t="array" ref="T1170">_xlfn.IFS(S1170&lt;=2,"Poor",S1170&lt;=3,"Fair",S1170&gt;=4,"Good")</f>
        <v>Poor</v>
      </c>
      <c r="U1170" t="s">
        <v>41</v>
      </c>
      <c r="V1170" s="1">
        <v>2166</v>
      </c>
      <c r="W1170" t="str" cm="1">
        <f t="array" ref="W1170">_xlfn.IFS(V1170&lt;=5000,"Low Salary",V1170&lt;=12000,"Good Salary",V1170&gt;12000,"High Salary")</f>
        <v>Low Salary</v>
      </c>
      <c r="X1170">
        <v>3339</v>
      </c>
      <c r="Y1170">
        <v>3</v>
      </c>
      <c r="Z1170" t="s">
        <v>42</v>
      </c>
      <c r="AA1170" t="s">
        <v>43</v>
      </c>
      <c r="AB1170">
        <v>14</v>
      </c>
      <c r="AC1170">
        <v>3</v>
      </c>
      <c r="AD1170" t="str">
        <f t="shared" si="37"/>
        <v>Low Performance</v>
      </c>
      <c r="AE1170">
        <v>2</v>
      </c>
      <c r="AF1170">
        <v>80</v>
      </c>
      <c r="AG1170">
        <v>0</v>
      </c>
      <c r="AH1170">
        <v>10</v>
      </c>
      <c r="AI1170">
        <v>3</v>
      </c>
      <c r="AJ1170">
        <v>1</v>
      </c>
      <c r="AK1170" t="str" cm="1">
        <f t="array" ref="AK1170">_xlfn.IFS(AJ1170&lt;=2,"Poor",AJ1170&lt;=3,"Fair",AJ1170&gt;3,"Good")</f>
        <v>Poor</v>
      </c>
      <c r="AL1170">
        <v>4</v>
      </c>
      <c r="AM1170">
        <v>2</v>
      </c>
      <c r="AN1170">
        <v>0</v>
      </c>
      <c r="AO1170">
        <v>3</v>
      </c>
    </row>
    <row r="1171" spans="1:41" x14ac:dyDescent="0.2">
      <c r="A1171">
        <v>1202416</v>
      </c>
      <c r="B1171">
        <v>29</v>
      </c>
      <c r="C1171" t="str" cm="1">
        <f t="array" ref="C1171">_xlfn.IFS(B1171&lt;=25,"15-25",B1171&lt;=35,"26-35",B1171&lt;=45,"36-45",B1171&lt;=55,"46-55",B1171&lt;=65,"56-65")</f>
        <v>26-35</v>
      </c>
      <c r="D1171" t="s">
        <v>35</v>
      </c>
      <c r="E1171" t="str">
        <f t="shared" si="36"/>
        <v>Current Employee</v>
      </c>
      <c r="F1171" t="s">
        <v>36</v>
      </c>
      <c r="G1171">
        <v>469</v>
      </c>
      <c r="H1171" t="s">
        <v>37</v>
      </c>
      <c r="I1171">
        <v>10</v>
      </c>
      <c r="J1171">
        <v>3</v>
      </c>
      <c r="K1171" t="s">
        <v>49</v>
      </c>
      <c r="L1171">
        <v>1</v>
      </c>
      <c r="M1171">
        <v>3</v>
      </c>
      <c r="N1171" t="s">
        <v>46</v>
      </c>
      <c r="O1171">
        <v>42</v>
      </c>
      <c r="P1171">
        <v>2</v>
      </c>
      <c r="Q1171">
        <v>2</v>
      </c>
      <c r="R1171" t="s">
        <v>40</v>
      </c>
      <c r="S1171">
        <v>3</v>
      </c>
      <c r="T1171" t="str" cm="1">
        <f t="array" ref="T1171">_xlfn.IFS(S1171&lt;=2,"Poor",S1171&lt;=3,"Fair",S1171&gt;=4,"Good")</f>
        <v>Fair</v>
      </c>
      <c r="U1171" t="s">
        <v>41</v>
      </c>
      <c r="V1171" s="1">
        <v>5869</v>
      </c>
      <c r="W1171" t="str" cm="1">
        <f t="array" ref="W1171">_xlfn.IFS(V1171&lt;=5000,"Low Salary",V1171&lt;=12000,"Good Salary",V1171&gt;12000,"High Salary")</f>
        <v>Good Salary</v>
      </c>
      <c r="X1171">
        <v>23413</v>
      </c>
      <c r="Y1171">
        <v>9</v>
      </c>
      <c r="Z1171" t="s">
        <v>42</v>
      </c>
      <c r="AA1171" t="s">
        <v>35</v>
      </c>
      <c r="AB1171">
        <v>11</v>
      </c>
      <c r="AC1171">
        <v>3</v>
      </c>
      <c r="AD1171" t="str">
        <f t="shared" si="37"/>
        <v>Low Performance</v>
      </c>
      <c r="AE1171">
        <v>3</v>
      </c>
      <c r="AF1171">
        <v>80</v>
      </c>
      <c r="AG1171">
        <v>0</v>
      </c>
      <c r="AH1171">
        <v>8</v>
      </c>
      <c r="AI1171">
        <v>2</v>
      </c>
      <c r="AJ1171">
        <v>3</v>
      </c>
      <c r="AK1171" t="str" cm="1">
        <f t="array" ref="AK1171">_xlfn.IFS(AJ1171&lt;=2,"Poor",AJ1171&lt;=3,"Fair",AJ1171&gt;3,"Good")</f>
        <v>Fair</v>
      </c>
      <c r="AL1171">
        <v>5</v>
      </c>
      <c r="AM1171">
        <v>2</v>
      </c>
      <c r="AN1171">
        <v>1</v>
      </c>
      <c r="AO1171">
        <v>4</v>
      </c>
    </row>
    <row r="1172" spans="1:41" x14ac:dyDescent="0.2">
      <c r="A1172">
        <v>1088912</v>
      </c>
      <c r="B1172">
        <v>36</v>
      </c>
      <c r="C1172" t="str" cm="1">
        <f t="array" ref="C1172">_xlfn.IFS(B1172&lt;=25,"15-25",B1172&lt;=35,"26-35",B1172&lt;=45,"36-45",B1172&lt;=55,"46-55",B1172&lt;=65,"56-65")</f>
        <v>36-45</v>
      </c>
      <c r="D1172" t="s">
        <v>35</v>
      </c>
      <c r="E1172" t="str">
        <f t="shared" si="36"/>
        <v>Current Employee</v>
      </c>
      <c r="F1172" t="s">
        <v>36</v>
      </c>
      <c r="G1172">
        <v>711</v>
      </c>
      <c r="H1172" t="s">
        <v>45</v>
      </c>
      <c r="I1172">
        <v>5</v>
      </c>
      <c r="J1172">
        <v>4</v>
      </c>
      <c r="K1172" t="s">
        <v>38</v>
      </c>
      <c r="L1172">
        <v>1</v>
      </c>
      <c r="M1172">
        <v>2</v>
      </c>
      <c r="N1172" t="s">
        <v>39</v>
      </c>
      <c r="O1172">
        <v>42</v>
      </c>
      <c r="P1172">
        <v>3</v>
      </c>
      <c r="Q1172">
        <v>3</v>
      </c>
      <c r="R1172" t="s">
        <v>40</v>
      </c>
      <c r="S1172">
        <v>1</v>
      </c>
      <c r="T1172" t="str" cm="1">
        <f t="array" ref="T1172">_xlfn.IFS(S1172&lt;=2,"Poor",S1172&lt;=3,"Fair",S1172&gt;=4,"Good")</f>
        <v>Poor</v>
      </c>
      <c r="U1172" t="s">
        <v>48</v>
      </c>
      <c r="V1172" s="1">
        <v>8008</v>
      </c>
      <c r="W1172" t="str" cm="1">
        <f t="array" ref="W1172">_xlfn.IFS(V1172&lt;=5000,"Low Salary",V1172&lt;=12000,"Good Salary",V1172&gt;12000,"High Salary")</f>
        <v>Good Salary</v>
      </c>
      <c r="X1172">
        <v>22792</v>
      </c>
      <c r="Y1172">
        <v>4</v>
      </c>
      <c r="Z1172" t="s">
        <v>42</v>
      </c>
      <c r="AA1172" t="s">
        <v>35</v>
      </c>
      <c r="AB1172">
        <v>12</v>
      </c>
      <c r="AC1172">
        <v>3</v>
      </c>
      <c r="AD1172" t="str">
        <f t="shared" si="37"/>
        <v>Low Performance</v>
      </c>
      <c r="AE1172">
        <v>3</v>
      </c>
      <c r="AF1172">
        <v>80</v>
      </c>
      <c r="AG1172">
        <v>2</v>
      </c>
      <c r="AH1172">
        <v>9</v>
      </c>
      <c r="AI1172">
        <v>6</v>
      </c>
      <c r="AJ1172">
        <v>3</v>
      </c>
      <c r="AK1172" t="str" cm="1">
        <f t="array" ref="AK1172">_xlfn.IFS(AJ1172&lt;=2,"Poor",AJ1172&lt;=3,"Fair",AJ1172&gt;3,"Good")</f>
        <v>Fair</v>
      </c>
      <c r="AL1172">
        <v>3</v>
      </c>
      <c r="AM1172">
        <v>2</v>
      </c>
      <c r="AN1172">
        <v>0</v>
      </c>
      <c r="AO1172">
        <v>2</v>
      </c>
    </row>
    <row r="1173" spans="1:41" x14ac:dyDescent="0.2">
      <c r="A1173">
        <v>1605956</v>
      </c>
      <c r="B1173">
        <v>25</v>
      </c>
      <c r="C1173" t="str" cm="1">
        <f t="array" ref="C1173">_xlfn.IFS(B1173&lt;=25,"15-25",B1173&lt;=35,"26-35",B1173&lt;=45,"36-45",B1173&lt;=55,"46-55",B1173&lt;=65,"56-65")</f>
        <v>15-25</v>
      </c>
      <c r="D1173" t="s">
        <v>35</v>
      </c>
      <c r="E1173" t="str">
        <f t="shared" si="36"/>
        <v>Current Employee</v>
      </c>
      <c r="F1173" t="s">
        <v>44</v>
      </c>
      <c r="G1173">
        <v>772</v>
      </c>
      <c r="H1173" t="s">
        <v>54</v>
      </c>
      <c r="I1173">
        <v>2</v>
      </c>
      <c r="J1173">
        <v>1</v>
      </c>
      <c r="K1173" t="s">
        <v>38</v>
      </c>
      <c r="L1173">
        <v>1</v>
      </c>
      <c r="M1173">
        <v>4</v>
      </c>
      <c r="N1173" t="s">
        <v>46</v>
      </c>
      <c r="O1173">
        <v>77</v>
      </c>
      <c r="P1173">
        <v>4</v>
      </c>
      <c r="Q1173">
        <v>2</v>
      </c>
      <c r="R1173" t="s">
        <v>51</v>
      </c>
      <c r="S1173">
        <v>3</v>
      </c>
      <c r="T1173" t="str" cm="1">
        <f t="array" ref="T1173">_xlfn.IFS(S1173&lt;=2,"Poor",S1173&lt;=3,"Fair",S1173&gt;=4,"Good")</f>
        <v>Fair</v>
      </c>
      <c r="U1173" t="s">
        <v>50</v>
      </c>
      <c r="V1173" s="1">
        <v>5206</v>
      </c>
      <c r="W1173" t="str" cm="1">
        <f t="array" ref="W1173">_xlfn.IFS(V1173&lt;=5000,"Low Salary",V1173&lt;=12000,"Good Salary",V1173&gt;12000,"High Salary")</f>
        <v>Good Salary</v>
      </c>
      <c r="X1173">
        <v>4973</v>
      </c>
      <c r="Y1173">
        <v>1</v>
      </c>
      <c r="Z1173" t="s">
        <v>42</v>
      </c>
      <c r="AA1173" t="s">
        <v>35</v>
      </c>
      <c r="AB1173">
        <v>17</v>
      </c>
      <c r="AC1173">
        <v>3</v>
      </c>
      <c r="AD1173" t="str">
        <f t="shared" si="37"/>
        <v>Low Performance</v>
      </c>
      <c r="AE1173">
        <v>3</v>
      </c>
      <c r="AF1173">
        <v>80</v>
      </c>
      <c r="AG1173">
        <v>2</v>
      </c>
      <c r="AH1173">
        <v>7</v>
      </c>
      <c r="AI1173">
        <v>6</v>
      </c>
      <c r="AJ1173">
        <v>3</v>
      </c>
      <c r="AK1173" t="str" cm="1">
        <f t="array" ref="AK1173">_xlfn.IFS(AJ1173&lt;=2,"Poor",AJ1173&lt;=3,"Fair",AJ1173&gt;3,"Good")</f>
        <v>Fair</v>
      </c>
      <c r="AL1173">
        <v>7</v>
      </c>
      <c r="AM1173">
        <v>7</v>
      </c>
      <c r="AN1173">
        <v>0</v>
      </c>
      <c r="AO1173">
        <v>7</v>
      </c>
    </row>
    <row r="1174" spans="1:41" x14ac:dyDescent="0.2">
      <c r="A1174">
        <v>1505937</v>
      </c>
      <c r="B1174">
        <v>39</v>
      </c>
      <c r="C1174" t="str" cm="1">
        <f t="array" ref="C1174">_xlfn.IFS(B1174&lt;=25,"15-25",B1174&lt;=35,"26-35",B1174&lt;=45,"36-45",B1174&lt;=55,"46-55",B1174&lt;=65,"56-65")</f>
        <v>36-45</v>
      </c>
      <c r="D1174" t="s">
        <v>35</v>
      </c>
      <c r="E1174" t="str">
        <f t="shared" si="36"/>
        <v>Current Employee</v>
      </c>
      <c r="F1174" t="s">
        <v>36</v>
      </c>
      <c r="G1174">
        <v>492</v>
      </c>
      <c r="H1174" t="s">
        <v>45</v>
      </c>
      <c r="I1174">
        <v>12</v>
      </c>
      <c r="J1174">
        <v>3</v>
      </c>
      <c r="K1174" t="s">
        <v>49</v>
      </c>
      <c r="L1174">
        <v>1</v>
      </c>
      <c r="M1174">
        <v>4</v>
      </c>
      <c r="N1174" t="s">
        <v>46</v>
      </c>
      <c r="O1174">
        <v>66</v>
      </c>
      <c r="P1174">
        <v>3</v>
      </c>
      <c r="Q1174">
        <v>2</v>
      </c>
      <c r="R1174" t="s">
        <v>51</v>
      </c>
      <c r="S1174">
        <v>2</v>
      </c>
      <c r="T1174" t="str" cm="1">
        <f t="array" ref="T1174">_xlfn.IFS(S1174&lt;=2,"Poor",S1174&lt;=3,"Fair",S1174&gt;=4,"Good")</f>
        <v>Poor</v>
      </c>
      <c r="U1174" t="s">
        <v>48</v>
      </c>
      <c r="V1174" s="1">
        <v>5295</v>
      </c>
      <c r="W1174" t="str" cm="1">
        <f t="array" ref="W1174">_xlfn.IFS(V1174&lt;=5000,"Low Salary",V1174&lt;=12000,"Good Salary",V1174&gt;12000,"High Salary")</f>
        <v>Good Salary</v>
      </c>
      <c r="X1174">
        <v>7693</v>
      </c>
      <c r="Y1174">
        <v>4</v>
      </c>
      <c r="Z1174" t="s">
        <v>42</v>
      </c>
      <c r="AA1174" t="s">
        <v>35</v>
      </c>
      <c r="AB1174">
        <v>21</v>
      </c>
      <c r="AC1174">
        <v>4</v>
      </c>
      <c r="AD1174" t="str">
        <f t="shared" si="37"/>
        <v>High Performance</v>
      </c>
      <c r="AE1174">
        <v>3</v>
      </c>
      <c r="AF1174">
        <v>80</v>
      </c>
      <c r="AG1174">
        <v>0</v>
      </c>
      <c r="AH1174">
        <v>7</v>
      </c>
      <c r="AI1174">
        <v>3</v>
      </c>
      <c r="AJ1174">
        <v>3</v>
      </c>
      <c r="AK1174" t="str" cm="1">
        <f t="array" ref="AK1174">_xlfn.IFS(AJ1174&lt;=2,"Poor",AJ1174&lt;=3,"Fair",AJ1174&gt;3,"Good")</f>
        <v>Fair</v>
      </c>
      <c r="AL1174">
        <v>5</v>
      </c>
      <c r="AM1174">
        <v>4</v>
      </c>
      <c r="AN1174">
        <v>1</v>
      </c>
      <c r="AO1174">
        <v>0</v>
      </c>
    </row>
    <row r="1175" spans="1:41" x14ac:dyDescent="0.2">
      <c r="A1175">
        <v>1399370</v>
      </c>
      <c r="B1175">
        <v>49</v>
      </c>
      <c r="C1175" t="str" cm="1">
        <f t="array" ref="C1175">_xlfn.IFS(B1175&lt;=25,"15-25",B1175&lt;=35,"26-35",B1175&lt;=45,"36-45",B1175&lt;=55,"46-55",B1175&lt;=65,"56-65")</f>
        <v>46-55</v>
      </c>
      <c r="D1175" t="s">
        <v>35</v>
      </c>
      <c r="E1175" t="str">
        <f t="shared" si="36"/>
        <v>Current Employee</v>
      </c>
      <c r="F1175" t="s">
        <v>36</v>
      </c>
      <c r="G1175">
        <v>301</v>
      </c>
      <c r="H1175" t="s">
        <v>45</v>
      </c>
      <c r="I1175">
        <v>22</v>
      </c>
      <c r="J1175">
        <v>4</v>
      </c>
      <c r="K1175" t="s">
        <v>47</v>
      </c>
      <c r="L1175">
        <v>1</v>
      </c>
      <c r="M1175">
        <v>1</v>
      </c>
      <c r="N1175" t="s">
        <v>39</v>
      </c>
      <c r="O1175">
        <v>72</v>
      </c>
      <c r="P1175">
        <v>3</v>
      </c>
      <c r="Q1175">
        <v>4</v>
      </c>
      <c r="R1175" t="s">
        <v>53</v>
      </c>
      <c r="S1175">
        <v>2</v>
      </c>
      <c r="T1175" t="str" cm="1">
        <f t="array" ref="T1175">_xlfn.IFS(S1175&lt;=2,"Poor",S1175&lt;=3,"Fair",S1175&gt;=4,"Good")</f>
        <v>Poor</v>
      </c>
      <c r="U1175" t="s">
        <v>48</v>
      </c>
      <c r="V1175" s="1">
        <v>16413</v>
      </c>
      <c r="W1175" t="str" cm="1">
        <f t="array" ref="W1175">_xlfn.IFS(V1175&lt;=5000,"Low Salary",V1175&lt;=12000,"Good Salary",V1175&gt;12000,"High Salary")</f>
        <v>High Salary</v>
      </c>
      <c r="X1175">
        <v>3498</v>
      </c>
      <c r="Y1175">
        <v>3</v>
      </c>
      <c r="Z1175" t="s">
        <v>42</v>
      </c>
      <c r="AA1175" t="s">
        <v>35</v>
      </c>
      <c r="AB1175">
        <v>16</v>
      </c>
      <c r="AC1175">
        <v>3</v>
      </c>
      <c r="AD1175" t="str">
        <f t="shared" si="37"/>
        <v>Low Performance</v>
      </c>
      <c r="AE1175">
        <v>2</v>
      </c>
      <c r="AF1175">
        <v>80</v>
      </c>
      <c r="AG1175">
        <v>2</v>
      </c>
      <c r="AH1175">
        <v>27</v>
      </c>
      <c r="AI1175">
        <v>2</v>
      </c>
      <c r="AJ1175">
        <v>3</v>
      </c>
      <c r="AK1175" t="str" cm="1">
        <f t="array" ref="AK1175">_xlfn.IFS(AJ1175&lt;=2,"Poor",AJ1175&lt;=3,"Fair",AJ1175&gt;3,"Good")</f>
        <v>Fair</v>
      </c>
      <c r="AL1175">
        <v>4</v>
      </c>
      <c r="AM1175">
        <v>2</v>
      </c>
      <c r="AN1175">
        <v>1</v>
      </c>
      <c r="AO1175">
        <v>2</v>
      </c>
    </row>
    <row r="1176" spans="1:41" x14ac:dyDescent="0.2">
      <c r="A1176">
        <v>1761884</v>
      </c>
      <c r="B1176">
        <v>50</v>
      </c>
      <c r="C1176" t="str" cm="1">
        <f t="array" ref="C1176">_xlfn.IFS(B1176&lt;=25,"15-25",B1176&lt;=35,"26-35",B1176&lt;=45,"36-45",B1176&lt;=55,"46-55",B1176&lt;=65,"56-65")</f>
        <v>46-55</v>
      </c>
      <c r="D1176" t="s">
        <v>35</v>
      </c>
      <c r="E1176" t="str">
        <f t="shared" si="36"/>
        <v>Current Employee</v>
      </c>
      <c r="F1176" t="s">
        <v>36</v>
      </c>
      <c r="G1176">
        <v>813</v>
      </c>
      <c r="H1176" t="s">
        <v>45</v>
      </c>
      <c r="I1176">
        <v>17</v>
      </c>
      <c r="J1176">
        <v>5</v>
      </c>
      <c r="K1176" t="s">
        <v>38</v>
      </c>
      <c r="L1176">
        <v>1</v>
      </c>
      <c r="M1176">
        <v>4</v>
      </c>
      <c r="N1176" t="s">
        <v>39</v>
      </c>
      <c r="O1176">
        <v>50</v>
      </c>
      <c r="P1176">
        <v>2</v>
      </c>
      <c r="Q1176">
        <v>3</v>
      </c>
      <c r="R1176" t="s">
        <v>53</v>
      </c>
      <c r="S1176">
        <v>1</v>
      </c>
      <c r="T1176" t="str" cm="1">
        <f t="array" ref="T1176">_xlfn.IFS(S1176&lt;=2,"Poor",S1176&lt;=3,"Fair",S1176&gt;=4,"Good")</f>
        <v>Poor</v>
      </c>
      <c r="U1176" t="s">
        <v>50</v>
      </c>
      <c r="V1176" s="1">
        <v>13269</v>
      </c>
      <c r="W1176" t="str" cm="1">
        <f t="array" ref="W1176">_xlfn.IFS(V1176&lt;=5000,"Low Salary",V1176&lt;=12000,"Good Salary",V1176&gt;12000,"High Salary")</f>
        <v>High Salary</v>
      </c>
      <c r="X1176">
        <v>21981</v>
      </c>
      <c r="Y1176">
        <v>5</v>
      </c>
      <c r="Z1176" t="s">
        <v>42</v>
      </c>
      <c r="AA1176" t="s">
        <v>35</v>
      </c>
      <c r="AB1176">
        <v>15</v>
      </c>
      <c r="AC1176">
        <v>3</v>
      </c>
      <c r="AD1176" t="str">
        <f t="shared" si="37"/>
        <v>Low Performance</v>
      </c>
      <c r="AE1176">
        <v>3</v>
      </c>
      <c r="AF1176">
        <v>80</v>
      </c>
      <c r="AG1176">
        <v>3</v>
      </c>
      <c r="AH1176">
        <v>19</v>
      </c>
      <c r="AI1176">
        <v>3</v>
      </c>
      <c r="AJ1176">
        <v>3</v>
      </c>
      <c r="AK1176" t="str" cm="1">
        <f t="array" ref="AK1176">_xlfn.IFS(AJ1176&lt;=2,"Poor",AJ1176&lt;=3,"Fair",AJ1176&gt;3,"Good")</f>
        <v>Fair</v>
      </c>
      <c r="AL1176">
        <v>14</v>
      </c>
      <c r="AM1176">
        <v>11</v>
      </c>
      <c r="AN1176">
        <v>1</v>
      </c>
      <c r="AO1176">
        <v>11</v>
      </c>
    </row>
    <row r="1177" spans="1:41" x14ac:dyDescent="0.2">
      <c r="A1177">
        <v>1769167</v>
      </c>
      <c r="B1177">
        <v>20</v>
      </c>
      <c r="C1177" t="str" cm="1">
        <f t="array" ref="C1177">_xlfn.IFS(B1177&lt;=25,"15-25",B1177&lt;=35,"26-35",B1177&lt;=45,"36-45",B1177&lt;=55,"46-55",B1177&lt;=65,"56-65")</f>
        <v>15-25</v>
      </c>
      <c r="D1177" t="s">
        <v>35</v>
      </c>
      <c r="E1177" t="str">
        <f t="shared" si="36"/>
        <v>Current Employee</v>
      </c>
      <c r="F1177" t="s">
        <v>36</v>
      </c>
      <c r="G1177">
        <v>1141</v>
      </c>
      <c r="H1177" t="s">
        <v>37</v>
      </c>
      <c r="I1177">
        <v>2</v>
      </c>
      <c r="J1177">
        <v>3</v>
      </c>
      <c r="K1177" t="s">
        <v>49</v>
      </c>
      <c r="L1177">
        <v>1</v>
      </c>
      <c r="M1177">
        <v>3</v>
      </c>
      <c r="N1177" t="s">
        <v>39</v>
      </c>
      <c r="O1177">
        <v>31</v>
      </c>
      <c r="P1177">
        <v>3</v>
      </c>
      <c r="Q1177">
        <v>1</v>
      </c>
      <c r="R1177" t="s">
        <v>47</v>
      </c>
      <c r="S1177">
        <v>3</v>
      </c>
      <c r="T1177" t="str" cm="1">
        <f t="array" ref="T1177">_xlfn.IFS(S1177&lt;=2,"Poor",S1177&lt;=3,"Fair",S1177&gt;=4,"Good")</f>
        <v>Fair</v>
      </c>
      <c r="U1177" t="s">
        <v>41</v>
      </c>
      <c r="V1177" s="1">
        <v>2783</v>
      </c>
      <c r="W1177" t="str" cm="1">
        <f t="array" ref="W1177">_xlfn.IFS(V1177&lt;=5000,"Low Salary",V1177&lt;=12000,"Good Salary",V1177&gt;12000,"High Salary")</f>
        <v>Low Salary</v>
      </c>
      <c r="X1177">
        <v>13251</v>
      </c>
      <c r="Y1177">
        <v>1</v>
      </c>
      <c r="Z1177" t="s">
        <v>42</v>
      </c>
      <c r="AA1177" t="s">
        <v>35</v>
      </c>
      <c r="AB1177">
        <v>19</v>
      </c>
      <c r="AC1177">
        <v>3</v>
      </c>
      <c r="AD1177" t="str">
        <f t="shared" si="37"/>
        <v>Low Performance</v>
      </c>
      <c r="AE1177">
        <v>1</v>
      </c>
      <c r="AF1177">
        <v>80</v>
      </c>
      <c r="AG1177">
        <v>0</v>
      </c>
      <c r="AH1177">
        <v>2</v>
      </c>
      <c r="AI1177">
        <v>3</v>
      </c>
      <c r="AJ1177">
        <v>3</v>
      </c>
      <c r="AK1177" t="str" cm="1">
        <f t="array" ref="AK1177">_xlfn.IFS(AJ1177&lt;=2,"Poor",AJ1177&lt;=3,"Fair",AJ1177&gt;3,"Good")</f>
        <v>Fair</v>
      </c>
      <c r="AL1177">
        <v>2</v>
      </c>
      <c r="AM1177">
        <v>2</v>
      </c>
      <c r="AN1177">
        <v>2</v>
      </c>
      <c r="AO1177">
        <v>2</v>
      </c>
    </row>
    <row r="1178" spans="1:41" x14ac:dyDescent="0.2">
      <c r="A1178">
        <v>1547090</v>
      </c>
      <c r="B1178">
        <v>34</v>
      </c>
      <c r="C1178" t="str" cm="1">
        <f t="array" ref="C1178">_xlfn.IFS(B1178&lt;=25,"15-25",B1178&lt;=35,"26-35",B1178&lt;=45,"36-45",B1178&lt;=55,"46-55",B1178&lt;=65,"56-65")</f>
        <v>26-35</v>
      </c>
      <c r="D1178" t="s">
        <v>35</v>
      </c>
      <c r="E1178" t="str">
        <f t="shared" si="36"/>
        <v>Current Employee</v>
      </c>
      <c r="F1178" t="s">
        <v>36</v>
      </c>
      <c r="G1178">
        <v>1130</v>
      </c>
      <c r="H1178" t="s">
        <v>45</v>
      </c>
      <c r="I1178">
        <v>3</v>
      </c>
      <c r="J1178">
        <v>3</v>
      </c>
      <c r="K1178" t="s">
        <v>38</v>
      </c>
      <c r="L1178">
        <v>1</v>
      </c>
      <c r="M1178">
        <v>4</v>
      </c>
      <c r="N1178" t="s">
        <v>39</v>
      </c>
      <c r="O1178">
        <v>66</v>
      </c>
      <c r="P1178">
        <v>3</v>
      </c>
      <c r="Q1178">
        <v>2</v>
      </c>
      <c r="R1178" t="s">
        <v>47</v>
      </c>
      <c r="S1178">
        <v>2</v>
      </c>
      <c r="T1178" t="str" cm="1">
        <f t="array" ref="T1178">_xlfn.IFS(S1178&lt;=2,"Poor",S1178&lt;=3,"Fair",S1178&gt;=4,"Good")</f>
        <v>Poor</v>
      </c>
      <c r="U1178" t="s">
        <v>50</v>
      </c>
      <c r="V1178" s="1">
        <v>5433</v>
      </c>
      <c r="W1178" t="str" cm="1">
        <f t="array" ref="W1178">_xlfn.IFS(V1178&lt;=5000,"Low Salary",V1178&lt;=12000,"Good Salary",V1178&gt;12000,"High Salary")</f>
        <v>Good Salary</v>
      </c>
      <c r="X1178">
        <v>19332</v>
      </c>
      <c r="Y1178">
        <v>1</v>
      </c>
      <c r="Z1178" t="s">
        <v>42</v>
      </c>
      <c r="AA1178" t="s">
        <v>35</v>
      </c>
      <c r="AB1178">
        <v>12</v>
      </c>
      <c r="AC1178">
        <v>3</v>
      </c>
      <c r="AD1178" t="str">
        <f t="shared" si="37"/>
        <v>Low Performance</v>
      </c>
      <c r="AE1178">
        <v>3</v>
      </c>
      <c r="AF1178">
        <v>80</v>
      </c>
      <c r="AG1178">
        <v>1</v>
      </c>
      <c r="AH1178">
        <v>11</v>
      </c>
      <c r="AI1178">
        <v>2</v>
      </c>
      <c r="AJ1178">
        <v>3</v>
      </c>
      <c r="AK1178" t="str" cm="1">
        <f t="array" ref="AK1178">_xlfn.IFS(AJ1178&lt;=2,"Poor",AJ1178&lt;=3,"Fair",AJ1178&gt;3,"Good")</f>
        <v>Fair</v>
      </c>
      <c r="AL1178">
        <v>11</v>
      </c>
      <c r="AM1178">
        <v>8</v>
      </c>
      <c r="AN1178">
        <v>7</v>
      </c>
      <c r="AO1178">
        <v>9</v>
      </c>
    </row>
    <row r="1179" spans="1:41" x14ac:dyDescent="0.2">
      <c r="A1179">
        <v>1246015</v>
      </c>
      <c r="B1179">
        <v>36</v>
      </c>
      <c r="C1179" t="str" cm="1">
        <f t="array" ref="C1179">_xlfn.IFS(B1179&lt;=25,"15-25",B1179&lt;=35,"26-35",B1179&lt;=45,"36-45",B1179&lt;=55,"46-55",B1179&lt;=65,"56-65")</f>
        <v>36-45</v>
      </c>
      <c r="D1179" t="s">
        <v>35</v>
      </c>
      <c r="E1179" t="str">
        <f t="shared" si="36"/>
        <v>Current Employee</v>
      </c>
      <c r="F1179" t="s">
        <v>36</v>
      </c>
      <c r="G1179">
        <v>311</v>
      </c>
      <c r="H1179" t="s">
        <v>45</v>
      </c>
      <c r="I1179">
        <v>7</v>
      </c>
      <c r="J1179">
        <v>3</v>
      </c>
      <c r="K1179" t="s">
        <v>38</v>
      </c>
      <c r="L1179">
        <v>1</v>
      </c>
      <c r="M1179">
        <v>1</v>
      </c>
      <c r="N1179" t="s">
        <v>46</v>
      </c>
      <c r="O1179">
        <v>77</v>
      </c>
      <c r="P1179">
        <v>3</v>
      </c>
      <c r="Q1179">
        <v>1</v>
      </c>
      <c r="R1179" t="s">
        <v>40</v>
      </c>
      <c r="S1179">
        <v>2</v>
      </c>
      <c r="T1179" t="str" cm="1">
        <f t="array" ref="T1179">_xlfn.IFS(S1179&lt;=2,"Poor",S1179&lt;=3,"Fair",S1179&gt;=4,"Good")</f>
        <v>Poor</v>
      </c>
      <c r="U1179" t="s">
        <v>41</v>
      </c>
      <c r="V1179" s="1">
        <v>2013</v>
      </c>
      <c r="W1179" t="str" cm="1">
        <f t="array" ref="W1179">_xlfn.IFS(V1179&lt;=5000,"Low Salary",V1179&lt;=12000,"Good Salary",V1179&gt;12000,"High Salary")</f>
        <v>Low Salary</v>
      </c>
      <c r="X1179">
        <v>10950</v>
      </c>
      <c r="Y1179">
        <v>2</v>
      </c>
      <c r="Z1179" t="s">
        <v>42</v>
      </c>
      <c r="AA1179" t="s">
        <v>35</v>
      </c>
      <c r="AB1179">
        <v>11</v>
      </c>
      <c r="AC1179">
        <v>3</v>
      </c>
      <c r="AD1179" t="str">
        <f t="shared" si="37"/>
        <v>Low Performance</v>
      </c>
      <c r="AE1179">
        <v>3</v>
      </c>
      <c r="AF1179">
        <v>80</v>
      </c>
      <c r="AG1179">
        <v>0</v>
      </c>
      <c r="AH1179">
        <v>15</v>
      </c>
      <c r="AI1179">
        <v>4</v>
      </c>
      <c r="AJ1179">
        <v>3</v>
      </c>
      <c r="AK1179" t="str" cm="1">
        <f t="array" ref="AK1179">_xlfn.IFS(AJ1179&lt;=2,"Poor",AJ1179&lt;=3,"Fair",AJ1179&gt;3,"Good")</f>
        <v>Fair</v>
      </c>
      <c r="AL1179">
        <v>4</v>
      </c>
      <c r="AM1179">
        <v>3</v>
      </c>
      <c r="AN1179">
        <v>1</v>
      </c>
      <c r="AO1179">
        <v>3</v>
      </c>
    </row>
    <row r="1180" spans="1:41" x14ac:dyDescent="0.2">
      <c r="A1180">
        <v>1254079</v>
      </c>
      <c r="B1180">
        <v>49</v>
      </c>
      <c r="C1180" t="str" cm="1">
        <f t="array" ref="C1180">_xlfn.IFS(B1180&lt;=25,"15-25",B1180&lt;=35,"26-35",B1180&lt;=45,"36-45",B1180&lt;=55,"46-55",B1180&lt;=65,"56-65")</f>
        <v>46-55</v>
      </c>
      <c r="D1180" t="s">
        <v>35</v>
      </c>
      <c r="E1180" t="str">
        <f t="shared" si="36"/>
        <v>Current Employee</v>
      </c>
      <c r="F1180" t="s">
        <v>36</v>
      </c>
      <c r="G1180">
        <v>465</v>
      </c>
      <c r="H1180" t="s">
        <v>45</v>
      </c>
      <c r="I1180">
        <v>6</v>
      </c>
      <c r="J1180">
        <v>1</v>
      </c>
      <c r="K1180" t="s">
        <v>38</v>
      </c>
      <c r="L1180">
        <v>1</v>
      </c>
      <c r="M1180">
        <v>3</v>
      </c>
      <c r="N1180" t="s">
        <v>39</v>
      </c>
      <c r="O1180">
        <v>41</v>
      </c>
      <c r="P1180">
        <v>2</v>
      </c>
      <c r="Q1180">
        <v>4</v>
      </c>
      <c r="R1180" t="s">
        <v>40</v>
      </c>
      <c r="S1180">
        <v>3</v>
      </c>
      <c r="T1180" t="str" cm="1">
        <f t="array" ref="T1180">_xlfn.IFS(S1180&lt;=2,"Poor",S1180&lt;=3,"Fair",S1180&gt;=4,"Good")</f>
        <v>Fair</v>
      </c>
      <c r="U1180" t="s">
        <v>48</v>
      </c>
      <c r="V1180" s="1">
        <v>13966</v>
      </c>
      <c r="W1180" t="str" cm="1">
        <f t="array" ref="W1180">_xlfn.IFS(V1180&lt;=5000,"Low Salary",V1180&lt;=12000,"Good Salary",V1180&gt;12000,"High Salary")</f>
        <v>High Salary</v>
      </c>
      <c r="X1180">
        <v>11652</v>
      </c>
      <c r="Y1180">
        <v>2</v>
      </c>
      <c r="Z1180" t="s">
        <v>42</v>
      </c>
      <c r="AA1180" t="s">
        <v>43</v>
      </c>
      <c r="AB1180">
        <v>19</v>
      </c>
      <c r="AC1180">
        <v>3</v>
      </c>
      <c r="AD1180" t="str">
        <f t="shared" si="37"/>
        <v>Low Performance</v>
      </c>
      <c r="AE1180">
        <v>2</v>
      </c>
      <c r="AF1180">
        <v>80</v>
      </c>
      <c r="AG1180">
        <v>1</v>
      </c>
      <c r="AH1180">
        <v>30</v>
      </c>
      <c r="AI1180">
        <v>3</v>
      </c>
      <c r="AJ1180">
        <v>3</v>
      </c>
      <c r="AK1180" t="str" cm="1">
        <f t="array" ref="AK1180">_xlfn.IFS(AJ1180&lt;=2,"Poor",AJ1180&lt;=3,"Fair",AJ1180&gt;3,"Good")</f>
        <v>Fair</v>
      </c>
      <c r="AL1180">
        <v>15</v>
      </c>
      <c r="AM1180">
        <v>11</v>
      </c>
      <c r="AN1180">
        <v>2</v>
      </c>
      <c r="AO1180">
        <v>12</v>
      </c>
    </row>
    <row r="1181" spans="1:41" x14ac:dyDescent="0.2">
      <c r="A1181">
        <v>1860095</v>
      </c>
      <c r="B1181">
        <v>36</v>
      </c>
      <c r="C1181" t="str" cm="1">
        <f t="array" ref="C1181">_xlfn.IFS(B1181&lt;=25,"15-25",B1181&lt;=35,"26-35",B1181&lt;=45,"36-45",B1181&lt;=55,"46-55",B1181&lt;=65,"56-65")</f>
        <v>36-45</v>
      </c>
      <c r="D1181" t="s">
        <v>35</v>
      </c>
      <c r="E1181" t="str">
        <f t="shared" si="36"/>
        <v>Current Employee</v>
      </c>
      <c r="F1181" t="s">
        <v>52</v>
      </c>
      <c r="G1181">
        <v>894</v>
      </c>
      <c r="H1181" t="s">
        <v>54</v>
      </c>
      <c r="I1181">
        <v>1</v>
      </c>
      <c r="J1181">
        <v>4</v>
      </c>
      <c r="K1181" t="s">
        <v>49</v>
      </c>
      <c r="L1181">
        <v>1</v>
      </c>
      <c r="M1181">
        <v>4</v>
      </c>
      <c r="N1181" t="s">
        <v>39</v>
      </c>
      <c r="O1181">
        <v>33</v>
      </c>
      <c r="P1181">
        <v>2</v>
      </c>
      <c r="Q1181">
        <v>2</v>
      </c>
      <c r="R1181" t="s">
        <v>51</v>
      </c>
      <c r="S1181">
        <v>3</v>
      </c>
      <c r="T1181" t="str" cm="1">
        <f t="array" ref="T1181">_xlfn.IFS(S1181&lt;=2,"Poor",S1181&lt;=3,"Fair",S1181&gt;=4,"Good")</f>
        <v>Fair</v>
      </c>
      <c r="U1181" t="s">
        <v>48</v>
      </c>
      <c r="V1181" s="1">
        <v>4374</v>
      </c>
      <c r="W1181" t="str" cm="1">
        <f t="array" ref="W1181">_xlfn.IFS(V1181&lt;=5000,"Low Salary",V1181&lt;=12000,"Good Salary",V1181&gt;12000,"High Salary")</f>
        <v>Low Salary</v>
      </c>
      <c r="X1181">
        <v>15411</v>
      </c>
      <c r="Y1181">
        <v>0</v>
      </c>
      <c r="Z1181" t="s">
        <v>42</v>
      </c>
      <c r="AA1181" t="s">
        <v>35</v>
      </c>
      <c r="AB1181">
        <v>15</v>
      </c>
      <c r="AC1181">
        <v>3</v>
      </c>
      <c r="AD1181" t="str">
        <f t="shared" si="37"/>
        <v>Low Performance</v>
      </c>
      <c r="AE1181">
        <v>3</v>
      </c>
      <c r="AF1181">
        <v>80</v>
      </c>
      <c r="AG1181">
        <v>0</v>
      </c>
      <c r="AH1181">
        <v>4</v>
      </c>
      <c r="AI1181">
        <v>6</v>
      </c>
      <c r="AJ1181">
        <v>3</v>
      </c>
      <c r="AK1181" t="str" cm="1">
        <f t="array" ref="AK1181">_xlfn.IFS(AJ1181&lt;=2,"Poor",AJ1181&lt;=3,"Fair",AJ1181&gt;3,"Good")</f>
        <v>Fair</v>
      </c>
      <c r="AL1181">
        <v>3</v>
      </c>
      <c r="AM1181">
        <v>2</v>
      </c>
      <c r="AN1181">
        <v>1</v>
      </c>
      <c r="AO1181">
        <v>2</v>
      </c>
    </row>
    <row r="1182" spans="1:41" x14ac:dyDescent="0.2">
      <c r="A1182">
        <v>1602610</v>
      </c>
      <c r="B1182">
        <v>36</v>
      </c>
      <c r="C1182" t="str" cm="1">
        <f t="array" ref="C1182">_xlfn.IFS(B1182&lt;=25,"15-25",B1182&lt;=35,"26-35",B1182&lt;=45,"36-45",B1182&lt;=55,"46-55",B1182&lt;=65,"56-65")</f>
        <v>36-45</v>
      </c>
      <c r="D1182" t="s">
        <v>35</v>
      </c>
      <c r="E1182" t="str">
        <f t="shared" si="36"/>
        <v>Current Employee</v>
      </c>
      <c r="F1182" t="s">
        <v>36</v>
      </c>
      <c r="G1182">
        <v>1040</v>
      </c>
      <c r="H1182" t="s">
        <v>45</v>
      </c>
      <c r="I1182">
        <v>3</v>
      </c>
      <c r="J1182">
        <v>2</v>
      </c>
      <c r="K1182" t="s">
        <v>38</v>
      </c>
      <c r="L1182">
        <v>1</v>
      </c>
      <c r="M1182">
        <v>4</v>
      </c>
      <c r="N1182" t="s">
        <v>46</v>
      </c>
      <c r="O1182">
        <v>79</v>
      </c>
      <c r="P1182">
        <v>4</v>
      </c>
      <c r="Q1182">
        <v>2</v>
      </c>
      <c r="R1182" t="s">
        <v>40</v>
      </c>
      <c r="S1182">
        <v>1</v>
      </c>
      <c r="T1182" t="str" cm="1">
        <f t="array" ref="T1182">_xlfn.IFS(S1182&lt;=2,"Poor",S1182&lt;=3,"Fair",S1182&gt;=4,"Good")</f>
        <v>Poor</v>
      </c>
      <c r="U1182" t="s">
        <v>50</v>
      </c>
      <c r="V1182" s="1">
        <v>6842</v>
      </c>
      <c r="W1182" t="str" cm="1">
        <f t="array" ref="W1182">_xlfn.IFS(V1182&lt;=5000,"Low Salary",V1182&lt;=12000,"Good Salary",V1182&gt;12000,"High Salary")</f>
        <v>Good Salary</v>
      </c>
      <c r="X1182">
        <v>26308</v>
      </c>
      <c r="Y1182">
        <v>6</v>
      </c>
      <c r="Z1182" t="s">
        <v>42</v>
      </c>
      <c r="AA1182" t="s">
        <v>35</v>
      </c>
      <c r="AB1182">
        <v>20</v>
      </c>
      <c r="AC1182">
        <v>4</v>
      </c>
      <c r="AD1182" t="str">
        <f t="shared" si="37"/>
        <v>High Performance</v>
      </c>
      <c r="AE1182">
        <v>1</v>
      </c>
      <c r="AF1182">
        <v>80</v>
      </c>
      <c r="AG1182">
        <v>1</v>
      </c>
      <c r="AH1182">
        <v>13</v>
      </c>
      <c r="AI1182">
        <v>3</v>
      </c>
      <c r="AJ1182">
        <v>3</v>
      </c>
      <c r="AK1182" t="str" cm="1">
        <f t="array" ref="AK1182">_xlfn.IFS(AJ1182&lt;=2,"Poor",AJ1182&lt;=3,"Fair",AJ1182&gt;3,"Good")</f>
        <v>Fair</v>
      </c>
      <c r="AL1182">
        <v>5</v>
      </c>
      <c r="AM1182">
        <v>4</v>
      </c>
      <c r="AN1182">
        <v>0</v>
      </c>
      <c r="AO1182">
        <v>4</v>
      </c>
    </row>
    <row r="1183" spans="1:41" x14ac:dyDescent="0.2">
      <c r="A1183">
        <v>1364047</v>
      </c>
      <c r="B1183">
        <v>54</v>
      </c>
      <c r="C1183" t="str" cm="1">
        <f t="array" ref="C1183">_xlfn.IFS(B1183&lt;=25,"15-25",B1183&lt;=35,"26-35",B1183&lt;=45,"36-45",B1183&lt;=55,"46-55",B1183&lt;=65,"56-65")</f>
        <v>46-55</v>
      </c>
      <c r="D1183" t="s">
        <v>35</v>
      </c>
      <c r="E1183" t="str">
        <f t="shared" si="36"/>
        <v>Current Employee</v>
      </c>
      <c r="F1183" t="s">
        <v>36</v>
      </c>
      <c r="G1183">
        <v>584</v>
      </c>
      <c r="H1183" t="s">
        <v>54</v>
      </c>
      <c r="I1183">
        <v>22</v>
      </c>
      <c r="J1183">
        <v>5</v>
      </c>
      <c r="K1183" t="s">
        <v>49</v>
      </c>
      <c r="L1183">
        <v>1</v>
      </c>
      <c r="M1183">
        <v>2</v>
      </c>
      <c r="N1183" t="s">
        <v>39</v>
      </c>
      <c r="O1183">
        <v>91</v>
      </c>
      <c r="P1183">
        <v>3</v>
      </c>
      <c r="Q1183">
        <v>4</v>
      </c>
      <c r="R1183" t="s">
        <v>47</v>
      </c>
      <c r="S1183">
        <v>3</v>
      </c>
      <c r="T1183" t="str" cm="1">
        <f t="array" ref="T1183">_xlfn.IFS(S1183&lt;=2,"Poor",S1183&lt;=3,"Fair",S1183&gt;=4,"Good")</f>
        <v>Fair</v>
      </c>
      <c r="U1183" t="s">
        <v>48</v>
      </c>
      <c r="V1183" s="1">
        <v>17426</v>
      </c>
      <c r="W1183" t="str" cm="1">
        <f t="array" ref="W1183">_xlfn.IFS(V1183&lt;=5000,"Low Salary",V1183&lt;=12000,"Good Salary",V1183&gt;12000,"High Salary")</f>
        <v>High Salary</v>
      </c>
      <c r="X1183">
        <v>18685</v>
      </c>
      <c r="Y1183">
        <v>3</v>
      </c>
      <c r="Z1183" t="s">
        <v>42</v>
      </c>
      <c r="AA1183" t="s">
        <v>35</v>
      </c>
      <c r="AB1183">
        <v>25</v>
      </c>
      <c r="AC1183">
        <v>4</v>
      </c>
      <c r="AD1183" t="str">
        <f t="shared" si="37"/>
        <v>High Performance</v>
      </c>
      <c r="AE1183">
        <v>3</v>
      </c>
      <c r="AF1183">
        <v>80</v>
      </c>
      <c r="AG1183">
        <v>1</v>
      </c>
      <c r="AH1183">
        <v>36</v>
      </c>
      <c r="AI1183">
        <v>6</v>
      </c>
      <c r="AJ1183">
        <v>3</v>
      </c>
      <c r="AK1183" t="str" cm="1">
        <f t="array" ref="AK1183">_xlfn.IFS(AJ1183&lt;=2,"Poor",AJ1183&lt;=3,"Fair",AJ1183&gt;3,"Good")</f>
        <v>Fair</v>
      </c>
      <c r="AL1183">
        <v>10</v>
      </c>
      <c r="AM1183">
        <v>8</v>
      </c>
      <c r="AN1183">
        <v>4</v>
      </c>
      <c r="AO1183">
        <v>7</v>
      </c>
    </row>
    <row r="1184" spans="1:41" x14ac:dyDescent="0.2">
      <c r="A1184">
        <v>1872403</v>
      </c>
      <c r="B1184">
        <v>43</v>
      </c>
      <c r="C1184" t="str" cm="1">
        <f t="array" ref="C1184">_xlfn.IFS(B1184&lt;=25,"15-25",B1184&lt;=35,"26-35",B1184&lt;=45,"36-45",B1184&lt;=55,"46-55",B1184&lt;=65,"56-65")</f>
        <v>36-45</v>
      </c>
      <c r="D1184" t="s">
        <v>35</v>
      </c>
      <c r="E1184" t="str">
        <f t="shared" si="36"/>
        <v>Current Employee</v>
      </c>
      <c r="F1184" t="s">
        <v>36</v>
      </c>
      <c r="G1184">
        <v>1291</v>
      </c>
      <c r="H1184" t="s">
        <v>45</v>
      </c>
      <c r="I1184">
        <v>15</v>
      </c>
      <c r="J1184">
        <v>2</v>
      </c>
      <c r="K1184" t="s">
        <v>38</v>
      </c>
      <c r="L1184">
        <v>1</v>
      </c>
      <c r="M1184">
        <v>3</v>
      </c>
      <c r="N1184" t="s">
        <v>46</v>
      </c>
      <c r="O1184">
        <v>65</v>
      </c>
      <c r="P1184">
        <v>2</v>
      </c>
      <c r="Q1184">
        <v>4</v>
      </c>
      <c r="R1184" t="s">
        <v>53</v>
      </c>
      <c r="S1184">
        <v>3</v>
      </c>
      <c r="T1184" t="str" cm="1">
        <f t="array" ref="T1184">_xlfn.IFS(S1184&lt;=2,"Poor",S1184&lt;=3,"Fair",S1184&gt;=4,"Good")</f>
        <v>Fair</v>
      </c>
      <c r="U1184" t="s">
        <v>48</v>
      </c>
      <c r="V1184" s="1">
        <v>17603</v>
      </c>
      <c r="W1184" t="str" cm="1">
        <f t="array" ref="W1184">_xlfn.IFS(V1184&lt;=5000,"Low Salary",V1184&lt;=12000,"Good Salary",V1184&gt;12000,"High Salary")</f>
        <v>High Salary</v>
      </c>
      <c r="X1184">
        <v>3525</v>
      </c>
      <c r="Y1184">
        <v>1</v>
      </c>
      <c r="Z1184" t="s">
        <v>42</v>
      </c>
      <c r="AA1184" t="s">
        <v>35</v>
      </c>
      <c r="AB1184">
        <v>24</v>
      </c>
      <c r="AC1184">
        <v>4</v>
      </c>
      <c r="AD1184" t="str">
        <f t="shared" si="37"/>
        <v>High Performance</v>
      </c>
      <c r="AE1184">
        <v>1</v>
      </c>
      <c r="AF1184">
        <v>80</v>
      </c>
      <c r="AG1184">
        <v>1</v>
      </c>
      <c r="AH1184">
        <v>14</v>
      </c>
      <c r="AI1184">
        <v>3</v>
      </c>
      <c r="AJ1184">
        <v>3</v>
      </c>
      <c r="AK1184" t="str" cm="1">
        <f t="array" ref="AK1184">_xlfn.IFS(AJ1184&lt;=2,"Poor",AJ1184&lt;=3,"Fair",AJ1184&gt;3,"Good")</f>
        <v>Fair</v>
      </c>
      <c r="AL1184">
        <v>14</v>
      </c>
      <c r="AM1184">
        <v>10</v>
      </c>
      <c r="AN1184">
        <v>6</v>
      </c>
      <c r="AO1184">
        <v>11</v>
      </c>
    </row>
    <row r="1185" spans="1:41" x14ac:dyDescent="0.2">
      <c r="A1185">
        <v>1705436</v>
      </c>
      <c r="B1185">
        <v>35</v>
      </c>
      <c r="C1185" t="str" cm="1">
        <f t="array" ref="C1185">_xlfn.IFS(B1185&lt;=25,"15-25",B1185&lt;=35,"26-35",B1185&lt;=45,"36-45",B1185&lt;=55,"46-55",B1185&lt;=65,"56-65")</f>
        <v>26-35</v>
      </c>
      <c r="D1185" t="s">
        <v>35</v>
      </c>
      <c r="E1185" t="str">
        <f t="shared" si="36"/>
        <v>Current Employee</v>
      </c>
      <c r="F1185" t="s">
        <v>44</v>
      </c>
      <c r="G1185">
        <v>880</v>
      </c>
      <c r="H1185" t="s">
        <v>37</v>
      </c>
      <c r="I1185">
        <v>12</v>
      </c>
      <c r="J1185">
        <v>4</v>
      </c>
      <c r="K1185" t="s">
        <v>47</v>
      </c>
      <c r="L1185">
        <v>1</v>
      </c>
      <c r="M1185">
        <v>4</v>
      </c>
      <c r="N1185" t="s">
        <v>46</v>
      </c>
      <c r="O1185">
        <v>36</v>
      </c>
      <c r="P1185">
        <v>3</v>
      </c>
      <c r="Q1185">
        <v>2</v>
      </c>
      <c r="R1185" t="s">
        <v>40</v>
      </c>
      <c r="S1185">
        <v>4</v>
      </c>
      <c r="T1185" t="str" cm="1">
        <f t="array" ref="T1185">_xlfn.IFS(S1185&lt;=2,"Poor",S1185&lt;=3,"Fair",S1185&gt;=4,"Good")</f>
        <v>Good</v>
      </c>
      <c r="U1185" t="s">
        <v>41</v>
      </c>
      <c r="V1185" s="1">
        <v>4581</v>
      </c>
      <c r="W1185" t="str" cm="1">
        <f t="array" ref="W1185">_xlfn.IFS(V1185&lt;=5000,"Low Salary",V1185&lt;=12000,"Good Salary",V1185&gt;12000,"High Salary")</f>
        <v>Low Salary</v>
      </c>
      <c r="X1185">
        <v>10414</v>
      </c>
      <c r="Y1185">
        <v>3</v>
      </c>
      <c r="Z1185" t="s">
        <v>42</v>
      </c>
      <c r="AA1185" t="s">
        <v>43</v>
      </c>
      <c r="AB1185">
        <v>24</v>
      </c>
      <c r="AC1185">
        <v>4</v>
      </c>
      <c r="AD1185" t="str">
        <f t="shared" si="37"/>
        <v>High Performance</v>
      </c>
      <c r="AE1185">
        <v>1</v>
      </c>
      <c r="AF1185">
        <v>80</v>
      </c>
      <c r="AG1185">
        <v>0</v>
      </c>
      <c r="AH1185">
        <v>13</v>
      </c>
      <c r="AI1185">
        <v>2</v>
      </c>
      <c r="AJ1185">
        <v>4</v>
      </c>
      <c r="AK1185" t="str" cm="1">
        <f t="array" ref="AK1185">_xlfn.IFS(AJ1185&lt;=2,"Poor",AJ1185&lt;=3,"Fair",AJ1185&gt;3,"Good")</f>
        <v>Good</v>
      </c>
      <c r="AL1185">
        <v>11</v>
      </c>
      <c r="AM1185">
        <v>9</v>
      </c>
      <c r="AN1185">
        <v>6</v>
      </c>
      <c r="AO1185">
        <v>7</v>
      </c>
    </row>
    <row r="1186" spans="1:41" x14ac:dyDescent="0.2">
      <c r="A1186">
        <v>1607161</v>
      </c>
      <c r="B1186">
        <v>38</v>
      </c>
      <c r="C1186" t="str" cm="1">
        <f t="array" ref="C1186">_xlfn.IFS(B1186&lt;=25,"15-25",B1186&lt;=35,"26-35",B1186&lt;=45,"36-45",B1186&lt;=55,"46-55",B1186&lt;=65,"56-65")</f>
        <v>36-45</v>
      </c>
      <c r="D1186" t="s">
        <v>35</v>
      </c>
      <c r="E1186" t="str">
        <f t="shared" si="36"/>
        <v>Current Employee</v>
      </c>
      <c r="F1186" t="s">
        <v>44</v>
      </c>
      <c r="G1186">
        <v>1189</v>
      </c>
      <c r="H1186" t="s">
        <v>45</v>
      </c>
      <c r="I1186">
        <v>1</v>
      </c>
      <c r="J1186">
        <v>3</v>
      </c>
      <c r="K1186" t="s">
        <v>38</v>
      </c>
      <c r="L1186">
        <v>1</v>
      </c>
      <c r="M1186">
        <v>4</v>
      </c>
      <c r="N1186" t="s">
        <v>46</v>
      </c>
      <c r="O1186">
        <v>90</v>
      </c>
      <c r="P1186">
        <v>3</v>
      </c>
      <c r="Q1186">
        <v>2</v>
      </c>
      <c r="R1186" t="s">
        <v>47</v>
      </c>
      <c r="S1186">
        <v>4</v>
      </c>
      <c r="T1186" t="str" cm="1">
        <f t="array" ref="T1186">_xlfn.IFS(S1186&lt;=2,"Poor",S1186&lt;=3,"Fair",S1186&gt;=4,"Good")</f>
        <v>Good</v>
      </c>
      <c r="U1186" t="s">
        <v>48</v>
      </c>
      <c r="V1186" s="1">
        <v>4735</v>
      </c>
      <c r="W1186" t="str" cm="1">
        <f t="array" ref="W1186">_xlfn.IFS(V1186&lt;=5000,"Low Salary",V1186&lt;=12000,"Good Salary",V1186&gt;12000,"High Salary")</f>
        <v>Low Salary</v>
      </c>
      <c r="X1186">
        <v>9867</v>
      </c>
      <c r="Y1186">
        <v>7</v>
      </c>
      <c r="Z1186" t="s">
        <v>42</v>
      </c>
      <c r="AA1186" t="s">
        <v>35</v>
      </c>
      <c r="AB1186">
        <v>15</v>
      </c>
      <c r="AC1186">
        <v>3</v>
      </c>
      <c r="AD1186" t="str">
        <f t="shared" si="37"/>
        <v>Low Performance</v>
      </c>
      <c r="AE1186">
        <v>4</v>
      </c>
      <c r="AF1186">
        <v>80</v>
      </c>
      <c r="AG1186">
        <v>2</v>
      </c>
      <c r="AH1186">
        <v>19</v>
      </c>
      <c r="AI1186">
        <v>4</v>
      </c>
      <c r="AJ1186">
        <v>4</v>
      </c>
      <c r="AK1186" t="str" cm="1">
        <f t="array" ref="AK1186">_xlfn.IFS(AJ1186&lt;=2,"Poor",AJ1186&lt;=3,"Fair",AJ1186&gt;3,"Good")</f>
        <v>Good</v>
      </c>
      <c r="AL1186">
        <v>13</v>
      </c>
      <c r="AM1186">
        <v>11</v>
      </c>
      <c r="AN1186">
        <v>2</v>
      </c>
      <c r="AO1186">
        <v>9</v>
      </c>
    </row>
    <row r="1187" spans="1:41" x14ac:dyDescent="0.2">
      <c r="A1187">
        <v>1706059</v>
      </c>
      <c r="B1187">
        <v>29</v>
      </c>
      <c r="C1187" t="str" cm="1">
        <f t="array" ref="C1187">_xlfn.IFS(B1187&lt;=25,"15-25",B1187&lt;=35,"26-35",B1187&lt;=45,"36-45",B1187&lt;=55,"46-55",B1187&lt;=65,"56-65")</f>
        <v>26-35</v>
      </c>
      <c r="D1187" t="s">
        <v>35</v>
      </c>
      <c r="E1187" t="str">
        <f t="shared" si="36"/>
        <v>Current Employee</v>
      </c>
      <c r="F1187" t="s">
        <v>36</v>
      </c>
      <c r="G1187">
        <v>991</v>
      </c>
      <c r="H1187" t="s">
        <v>37</v>
      </c>
      <c r="I1187">
        <v>5</v>
      </c>
      <c r="J1187">
        <v>3</v>
      </c>
      <c r="K1187" t="s">
        <v>49</v>
      </c>
      <c r="L1187">
        <v>1</v>
      </c>
      <c r="M1187">
        <v>1</v>
      </c>
      <c r="N1187" t="s">
        <v>46</v>
      </c>
      <c r="O1187">
        <v>43</v>
      </c>
      <c r="P1187">
        <v>2</v>
      </c>
      <c r="Q1187">
        <v>2</v>
      </c>
      <c r="R1187" t="s">
        <v>40</v>
      </c>
      <c r="S1187">
        <v>2</v>
      </c>
      <c r="T1187" t="str" cm="1">
        <f t="array" ref="T1187">_xlfn.IFS(S1187&lt;=2,"Poor",S1187&lt;=3,"Fair",S1187&gt;=4,"Good")</f>
        <v>Poor</v>
      </c>
      <c r="U1187" t="s">
        <v>50</v>
      </c>
      <c r="V1187" s="1">
        <v>4187</v>
      </c>
      <c r="W1187" t="str" cm="1">
        <f t="array" ref="W1187">_xlfn.IFS(V1187&lt;=5000,"Low Salary",V1187&lt;=12000,"Good Salary",V1187&gt;12000,"High Salary")</f>
        <v>Low Salary</v>
      </c>
      <c r="X1187">
        <v>3356</v>
      </c>
      <c r="Y1187">
        <v>1</v>
      </c>
      <c r="Z1187" t="s">
        <v>42</v>
      </c>
      <c r="AA1187" t="s">
        <v>43</v>
      </c>
      <c r="AB1187">
        <v>13</v>
      </c>
      <c r="AC1187">
        <v>3</v>
      </c>
      <c r="AD1187" t="str">
        <f t="shared" si="37"/>
        <v>Low Performance</v>
      </c>
      <c r="AE1187">
        <v>2</v>
      </c>
      <c r="AF1187">
        <v>80</v>
      </c>
      <c r="AG1187">
        <v>1</v>
      </c>
      <c r="AH1187">
        <v>10</v>
      </c>
      <c r="AI1187">
        <v>3</v>
      </c>
      <c r="AJ1187">
        <v>2</v>
      </c>
      <c r="AK1187" t="str" cm="1">
        <f t="array" ref="AK1187">_xlfn.IFS(AJ1187&lt;=2,"Poor",AJ1187&lt;=3,"Fair",AJ1187&gt;3,"Good")</f>
        <v>Poor</v>
      </c>
      <c r="AL1187">
        <v>10</v>
      </c>
      <c r="AM1187">
        <v>0</v>
      </c>
      <c r="AN1187">
        <v>0</v>
      </c>
      <c r="AO1187">
        <v>9</v>
      </c>
    </row>
    <row r="1188" spans="1:41" x14ac:dyDescent="0.2">
      <c r="A1188">
        <v>1574111</v>
      </c>
      <c r="B1188">
        <v>33</v>
      </c>
      <c r="C1188" t="str" cm="1">
        <f t="array" ref="C1188">_xlfn.IFS(B1188&lt;=25,"15-25",B1188&lt;=35,"26-35",B1188&lt;=45,"36-45",B1188&lt;=55,"46-55",B1188&lt;=65,"56-65")</f>
        <v>26-35</v>
      </c>
      <c r="D1188" t="s">
        <v>35</v>
      </c>
      <c r="E1188" t="str">
        <f t="shared" si="36"/>
        <v>Current Employee</v>
      </c>
      <c r="F1188" t="s">
        <v>36</v>
      </c>
      <c r="G1188">
        <v>392</v>
      </c>
      <c r="H1188" t="s">
        <v>37</v>
      </c>
      <c r="I1188">
        <v>2</v>
      </c>
      <c r="J1188">
        <v>4</v>
      </c>
      <c r="K1188" t="s">
        <v>49</v>
      </c>
      <c r="L1188">
        <v>1</v>
      </c>
      <c r="M1188">
        <v>4</v>
      </c>
      <c r="N1188" t="s">
        <v>46</v>
      </c>
      <c r="O1188">
        <v>93</v>
      </c>
      <c r="P1188">
        <v>3</v>
      </c>
      <c r="Q1188">
        <v>2</v>
      </c>
      <c r="R1188" t="s">
        <v>40</v>
      </c>
      <c r="S1188">
        <v>4</v>
      </c>
      <c r="T1188" t="str" cm="1">
        <f t="array" ref="T1188">_xlfn.IFS(S1188&lt;=2,"Poor",S1188&lt;=3,"Fair",S1188&gt;=4,"Good")</f>
        <v>Good</v>
      </c>
      <c r="U1188" t="s">
        <v>50</v>
      </c>
      <c r="V1188" s="1">
        <v>5505</v>
      </c>
      <c r="W1188" t="str" cm="1">
        <f t="array" ref="W1188">_xlfn.IFS(V1188&lt;=5000,"Low Salary",V1188&lt;=12000,"Good Salary",V1188&gt;12000,"High Salary")</f>
        <v>Good Salary</v>
      </c>
      <c r="X1188">
        <v>3921</v>
      </c>
      <c r="Y1188">
        <v>1</v>
      </c>
      <c r="Z1188" t="s">
        <v>42</v>
      </c>
      <c r="AA1188" t="s">
        <v>35</v>
      </c>
      <c r="AB1188">
        <v>14</v>
      </c>
      <c r="AC1188">
        <v>3</v>
      </c>
      <c r="AD1188" t="str">
        <f t="shared" si="37"/>
        <v>Low Performance</v>
      </c>
      <c r="AE1188">
        <v>3</v>
      </c>
      <c r="AF1188">
        <v>80</v>
      </c>
      <c r="AG1188">
        <v>2</v>
      </c>
      <c r="AH1188">
        <v>6</v>
      </c>
      <c r="AI1188">
        <v>5</v>
      </c>
      <c r="AJ1188">
        <v>3</v>
      </c>
      <c r="AK1188" t="str" cm="1">
        <f t="array" ref="AK1188">_xlfn.IFS(AJ1188&lt;=2,"Poor",AJ1188&lt;=3,"Fair",AJ1188&gt;3,"Good")</f>
        <v>Fair</v>
      </c>
      <c r="AL1188">
        <v>6</v>
      </c>
      <c r="AM1188">
        <v>2</v>
      </c>
      <c r="AN1188">
        <v>0</v>
      </c>
      <c r="AO1188">
        <v>4</v>
      </c>
    </row>
    <row r="1189" spans="1:41" x14ac:dyDescent="0.2">
      <c r="A1189">
        <v>1200755</v>
      </c>
      <c r="B1189">
        <v>32</v>
      </c>
      <c r="C1189" t="str" cm="1">
        <f t="array" ref="C1189">_xlfn.IFS(B1189&lt;=25,"15-25",B1189&lt;=35,"26-35",B1189&lt;=45,"36-45",B1189&lt;=55,"46-55",B1189&lt;=65,"56-65")</f>
        <v>26-35</v>
      </c>
      <c r="D1189" t="s">
        <v>35</v>
      </c>
      <c r="E1189" t="str">
        <f t="shared" si="36"/>
        <v>Current Employee</v>
      </c>
      <c r="F1189" t="s">
        <v>36</v>
      </c>
      <c r="G1189">
        <v>977</v>
      </c>
      <c r="H1189" t="s">
        <v>45</v>
      </c>
      <c r="I1189">
        <v>2</v>
      </c>
      <c r="J1189">
        <v>3</v>
      </c>
      <c r="K1189" t="s">
        <v>49</v>
      </c>
      <c r="L1189">
        <v>1</v>
      </c>
      <c r="M1189">
        <v>4</v>
      </c>
      <c r="N1189" t="s">
        <v>46</v>
      </c>
      <c r="O1189">
        <v>45</v>
      </c>
      <c r="P1189">
        <v>3</v>
      </c>
      <c r="Q1189">
        <v>2</v>
      </c>
      <c r="R1189" t="s">
        <v>47</v>
      </c>
      <c r="S1189">
        <v>2</v>
      </c>
      <c r="T1189" t="str" cm="1">
        <f t="array" ref="T1189">_xlfn.IFS(S1189&lt;=2,"Poor",S1189&lt;=3,"Fair",S1189&gt;=4,"Good")</f>
        <v>Poor</v>
      </c>
      <c r="U1189" t="s">
        <v>50</v>
      </c>
      <c r="V1189" s="1">
        <v>5470</v>
      </c>
      <c r="W1189" t="str" cm="1">
        <f t="array" ref="W1189">_xlfn.IFS(V1189&lt;=5000,"Low Salary",V1189&lt;=12000,"Good Salary",V1189&gt;12000,"High Salary")</f>
        <v>Good Salary</v>
      </c>
      <c r="X1189">
        <v>25518</v>
      </c>
      <c r="Y1189">
        <v>0</v>
      </c>
      <c r="Z1189" t="s">
        <v>42</v>
      </c>
      <c r="AA1189" t="s">
        <v>35</v>
      </c>
      <c r="AB1189">
        <v>13</v>
      </c>
      <c r="AC1189">
        <v>3</v>
      </c>
      <c r="AD1189" t="str">
        <f t="shared" si="37"/>
        <v>Low Performance</v>
      </c>
      <c r="AE1189">
        <v>3</v>
      </c>
      <c r="AF1189">
        <v>80</v>
      </c>
      <c r="AG1189">
        <v>2</v>
      </c>
      <c r="AH1189">
        <v>10</v>
      </c>
      <c r="AI1189">
        <v>4</v>
      </c>
      <c r="AJ1189">
        <v>2</v>
      </c>
      <c r="AK1189" t="str" cm="1">
        <f t="array" ref="AK1189">_xlfn.IFS(AJ1189&lt;=2,"Poor",AJ1189&lt;=3,"Fair",AJ1189&gt;3,"Good")</f>
        <v>Poor</v>
      </c>
      <c r="AL1189">
        <v>9</v>
      </c>
      <c r="AM1189">
        <v>5</v>
      </c>
      <c r="AN1189">
        <v>1</v>
      </c>
      <c r="AO1189">
        <v>6</v>
      </c>
    </row>
    <row r="1190" spans="1:41" x14ac:dyDescent="0.2">
      <c r="A1190">
        <v>1068460</v>
      </c>
      <c r="B1190">
        <v>31</v>
      </c>
      <c r="C1190" t="str" cm="1">
        <f t="array" ref="C1190">_xlfn.IFS(B1190&lt;=25,"15-25",B1190&lt;=35,"26-35",B1190&lt;=45,"36-45",B1190&lt;=55,"46-55",B1190&lt;=65,"56-65")</f>
        <v>26-35</v>
      </c>
      <c r="D1190" t="s">
        <v>35</v>
      </c>
      <c r="E1190" t="str">
        <f t="shared" si="36"/>
        <v>Current Employee</v>
      </c>
      <c r="F1190" t="s">
        <v>36</v>
      </c>
      <c r="G1190">
        <v>1112</v>
      </c>
      <c r="H1190" t="s">
        <v>37</v>
      </c>
      <c r="I1190">
        <v>5</v>
      </c>
      <c r="J1190">
        <v>4</v>
      </c>
      <c r="K1190" t="s">
        <v>38</v>
      </c>
      <c r="L1190">
        <v>1</v>
      </c>
      <c r="M1190">
        <v>1</v>
      </c>
      <c r="N1190" t="s">
        <v>39</v>
      </c>
      <c r="O1190">
        <v>67</v>
      </c>
      <c r="P1190">
        <v>3</v>
      </c>
      <c r="Q1190">
        <v>2</v>
      </c>
      <c r="R1190" t="s">
        <v>40</v>
      </c>
      <c r="S1190">
        <v>4</v>
      </c>
      <c r="T1190" t="str" cm="1">
        <f t="array" ref="T1190">_xlfn.IFS(S1190&lt;=2,"Poor",S1190&lt;=3,"Fair",S1190&gt;=4,"Good")</f>
        <v>Good</v>
      </c>
      <c r="U1190" t="s">
        <v>48</v>
      </c>
      <c r="V1190" s="1">
        <v>5476</v>
      </c>
      <c r="W1190" t="str" cm="1">
        <f t="array" ref="W1190">_xlfn.IFS(V1190&lt;=5000,"Low Salary",V1190&lt;=12000,"Good Salary",V1190&gt;12000,"High Salary")</f>
        <v>Good Salary</v>
      </c>
      <c r="X1190">
        <v>22589</v>
      </c>
      <c r="Y1190">
        <v>1</v>
      </c>
      <c r="Z1190" t="s">
        <v>42</v>
      </c>
      <c r="AA1190" t="s">
        <v>35</v>
      </c>
      <c r="AB1190">
        <v>11</v>
      </c>
      <c r="AC1190">
        <v>3</v>
      </c>
      <c r="AD1190" t="str">
        <f t="shared" si="37"/>
        <v>Low Performance</v>
      </c>
      <c r="AE1190">
        <v>1</v>
      </c>
      <c r="AF1190">
        <v>80</v>
      </c>
      <c r="AG1190">
        <v>2</v>
      </c>
      <c r="AH1190">
        <v>10</v>
      </c>
      <c r="AI1190">
        <v>2</v>
      </c>
      <c r="AJ1190">
        <v>3</v>
      </c>
      <c r="AK1190" t="str" cm="1">
        <f t="array" ref="AK1190">_xlfn.IFS(AJ1190&lt;=2,"Poor",AJ1190&lt;=3,"Fair",AJ1190&gt;3,"Good")</f>
        <v>Fair</v>
      </c>
      <c r="AL1190">
        <v>10</v>
      </c>
      <c r="AM1190">
        <v>0</v>
      </c>
      <c r="AN1190">
        <v>0</v>
      </c>
      <c r="AO1190">
        <v>2</v>
      </c>
    </row>
    <row r="1191" spans="1:41" x14ac:dyDescent="0.2">
      <c r="A1191">
        <v>1796122</v>
      </c>
      <c r="B1191">
        <v>49</v>
      </c>
      <c r="C1191" t="str" cm="1">
        <f t="array" ref="C1191">_xlfn.IFS(B1191&lt;=25,"15-25",B1191&lt;=35,"26-35",B1191&lt;=45,"36-45",B1191&lt;=55,"46-55",B1191&lt;=65,"56-65")</f>
        <v>46-55</v>
      </c>
      <c r="D1191" t="s">
        <v>35</v>
      </c>
      <c r="E1191" t="str">
        <f t="shared" si="36"/>
        <v>Current Employee</v>
      </c>
      <c r="F1191" t="s">
        <v>36</v>
      </c>
      <c r="G1191">
        <v>464</v>
      </c>
      <c r="H1191" t="s">
        <v>45</v>
      </c>
      <c r="I1191">
        <v>16</v>
      </c>
      <c r="J1191">
        <v>3</v>
      </c>
      <c r="K1191" t="s">
        <v>49</v>
      </c>
      <c r="L1191">
        <v>1</v>
      </c>
      <c r="M1191">
        <v>4</v>
      </c>
      <c r="N1191" t="s">
        <v>39</v>
      </c>
      <c r="O1191">
        <v>74</v>
      </c>
      <c r="P1191">
        <v>3</v>
      </c>
      <c r="Q1191">
        <v>1</v>
      </c>
      <c r="R1191" t="s">
        <v>40</v>
      </c>
      <c r="S1191">
        <v>1</v>
      </c>
      <c r="T1191" t="str" cm="1">
        <f t="array" ref="T1191">_xlfn.IFS(S1191&lt;=2,"Poor",S1191&lt;=3,"Fair",S1191&gt;=4,"Good")</f>
        <v>Poor</v>
      </c>
      <c r="U1191" t="s">
        <v>50</v>
      </c>
      <c r="V1191" s="1">
        <v>2587</v>
      </c>
      <c r="W1191" t="str" cm="1">
        <f t="array" ref="W1191">_xlfn.IFS(V1191&lt;=5000,"Low Salary",V1191&lt;=12000,"Good Salary",V1191&gt;12000,"High Salary")</f>
        <v>Low Salary</v>
      </c>
      <c r="X1191">
        <v>24941</v>
      </c>
      <c r="Y1191">
        <v>4</v>
      </c>
      <c r="Z1191" t="s">
        <v>42</v>
      </c>
      <c r="AA1191" t="s">
        <v>43</v>
      </c>
      <c r="AB1191">
        <v>16</v>
      </c>
      <c r="AC1191">
        <v>3</v>
      </c>
      <c r="AD1191" t="str">
        <f t="shared" si="37"/>
        <v>Low Performance</v>
      </c>
      <c r="AE1191">
        <v>2</v>
      </c>
      <c r="AF1191">
        <v>80</v>
      </c>
      <c r="AG1191">
        <v>1</v>
      </c>
      <c r="AH1191">
        <v>17</v>
      </c>
      <c r="AI1191">
        <v>2</v>
      </c>
      <c r="AJ1191">
        <v>2</v>
      </c>
      <c r="AK1191" t="str" cm="1">
        <f t="array" ref="AK1191">_xlfn.IFS(AJ1191&lt;=2,"Poor",AJ1191&lt;=3,"Fair",AJ1191&gt;3,"Good")</f>
        <v>Poor</v>
      </c>
      <c r="AL1191">
        <v>2</v>
      </c>
      <c r="AM1191">
        <v>2</v>
      </c>
      <c r="AN1191">
        <v>2</v>
      </c>
      <c r="AO1191">
        <v>2</v>
      </c>
    </row>
    <row r="1192" spans="1:41" x14ac:dyDescent="0.2">
      <c r="A1192">
        <v>1728347</v>
      </c>
      <c r="B1192">
        <v>38</v>
      </c>
      <c r="C1192" t="str" cm="1">
        <f t="array" ref="C1192">_xlfn.IFS(B1192&lt;=25,"15-25",B1192&lt;=35,"26-35",B1192&lt;=45,"36-45",B1192&lt;=55,"46-55",B1192&lt;=65,"56-65")</f>
        <v>36-45</v>
      </c>
      <c r="D1192" t="s">
        <v>35</v>
      </c>
      <c r="E1192" t="str">
        <f t="shared" si="36"/>
        <v>Current Employee</v>
      </c>
      <c r="F1192" t="s">
        <v>44</v>
      </c>
      <c r="G1192">
        <v>148</v>
      </c>
      <c r="H1192" t="s">
        <v>45</v>
      </c>
      <c r="I1192">
        <v>2</v>
      </c>
      <c r="J1192">
        <v>3</v>
      </c>
      <c r="K1192" t="s">
        <v>49</v>
      </c>
      <c r="L1192">
        <v>1</v>
      </c>
      <c r="M1192">
        <v>4</v>
      </c>
      <c r="N1192" t="s">
        <v>39</v>
      </c>
      <c r="O1192">
        <v>42</v>
      </c>
      <c r="P1192">
        <v>2</v>
      </c>
      <c r="Q1192">
        <v>1</v>
      </c>
      <c r="R1192" t="s">
        <v>40</v>
      </c>
      <c r="S1192">
        <v>2</v>
      </c>
      <c r="T1192" t="str" cm="1">
        <f t="array" ref="T1192">_xlfn.IFS(S1192&lt;=2,"Poor",S1192&lt;=3,"Fair",S1192&gt;=4,"Good")</f>
        <v>Poor</v>
      </c>
      <c r="U1192" t="s">
        <v>41</v>
      </c>
      <c r="V1192" s="1">
        <v>2440</v>
      </c>
      <c r="W1192" t="str" cm="1">
        <f t="array" ref="W1192">_xlfn.IFS(V1192&lt;=5000,"Low Salary",V1192&lt;=12000,"Good Salary",V1192&gt;12000,"High Salary")</f>
        <v>Low Salary</v>
      </c>
      <c r="X1192">
        <v>23826</v>
      </c>
      <c r="Y1192">
        <v>1</v>
      </c>
      <c r="Z1192" t="s">
        <v>42</v>
      </c>
      <c r="AA1192" t="s">
        <v>35</v>
      </c>
      <c r="AB1192">
        <v>22</v>
      </c>
      <c r="AC1192">
        <v>4</v>
      </c>
      <c r="AD1192" t="str">
        <f t="shared" si="37"/>
        <v>High Performance</v>
      </c>
      <c r="AE1192">
        <v>2</v>
      </c>
      <c r="AF1192">
        <v>80</v>
      </c>
      <c r="AG1192">
        <v>0</v>
      </c>
      <c r="AH1192">
        <v>4</v>
      </c>
      <c r="AI1192">
        <v>3</v>
      </c>
      <c r="AJ1192">
        <v>3</v>
      </c>
      <c r="AK1192" t="str" cm="1">
        <f t="array" ref="AK1192">_xlfn.IFS(AJ1192&lt;=2,"Poor",AJ1192&lt;=3,"Fair",AJ1192&gt;3,"Good")</f>
        <v>Fair</v>
      </c>
      <c r="AL1192">
        <v>4</v>
      </c>
      <c r="AM1192">
        <v>3</v>
      </c>
      <c r="AN1192">
        <v>3</v>
      </c>
      <c r="AO1192">
        <v>3</v>
      </c>
    </row>
    <row r="1193" spans="1:41" x14ac:dyDescent="0.2">
      <c r="A1193">
        <v>1817017</v>
      </c>
      <c r="B1193">
        <v>47</v>
      </c>
      <c r="C1193" t="str" cm="1">
        <f t="array" ref="C1193">_xlfn.IFS(B1193&lt;=25,"15-25",B1193&lt;=35,"26-35",B1193&lt;=45,"36-45",B1193&lt;=55,"46-55",B1193&lt;=65,"56-65")</f>
        <v>46-55</v>
      </c>
      <c r="D1193" t="s">
        <v>35</v>
      </c>
      <c r="E1193" t="str">
        <f t="shared" si="36"/>
        <v>Current Employee</v>
      </c>
      <c r="F1193" t="s">
        <v>36</v>
      </c>
      <c r="G1193">
        <v>1225</v>
      </c>
      <c r="H1193" t="s">
        <v>37</v>
      </c>
      <c r="I1193">
        <v>2</v>
      </c>
      <c r="J1193">
        <v>4</v>
      </c>
      <c r="K1193" t="s">
        <v>38</v>
      </c>
      <c r="L1193">
        <v>1</v>
      </c>
      <c r="M1193">
        <v>2</v>
      </c>
      <c r="N1193" t="s">
        <v>39</v>
      </c>
      <c r="O1193">
        <v>47</v>
      </c>
      <c r="P1193">
        <v>4</v>
      </c>
      <c r="Q1193">
        <v>4</v>
      </c>
      <c r="R1193" t="s">
        <v>53</v>
      </c>
      <c r="S1193">
        <v>2</v>
      </c>
      <c r="T1193" t="str" cm="1">
        <f t="array" ref="T1193">_xlfn.IFS(S1193&lt;=2,"Poor",S1193&lt;=3,"Fair",S1193&gt;=4,"Good")</f>
        <v>Poor</v>
      </c>
      <c r="U1193" t="s">
        <v>50</v>
      </c>
      <c r="V1193" s="1">
        <v>15972</v>
      </c>
      <c r="W1193" t="str" cm="1">
        <f t="array" ref="W1193">_xlfn.IFS(V1193&lt;=5000,"Low Salary",V1193&lt;=12000,"Good Salary",V1193&gt;12000,"High Salary")</f>
        <v>High Salary</v>
      </c>
      <c r="X1193">
        <v>21086</v>
      </c>
      <c r="Y1193">
        <v>6</v>
      </c>
      <c r="Z1193" t="s">
        <v>42</v>
      </c>
      <c r="AA1193" t="s">
        <v>35</v>
      </c>
      <c r="AB1193">
        <v>14</v>
      </c>
      <c r="AC1193">
        <v>3</v>
      </c>
      <c r="AD1193" t="str">
        <f t="shared" si="37"/>
        <v>Low Performance</v>
      </c>
      <c r="AE1193">
        <v>3</v>
      </c>
      <c r="AF1193">
        <v>80</v>
      </c>
      <c r="AG1193">
        <v>3</v>
      </c>
      <c r="AH1193">
        <v>29</v>
      </c>
      <c r="AI1193">
        <v>2</v>
      </c>
      <c r="AJ1193">
        <v>3</v>
      </c>
      <c r="AK1193" t="str" cm="1">
        <f t="array" ref="AK1193">_xlfn.IFS(AJ1193&lt;=2,"Poor",AJ1193&lt;=3,"Fair",AJ1193&gt;3,"Good")</f>
        <v>Fair</v>
      </c>
      <c r="AL1193">
        <v>3</v>
      </c>
      <c r="AM1193">
        <v>2</v>
      </c>
      <c r="AN1193">
        <v>1</v>
      </c>
      <c r="AO1193">
        <v>2</v>
      </c>
    </row>
    <row r="1194" spans="1:41" x14ac:dyDescent="0.2">
      <c r="A1194">
        <v>1400072</v>
      </c>
      <c r="B1194">
        <v>49</v>
      </c>
      <c r="C1194" t="str" cm="1">
        <f t="array" ref="C1194">_xlfn.IFS(B1194&lt;=25,"15-25",B1194&lt;=35,"26-35",B1194&lt;=45,"36-45",B1194&lt;=55,"46-55",B1194&lt;=65,"56-65")</f>
        <v>46-55</v>
      </c>
      <c r="D1194" t="s">
        <v>35</v>
      </c>
      <c r="E1194" t="str">
        <f t="shared" si="36"/>
        <v>Current Employee</v>
      </c>
      <c r="F1194" t="s">
        <v>36</v>
      </c>
      <c r="G1194">
        <v>809</v>
      </c>
      <c r="H1194" t="s">
        <v>54</v>
      </c>
      <c r="I1194">
        <v>1</v>
      </c>
      <c r="J1194">
        <v>3</v>
      </c>
      <c r="K1194" t="s">
        <v>38</v>
      </c>
      <c r="L1194">
        <v>1</v>
      </c>
      <c r="M1194">
        <v>3</v>
      </c>
      <c r="N1194" t="s">
        <v>46</v>
      </c>
      <c r="O1194">
        <v>36</v>
      </c>
      <c r="P1194">
        <v>3</v>
      </c>
      <c r="Q1194">
        <v>4</v>
      </c>
      <c r="R1194" t="s">
        <v>47</v>
      </c>
      <c r="S1194">
        <v>3</v>
      </c>
      <c r="T1194" t="str" cm="1">
        <f t="array" ref="T1194">_xlfn.IFS(S1194&lt;=2,"Poor",S1194&lt;=3,"Fair",S1194&gt;=4,"Good")</f>
        <v>Fair</v>
      </c>
      <c r="U1194" t="s">
        <v>41</v>
      </c>
      <c r="V1194" s="1">
        <v>15379</v>
      </c>
      <c r="W1194" t="str" cm="1">
        <f t="array" ref="W1194">_xlfn.IFS(V1194&lt;=5000,"Low Salary",V1194&lt;=12000,"Good Salary",V1194&gt;12000,"High Salary")</f>
        <v>High Salary</v>
      </c>
      <c r="X1194">
        <v>22384</v>
      </c>
      <c r="Y1194">
        <v>4</v>
      </c>
      <c r="Z1194" t="s">
        <v>42</v>
      </c>
      <c r="AA1194" t="s">
        <v>35</v>
      </c>
      <c r="AB1194">
        <v>14</v>
      </c>
      <c r="AC1194">
        <v>3</v>
      </c>
      <c r="AD1194" t="str">
        <f t="shared" si="37"/>
        <v>Low Performance</v>
      </c>
      <c r="AE1194">
        <v>1</v>
      </c>
      <c r="AF1194">
        <v>80</v>
      </c>
      <c r="AG1194">
        <v>0</v>
      </c>
      <c r="AH1194">
        <v>23</v>
      </c>
      <c r="AI1194">
        <v>2</v>
      </c>
      <c r="AJ1194">
        <v>3</v>
      </c>
      <c r="AK1194" t="str" cm="1">
        <f t="array" ref="AK1194">_xlfn.IFS(AJ1194&lt;=2,"Poor",AJ1194&lt;=3,"Fair",AJ1194&gt;3,"Good")</f>
        <v>Fair</v>
      </c>
      <c r="AL1194">
        <v>8</v>
      </c>
      <c r="AM1194">
        <v>7</v>
      </c>
      <c r="AN1194">
        <v>0</v>
      </c>
      <c r="AO1194">
        <v>0</v>
      </c>
    </row>
    <row r="1195" spans="1:41" x14ac:dyDescent="0.2">
      <c r="A1195">
        <v>1349913</v>
      </c>
      <c r="B1195">
        <v>41</v>
      </c>
      <c r="C1195" t="str" cm="1">
        <f t="array" ref="C1195">_xlfn.IFS(B1195&lt;=25,"15-25",B1195&lt;=35,"26-35",B1195&lt;=45,"36-45",B1195&lt;=55,"46-55",B1195&lt;=65,"56-65")</f>
        <v>36-45</v>
      </c>
      <c r="D1195" t="s">
        <v>35</v>
      </c>
      <c r="E1195" t="str">
        <f t="shared" si="36"/>
        <v>Current Employee</v>
      </c>
      <c r="F1195" t="s">
        <v>36</v>
      </c>
      <c r="G1195">
        <v>1206</v>
      </c>
      <c r="H1195" t="s">
        <v>37</v>
      </c>
      <c r="I1195">
        <v>23</v>
      </c>
      <c r="J1195">
        <v>2</v>
      </c>
      <c r="K1195" t="s">
        <v>38</v>
      </c>
      <c r="L1195">
        <v>1</v>
      </c>
      <c r="M1195">
        <v>4</v>
      </c>
      <c r="N1195" t="s">
        <v>46</v>
      </c>
      <c r="O1195">
        <v>80</v>
      </c>
      <c r="P1195">
        <v>3</v>
      </c>
      <c r="Q1195">
        <v>3</v>
      </c>
      <c r="R1195" t="s">
        <v>40</v>
      </c>
      <c r="S1195">
        <v>3</v>
      </c>
      <c r="T1195" t="str" cm="1">
        <f t="array" ref="T1195">_xlfn.IFS(S1195&lt;=2,"Poor",S1195&lt;=3,"Fair",S1195&gt;=4,"Good")</f>
        <v>Fair</v>
      </c>
      <c r="U1195" t="s">
        <v>41</v>
      </c>
      <c r="V1195" s="1">
        <v>7082</v>
      </c>
      <c r="W1195" t="str" cm="1">
        <f t="array" ref="W1195">_xlfn.IFS(V1195&lt;=5000,"Low Salary",V1195&lt;=12000,"Good Salary",V1195&gt;12000,"High Salary")</f>
        <v>Good Salary</v>
      </c>
      <c r="X1195">
        <v>11591</v>
      </c>
      <c r="Y1195">
        <v>3</v>
      </c>
      <c r="Z1195" t="s">
        <v>42</v>
      </c>
      <c r="AA1195" t="s">
        <v>43</v>
      </c>
      <c r="AB1195">
        <v>16</v>
      </c>
      <c r="AC1195">
        <v>3</v>
      </c>
      <c r="AD1195" t="str">
        <f t="shared" si="37"/>
        <v>Low Performance</v>
      </c>
      <c r="AE1195">
        <v>4</v>
      </c>
      <c r="AF1195">
        <v>80</v>
      </c>
      <c r="AG1195">
        <v>0</v>
      </c>
      <c r="AH1195">
        <v>21</v>
      </c>
      <c r="AI1195">
        <v>2</v>
      </c>
      <c r="AJ1195">
        <v>3</v>
      </c>
      <c r="AK1195" t="str" cm="1">
        <f t="array" ref="AK1195">_xlfn.IFS(AJ1195&lt;=2,"Poor",AJ1195&lt;=3,"Fair",AJ1195&gt;3,"Good")</f>
        <v>Fair</v>
      </c>
      <c r="AL1195">
        <v>2</v>
      </c>
      <c r="AM1195">
        <v>0</v>
      </c>
      <c r="AN1195">
        <v>0</v>
      </c>
      <c r="AO1195">
        <v>2</v>
      </c>
    </row>
    <row r="1196" spans="1:41" x14ac:dyDescent="0.2">
      <c r="A1196">
        <v>1119867</v>
      </c>
      <c r="B1196">
        <v>20</v>
      </c>
      <c r="C1196" t="str" cm="1">
        <f t="array" ref="C1196">_xlfn.IFS(B1196&lt;=25,"15-25",B1196&lt;=35,"26-35",B1196&lt;=45,"36-45",B1196&lt;=55,"46-55",B1196&lt;=65,"56-65")</f>
        <v>15-25</v>
      </c>
      <c r="D1196" t="s">
        <v>35</v>
      </c>
      <c r="E1196" t="str">
        <f t="shared" si="36"/>
        <v>Current Employee</v>
      </c>
      <c r="F1196" t="s">
        <v>36</v>
      </c>
      <c r="G1196">
        <v>727</v>
      </c>
      <c r="H1196" t="s">
        <v>37</v>
      </c>
      <c r="I1196">
        <v>9</v>
      </c>
      <c r="J1196">
        <v>1</v>
      </c>
      <c r="K1196" t="s">
        <v>38</v>
      </c>
      <c r="L1196">
        <v>1</v>
      </c>
      <c r="M1196">
        <v>4</v>
      </c>
      <c r="N1196" t="s">
        <v>46</v>
      </c>
      <c r="O1196">
        <v>54</v>
      </c>
      <c r="P1196">
        <v>3</v>
      </c>
      <c r="Q1196">
        <v>1</v>
      </c>
      <c r="R1196" t="s">
        <v>47</v>
      </c>
      <c r="S1196">
        <v>1</v>
      </c>
      <c r="T1196" t="str" cm="1">
        <f t="array" ref="T1196">_xlfn.IFS(S1196&lt;=2,"Poor",S1196&lt;=3,"Fair",S1196&gt;=4,"Good")</f>
        <v>Poor</v>
      </c>
      <c r="U1196" t="s">
        <v>41</v>
      </c>
      <c r="V1196" s="1">
        <v>2728</v>
      </c>
      <c r="W1196" t="str" cm="1">
        <f t="array" ref="W1196">_xlfn.IFS(V1196&lt;=5000,"Low Salary",V1196&lt;=12000,"Good Salary",V1196&gt;12000,"High Salary")</f>
        <v>Low Salary</v>
      </c>
      <c r="X1196">
        <v>21082</v>
      </c>
      <c r="Y1196">
        <v>1</v>
      </c>
      <c r="Z1196" t="s">
        <v>42</v>
      </c>
      <c r="AA1196" t="s">
        <v>35</v>
      </c>
      <c r="AB1196">
        <v>11</v>
      </c>
      <c r="AC1196">
        <v>3</v>
      </c>
      <c r="AD1196" t="str">
        <f t="shared" si="37"/>
        <v>Low Performance</v>
      </c>
      <c r="AE1196">
        <v>1</v>
      </c>
      <c r="AF1196">
        <v>80</v>
      </c>
      <c r="AG1196">
        <v>0</v>
      </c>
      <c r="AH1196">
        <v>2</v>
      </c>
      <c r="AI1196">
        <v>3</v>
      </c>
      <c r="AJ1196">
        <v>3</v>
      </c>
      <c r="AK1196" t="str" cm="1">
        <f t="array" ref="AK1196">_xlfn.IFS(AJ1196&lt;=2,"Poor",AJ1196&lt;=3,"Fair",AJ1196&gt;3,"Good")</f>
        <v>Fair</v>
      </c>
      <c r="AL1196">
        <v>2</v>
      </c>
      <c r="AM1196">
        <v>2</v>
      </c>
      <c r="AN1196">
        <v>0</v>
      </c>
      <c r="AO1196">
        <v>2</v>
      </c>
    </row>
    <row r="1197" spans="1:41" x14ac:dyDescent="0.2">
      <c r="A1197">
        <v>1060815</v>
      </c>
      <c r="B1197">
        <v>33</v>
      </c>
      <c r="C1197" t="str" cm="1">
        <f t="array" ref="C1197">_xlfn.IFS(B1197&lt;=25,"15-25",B1197&lt;=35,"26-35",B1197&lt;=45,"36-45",B1197&lt;=55,"46-55",B1197&lt;=65,"56-65")</f>
        <v>26-35</v>
      </c>
      <c r="D1197" t="s">
        <v>35</v>
      </c>
      <c r="E1197" t="str">
        <f t="shared" si="36"/>
        <v>Current Employee</v>
      </c>
      <c r="F1197" t="s">
        <v>52</v>
      </c>
      <c r="G1197">
        <v>530</v>
      </c>
      <c r="H1197" t="s">
        <v>37</v>
      </c>
      <c r="I1197">
        <v>16</v>
      </c>
      <c r="J1197">
        <v>3</v>
      </c>
      <c r="K1197" t="s">
        <v>38</v>
      </c>
      <c r="L1197">
        <v>1</v>
      </c>
      <c r="M1197">
        <v>3</v>
      </c>
      <c r="N1197" t="s">
        <v>39</v>
      </c>
      <c r="O1197">
        <v>36</v>
      </c>
      <c r="P1197">
        <v>3</v>
      </c>
      <c r="Q1197">
        <v>2</v>
      </c>
      <c r="R1197" t="s">
        <v>40</v>
      </c>
      <c r="S1197">
        <v>4</v>
      </c>
      <c r="T1197" t="str" cm="1">
        <f t="array" ref="T1197">_xlfn.IFS(S1197&lt;=2,"Poor",S1197&lt;=3,"Fair",S1197&gt;=4,"Good")</f>
        <v>Good</v>
      </c>
      <c r="U1197" t="s">
        <v>50</v>
      </c>
      <c r="V1197" s="1">
        <v>5368</v>
      </c>
      <c r="W1197" t="str" cm="1">
        <f t="array" ref="W1197">_xlfn.IFS(V1197&lt;=5000,"Low Salary",V1197&lt;=12000,"Good Salary",V1197&gt;12000,"High Salary")</f>
        <v>Good Salary</v>
      </c>
      <c r="X1197">
        <v>16130</v>
      </c>
      <c r="Y1197">
        <v>1</v>
      </c>
      <c r="Z1197" t="s">
        <v>42</v>
      </c>
      <c r="AA1197" t="s">
        <v>43</v>
      </c>
      <c r="AB1197">
        <v>25</v>
      </c>
      <c r="AC1197">
        <v>4</v>
      </c>
      <c r="AD1197" t="str">
        <f t="shared" si="37"/>
        <v>High Performance</v>
      </c>
      <c r="AE1197">
        <v>3</v>
      </c>
      <c r="AF1197">
        <v>80</v>
      </c>
      <c r="AG1197">
        <v>1</v>
      </c>
      <c r="AH1197">
        <v>7</v>
      </c>
      <c r="AI1197">
        <v>2</v>
      </c>
      <c r="AJ1197">
        <v>3</v>
      </c>
      <c r="AK1197" t="str" cm="1">
        <f t="array" ref="AK1197">_xlfn.IFS(AJ1197&lt;=2,"Poor",AJ1197&lt;=3,"Fair",AJ1197&gt;3,"Good")</f>
        <v>Fair</v>
      </c>
      <c r="AL1197">
        <v>6</v>
      </c>
      <c r="AM1197">
        <v>5</v>
      </c>
      <c r="AN1197">
        <v>1</v>
      </c>
      <c r="AO1197">
        <v>2</v>
      </c>
    </row>
    <row r="1198" spans="1:41" x14ac:dyDescent="0.2">
      <c r="A1198">
        <v>1097742</v>
      </c>
      <c r="B1198">
        <v>36</v>
      </c>
      <c r="C1198" t="str" cm="1">
        <f t="array" ref="C1198">_xlfn.IFS(B1198&lt;=25,"15-25",B1198&lt;=35,"26-35",B1198&lt;=45,"36-45",B1198&lt;=55,"46-55",B1198&lt;=65,"56-65")</f>
        <v>36-45</v>
      </c>
      <c r="D1198" t="s">
        <v>35</v>
      </c>
      <c r="E1198" t="str">
        <f t="shared" si="36"/>
        <v>Current Employee</v>
      </c>
      <c r="F1198" t="s">
        <v>36</v>
      </c>
      <c r="G1198">
        <v>1351</v>
      </c>
      <c r="H1198" t="s">
        <v>45</v>
      </c>
      <c r="I1198">
        <v>26</v>
      </c>
      <c r="J1198">
        <v>4</v>
      </c>
      <c r="K1198" t="s">
        <v>38</v>
      </c>
      <c r="L1198">
        <v>1</v>
      </c>
      <c r="M1198">
        <v>1</v>
      </c>
      <c r="N1198" t="s">
        <v>46</v>
      </c>
      <c r="O1198">
        <v>80</v>
      </c>
      <c r="P1198">
        <v>3</v>
      </c>
      <c r="Q1198">
        <v>2</v>
      </c>
      <c r="R1198" t="s">
        <v>40</v>
      </c>
      <c r="S1198">
        <v>3</v>
      </c>
      <c r="T1198" t="str" cm="1">
        <f t="array" ref="T1198">_xlfn.IFS(S1198&lt;=2,"Poor",S1198&lt;=3,"Fair",S1198&gt;=4,"Good")</f>
        <v>Fair</v>
      </c>
      <c r="U1198" t="s">
        <v>48</v>
      </c>
      <c r="V1198" s="1">
        <v>5347</v>
      </c>
      <c r="W1198" t="str" cm="1">
        <f t="array" ref="W1198">_xlfn.IFS(V1198&lt;=5000,"Low Salary",V1198&lt;=12000,"Good Salary",V1198&gt;12000,"High Salary")</f>
        <v>Good Salary</v>
      </c>
      <c r="X1198">
        <v>7419</v>
      </c>
      <c r="Y1198">
        <v>6</v>
      </c>
      <c r="Z1198" t="s">
        <v>42</v>
      </c>
      <c r="AA1198" t="s">
        <v>35</v>
      </c>
      <c r="AB1198">
        <v>14</v>
      </c>
      <c r="AC1198">
        <v>3</v>
      </c>
      <c r="AD1198" t="str">
        <f t="shared" si="37"/>
        <v>Low Performance</v>
      </c>
      <c r="AE1198">
        <v>2</v>
      </c>
      <c r="AF1198">
        <v>80</v>
      </c>
      <c r="AG1198">
        <v>2</v>
      </c>
      <c r="AH1198">
        <v>10</v>
      </c>
      <c r="AI1198">
        <v>2</v>
      </c>
      <c r="AJ1198">
        <v>2</v>
      </c>
      <c r="AK1198" t="str" cm="1">
        <f t="array" ref="AK1198">_xlfn.IFS(AJ1198&lt;=2,"Poor",AJ1198&lt;=3,"Fair",AJ1198&gt;3,"Good")</f>
        <v>Poor</v>
      </c>
      <c r="AL1198">
        <v>3</v>
      </c>
      <c r="AM1198">
        <v>2</v>
      </c>
      <c r="AN1198">
        <v>0</v>
      </c>
      <c r="AO1198">
        <v>2</v>
      </c>
    </row>
    <row r="1199" spans="1:41" x14ac:dyDescent="0.2">
      <c r="A1199">
        <v>1711206</v>
      </c>
      <c r="B1199">
        <v>44</v>
      </c>
      <c r="C1199" t="str" cm="1">
        <f t="array" ref="C1199">_xlfn.IFS(B1199&lt;=25,"15-25",B1199&lt;=35,"26-35",B1199&lt;=45,"36-45",B1199&lt;=55,"46-55",B1199&lt;=65,"56-65")</f>
        <v>36-45</v>
      </c>
      <c r="D1199" t="s">
        <v>35</v>
      </c>
      <c r="E1199" t="str">
        <f t="shared" si="36"/>
        <v>Current Employee</v>
      </c>
      <c r="F1199" t="s">
        <v>36</v>
      </c>
      <c r="G1199">
        <v>528</v>
      </c>
      <c r="H1199" t="s">
        <v>54</v>
      </c>
      <c r="I1199">
        <v>1</v>
      </c>
      <c r="J1199">
        <v>3</v>
      </c>
      <c r="K1199" t="s">
        <v>38</v>
      </c>
      <c r="L1199">
        <v>1</v>
      </c>
      <c r="M1199">
        <v>3</v>
      </c>
      <c r="N1199" t="s">
        <v>39</v>
      </c>
      <c r="O1199">
        <v>44</v>
      </c>
      <c r="P1199">
        <v>3</v>
      </c>
      <c r="Q1199">
        <v>1</v>
      </c>
      <c r="R1199" t="s">
        <v>47</v>
      </c>
      <c r="S1199">
        <v>4</v>
      </c>
      <c r="T1199" t="str" cm="1">
        <f t="array" ref="T1199">_xlfn.IFS(S1199&lt;=2,"Poor",S1199&lt;=3,"Fair",S1199&gt;=4,"Good")</f>
        <v>Good</v>
      </c>
      <c r="U1199" t="s">
        <v>50</v>
      </c>
      <c r="V1199" s="1">
        <v>3195</v>
      </c>
      <c r="W1199" t="str" cm="1">
        <f t="array" ref="W1199">_xlfn.IFS(V1199&lt;=5000,"Low Salary",V1199&lt;=12000,"Good Salary",V1199&gt;12000,"High Salary")</f>
        <v>Low Salary</v>
      </c>
      <c r="X1199">
        <v>4167</v>
      </c>
      <c r="Y1199">
        <v>4</v>
      </c>
      <c r="Z1199" t="s">
        <v>42</v>
      </c>
      <c r="AA1199" t="s">
        <v>43</v>
      </c>
      <c r="AB1199">
        <v>18</v>
      </c>
      <c r="AC1199">
        <v>3</v>
      </c>
      <c r="AD1199" t="str">
        <f t="shared" si="37"/>
        <v>Low Performance</v>
      </c>
      <c r="AE1199">
        <v>1</v>
      </c>
      <c r="AF1199">
        <v>80</v>
      </c>
      <c r="AG1199">
        <v>3</v>
      </c>
      <c r="AH1199">
        <v>8</v>
      </c>
      <c r="AI1199">
        <v>2</v>
      </c>
      <c r="AJ1199">
        <v>3</v>
      </c>
      <c r="AK1199" t="str" cm="1">
        <f t="array" ref="AK1199">_xlfn.IFS(AJ1199&lt;=2,"Poor",AJ1199&lt;=3,"Fair",AJ1199&gt;3,"Good")</f>
        <v>Fair</v>
      </c>
      <c r="AL1199">
        <v>2</v>
      </c>
      <c r="AM1199">
        <v>2</v>
      </c>
      <c r="AN1199">
        <v>2</v>
      </c>
      <c r="AO1199">
        <v>2</v>
      </c>
    </row>
    <row r="1200" spans="1:41" x14ac:dyDescent="0.2">
      <c r="A1200">
        <v>1082389</v>
      </c>
      <c r="B1200">
        <v>23</v>
      </c>
      <c r="C1200" t="str" cm="1">
        <f t="array" ref="C1200">_xlfn.IFS(B1200&lt;=25,"15-25",B1200&lt;=35,"26-35",B1200&lt;=45,"36-45",B1200&lt;=55,"46-55",B1200&lt;=65,"56-65")</f>
        <v>15-25</v>
      </c>
      <c r="D1200" t="s">
        <v>43</v>
      </c>
      <c r="E1200" t="str">
        <f t="shared" si="36"/>
        <v>Former Employee</v>
      </c>
      <c r="F1200" t="s">
        <v>36</v>
      </c>
      <c r="G1200">
        <v>1320</v>
      </c>
      <c r="H1200" t="s">
        <v>45</v>
      </c>
      <c r="I1200">
        <v>8</v>
      </c>
      <c r="J1200">
        <v>1</v>
      </c>
      <c r="K1200" t="s">
        <v>49</v>
      </c>
      <c r="L1200">
        <v>1</v>
      </c>
      <c r="M1200">
        <v>4</v>
      </c>
      <c r="N1200" t="s">
        <v>46</v>
      </c>
      <c r="O1200">
        <v>93</v>
      </c>
      <c r="P1200">
        <v>2</v>
      </c>
      <c r="Q1200">
        <v>1</v>
      </c>
      <c r="R1200" t="s">
        <v>40</v>
      </c>
      <c r="S1200">
        <v>3</v>
      </c>
      <c r="T1200" t="str" cm="1">
        <f t="array" ref="T1200">_xlfn.IFS(S1200&lt;=2,"Poor",S1200&lt;=3,"Fair",S1200&gt;=4,"Good")</f>
        <v>Fair</v>
      </c>
      <c r="U1200" t="s">
        <v>41</v>
      </c>
      <c r="V1200" s="1">
        <v>3989</v>
      </c>
      <c r="W1200" t="str" cm="1">
        <f t="array" ref="W1200">_xlfn.IFS(V1200&lt;=5000,"Low Salary",V1200&lt;=12000,"Good Salary",V1200&gt;12000,"High Salary")</f>
        <v>Low Salary</v>
      </c>
      <c r="X1200">
        <v>20586</v>
      </c>
      <c r="Y1200">
        <v>1</v>
      </c>
      <c r="Z1200" t="s">
        <v>42</v>
      </c>
      <c r="AA1200" t="s">
        <v>43</v>
      </c>
      <c r="AB1200">
        <v>11</v>
      </c>
      <c r="AC1200">
        <v>3</v>
      </c>
      <c r="AD1200" t="str">
        <f t="shared" si="37"/>
        <v>Low Performance</v>
      </c>
      <c r="AE1200">
        <v>1</v>
      </c>
      <c r="AF1200">
        <v>80</v>
      </c>
      <c r="AG1200">
        <v>0</v>
      </c>
      <c r="AH1200">
        <v>5</v>
      </c>
      <c r="AI1200">
        <v>2</v>
      </c>
      <c r="AJ1200">
        <v>3</v>
      </c>
      <c r="AK1200" t="str" cm="1">
        <f t="array" ref="AK1200">_xlfn.IFS(AJ1200&lt;=2,"Poor",AJ1200&lt;=3,"Fair",AJ1200&gt;3,"Good")</f>
        <v>Fair</v>
      </c>
      <c r="AL1200">
        <v>5</v>
      </c>
      <c r="AM1200">
        <v>4</v>
      </c>
      <c r="AN1200">
        <v>1</v>
      </c>
      <c r="AO1200">
        <v>2</v>
      </c>
    </row>
    <row r="1201" spans="1:41" x14ac:dyDescent="0.2">
      <c r="A1201">
        <v>1588527</v>
      </c>
      <c r="B1201">
        <v>38</v>
      </c>
      <c r="C1201" t="str" cm="1">
        <f t="array" ref="C1201">_xlfn.IFS(B1201&lt;=25,"15-25",B1201&lt;=35,"26-35",B1201&lt;=45,"36-45",B1201&lt;=55,"46-55",B1201&lt;=65,"56-65")</f>
        <v>36-45</v>
      </c>
      <c r="D1201" t="s">
        <v>35</v>
      </c>
      <c r="E1201" t="str">
        <f t="shared" si="36"/>
        <v>Current Employee</v>
      </c>
      <c r="F1201" t="s">
        <v>36</v>
      </c>
      <c r="G1201">
        <v>1495</v>
      </c>
      <c r="H1201" t="s">
        <v>45</v>
      </c>
      <c r="I1201">
        <v>4</v>
      </c>
      <c r="J1201">
        <v>2</v>
      </c>
      <c r="K1201" t="s">
        <v>49</v>
      </c>
      <c r="L1201">
        <v>1</v>
      </c>
      <c r="M1201">
        <v>4</v>
      </c>
      <c r="N1201" t="s">
        <v>39</v>
      </c>
      <c r="O1201">
        <v>87</v>
      </c>
      <c r="P1201">
        <v>3</v>
      </c>
      <c r="Q1201">
        <v>1</v>
      </c>
      <c r="R1201" t="s">
        <v>40</v>
      </c>
      <c r="S1201">
        <v>3</v>
      </c>
      <c r="T1201" t="str" cm="1">
        <f t="array" ref="T1201">_xlfn.IFS(S1201&lt;=2,"Poor",S1201&lt;=3,"Fair",S1201&gt;=4,"Good")</f>
        <v>Fair</v>
      </c>
      <c r="U1201" t="s">
        <v>48</v>
      </c>
      <c r="V1201" s="1">
        <v>3306</v>
      </c>
      <c r="W1201" t="str" cm="1">
        <f t="array" ref="W1201">_xlfn.IFS(V1201&lt;=5000,"Low Salary",V1201&lt;=12000,"Good Salary",V1201&gt;12000,"High Salary")</f>
        <v>Low Salary</v>
      </c>
      <c r="X1201">
        <v>26176</v>
      </c>
      <c r="Y1201">
        <v>7</v>
      </c>
      <c r="Z1201" t="s">
        <v>42</v>
      </c>
      <c r="AA1201" t="s">
        <v>35</v>
      </c>
      <c r="AB1201">
        <v>19</v>
      </c>
      <c r="AC1201">
        <v>3</v>
      </c>
      <c r="AD1201" t="str">
        <f t="shared" si="37"/>
        <v>Low Performance</v>
      </c>
      <c r="AE1201">
        <v>4</v>
      </c>
      <c r="AF1201">
        <v>80</v>
      </c>
      <c r="AG1201">
        <v>1</v>
      </c>
      <c r="AH1201">
        <v>7</v>
      </c>
      <c r="AI1201">
        <v>5</v>
      </c>
      <c r="AJ1201">
        <v>2</v>
      </c>
      <c r="AK1201" t="str" cm="1">
        <f t="array" ref="AK1201">_xlfn.IFS(AJ1201&lt;=2,"Poor",AJ1201&lt;=3,"Fair",AJ1201&gt;3,"Good")</f>
        <v>Poor</v>
      </c>
      <c r="AL1201">
        <v>0</v>
      </c>
      <c r="AM1201">
        <v>0</v>
      </c>
      <c r="AN1201">
        <v>0</v>
      </c>
      <c r="AO1201">
        <v>0</v>
      </c>
    </row>
    <row r="1202" spans="1:41" x14ac:dyDescent="0.2">
      <c r="A1202">
        <v>1590426</v>
      </c>
      <c r="B1202">
        <v>53</v>
      </c>
      <c r="C1202" t="str" cm="1">
        <f t="array" ref="C1202">_xlfn.IFS(B1202&lt;=25,"15-25",B1202&lt;=35,"26-35",B1202&lt;=45,"36-45",B1202&lt;=55,"46-55",B1202&lt;=65,"56-65")</f>
        <v>46-55</v>
      </c>
      <c r="D1202" t="s">
        <v>35</v>
      </c>
      <c r="E1202" t="str">
        <f t="shared" si="36"/>
        <v>Current Employee</v>
      </c>
      <c r="F1202" t="s">
        <v>36</v>
      </c>
      <c r="G1202">
        <v>1395</v>
      </c>
      <c r="H1202" t="s">
        <v>45</v>
      </c>
      <c r="I1202">
        <v>24</v>
      </c>
      <c r="J1202">
        <v>4</v>
      </c>
      <c r="K1202" t="s">
        <v>49</v>
      </c>
      <c r="L1202">
        <v>1</v>
      </c>
      <c r="M1202">
        <v>2</v>
      </c>
      <c r="N1202" t="s">
        <v>46</v>
      </c>
      <c r="O1202">
        <v>48</v>
      </c>
      <c r="P1202">
        <v>4</v>
      </c>
      <c r="Q1202">
        <v>3</v>
      </c>
      <c r="R1202" t="s">
        <v>40</v>
      </c>
      <c r="S1202">
        <v>4</v>
      </c>
      <c r="T1202" t="str" cm="1">
        <f t="array" ref="T1202">_xlfn.IFS(S1202&lt;=2,"Poor",S1202&lt;=3,"Fair",S1202&gt;=4,"Good")</f>
        <v>Good</v>
      </c>
      <c r="U1202" t="s">
        <v>48</v>
      </c>
      <c r="V1202" s="1">
        <v>7005</v>
      </c>
      <c r="W1202" t="str" cm="1">
        <f t="array" ref="W1202">_xlfn.IFS(V1202&lt;=5000,"Low Salary",V1202&lt;=12000,"Good Salary",V1202&gt;12000,"High Salary")</f>
        <v>Good Salary</v>
      </c>
      <c r="X1202">
        <v>3458</v>
      </c>
      <c r="Y1202">
        <v>3</v>
      </c>
      <c r="Z1202" t="s">
        <v>42</v>
      </c>
      <c r="AA1202" t="s">
        <v>35</v>
      </c>
      <c r="AB1202">
        <v>15</v>
      </c>
      <c r="AC1202">
        <v>3</v>
      </c>
      <c r="AD1202" t="str">
        <f t="shared" si="37"/>
        <v>Low Performance</v>
      </c>
      <c r="AE1202">
        <v>3</v>
      </c>
      <c r="AF1202">
        <v>80</v>
      </c>
      <c r="AG1202">
        <v>0</v>
      </c>
      <c r="AH1202">
        <v>11</v>
      </c>
      <c r="AI1202">
        <v>2</v>
      </c>
      <c r="AJ1202">
        <v>3</v>
      </c>
      <c r="AK1202" t="str" cm="1">
        <f t="array" ref="AK1202">_xlfn.IFS(AJ1202&lt;=2,"Poor",AJ1202&lt;=3,"Fair",AJ1202&gt;3,"Good")</f>
        <v>Fair</v>
      </c>
      <c r="AL1202">
        <v>4</v>
      </c>
      <c r="AM1202">
        <v>3</v>
      </c>
      <c r="AN1202">
        <v>1</v>
      </c>
      <c r="AO1202">
        <v>2</v>
      </c>
    </row>
    <row r="1203" spans="1:41" x14ac:dyDescent="0.2">
      <c r="A1203">
        <v>1425001</v>
      </c>
      <c r="B1203">
        <v>48</v>
      </c>
      <c r="C1203" t="str" cm="1">
        <f t="array" ref="C1203">_xlfn.IFS(B1203&lt;=25,"15-25",B1203&lt;=35,"26-35",B1203&lt;=45,"36-45",B1203&lt;=55,"46-55",B1203&lt;=65,"56-65")</f>
        <v>46-55</v>
      </c>
      <c r="D1203" t="s">
        <v>35</v>
      </c>
      <c r="E1203" t="str">
        <f t="shared" si="36"/>
        <v>Current Employee</v>
      </c>
      <c r="F1203" t="s">
        <v>44</v>
      </c>
      <c r="G1203">
        <v>708</v>
      </c>
      <c r="H1203" t="s">
        <v>37</v>
      </c>
      <c r="I1203">
        <v>7</v>
      </c>
      <c r="J1203">
        <v>2</v>
      </c>
      <c r="K1203" t="s">
        <v>49</v>
      </c>
      <c r="L1203">
        <v>1</v>
      </c>
      <c r="M1203">
        <v>4</v>
      </c>
      <c r="N1203" t="s">
        <v>39</v>
      </c>
      <c r="O1203">
        <v>95</v>
      </c>
      <c r="P1203">
        <v>3</v>
      </c>
      <c r="Q1203">
        <v>1</v>
      </c>
      <c r="R1203" t="s">
        <v>47</v>
      </c>
      <c r="S1203">
        <v>3</v>
      </c>
      <c r="T1203" t="str" cm="1">
        <f t="array" ref="T1203">_xlfn.IFS(S1203&lt;=2,"Poor",S1203&lt;=3,"Fair",S1203&gt;=4,"Good")</f>
        <v>Fair</v>
      </c>
      <c r="U1203" t="s">
        <v>48</v>
      </c>
      <c r="V1203" s="1">
        <v>2655</v>
      </c>
      <c r="W1203" t="str" cm="1">
        <f t="array" ref="W1203">_xlfn.IFS(V1203&lt;=5000,"Low Salary",V1203&lt;=12000,"Good Salary",V1203&gt;12000,"High Salary")</f>
        <v>Low Salary</v>
      </c>
      <c r="X1203">
        <v>11740</v>
      </c>
      <c r="Y1203">
        <v>2</v>
      </c>
      <c r="Z1203" t="s">
        <v>42</v>
      </c>
      <c r="AA1203" t="s">
        <v>43</v>
      </c>
      <c r="AB1203">
        <v>11</v>
      </c>
      <c r="AC1203">
        <v>3</v>
      </c>
      <c r="AD1203" t="str">
        <f t="shared" si="37"/>
        <v>Low Performance</v>
      </c>
      <c r="AE1203">
        <v>3</v>
      </c>
      <c r="AF1203">
        <v>80</v>
      </c>
      <c r="AG1203">
        <v>2</v>
      </c>
      <c r="AH1203">
        <v>19</v>
      </c>
      <c r="AI1203">
        <v>3</v>
      </c>
      <c r="AJ1203">
        <v>3</v>
      </c>
      <c r="AK1203" t="str" cm="1">
        <f t="array" ref="AK1203">_xlfn.IFS(AJ1203&lt;=2,"Poor",AJ1203&lt;=3,"Fair",AJ1203&gt;3,"Good")</f>
        <v>Fair</v>
      </c>
      <c r="AL1203">
        <v>9</v>
      </c>
      <c r="AM1203">
        <v>7</v>
      </c>
      <c r="AN1203">
        <v>7</v>
      </c>
      <c r="AO1203">
        <v>7</v>
      </c>
    </row>
    <row r="1204" spans="1:41" x14ac:dyDescent="0.2">
      <c r="A1204">
        <v>1609527</v>
      </c>
      <c r="B1204">
        <v>32</v>
      </c>
      <c r="C1204" t="str" cm="1">
        <f t="array" ref="C1204">_xlfn.IFS(B1204&lt;=25,"15-25",B1204&lt;=35,"26-35",B1204&lt;=45,"36-45",B1204&lt;=55,"46-55",B1204&lt;=65,"56-65")</f>
        <v>26-35</v>
      </c>
      <c r="D1204" t="s">
        <v>35</v>
      </c>
      <c r="E1204" t="str">
        <f t="shared" si="36"/>
        <v>Current Employee</v>
      </c>
      <c r="F1204" t="s">
        <v>36</v>
      </c>
      <c r="G1204">
        <v>1259</v>
      </c>
      <c r="H1204" t="s">
        <v>45</v>
      </c>
      <c r="I1204">
        <v>2</v>
      </c>
      <c r="J1204">
        <v>4</v>
      </c>
      <c r="K1204" t="s">
        <v>38</v>
      </c>
      <c r="L1204">
        <v>1</v>
      </c>
      <c r="M1204">
        <v>4</v>
      </c>
      <c r="N1204" t="s">
        <v>46</v>
      </c>
      <c r="O1204">
        <v>95</v>
      </c>
      <c r="P1204">
        <v>3</v>
      </c>
      <c r="Q1204">
        <v>1</v>
      </c>
      <c r="R1204" t="s">
        <v>40</v>
      </c>
      <c r="S1204">
        <v>2</v>
      </c>
      <c r="T1204" t="str" cm="1">
        <f t="array" ref="T1204">_xlfn.IFS(S1204&lt;=2,"Poor",S1204&lt;=3,"Fair",S1204&gt;=4,"Good")</f>
        <v>Poor</v>
      </c>
      <c r="U1204" t="s">
        <v>41</v>
      </c>
      <c r="V1204" s="1">
        <v>1393</v>
      </c>
      <c r="W1204" t="str" cm="1">
        <f t="array" ref="W1204">_xlfn.IFS(V1204&lt;=5000,"Low Salary",V1204&lt;=12000,"Good Salary",V1204&gt;12000,"High Salary")</f>
        <v>Low Salary</v>
      </c>
      <c r="X1204">
        <v>24852</v>
      </c>
      <c r="Y1204">
        <v>1</v>
      </c>
      <c r="Z1204" t="s">
        <v>42</v>
      </c>
      <c r="AA1204" t="s">
        <v>35</v>
      </c>
      <c r="AB1204">
        <v>12</v>
      </c>
      <c r="AC1204">
        <v>3</v>
      </c>
      <c r="AD1204" t="str">
        <f t="shared" si="37"/>
        <v>Low Performance</v>
      </c>
      <c r="AE1204">
        <v>1</v>
      </c>
      <c r="AF1204">
        <v>80</v>
      </c>
      <c r="AG1204">
        <v>0</v>
      </c>
      <c r="AH1204">
        <v>1</v>
      </c>
      <c r="AI1204">
        <v>2</v>
      </c>
      <c r="AJ1204">
        <v>3</v>
      </c>
      <c r="AK1204" t="str" cm="1">
        <f t="array" ref="AK1204">_xlfn.IFS(AJ1204&lt;=2,"Poor",AJ1204&lt;=3,"Fair",AJ1204&gt;3,"Good")</f>
        <v>Fair</v>
      </c>
      <c r="AL1204">
        <v>1</v>
      </c>
      <c r="AM1204">
        <v>0</v>
      </c>
      <c r="AN1204">
        <v>0</v>
      </c>
      <c r="AO1204">
        <v>0</v>
      </c>
    </row>
    <row r="1205" spans="1:41" x14ac:dyDescent="0.2">
      <c r="A1205">
        <v>1366639</v>
      </c>
      <c r="B1205">
        <v>26</v>
      </c>
      <c r="C1205" t="str" cm="1">
        <f t="array" ref="C1205">_xlfn.IFS(B1205&lt;=25,"15-25",B1205&lt;=35,"26-35",B1205&lt;=45,"36-45",B1205&lt;=55,"46-55",B1205&lt;=65,"56-65")</f>
        <v>26-35</v>
      </c>
      <c r="D1205" t="s">
        <v>35</v>
      </c>
      <c r="E1205" t="str">
        <f t="shared" si="36"/>
        <v>Current Employee</v>
      </c>
      <c r="F1205" t="s">
        <v>52</v>
      </c>
      <c r="G1205">
        <v>786</v>
      </c>
      <c r="H1205" t="s">
        <v>45</v>
      </c>
      <c r="I1205">
        <v>7</v>
      </c>
      <c r="J1205">
        <v>3</v>
      </c>
      <c r="K1205" t="s">
        <v>49</v>
      </c>
      <c r="L1205">
        <v>1</v>
      </c>
      <c r="M1205">
        <v>4</v>
      </c>
      <c r="N1205" t="s">
        <v>46</v>
      </c>
      <c r="O1205">
        <v>76</v>
      </c>
      <c r="P1205">
        <v>3</v>
      </c>
      <c r="Q1205">
        <v>1</v>
      </c>
      <c r="R1205" t="s">
        <v>40</v>
      </c>
      <c r="S1205">
        <v>4</v>
      </c>
      <c r="T1205" t="str" cm="1">
        <f t="array" ref="T1205">_xlfn.IFS(S1205&lt;=2,"Poor",S1205&lt;=3,"Fair",S1205&gt;=4,"Good")</f>
        <v>Good</v>
      </c>
      <c r="U1205" t="s">
        <v>41</v>
      </c>
      <c r="V1205" s="1">
        <v>2570</v>
      </c>
      <c r="W1205" t="str" cm="1">
        <f t="array" ref="W1205">_xlfn.IFS(V1205&lt;=5000,"Low Salary",V1205&lt;=12000,"Good Salary",V1205&gt;12000,"High Salary")</f>
        <v>Low Salary</v>
      </c>
      <c r="X1205">
        <v>11925</v>
      </c>
      <c r="Y1205">
        <v>1</v>
      </c>
      <c r="Z1205" t="s">
        <v>42</v>
      </c>
      <c r="AA1205" t="s">
        <v>35</v>
      </c>
      <c r="AB1205">
        <v>20</v>
      </c>
      <c r="AC1205">
        <v>4</v>
      </c>
      <c r="AD1205" t="str">
        <f t="shared" si="37"/>
        <v>High Performance</v>
      </c>
      <c r="AE1205">
        <v>3</v>
      </c>
      <c r="AF1205">
        <v>80</v>
      </c>
      <c r="AG1205">
        <v>0</v>
      </c>
      <c r="AH1205">
        <v>7</v>
      </c>
      <c r="AI1205">
        <v>5</v>
      </c>
      <c r="AJ1205">
        <v>3</v>
      </c>
      <c r="AK1205" t="str" cm="1">
        <f t="array" ref="AK1205">_xlfn.IFS(AJ1205&lt;=2,"Poor",AJ1205&lt;=3,"Fair",AJ1205&gt;3,"Good")</f>
        <v>Fair</v>
      </c>
      <c r="AL1205">
        <v>7</v>
      </c>
      <c r="AM1205">
        <v>7</v>
      </c>
      <c r="AN1205">
        <v>5</v>
      </c>
      <c r="AO1205">
        <v>7</v>
      </c>
    </row>
    <row r="1206" spans="1:41" x14ac:dyDescent="0.2">
      <c r="A1206">
        <v>1270535</v>
      </c>
      <c r="B1206">
        <v>55</v>
      </c>
      <c r="C1206" t="str" cm="1">
        <f t="array" ref="C1206">_xlfn.IFS(B1206&lt;=25,"15-25",B1206&lt;=35,"26-35",B1206&lt;=45,"36-45",B1206&lt;=55,"46-55",B1206&lt;=65,"56-65")</f>
        <v>46-55</v>
      </c>
      <c r="D1206" t="s">
        <v>35</v>
      </c>
      <c r="E1206" t="str">
        <f t="shared" si="36"/>
        <v>Current Employee</v>
      </c>
      <c r="F1206" t="s">
        <v>36</v>
      </c>
      <c r="G1206">
        <v>1441</v>
      </c>
      <c r="H1206" t="s">
        <v>45</v>
      </c>
      <c r="I1206">
        <v>22</v>
      </c>
      <c r="J1206">
        <v>3</v>
      </c>
      <c r="K1206" t="s">
        <v>56</v>
      </c>
      <c r="L1206">
        <v>1</v>
      </c>
      <c r="M1206">
        <v>1</v>
      </c>
      <c r="N1206" t="s">
        <v>46</v>
      </c>
      <c r="O1206">
        <v>94</v>
      </c>
      <c r="P1206">
        <v>2</v>
      </c>
      <c r="Q1206">
        <v>1</v>
      </c>
      <c r="R1206" t="s">
        <v>47</v>
      </c>
      <c r="S1206">
        <v>2</v>
      </c>
      <c r="T1206" t="str" cm="1">
        <f t="array" ref="T1206">_xlfn.IFS(S1206&lt;=2,"Poor",S1206&lt;=3,"Fair",S1206&gt;=4,"Good")</f>
        <v>Poor</v>
      </c>
      <c r="U1206" t="s">
        <v>50</v>
      </c>
      <c r="V1206" s="1">
        <v>3537</v>
      </c>
      <c r="W1206" t="str" cm="1">
        <f t="array" ref="W1206">_xlfn.IFS(V1206&lt;=5000,"Low Salary",V1206&lt;=12000,"Good Salary",V1206&gt;12000,"High Salary")</f>
        <v>Low Salary</v>
      </c>
      <c r="X1206">
        <v>23737</v>
      </c>
      <c r="Y1206">
        <v>5</v>
      </c>
      <c r="Z1206" t="s">
        <v>42</v>
      </c>
      <c r="AA1206" t="s">
        <v>35</v>
      </c>
      <c r="AB1206">
        <v>12</v>
      </c>
      <c r="AC1206">
        <v>3</v>
      </c>
      <c r="AD1206" t="str">
        <f t="shared" si="37"/>
        <v>Low Performance</v>
      </c>
      <c r="AE1206">
        <v>4</v>
      </c>
      <c r="AF1206">
        <v>80</v>
      </c>
      <c r="AG1206">
        <v>1</v>
      </c>
      <c r="AH1206">
        <v>8</v>
      </c>
      <c r="AI1206">
        <v>1</v>
      </c>
      <c r="AJ1206">
        <v>3</v>
      </c>
      <c r="AK1206" t="str" cm="1">
        <f t="array" ref="AK1206">_xlfn.IFS(AJ1206&lt;=2,"Poor",AJ1206&lt;=3,"Fair",AJ1206&gt;3,"Good")</f>
        <v>Fair</v>
      </c>
      <c r="AL1206">
        <v>4</v>
      </c>
      <c r="AM1206">
        <v>2</v>
      </c>
      <c r="AN1206">
        <v>1</v>
      </c>
      <c r="AO1206">
        <v>2</v>
      </c>
    </row>
    <row r="1207" spans="1:41" x14ac:dyDescent="0.2">
      <c r="A1207">
        <v>1826482</v>
      </c>
      <c r="B1207">
        <v>34</v>
      </c>
      <c r="C1207" t="str" cm="1">
        <f t="array" ref="C1207">_xlfn.IFS(B1207&lt;=25,"15-25",B1207&lt;=35,"26-35",B1207&lt;=45,"36-45",B1207&lt;=55,"46-55",B1207&lt;=65,"56-65")</f>
        <v>26-35</v>
      </c>
      <c r="D1207" t="s">
        <v>35</v>
      </c>
      <c r="E1207" t="str">
        <f t="shared" si="36"/>
        <v>Current Employee</v>
      </c>
      <c r="F1207" t="s">
        <v>36</v>
      </c>
      <c r="G1207">
        <v>1157</v>
      </c>
      <c r="H1207" t="s">
        <v>45</v>
      </c>
      <c r="I1207">
        <v>5</v>
      </c>
      <c r="J1207">
        <v>2</v>
      </c>
      <c r="K1207" t="s">
        <v>49</v>
      </c>
      <c r="L1207">
        <v>1</v>
      </c>
      <c r="M1207">
        <v>2</v>
      </c>
      <c r="N1207" t="s">
        <v>46</v>
      </c>
      <c r="O1207">
        <v>57</v>
      </c>
      <c r="P1207">
        <v>2</v>
      </c>
      <c r="Q1207">
        <v>2</v>
      </c>
      <c r="R1207" t="s">
        <v>40</v>
      </c>
      <c r="S1207">
        <v>4</v>
      </c>
      <c r="T1207" t="str" cm="1">
        <f t="array" ref="T1207">_xlfn.IFS(S1207&lt;=2,"Poor",S1207&lt;=3,"Fair",S1207&gt;=4,"Good")</f>
        <v>Good</v>
      </c>
      <c r="U1207" t="s">
        <v>48</v>
      </c>
      <c r="V1207" s="1">
        <v>3986</v>
      </c>
      <c r="W1207" t="str" cm="1">
        <f t="array" ref="W1207">_xlfn.IFS(V1207&lt;=5000,"Low Salary",V1207&lt;=12000,"Good Salary",V1207&gt;12000,"High Salary")</f>
        <v>Low Salary</v>
      </c>
      <c r="X1207">
        <v>11912</v>
      </c>
      <c r="Y1207">
        <v>1</v>
      </c>
      <c r="Z1207" t="s">
        <v>42</v>
      </c>
      <c r="AA1207" t="s">
        <v>35</v>
      </c>
      <c r="AB1207">
        <v>14</v>
      </c>
      <c r="AC1207">
        <v>3</v>
      </c>
      <c r="AD1207" t="str">
        <f t="shared" si="37"/>
        <v>Low Performance</v>
      </c>
      <c r="AE1207">
        <v>3</v>
      </c>
      <c r="AF1207">
        <v>80</v>
      </c>
      <c r="AG1207">
        <v>1</v>
      </c>
      <c r="AH1207">
        <v>15</v>
      </c>
      <c r="AI1207">
        <v>3</v>
      </c>
      <c r="AJ1207">
        <v>4</v>
      </c>
      <c r="AK1207" t="str" cm="1">
        <f t="array" ref="AK1207">_xlfn.IFS(AJ1207&lt;=2,"Poor",AJ1207&lt;=3,"Fair",AJ1207&gt;3,"Good")</f>
        <v>Good</v>
      </c>
      <c r="AL1207">
        <v>15</v>
      </c>
      <c r="AM1207">
        <v>10</v>
      </c>
      <c r="AN1207">
        <v>4</v>
      </c>
      <c r="AO1207">
        <v>13</v>
      </c>
    </row>
    <row r="1208" spans="1:41" x14ac:dyDescent="0.2">
      <c r="A1208">
        <v>1718662</v>
      </c>
      <c r="B1208">
        <v>60</v>
      </c>
      <c r="C1208" t="str" cm="1">
        <f t="array" ref="C1208">_xlfn.IFS(B1208&lt;=25,"15-25",B1208&lt;=35,"26-35",B1208&lt;=45,"36-45",B1208&lt;=55,"46-55",B1208&lt;=65,"56-65")</f>
        <v>56-65</v>
      </c>
      <c r="D1208" t="s">
        <v>35</v>
      </c>
      <c r="E1208" t="str">
        <f t="shared" si="36"/>
        <v>Current Employee</v>
      </c>
      <c r="F1208" t="s">
        <v>36</v>
      </c>
      <c r="G1208">
        <v>370</v>
      </c>
      <c r="H1208" t="s">
        <v>45</v>
      </c>
      <c r="I1208">
        <v>1</v>
      </c>
      <c r="J1208">
        <v>4</v>
      </c>
      <c r="K1208" t="s">
        <v>49</v>
      </c>
      <c r="L1208">
        <v>1</v>
      </c>
      <c r="M1208">
        <v>3</v>
      </c>
      <c r="N1208" t="s">
        <v>46</v>
      </c>
      <c r="O1208">
        <v>92</v>
      </c>
      <c r="P1208">
        <v>1</v>
      </c>
      <c r="Q1208">
        <v>3</v>
      </c>
      <c r="R1208" t="s">
        <v>40</v>
      </c>
      <c r="S1208">
        <v>4</v>
      </c>
      <c r="T1208" t="str" cm="1">
        <f t="array" ref="T1208">_xlfn.IFS(S1208&lt;=2,"Poor",S1208&lt;=3,"Fair",S1208&gt;=4,"Good")</f>
        <v>Good</v>
      </c>
      <c r="U1208" t="s">
        <v>50</v>
      </c>
      <c r="V1208" s="1">
        <v>10883</v>
      </c>
      <c r="W1208" t="str" cm="1">
        <f t="array" ref="W1208">_xlfn.IFS(V1208&lt;=5000,"Low Salary",V1208&lt;=12000,"Good Salary",V1208&gt;12000,"High Salary")</f>
        <v>Good Salary</v>
      </c>
      <c r="X1208">
        <v>20467</v>
      </c>
      <c r="Y1208">
        <v>3</v>
      </c>
      <c r="Z1208" t="s">
        <v>42</v>
      </c>
      <c r="AA1208" t="s">
        <v>35</v>
      </c>
      <c r="AB1208">
        <v>20</v>
      </c>
      <c r="AC1208">
        <v>4</v>
      </c>
      <c r="AD1208" t="str">
        <f t="shared" si="37"/>
        <v>High Performance</v>
      </c>
      <c r="AE1208">
        <v>3</v>
      </c>
      <c r="AF1208">
        <v>80</v>
      </c>
      <c r="AG1208">
        <v>1</v>
      </c>
      <c r="AH1208">
        <v>19</v>
      </c>
      <c r="AI1208">
        <v>2</v>
      </c>
      <c r="AJ1208">
        <v>4</v>
      </c>
      <c r="AK1208" t="str" cm="1">
        <f t="array" ref="AK1208">_xlfn.IFS(AJ1208&lt;=2,"Poor",AJ1208&lt;=3,"Fair",AJ1208&gt;3,"Good")</f>
        <v>Good</v>
      </c>
      <c r="AL1208">
        <v>1</v>
      </c>
      <c r="AM1208">
        <v>0</v>
      </c>
      <c r="AN1208">
        <v>0</v>
      </c>
      <c r="AO1208">
        <v>0</v>
      </c>
    </row>
    <row r="1209" spans="1:41" x14ac:dyDescent="0.2">
      <c r="A1209">
        <v>1248055</v>
      </c>
      <c r="B1209">
        <v>33</v>
      </c>
      <c r="C1209" t="str" cm="1">
        <f t="array" ref="C1209">_xlfn.IFS(B1209&lt;=25,"15-25",B1209&lt;=35,"26-35",B1209&lt;=45,"36-45",B1209&lt;=55,"46-55",B1209&lt;=65,"56-65")</f>
        <v>26-35</v>
      </c>
      <c r="D1209" t="s">
        <v>35</v>
      </c>
      <c r="E1209" t="str">
        <f t="shared" si="36"/>
        <v>Current Employee</v>
      </c>
      <c r="F1209" t="s">
        <v>36</v>
      </c>
      <c r="G1209">
        <v>267</v>
      </c>
      <c r="H1209" t="s">
        <v>45</v>
      </c>
      <c r="I1209">
        <v>21</v>
      </c>
      <c r="J1209">
        <v>3</v>
      </c>
      <c r="K1209" t="s">
        <v>49</v>
      </c>
      <c r="L1209">
        <v>1</v>
      </c>
      <c r="M1209">
        <v>2</v>
      </c>
      <c r="N1209" t="s">
        <v>46</v>
      </c>
      <c r="O1209">
        <v>79</v>
      </c>
      <c r="P1209">
        <v>4</v>
      </c>
      <c r="Q1209">
        <v>1</v>
      </c>
      <c r="R1209" t="s">
        <v>40</v>
      </c>
      <c r="S1209">
        <v>2</v>
      </c>
      <c r="T1209" t="str" cm="1">
        <f t="array" ref="T1209">_xlfn.IFS(S1209&lt;=2,"Poor",S1209&lt;=3,"Fair",S1209&gt;=4,"Good")</f>
        <v>Poor</v>
      </c>
      <c r="U1209" t="s">
        <v>48</v>
      </c>
      <c r="V1209" s="1">
        <v>2028</v>
      </c>
      <c r="W1209" t="str" cm="1">
        <f t="array" ref="W1209">_xlfn.IFS(V1209&lt;=5000,"Low Salary",V1209&lt;=12000,"Good Salary",V1209&gt;12000,"High Salary")</f>
        <v>Low Salary</v>
      </c>
      <c r="X1209">
        <v>13637</v>
      </c>
      <c r="Y1209">
        <v>1</v>
      </c>
      <c r="Z1209" t="s">
        <v>42</v>
      </c>
      <c r="AA1209" t="s">
        <v>35</v>
      </c>
      <c r="AB1209">
        <v>18</v>
      </c>
      <c r="AC1209">
        <v>3</v>
      </c>
      <c r="AD1209" t="str">
        <f t="shared" si="37"/>
        <v>Low Performance</v>
      </c>
      <c r="AE1209">
        <v>4</v>
      </c>
      <c r="AF1209">
        <v>80</v>
      </c>
      <c r="AG1209">
        <v>3</v>
      </c>
      <c r="AH1209">
        <v>14</v>
      </c>
      <c r="AI1209">
        <v>6</v>
      </c>
      <c r="AJ1209">
        <v>3</v>
      </c>
      <c r="AK1209" t="str" cm="1">
        <f t="array" ref="AK1209">_xlfn.IFS(AJ1209&lt;=2,"Poor",AJ1209&lt;=3,"Fair",AJ1209&gt;3,"Good")</f>
        <v>Fair</v>
      </c>
      <c r="AL1209">
        <v>14</v>
      </c>
      <c r="AM1209">
        <v>11</v>
      </c>
      <c r="AN1209">
        <v>2</v>
      </c>
      <c r="AO1209">
        <v>13</v>
      </c>
    </row>
    <row r="1210" spans="1:41" x14ac:dyDescent="0.2">
      <c r="A1210">
        <v>1430170</v>
      </c>
      <c r="B1210">
        <v>37</v>
      </c>
      <c r="C1210" t="str" cm="1">
        <f t="array" ref="C1210">_xlfn.IFS(B1210&lt;=25,"15-25",B1210&lt;=35,"26-35",B1210&lt;=45,"36-45",B1210&lt;=55,"46-55",B1210&lt;=65,"56-65")</f>
        <v>36-45</v>
      </c>
      <c r="D1210" t="s">
        <v>35</v>
      </c>
      <c r="E1210" t="str">
        <f t="shared" si="36"/>
        <v>Current Employee</v>
      </c>
      <c r="F1210" t="s">
        <v>44</v>
      </c>
      <c r="G1210">
        <v>1278</v>
      </c>
      <c r="H1210" t="s">
        <v>37</v>
      </c>
      <c r="I1210">
        <v>1</v>
      </c>
      <c r="J1210">
        <v>4</v>
      </c>
      <c r="K1210" t="s">
        <v>49</v>
      </c>
      <c r="L1210">
        <v>1</v>
      </c>
      <c r="M1210">
        <v>3</v>
      </c>
      <c r="N1210" t="s">
        <v>46</v>
      </c>
      <c r="O1210">
        <v>31</v>
      </c>
      <c r="P1210">
        <v>1</v>
      </c>
      <c r="Q1210">
        <v>2</v>
      </c>
      <c r="R1210" t="s">
        <v>40</v>
      </c>
      <c r="S1210">
        <v>4</v>
      </c>
      <c r="T1210" t="str" cm="1">
        <f t="array" ref="T1210">_xlfn.IFS(S1210&lt;=2,"Poor",S1210&lt;=3,"Fair",S1210&gt;=4,"Good")</f>
        <v>Good</v>
      </c>
      <c r="U1210" t="s">
        <v>50</v>
      </c>
      <c r="V1210" s="1">
        <v>9525</v>
      </c>
      <c r="W1210" t="str" cm="1">
        <f t="array" ref="W1210">_xlfn.IFS(V1210&lt;=5000,"Low Salary",V1210&lt;=12000,"Good Salary",V1210&gt;12000,"High Salary")</f>
        <v>Good Salary</v>
      </c>
      <c r="X1210">
        <v>7677</v>
      </c>
      <c r="Y1210">
        <v>1</v>
      </c>
      <c r="Z1210" t="s">
        <v>42</v>
      </c>
      <c r="AA1210" t="s">
        <v>35</v>
      </c>
      <c r="AB1210">
        <v>14</v>
      </c>
      <c r="AC1210">
        <v>3</v>
      </c>
      <c r="AD1210" t="str">
        <f t="shared" si="37"/>
        <v>Low Performance</v>
      </c>
      <c r="AE1210">
        <v>3</v>
      </c>
      <c r="AF1210">
        <v>80</v>
      </c>
      <c r="AG1210">
        <v>2</v>
      </c>
      <c r="AH1210">
        <v>6</v>
      </c>
      <c r="AI1210">
        <v>2</v>
      </c>
      <c r="AJ1210">
        <v>2</v>
      </c>
      <c r="AK1210" t="str" cm="1">
        <f t="array" ref="AK1210">_xlfn.IFS(AJ1210&lt;=2,"Poor",AJ1210&lt;=3,"Fair",AJ1210&gt;3,"Good")</f>
        <v>Poor</v>
      </c>
      <c r="AL1210">
        <v>6</v>
      </c>
      <c r="AM1210">
        <v>3</v>
      </c>
      <c r="AN1210">
        <v>1</v>
      </c>
      <c r="AO1210">
        <v>3</v>
      </c>
    </row>
    <row r="1211" spans="1:41" x14ac:dyDescent="0.2">
      <c r="A1211">
        <v>1830378</v>
      </c>
      <c r="B1211">
        <v>34</v>
      </c>
      <c r="C1211" t="str" cm="1">
        <f t="array" ref="C1211">_xlfn.IFS(B1211&lt;=25,"15-25",B1211&lt;=35,"26-35",B1211&lt;=45,"36-45",B1211&lt;=55,"46-55",B1211&lt;=65,"56-65")</f>
        <v>26-35</v>
      </c>
      <c r="D1211" t="s">
        <v>35</v>
      </c>
      <c r="E1211" t="str">
        <f t="shared" si="36"/>
        <v>Current Employee</v>
      </c>
      <c r="F1211" t="s">
        <v>36</v>
      </c>
      <c r="G1211">
        <v>678</v>
      </c>
      <c r="H1211" t="s">
        <v>45</v>
      </c>
      <c r="I1211">
        <v>19</v>
      </c>
      <c r="J1211">
        <v>3</v>
      </c>
      <c r="K1211" t="s">
        <v>38</v>
      </c>
      <c r="L1211">
        <v>1</v>
      </c>
      <c r="M1211">
        <v>2</v>
      </c>
      <c r="N1211" t="s">
        <v>39</v>
      </c>
      <c r="O1211">
        <v>35</v>
      </c>
      <c r="P1211">
        <v>2</v>
      </c>
      <c r="Q1211">
        <v>1</v>
      </c>
      <c r="R1211" t="s">
        <v>47</v>
      </c>
      <c r="S1211">
        <v>4</v>
      </c>
      <c r="T1211" t="str" cm="1">
        <f t="array" ref="T1211">_xlfn.IFS(S1211&lt;=2,"Poor",S1211&lt;=3,"Fair",S1211&gt;=4,"Good")</f>
        <v>Good</v>
      </c>
      <c r="U1211" t="s">
        <v>48</v>
      </c>
      <c r="V1211" s="1">
        <v>2929</v>
      </c>
      <c r="W1211" t="str" cm="1">
        <f t="array" ref="W1211">_xlfn.IFS(V1211&lt;=5000,"Low Salary",V1211&lt;=12000,"Good Salary",V1211&gt;12000,"High Salary")</f>
        <v>Low Salary</v>
      </c>
      <c r="X1211">
        <v>20338</v>
      </c>
      <c r="Y1211">
        <v>1</v>
      </c>
      <c r="Z1211" t="s">
        <v>42</v>
      </c>
      <c r="AA1211" t="s">
        <v>35</v>
      </c>
      <c r="AB1211">
        <v>12</v>
      </c>
      <c r="AC1211">
        <v>3</v>
      </c>
      <c r="AD1211" t="str">
        <f t="shared" si="37"/>
        <v>Low Performance</v>
      </c>
      <c r="AE1211">
        <v>2</v>
      </c>
      <c r="AF1211">
        <v>80</v>
      </c>
      <c r="AG1211">
        <v>0</v>
      </c>
      <c r="AH1211">
        <v>10</v>
      </c>
      <c r="AI1211">
        <v>3</v>
      </c>
      <c r="AJ1211">
        <v>3</v>
      </c>
      <c r="AK1211" t="str" cm="1">
        <f t="array" ref="AK1211">_xlfn.IFS(AJ1211&lt;=2,"Poor",AJ1211&lt;=3,"Fair",AJ1211&gt;3,"Good")</f>
        <v>Fair</v>
      </c>
      <c r="AL1211">
        <v>10</v>
      </c>
      <c r="AM1211">
        <v>9</v>
      </c>
      <c r="AN1211">
        <v>8</v>
      </c>
      <c r="AO1211">
        <v>7</v>
      </c>
    </row>
    <row r="1212" spans="1:41" x14ac:dyDescent="0.2">
      <c r="A1212">
        <v>1810874</v>
      </c>
      <c r="B1212">
        <v>23</v>
      </c>
      <c r="C1212" t="str" cm="1">
        <f t="array" ref="C1212">_xlfn.IFS(B1212&lt;=25,"15-25",B1212&lt;=35,"26-35",B1212&lt;=45,"36-45",B1212&lt;=55,"46-55",B1212&lt;=65,"56-65")</f>
        <v>15-25</v>
      </c>
      <c r="D1212" t="s">
        <v>35</v>
      </c>
      <c r="E1212" t="str">
        <f t="shared" si="36"/>
        <v>Current Employee</v>
      </c>
      <c r="F1212" t="s">
        <v>36</v>
      </c>
      <c r="G1212">
        <v>427</v>
      </c>
      <c r="H1212" t="s">
        <v>37</v>
      </c>
      <c r="I1212">
        <v>7</v>
      </c>
      <c r="J1212">
        <v>3</v>
      </c>
      <c r="K1212" t="s">
        <v>38</v>
      </c>
      <c r="L1212">
        <v>1</v>
      </c>
      <c r="M1212">
        <v>3</v>
      </c>
      <c r="N1212" t="s">
        <v>46</v>
      </c>
      <c r="O1212">
        <v>99</v>
      </c>
      <c r="P1212">
        <v>3</v>
      </c>
      <c r="Q1212">
        <v>1</v>
      </c>
      <c r="R1212" t="s">
        <v>47</v>
      </c>
      <c r="S1212">
        <v>4</v>
      </c>
      <c r="T1212" t="str" cm="1">
        <f t="array" ref="T1212">_xlfn.IFS(S1212&lt;=2,"Poor",S1212&lt;=3,"Fair",S1212&gt;=4,"Good")</f>
        <v>Good</v>
      </c>
      <c r="U1212" t="s">
        <v>50</v>
      </c>
      <c r="V1212" s="1">
        <v>2275</v>
      </c>
      <c r="W1212" t="str" cm="1">
        <f t="array" ref="W1212">_xlfn.IFS(V1212&lt;=5000,"Low Salary",V1212&lt;=12000,"Good Salary",V1212&gt;12000,"High Salary")</f>
        <v>Low Salary</v>
      </c>
      <c r="X1212">
        <v>25103</v>
      </c>
      <c r="Y1212">
        <v>1</v>
      </c>
      <c r="Z1212" t="s">
        <v>42</v>
      </c>
      <c r="AA1212" t="s">
        <v>43</v>
      </c>
      <c r="AB1212">
        <v>21</v>
      </c>
      <c r="AC1212">
        <v>4</v>
      </c>
      <c r="AD1212" t="str">
        <f t="shared" si="37"/>
        <v>High Performance</v>
      </c>
      <c r="AE1212">
        <v>2</v>
      </c>
      <c r="AF1212">
        <v>80</v>
      </c>
      <c r="AG1212">
        <v>1</v>
      </c>
      <c r="AH1212">
        <v>3</v>
      </c>
      <c r="AI1212">
        <v>2</v>
      </c>
      <c r="AJ1212">
        <v>3</v>
      </c>
      <c r="AK1212" t="str" cm="1">
        <f t="array" ref="AK1212">_xlfn.IFS(AJ1212&lt;=2,"Poor",AJ1212&lt;=3,"Fair",AJ1212&gt;3,"Good")</f>
        <v>Fair</v>
      </c>
      <c r="AL1212">
        <v>3</v>
      </c>
      <c r="AM1212">
        <v>2</v>
      </c>
      <c r="AN1212">
        <v>0</v>
      </c>
      <c r="AO1212">
        <v>2</v>
      </c>
    </row>
    <row r="1213" spans="1:41" x14ac:dyDescent="0.2">
      <c r="A1213">
        <v>1287552</v>
      </c>
      <c r="B1213">
        <v>44</v>
      </c>
      <c r="C1213" t="str" cm="1">
        <f t="array" ref="C1213">_xlfn.IFS(B1213&lt;=25,"15-25",B1213&lt;=35,"26-35",B1213&lt;=45,"36-45",B1213&lt;=55,"46-55",B1213&lt;=65,"56-65")</f>
        <v>36-45</v>
      </c>
      <c r="D1213" t="s">
        <v>35</v>
      </c>
      <c r="E1213" t="str">
        <f t="shared" si="36"/>
        <v>Current Employee</v>
      </c>
      <c r="F1213" t="s">
        <v>36</v>
      </c>
      <c r="G1213">
        <v>921</v>
      </c>
      <c r="H1213" t="s">
        <v>45</v>
      </c>
      <c r="I1213">
        <v>2</v>
      </c>
      <c r="J1213">
        <v>3</v>
      </c>
      <c r="K1213" t="s">
        <v>38</v>
      </c>
      <c r="L1213">
        <v>1</v>
      </c>
      <c r="M1213">
        <v>3</v>
      </c>
      <c r="N1213" t="s">
        <v>39</v>
      </c>
      <c r="O1213">
        <v>96</v>
      </c>
      <c r="P1213">
        <v>4</v>
      </c>
      <c r="Q1213">
        <v>3</v>
      </c>
      <c r="R1213" t="s">
        <v>40</v>
      </c>
      <c r="S1213">
        <v>4</v>
      </c>
      <c r="T1213" t="str" cm="1">
        <f t="array" ref="T1213">_xlfn.IFS(S1213&lt;=2,"Poor",S1213&lt;=3,"Fair",S1213&gt;=4,"Good")</f>
        <v>Good</v>
      </c>
      <c r="U1213" t="s">
        <v>48</v>
      </c>
      <c r="V1213" s="1">
        <v>7879</v>
      </c>
      <c r="W1213" t="str" cm="1">
        <f t="array" ref="W1213">_xlfn.IFS(V1213&lt;=5000,"Low Salary",V1213&lt;=12000,"Good Salary",V1213&gt;12000,"High Salary")</f>
        <v>Good Salary</v>
      </c>
      <c r="X1213">
        <v>14810</v>
      </c>
      <c r="Y1213">
        <v>1</v>
      </c>
      <c r="Z1213" t="s">
        <v>42</v>
      </c>
      <c r="AA1213" t="s">
        <v>43</v>
      </c>
      <c r="AB1213">
        <v>19</v>
      </c>
      <c r="AC1213">
        <v>3</v>
      </c>
      <c r="AD1213" t="str">
        <f t="shared" si="37"/>
        <v>Low Performance</v>
      </c>
      <c r="AE1213">
        <v>2</v>
      </c>
      <c r="AF1213">
        <v>80</v>
      </c>
      <c r="AG1213">
        <v>1</v>
      </c>
      <c r="AH1213">
        <v>9</v>
      </c>
      <c r="AI1213">
        <v>2</v>
      </c>
      <c r="AJ1213">
        <v>3</v>
      </c>
      <c r="AK1213" t="str" cm="1">
        <f t="array" ref="AK1213">_xlfn.IFS(AJ1213&lt;=2,"Poor",AJ1213&lt;=3,"Fair",AJ1213&gt;3,"Good")</f>
        <v>Fair</v>
      </c>
      <c r="AL1213">
        <v>8</v>
      </c>
      <c r="AM1213">
        <v>7</v>
      </c>
      <c r="AN1213">
        <v>6</v>
      </c>
      <c r="AO1213">
        <v>7</v>
      </c>
    </row>
    <row r="1214" spans="1:41" x14ac:dyDescent="0.2">
      <c r="A1214">
        <v>1432173</v>
      </c>
      <c r="B1214">
        <v>35</v>
      </c>
      <c r="C1214" t="str" cm="1">
        <f t="array" ref="C1214">_xlfn.IFS(B1214&lt;=25,"15-25",B1214&lt;=35,"26-35",B1214&lt;=45,"36-45",B1214&lt;=55,"46-55",B1214&lt;=65,"56-65")</f>
        <v>26-35</v>
      </c>
      <c r="D1214" t="s">
        <v>35</v>
      </c>
      <c r="E1214" t="str">
        <f t="shared" si="36"/>
        <v>Current Employee</v>
      </c>
      <c r="F1214" t="s">
        <v>44</v>
      </c>
      <c r="G1214">
        <v>146</v>
      </c>
      <c r="H1214" t="s">
        <v>45</v>
      </c>
      <c r="I1214">
        <v>2</v>
      </c>
      <c r="J1214">
        <v>4</v>
      </c>
      <c r="K1214" t="s">
        <v>49</v>
      </c>
      <c r="L1214">
        <v>1</v>
      </c>
      <c r="M1214">
        <v>1</v>
      </c>
      <c r="N1214" t="s">
        <v>46</v>
      </c>
      <c r="O1214">
        <v>79</v>
      </c>
      <c r="P1214">
        <v>2</v>
      </c>
      <c r="Q1214">
        <v>1</v>
      </c>
      <c r="R1214" t="s">
        <v>47</v>
      </c>
      <c r="S1214">
        <v>4</v>
      </c>
      <c r="T1214" t="str" cm="1">
        <f t="array" ref="T1214">_xlfn.IFS(S1214&lt;=2,"Poor",S1214&lt;=3,"Fair",S1214&gt;=4,"Good")</f>
        <v>Good</v>
      </c>
      <c r="U1214" t="s">
        <v>41</v>
      </c>
      <c r="V1214" s="1">
        <v>4930</v>
      </c>
      <c r="W1214" t="str" cm="1">
        <f t="array" ref="W1214">_xlfn.IFS(V1214&lt;=5000,"Low Salary",V1214&lt;=12000,"Good Salary",V1214&gt;12000,"High Salary")</f>
        <v>Low Salary</v>
      </c>
      <c r="X1214">
        <v>13970</v>
      </c>
      <c r="Y1214">
        <v>0</v>
      </c>
      <c r="Z1214" t="s">
        <v>42</v>
      </c>
      <c r="AA1214" t="s">
        <v>43</v>
      </c>
      <c r="AB1214">
        <v>14</v>
      </c>
      <c r="AC1214">
        <v>3</v>
      </c>
      <c r="AD1214" t="str">
        <f t="shared" si="37"/>
        <v>Low Performance</v>
      </c>
      <c r="AE1214">
        <v>3</v>
      </c>
      <c r="AF1214">
        <v>80</v>
      </c>
      <c r="AG1214">
        <v>0</v>
      </c>
      <c r="AH1214">
        <v>6</v>
      </c>
      <c r="AI1214">
        <v>2</v>
      </c>
      <c r="AJ1214">
        <v>4</v>
      </c>
      <c r="AK1214" t="str" cm="1">
        <f t="array" ref="AK1214">_xlfn.IFS(AJ1214&lt;=2,"Poor",AJ1214&lt;=3,"Fair",AJ1214&gt;3,"Good")</f>
        <v>Good</v>
      </c>
      <c r="AL1214">
        <v>5</v>
      </c>
      <c r="AM1214">
        <v>4</v>
      </c>
      <c r="AN1214">
        <v>1</v>
      </c>
      <c r="AO1214">
        <v>4</v>
      </c>
    </row>
    <row r="1215" spans="1:41" x14ac:dyDescent="0.2">
      <c r="A1215">
        <v>1499458</v>
      </c>
      <c r="B1215">
        <v>43</v>
      </c>
      <c r="C1215" t="str" cm="1">
        <f t="array" ref="C1215">_xlfn.IFS(B1215&lt;=25,"15-25",B1215&lt;=35,"26-35",B1215&lt;=45,"36-45",B1215&lt;=55,"46-55",B1215&lt;=65,"56-65")</f>
        <v>36-45</v>
      </c>
      <c r="D1215" t="s">
        <v>35</v>
      </c>
      <c r="E1215" t="str">
        <f t="shared" si="36"/>
        <v>Current Employee</v>
      </c>
      <c r="F1215" t="s">
        <v>36</v>
      </c>
      <c r="G1215">
        <v>1179</v>
      </c>
      <c r="H1215" t="s">
        <v>37</v>
      </c>
      <c r="I1215">
        <v>2</v>
      </c>
      <c r="J1215">
        <v>3</v>
      </c>
      <c r="K1215" t="s">
        <v>49</v>
      </c>
      <c r="L1215">
        <v>1</v>
      </c>
      <c r="M1215">
        <v>4</v>
      </c>
      <c r="N1215" t="s">
        <v>46</v>
      </c>
      <c r="O1215">
        <v>73</v>
      </c>
      <c r="P1215">
        <v>3</v>
      </c>
      <c r="Q1215">
        <v>2</v>
      </c>
      <c r="R1215" t="s">
        <v>40</v>
      </c>
      <c r="S1215">
        <v>4</v>
      </c>
      <c r="T1215" t="str" cm="1">
        <f t="array" ref="T1215">_xlfn.IFS(S1215&lt;=2,"Poor",S1215&lt;=3,"Fair",S1215&gt;=4,"Good")</f>
        <v>Good</v>
      </c>
      <c r="U1215" t="s">
        <v>48</v>
      </c>
      <c r="V1215" s="1">
        <v>7847</v>
      </c>
      <c r="W1215" t="str" cm="1">
        <f t="array" ref="W1215">_xlfn.IFS(V1215&lt;=5000,"Low Salary",V1215&lt;=12000,"Good Salary",V1215&gt;12000,"High Salary")</f>
        <v>Good Salary</v>
      </c>
      <c r="X1215">
        <v>6069</v>
      </c>
      <c r="Y1215">
        <v>1</v>
      </c>
      <c r="Z1215" t="s">
        <v>42</v>
      </c>
      <c r="AA1215" t="s">
        <v>43</v>
      </c>
      <c r="AB1215">
        <v>17</v>
      </c>
      <c r="AC1215">
        <v>3</v>
      </c>
      <c r="AD1215" t="str">
        <f t="shared" si="37"/>
        <v>Low Performance</v>
      </c>
      <c r="AE1215">
        <v>1</v>
      </c>
      <c r="AF1215">
        <v>80</v>
      </c>
      <c r="AG1215">
        <v>1</v>
      </c>
      <c r="AH1215">
        <v>10</v>
      </c>
      <c r="AI1215">
        <v>3</v>
      </c>
      <c r="AJ1215">
        <v>3</v>
      </c>
      <c r="AK1215" t="str" cm="1">
        <f t="array" ref="AK1215">_xlfn.IFS(AJ1215&lt;=2,"Poor",AJ1215&lt;=3,"Fair",AJ1215&gt;3,"Good")</f>
        <v>Fair</v>
      </c>
      <c r="AL1215">
        <v>10</v>
      </c>
      <c r="AM1215">
        <v>9</v>
      </c>
      <c r="AN1215">
        <v>8</v>
      </c>
      <c r="AO1215">
        <v>8</v>
      </c>
    </row>
    <row r="1216" spans="1:41" x14ac:dyDescent="0.2">
      <c r="A1216">
        <v>1622897</v>
      </c>
      <c r="B1216">
        <v>24</v>
      </c>
      <c r="C1216" t="str" cm="1">
        <f t="array" ref="C1216">_xlfn.IFS(B1216&lt;=25,"15-25",B1216&lt;=35,"26-35",B1216&lt;=45,"36-45",B1216&lt;=55,"46-55",B1216&lt;=65,"56-65")</f>
        <v>15-25</v>
      </c>
      <c r="D1216" t="s">
        <v>35</v>
      </c>
      <c r="E1216" t="str">
        <f t="shared" si="36"/>
        <v>Current Employee</v>
      </c>
      <c r="F1216" t="s">
        <v>36</v>
      </c>
      <c r="G1216">
        <v>581</v>
      </c>
      <c r="H1216" t="s">
        <v>45</v>
      </c>
      <c r="I1216">
        <v>9</v>
      </c>
      <c r="J1216">
        <v>3</v>
      </c>
      <c r="K1216" t="s">
        <v>49</v>
      </c>
      <c r="L1216">
        <v>1</v>
      </c>
      <c r="M1216">
        <v>3</v>
      </c>
      <c r="N1216" t="s">
        <v>46</v>
      </c>
      <c r="O1216">
        <v>62</v>
      </c>
      <c r="P1216">
        <v>4</v>
      </c>
      <c r="Q1216">
        <v>1</v>
      </c>
      <c r="R1216" t="s">
        <v>47</v>
      </c>
      <c r="S1216">
        <v>3</v>
      </c>
      <c r="T1216" t="str" cm="1">
        <f t="array" ref="T1216">_xlfn.IFS(S1216&lt;=2,"Poor",S1216&lt;=3,"Fair",S1216&gt;=4,"Good")</f>
        <v>Fair</v>
      </c>
      <c r="U1216" t="s">
        <v>48</v>
      </c>
      <c r="V1216" s="1">
        <v>4401</v>
      </c>
      <c r="W1216" t="str" cm="1">
        <f t="array" ref="W1216">_xlfn.IFS(V1216&lt;=5000,"Low Salary",V1216&lt;=12000,"Good Salary",V1216&gt;12000,"High Salary")</f>
        <v>Low Salary</v>
      </c>
      <c r="X1216">
        <v>17616</v>
      </c>
      <c r="Y1216">
        <v>1</v>
      </c>
      <c r="Z1216" t="s">
        <v>42</v>
      </c>
      <c r="AA1216" t="s">
        <v>35</v>
      </c>
      <c r="AB1216">
        <v>16</v>
      </c>
      <c r="AC1216">
        <v>3</v>
      </c>
      <c r="AD1216" t="str">
        <f t="shared" si="37"/>
        <v>Low Performance</v>
      </c>
      <c r="AE1216">
        <v>4</v>
      </c>
      <c r="AF1216">
        <v>80</v>
      </c>
      <c r="AG1216">
        <v>1</v>
      </c>
      <c r="AH1216">
        <v>5</v>
      </c>
      <c r="AI1216">
        <v>1</v>
      </c>
      <c r="AJ1216">
        <v>3</v>
      </c>
      <c r="AK1216" t="str" cm="1">
        <f t="array" ref="AK1216">_xlfn.IFS(AJ1216&lt;=2,"Poor",AJ1216&lt;=3,"Fair",AJ1216&gt;3,"Good")</f>
        <v>Fair</v>
      </c>
      <c r="AL1216">
        <v>5</v>
      </c>
      <c r="AM1216">
        <v>3</v>
      </c>
      <c r="AN1216">
        <v>0</v>
      </c>
      <c r="AO1216">
        <v>4</v>
      </c>
    </row>
    <row r="1217" spans="1:41" x14ac:dyDescent="0.2">
      <c r="A1217">
        <v>1374267</v>
      </c>
      <c r="B1217">
        <v>41</v>
      </c>
      <c r="C1217" t="str" cm="1">
        <f t="array" ref="C1217">_xlfn.IFS(B1217&lt;=25,"15-25",B1217&lt;=35,"26-35",B1217&lt;=45,"36-45",B1217&lt;=55,"46-55",B1217&lt;=65,"56-65")</f>
        <v>36-45</v>
      </c>
      <c r="D1217" t="s">
        <v>35</v>
      </c>
      <c r="E1217" t="str">
        <f t="shared" si="36"/>
        <v>Current Employee</v>
      </c>
      <c r="F1217" t="s">
        <v>36</v>
      </c>
      <c r="G1217">
        <v>918</v>
      </c>
      <c r="H1217" t="s">
        <v>37</v>
      </c>
      <c r="I1217">
        <v>6</v>
      </c>
      <c r="J1217">
        <v>3</v>
      </c>
      <c r="K1217" t="s">
        <v>55</v>
      </c>
      <c r="L1217">
        <v>1</v>
      </c>
      <c r="M1217">
        <v>4</v>
      </c>
      <c r="N1217" t="s">
        <v>46</v>
      </c>
      <c r="O1217">
        <v>35</v>
      </c>
      <c r="P1217">
        <v>3</v>
      </c>
      <c r="Q1217">
        <v>3</v>
      </c>
      <c r="R1217" t="s">
        <v>40</v>
      </c>
      <c r="S1217">
        <v>3</v>
      </c>
      <c r="T1217" t="str" cm="1">
        <f t="array" ref="T1217">_xlfn.IFS(S1217&lt;=2,"Poor",S1217&lt;=3,"Fair",S1217&gt;=4,"Good")</f>
        <v>Fair</v>
      </c>
      <c r="U1217" t="s">
        <v>41</v>
      </c>
      <c r="V1217" s="1">
        <v>9241</v>
      </c>
      <c r="W1217" t="str" cm="1">
        <f t="array" ref="W1217">_xlfn.IFS(V1217&lt;=5000,"Low Salary",V1217&lt;=12000,"Good Salary",V1217&gt;12000,"High Salary")</f>
        <v>Good Salary</v>
      </c>
      <c r="X1217">
        <v>15869</v>
      </c>
      <c r="Y1217">
        <v>1</v>
      </c>
      <c r="Z1217" t="s">
        <v>42</v>
      </c>
      <c r="AA1217" t="s">
        <v>35</v>
      </c>
      <c r="AB1217">
        <v>12</v>
      </c>
      <c r="AC1217">
        <v>3</v>
      </c>
      <c r="AD1217" t="str">
        <f t="shared" si="37"/>
        <v>Low Performance</v>
      </c>
      <c r="AE1217">
        <v>2</v>
      </c>
      <c r="AF1217">
        <v>80</v>
      </c>
      <c r="AG1217">
        <v>0</v>
      </c>
      <c r="AH1217">
        <v>10</v>
      </c>
      <c r="AI1217">
        <v>3</v>
      </c>
      <c r="AJ1217">
        <v>3</v>
      </c>
      <c r="AK1217" t="str" cm="1">
        <f t="array" ref="AK1217">_xlfn.IFS(AJ1217&lt;=2,"Poor",AJ1217&lt;=3,"Fair",AJ1217&gt;3,"Good")</f>
        <v>Fair</v>
      </c>
      <c r="AL1217">
        <v>10</v>
      </c>
      <c r="AM1217">
        <v>8</v>
      </c>
      <c r="AN1217">
        <v>8</v>
      </c>
      <c r="AO1217">
        <v>7</v>
      </c>
    </row>
    <row r="1218" spans="1:41" x14ac:dyDescent="0.2">
      <c r="A1218">
        <v>1125172</v>
      </c>
      <c r="B1218">
        <v>29</v>
      </c>
      <c r="C1218" t="str" cm="1">
        <f t="array" ref="C1218">_xlfn.IFS(B1218&lt;=25,"15-25",B1218&lt;=35,"26-35",B1218&lt;=45,"36-45",B1218&lt;=55,"46-55",B1218&lt;=65,"56-65")</f>
        <v>26-35</v>
      </c>
      <c r="D1218" t="s">
        <v>35</v>
      </c>
      <c r="E1218" t="str">
        <f t="shared" si="36"/>
        <v>Current Employee</v>
      </c>
      <c r="F1218" t="s">
        <v>36</v>
      </c>
      <c r="G1218">
        <v>1082</v>
      </c>
      <c r="H1218" t="s">
        <v>45</v>
      </c>
      <c r="I1218">
        <v>9</v>
      </c>
      <c r="J1218">
        <v>4</v>
      </c>
      <c r="K1218" t="s">
        <v>49</v>
      </c>
      <c r="L1218">
        <v>1</v>
      </c>
      <c r="M1218">
        <v>4</v>
      </c>
      <c r="N1218" t="s">
        <v>39</v>
      </c>
      <c r="O1218">
        <v>43</v>
      </c>
      <c r="P1218">
        <v>3</v>
      </c>
      <c r="Q1218">
        <v>1</v>
      </c>
      <c r="R1218" t="s">
        <v>40</v>
      </c>
      <c r="S1218">
        <v>3</v>
      </c>
      <c r="T1218" t="str" cm="1">
        <f t="array" ref="T1218">_xlfn.IFS(S1218&lt;=2,"Poor",S1218&lt;=3,"Fair",S1218&gt;=4,"Good")</f>
        <v>Fair</v>
      </c>
      <c r="U1218" t="s">
        <v>48</v>
      </c>
      <c r="V1218" s="1">
        <v>2974</v>
      </c>
      <c r="W1218" t="str" cm="1">
        <f t="array" ref="W1218">_xlfn.IFS(V1218&lt;=5000,"Low Salary",V1218&lt;=12000,"Good Salary",V1218&gt;12000,"High Salary")</f>
        <v>Low Salary</v>
      </c>
      <c r="X1218">
        <v>25412</v>
      </c>
      <c r="Y1218">
        <v>9</v>
      </c>
      <c r="Z1218" t="s">
        <v>42</v>
      </c>
      <c r="AA1218" t="s">
        <v>35</v>
      </c>
      <c r="AB1218">
        <v>17</v>
      </c>
      <c r="AC1218">
        <v>3</v>
      </c>
      <c r="AD1218" t="str">
        <f t="shared" si="37"/>
        <v>Low Performance</v>
      </c>
      <c r="AE1218">
        <v>3</v>
      </c>
      <c r="AF1218">
        <v>80</v>
      </c>
      <c r="AG1218">
        <v>1</v>
      </c>
      <c r="AH1218">
        <v>9</v>
      </c>
      <c r="AI1218">
        <v>2</v>
      </c>
      <c r="AJ1218">
        <v>3</v>
      </c>
      <c r="AK1218" t="str" cm="1">
        <f t="array" ref="AK1218">_xlfn.IFS(AJ1218&lt;=2,"Poor",AJ1218&lt;=3,"Fair",AJ1218&gt;3,"Good")</f>
        <v>Fair</v>
      </c>
      <c r="AL1218">
        <v>5</v>
      </c>
      <c r="AM1218">
        <v>3</v>
      </c>
      <c r="AN1218">
        <v>1</v>
      </c>
      <c r="AO1218">
        <v>2</v>
      </c>
    </row>
    <row r="1219" spans="1:41" x14ac:dyDescent="0.2">
      <c r="A1219">
        <v>1569964</v>
      </c>
      <c r="B1219">
        <v>36</v>
      </c>
      <c r="C1219" t="str" cm="1">
        <f t="array" ref="C1219">_xlfn.IFS(B1219&lt;=25,"15-25",B1219&lt;=35,"26-35",B1219&lt;=45,"36-45",B1219&lt;=55,"46-55",B1219&lt;=65,"56-65")</f>
        <v>36-45</v>
      </c>
      <c r="D1219" t="s">
        <v>35</v>
      </c>
      <c r="E1219" t="str">
        <f t="shared" ref="E1219:E1282" si="38">IF(D1219="No","Current Employee","Former Employee")</f>
        <v>Current Employee</v>
      </c>
      <c r="F1219" t="s">
        <v>36</v>
      </c>
      <c r="G1219">
        <v>530</v>
      </c>
      <c r="H1219" t="s">
        <v>37</v>
      </c>
      <c r="I1219">
        <v>2</v>
      </c>
      <c r="J1219">
        <v>4</v>
      </c>
      <c r="K1219" t="s">
        <v>38</v>
      </c>
      <c r="L1219">
        <v>1</v>
      </c>
      <c r="M1219">
        <v>3</v>
      </c>
      <c r="N1219" t="s">
        <v>39</v>
      </c>
      <c r="O1219">
        <v>51</v>
      </c>
      <c r="P1219">
        <v>3</v>
      </c>
      <c r="Q1219">
        <v>2</v>
      </c>
      <c r="R1219" t="s">
        <v>47</v>
      </c>
      <c r="S1219">
        <v>4</v>
      </c>
      <c r="T1219" t="str" cm="1">
        <f t="array" ref="T1219">_xlfn.IFS(S1219&lt;=2,"Poor",S1219&lt;=3,"Fair",S1219&gt;=4,"Good")</f>
        <v>Good</v>
      </c>
      <c r="U1219" t="s">
        <v>41</v>
      </c>
      <c r="V1219" s="1">
        <v>4502</v>
      </c>
      <c r="W1219" t="str" cm="1">
        <f t="array" ref="W1219">_xlfn.IFS(V1219&lt;=5000,"Low Salary",V1219&lt;=12000,"Good Salary",V1219&gt;12000,"High Salary")</f>
        <v>Low Salary</v>
      </c>
      <c r="X1219">
        <v>7439</v>
      </c>
      <c r="Y1219">
        <v>3</v>
      </c>
      <c r="Z1219" t="s">
        <v>42</v>
      </c>
      <c r="AA1219" t="s">
        <v>35</v>
      </c>
      <c r="AB1219">
        <v>15</v>
      </c>
      <c r="AC1219">
        <v>3</v>
      </c>
      <c r="AD1219" t="str">
        <f t="shared" ref="AD1219:AD1282" si="39">IF(AC1219&lt;=3,"Low Performance","High Performance")</f>
        <v>Low Performance</v>
      </c>
      <c r="AE1219">
        <v>3</v>
      </c>
      <c r="AF1219">
        <v>80</v>
      </c>
      <c r="AG1219">
        <v>0</v>
      </c>
      <c r="AH1219">
        <v>17</v>
      </c>
      <c r="AI1219">
        <v>2</v>
      </c>
      <c r="AJ1219">
        <v>2</v>
      </c>
      <c r="AK1219" t="str" cm="1">
        <f t="array" ref="AK1219">_xlfn.IFS(AJ1219&lt;=2,"Poor",AJ1219&lt;=3,"Fair",AJ1219&gt;3,"Good")</f>
        <v>Poor</v>
      </c>
      <c r="AL1219">
        <v>13</v>
      </c>
      <c r="AM1219">
        <v>7</v>
      </c>
      <c r="AN1219">
        <v>6</v>
      </c>
      <c r="AO1219">
        <v>7</v>
      </c>
    </row>
    <row r="1220" spans="1:41" x14ac:dyDescent="0.2">
      <c r="A1220">
        <v>1689576</v>
      </c>
      <c r="B1220">
        <v>45</v>
      </c>
      <c r="C1220" t="str" cm="1">
        <f t="array" ref="C1220">_xlfn.IFS(B1220&lt;=25,"15-25",B1220&lt;=35,"26-35",B1220&lt;=45,"36-45",B1220&lt;=55,"46-55",B1220&lt;=65,"56-65")</f>
        <v>36-45</v>
      </c>
      <c r="D1220" t="s">
        <v>35</v>
      </c>
      <c r="E1220" t="str">
        <f t="shared" si="38"/>
        <v>Current Employee</v>
      </c>
      <c r="F1220" t="s">
        <v>52</v>
      </c>
      <c r="G1220">
        <v>1238</v>
      </c>
      <c r="H1220" t="s">
        <v>45</v>
      </c>
      <c r="I1220">
        <v>1</v>
      </c>
      <c r="J1220">
        <v>1</v>
      </c>
      <c r="K1220" t="s">
        <v>38</v>
      </c>
      <c r="L1220">
        <v>1</v>
      </c>
      <c r="M1220">
        <v>3</v>
      </c>
      <c r="N1220" t="s">
        <v>46</v>
      </c>
      <c r="O1220">
        <v>74</v>
      </c>
      <c r="P1220">
        <v>2</v>
      </c>
      <c r="Q1220">
        <v>3</v>
      </c>
      <c r="R1220" t="s">
        <v>40</v>
      </c>
      <c r="S1220">
        <v>3</v>
      </c>
      <c r="T1220" t="str" cm="1">
        <f t="array" ref="T1220">_xlfn.IFS(S1220&lt;=2,"Poor",S1220&lt;=3,"Fair",S1220&gt;=4,"Good")</f>
        <v>Fair</v>
      </c>
      <c r="U1220" t="s">
        <v>48</v>
      </c>
      <c r="V1220" s="1">
        <v>10748</v>
      </c>
      <c r="W1220" t="str" cm="1">
        <f t="array" ref="W1220">_xlfn.IFS(V1220&lt;=5000,"Low Salary",V1220&lt;=12000,"Good Salary",V1220&gt;12000,"High Salary")</f>
        <v>Good Salary</v>
      </c>
      <c r="X1220">
        <v>3395</v>
      </c>
      <c r="Y1220">
        <v>3</v>
      </c>
      <c r="Z1220" t="s">
        <v>42</v>
      </c>
      <c r="AA1220" t="s">
        <v>35</v>
      </c>
      <c r="AB1220">
        <v>23</v>
      </c>
      <c r="AC1220">
        <v>4</v>
      </c>
      <c r="AD1220" t="str">
        <f t="shared" si="39"/>
        <v>High Performance</v>
      </c>
      <c r="AE1220">
        <v>4</v>
      </c>
      <c r="AF1220">
        <v>80</v>
      </c>
      <c r="AG1220">
        <v>1</v>
      </c>
      <c r="AH1220">
        <v>25</v>
      </c>
      <c r="AI1220">
        <v>3</v>
      </c>
      <c r="AJ1220">
        <v>2</v>
      </c>
      <c r="AK1220" t="str" cm="1">
        <f t="array" ref="AK1220">_xlfn.IFS(AJ1220&lt;=2,"Poor",AJ1220&lt;=3,"Fair",AJ1220&gt;3,"Good")</f>
        <v>Poor</v>
      </c>
      <c r="AL1220">
        <v>23</v>
      </c>
      <c r="AM1220">
        <v>15</v>
      </c>
      <c r="AN1220">
        <v>14</v>
      </c>
      <c r="AO1220">
        <v>4</v>
      </c>
    </row>
    <row r="1221" spans="1:41" x14ac:dyDescent="0.2">
      <c r="A1221">
        <v>1297488</v>
      </c>
      <c r="B1221">
        <v>24</v>
      </c>
      <c r="C1221" t="str" cm="1">
        <f t="array" ref="C1221">_xlfn.IFS(B1221&lt;=25,"15-25",B1221&lt;=35,"26-35",B1221&lt;=45,"36-45",B1221&lt;=55,"46-55",B1221&lt;=65,"56-65")</f>
        <v>15-25</v>
      </c>
      <c r="D1221" t="s">
        <v>43</v>
      </c>
      <c r="E1221" t="str">
        <f t="shared" si="38"/>
        <v>Former Employee</v>
      </c>
      <c r="F1221" t="s">
        <v>36</v>
      </c>
      <c r="G1221">
        <v>240</v>
      </c>
      <c r="H1221" t="s">
        <v>54</v>
      </c>
      <c r="I1221">
        <v>22</v>
      </c>
      <c r="J1221">
        <v>1</v>
      </c>
      <c r="K1221" t="s">
        <v>57</v>
      </c>
      <c r="L1221">
        <v>1</v>
      </c>
      <c r="M1221">
        <v>4</v>
      </c>
      <c r="N1221" t="s">
        <v>46</v>
      </c>
      <c r="O1221">
        <v>58</v>
      </c>
      <c r="P1221">
        <v>1</v>
      </c>
      <c r="Q1221">
        <v>1</v>
      </c>
      <c r="R1221" t="s">
        <v>47</v>
      </c>
      <c r="S1221">
        <v>3</v>
      </c>
      <c r="T1221" t="str" cm="1">
        <f t="array" ref="T1221">_xlfn.IFS(S1221&lt;=2,"Poor",S1221&lt;=3,"Fair",S1221&gt;=4,"Good")</f>
        <v>Fair</v>
      </c>
      <c r="U1221" t="s">
        <v>48</v>
      </c>
      <c r="V1221" s="1">
        <v>1555</v>
      </c>
      <c r="W1221" t="str" cm="1">
        <f t="array" ref="W1221">_xlfn.IFS(V1221&lt;=5000,"Low Salary",V1221&lt;=12000,"Good Salary",V1221&gt;12000,"High Salary")</f>
        <v>Low Salary</v>
      </c>
      <c r="X1221">
        <v>11585</v>
      </c>
      <c r="Y1221">
        <v>1</v>
      </c>
      <c r="Z1221" t="s">
        <v>42</v>
      </c>
      <c r="AA1221" t="s">
        <v>35</v>
      </c>
      <c r="AB1221">
        <v>11</v>
      </c>
      <c r="AC1221">
        <v>3</v>
      </c>
      <c r="AD1221" t="str">
        <f t="shared" si="39"/>
        <v>Low Performance</v>
      </c>
      <c r="AE1221">
        <v>3</v>
      </c>
      <c r="AF1221">
        <v>80</v>
      </c>
      <c r="AG1221">
        <v>1</v>
      </c>
      <c r="AH1221">
        <v>1</v>
      </c>
      <c r="AI1221">
        <v>2</v>
      </c>
      <c r="AJ1221">
        <v>3</v>
      </c>
      <c r="AK1221" t="str" cm="1">
        <f t="array" ref="AK1221">_xlfn.IFS(AJ1221&lt;=2,"Poor",AJ1221&lt;=3,"Fair",AJ1221&gt;3,"Good")</f>
        <v>Fair</v>
      </c>
      <c r="AL1221">
        <v>1</v>
      </c>
      <c r="AM1221">
        <v>0</v>
      </c>
      <c r="AN1221">
        <v>0</v>
      </c>
      <c r="AO1221">
        <v>0</v>
      </c>
    </row>
    <row r="1222" spans="1:41" x14ac:dyDescent="0.2">
      <c r="A1222">
        <v>1675357</v>
      </c>
      <c r="B1222">
        <v>47</v>
      </c>
      <c r="C1222" t="str" cm="1">
        <f t="array" ref="C1222">_xlfn.IFS(B1222&lt;=25,"15-25",B1222&lt;=35,"26-35",B1222&lt;=45,"36-45",B1222&lt;=55,"46-55",B1222&lt;=65,"56-65")</f>
        <v>46-55</v>
      </c>
      <c r="D1222" t="s">
        <v>43</v>
      </c>
      <c r="E1222" t="str">
        <f t="shared" si="38"/>
        <v>Former Employee</v>
      </c>
      <c r="F1222" t="s">
        <v>44</v>
      </c>
      <c r="G1222">
        <v>1093</v>
      </c>
      <c r="H1222" t="s">
        <v>37</v>
      </c>
      <c r="I1222">
        <v>9</v>
      </c>
      <c r="J1222">
        <v>3</v>
      </c>
      <c r="K1222" t="s">
        <v>38</v>
      </c>
      <c r="L1222">
        <v>1</v>
      </c>
      <c r="M1222">
        <v>3</v>
      </c>
      <c r="N1222" t="s">
        <v>46</v>
      </c>
      <c r="O1222">
        <v>82</v>
      </c>
      <c r="P1222">
        <v>1</v>
      </c>
      <c r="Q1222">
        <v>4</v>
      </c>
      <c r="R1222" t="s">
        <v>40</v>
      </c>
      <c r="S1222">
        <v>3</v>
      </c>
      <c r="T1222" t="str" cm="1">
        <f t="array" ref="T1222">_xlfn.IFS(S1222&lt;=2,"Poor",S1222&lt;=3,"Fair",S1222&gt;=4,"Good")</f>
        <v>Fair</v>
      </c>
      <c r="U1222" t="s">
        <v>48</v>
      </c>
      <c r="V1222" s="1">
        <v>12936</v>
      </c>
      <c r="W1222" t="str" cm="1">
        <f t="array" ref="W1222">_xlfn.IFS(V1222&lt;=5000,"Low Salary",V1222&lt;=12000,"Good Salary",V1222&gt;12000,"High Salary")</f>
        <v>High Salary</v>
      </c>
      <c r="X1222">
        <v>24164</v>
      </c>
      <c r="Y1222">
        <v>7</v>
      </c>
      <c r="Z1222" t="s">
        <v>42</v>
      </c>
      <c r="AA1222" t="s">
        <v>35</v>
      </c>
      <c r="AB1222">
        <v>11</v>
      </c>
      <c r="AC1222">
        <v>3</v>
      </c>
      <c r="AD1222" t="str">
        <f t="shared" si="39"/>
        <v>Low Performance</v>
      </c>
      <c r="AE1222">
        <v>3</v>
      </c>
      <c r="AF1222">
        <v>80</v>
      </c>
      <c r="AG1222">
        <v>0</v>
      </c>
      <c r="AH1222">
        <v>25</v>
      </c>
      <c r="AI1222">
        <v>3</v>
      </c>
      <c r="AJ1222">
        <v>1</v>
      </c>
      <c r="AK1222" t="str" cm="1">
        <f t="array" ref="AK1222">_xlfn.IFS(AJ1222&lt;=2,"Poor",AJ1222&lt;=3,"Fair",AJ1222&gt;3,"Good")</f>
        <v>Poor</v>
      </c>
      <c r="AL1222">
        <v>23</v>
      </c>
      <c r="AM1222">
        <v>5</v>
      </c>
      <c r="AN1222">
        <v>14</v>
      </c>
      <c r="AO1222">
        <v>10</v>
      </c>
    </row>
    <row r="1223" spans="1:41" x14ac:dyDescent="0.2">
      <c r="A1223">
        <v>1704363</v>
      </c>
      <c r="B1223">
        <v>26</v>
      </c>
      <c r="C1223" t="str" cm="1">
        <f t="array" ref="C1223">_xlfn.IFS(B1223&lt;=25,"15-25",B1223&lt;=35,"26-35",B1223&lt;=45,"36-45",B1223&lt;=55,"46-55",B1223&lt;=65,"56-65")</f>
        <v>26-35</v>
      </c>
      <c r="D1223" t="s">
        <v>35</v>
      </c>
      <c r="E1223" t="str">
        <f t="shared" si="38"/>
        <v>Current Employee</v>
      </c>
      <c r="F1223" t="s">
        <v>36</v>
      </c>
      <c r="G1223">
        <v>390</v>
      </c>
      <c r="H1223" t="s">
        <v>45</v>
      </c>
      <c r="I1223">
        <v>17</v>
      </c>
      <c r="J1223">
        <v>4</v>
      </c>
      <c r="K1223" t="s">
        <v>49</v>
      </c>
      <c r="L1223">
        <v>1</v>
      </c>
      <c r="M1223">
        <v>4</v>
      </c>
      <c r="N1223" t="s">
        <v>46</v>
      </c>
      <c r="O1223">
        <v>62</v>
      </c>
      <c r="P1223">
        <v>1</v>
      </c>
      <c r="Q1223">
        <v>1</v>
      </c>
      <c r="R1223" t="s">
        <v>40</v>
      </c>
      <c r="S1223">
        <v>3</v>
      </c>
      <c r="T1223" t="str" cm="1">
        <f t="array" ref="T1223">_xlfn.IFS(S1223&lt;=2,"Poor",S1223&lt;=3,"Fair",S1223&gt;=4,"Good")</f>
        <v>Fair</v>
      </c>
      <c r="U1223" t="s">
        <v>48</v>
      </c>
      <c r="V1223" s="1">
        <v>2305</v>
      </c>
      <c r="W1223" t="str" cm="1">
        <f t="array" ref="W1223">_xlfn.IFS(V1223&lt;=5000,"Low Salary",V1223&lt;=12000,"Good Salary",V1223&gt;12000,"High Salary")</f>
        <v>Low Salary</v>
      </c>
      <c r="X1223">
        <v>6217</v>
      </c>
      <c r="Y1223">
        <v>1</v>
      </c>
      <c r="Z1223" t="s">
        <v>42</v>
      </c>
      <c r="AA1223" t="s">
        <v>35</v>
      </c>
      <c r="AB1223">
        <v>15</v>
      </c>
      <c r="AC1223">
        <v>3</v>
      </c>
      <c r="AD1223" t="str">
        <f t="shared" si="39"/>
        <v>Low Performance</v>
      </c>
      <c r="AE1223">
        <v>3</v>
      </c>
      <c r="AF1223">
        <v>80</v>
      </c>
      <c r="AG1223">
        <v>3</v>
      </c>
      <c r="AH1223">
        <v>3</v>
      </c>
      <c r="AI1223">
        <v>3</v>
      </c>
      <c r="AJ1223">
        <v>4</v>
      </c>
      <c r="AK1223" t="str" cm="1">
        <f t="array" ref="AK1223">_xlfn.IFS(AJ1223&lt;=2,"Poor",AJ1223&lt;=3,"Fair",AJ1223&gt;3,"Good")</f>
        <v>Good</v>
      </c>
      <c r="AL1223">
        <v>3</v>
      </c>
      <c r="AM1223">
        <v>2</v>
      </c>
      <c r="AN1223">
        <v>0</v>
      </c>
      <c r="AO1223">
        <v>2</v>
      </c>
    </row>
    <row r="1224" spans="1:41" x14ac:dyDescent="0.2">
      <c r="A1224">
        <v>1554897</v>
      </c>
      <c r="B1224">
        <v>45</v>
      </c>
      <c r="C1224" t="str" cm="1">
        <f t="array" ref="C1224">_xlfn.IFS(B1224&lt;=25,"15-25",B1224&lt;=35,"26-35",B1224&lt;=45,"36-45",B1224&lt;=55,"46-55",B1224&lt;=65,"56-65")</f>
        <v>36-45</v>
      </c>
      <c r="D1224" t="s">
        <v>35</v>
      </c>
      <c r="E1224" t="str">
        <f t="shared" si="38"/>
        <v>Current Employee</v>
      </c>
      <c r="F1224" t="s">
        <v>36</v>
      </c>
      <c r="G1224">
        <v>1005</v>
      </c>
      <c r="H1224" t="s">
        <v>45</v>
      </c>
      <c r="I1224">
        <v>28</v>
      </c>
      <c r="J1224">
        <v>2</v>
      </c>
      <c r="K1224" t="s">
        <v>56</v>
      </c>
      <c r="L1224">
        <v>1</v>
      </c>
      <c r="M1224">
        <v>4</v>
      </c>
      <c r="N1224" t="s">
        <v>39</v>
      </c>
      <c r="O1224">
        <v>48</v>
      </c>
      <c r="P1224">
        <v>2</v>
      </c>
      <c r="Q1224">
        <v>4</v>
      </c>
      <c r="R1224" t="s">
        <v>53</v>
      </c>
      <c r="S1224">
        <v>2</v>
      </c>
      <c r="T1224" t="str" cm="1">
        <f t="array" ref="T1224">_xlfn.IFS(S1224&lt;=2,"Poor",S1224&lt;=3,"Fair",S1224&gt;=4,"Good")</f>
        <v>Poor</v>
      </c>
      <c r="U1224" t="s">
        <v>41</v>
      </c>
      <c r="V1224" s="1">
        <v>16704</v>
      </c>
      <c r="W1224" t="str" cm="1">
        <f t="array" ref="W1224">_xlfn.IFS(V1224&lt;=5000,"Low Salary",V1224&lt;=12000,"Good Salary",V1224&gt;12000,"High Salary")</f>
        <v>High Salary</v>
      </c>
      <c r="X1224">
        <v>17119</v>
      </c>
      <c r="Y1224">
        <v>1</v>
      </c>
      <c r="Z1224" t="s">
        <v>42</v>
      </c>
      <c r="AA1224" t="s">
        <v>35</v>
      </c>
      <c r="AB1224">
        <v>11</v>
      </c>
      <c r="AC1224">
        <v>3</v>
      </c>
      <c r="AD1224" t="str">
        <f t="shared" si="39"/>
        <v>Low Performance</v>
      </c>
      <c r="AE1224">
        <v>3</v>
      </c>
      <c r="AF1224">
        <v>80</v>
      </c>
      <c r="AG1224">
        <v>0</v>
      </c>
      <c r="AH1224">
        <v>21</v>
      </c>
      <c r="AI1224">
        <v>2</v>
      </c>
      <c r="AJ1224">
        <v>3</v>
      </c>
      <c r="AK1224" t="str" cm="1">
        <f t="array" ref="AK1224">_xlfn.IFS(AJ1224&lt;=2,"Poor",AJ1224&lt;=3,"Fair",AJ1224&gt;3,"Good")</f>
        <v>Fair</v>
      </c>
      <c r="AL1224">
        <v>21</v>
      </c>
      <c r="AM1224">
        <v>6</v>
      </c>
      <c r="AN1224">
        <v>8</v>
      </c>
      <c r="AO1224">
        <v>6</v>
      </c>
    </row>
    <row r="1225" spans="1:41" x14ac:dyDescent="0.2">
      <c r="A1225">
        <v>1430466</v>
      </c>
      <c r="B1225">
        <v>32</v>
      </c>
      <c r="C1225" t="str" cm="1">
        <f t="array" ref="C1225">_xlfn.IFS(B1225&lt;=25,"15-25",B1225&lt;=35,"26-35",B1225&lt;=45,"36-45",B1225&lt;=55,"46-55",B1225&lt;=65,"56-65")</f>
        <v>26-35</v>
      </c>
      <c r="D1225" t="s">
        <v>35</v>
      </c>
      <c r="E1225" t="str">
        <f t="shared" si="38"/>
        <v>Current Employee</v>
      </c>
      <c r="F1225" t="s">
        <v>44</v>
      </c>
      <c r="G1225">
        <v>585</v>
      </c>
      <c r="H1225" t="s">
        <v>45</v>
      </c>
      <c r="I1225">
        <v>10</v>
      </c>
      <c r="J1225">
        <v>3</v>
      </c>
      <c r="K1225" t="s">
        <v>38</v>
      </c>
      <c r="L1225">
        <v>1</v>
      </c>
      <c r="M1225">
        <v>1</v>
      </c>
      <c r="N1225" t="s">
        <v>46</v>
      </c>
      <c r="O1225">
        <v>56</v>
      </c>
      <c r="P1225">
        <v>3</v>
      </c>
      <c r="Q1225">
        <v>1</v>
      </c>
      <c r="R1225" t="s">
        <v>47</v>
      </c>
      <c r="S1225">
        <v>3</v>
      </c>
      <c r="T1225" t="str" cm="1">
        <f t="array" ref="T1225">_xlfn.IFS(S1225&lt;=2,"Poor",S1225&lt;=3,"Fair",S1225&gt;=4,"Good")</f>
        <v>Fair</v>
      </c>
      <c r="U1225" t="s">
        <v>48</v>
      </c>
      <c r="V1225" s="1">
        <v>3433</v>
      </c>
      <c r="W1225" t="str" cm="1">
        <f t="array" ref="W1225">_xlfn.IFS(V1225&lt;=5000,"Low Salary",V1225&lt;=12000,"Good Salary",V1225&gt;12000,"High Salary")</f>
        <v>Low Salary</v>
      </c>
      <c r="X1225">
        <v>17360</v>
      </c>
      <c r="Y1225">
        <v>6</v>
      </c>
      <c r="Z1225" t="s">
        <v>42</v>
      </c>
      <c r="AA1225" t="s">
        <v>35</v>
      </c>
      <c r="AB1225">
        <v>13</v>
      </c>
      <c r="AC1225">
        <v>3</v>
      </c>
      <c r="AD1225" t="str">
        <f t="shared" si="39"/>
        <v>Low Performance</v>
      </c>
      <c r="AE1225">
        <v>1</v>
      </c>
      <c r="AF1225">
        <v>80</v>
      </c>
      <c r="AG1225">
        <v>1</v>
      </c>
      <c r="AH1225">
        <v>10</v>
      </c>
      <c r="AI1225">
        <v>3</v>
      </c>
      <c r="AJ1225">
        <v>2</v>
      </c>
      <c r="AK1225" t="str" cm="1">
        <f t="array" ref="AK1225">_xlfn.IFS(AJ1225&lt;=2,"Poor",AJ1225&lt;=3,"Fair",AJ1225&gt;3,"Good")</f>
        <v>Poor</v>
      </c>
      <c r="AL1225">
        <v>5</v>
      </c>
      <c r="AM1225">
        <v>2</v>
      </c>
      <c r="AN1225">
        <v>1</v>
      </c>
      <c r="AO1225">
        <v>3</v>
      </c>
    </row>
    <row r="1226" spans="1:41" x14ac:dyDescent="0.2">
      <c r="A1226">
        <v>1205920</v>
      </c>
      <c r="B1226">
        <v>31</v>
      </c>
      <c r="C1226" t="str" cm="1">
        <f t="array" ref="C1226">_xlfn.IFS(B1226&lt;=25,"15-25",B1226&lt;=35,"26-35",B1226&lt;=45,"36-45",B1226&lt;=55,"46-55",B1226&lt;=65,"56-65")</f>
        <v>26-35</v>
      </c>
      <c r="D1226" t="s">
        <v>35</v>
      </c>
      <c r="E1226" t="str">
        <f t="shared" si="38"/>
        <v>Current Employee</v>
      </c>
      <c r="F1226" t="s">
        <v>36</v>
      </c>
      <c r="G1226">
        <v>741</v>
      </c>
      <c r="H1226" t="s">
        <v>45</v>
      </c>
      <c r="I1226">
        <v>2</v>
      </c>
      <c r="J1226">
        <v>4</v>
      </c>
      <c r="K1226" t="s">
        <v>38</v>
      </c>
      <c r="L1226">
        <v>1</v>
      </c>
      <c r="M1226">
        <v>2</v>
      </c>
      <c r="N1226" t="s">
        <v>46</v>
      </c>
      <c r="O1226">
        <v>69</v>
      </c>
      <c r="P1226">
        <v>3</v>
      </c>
      <c r="Q1226">
        <v>1</v>
      </c>
      <c r="R1226" t="s">
        <v>40</v>
      </c>
      <c r="S1226">
        <v>3</v>
      </c>
      <c r="T1226" t="str" cm="1">
        <f t="array" ref="T1226">_xlfn.IFS(S1226&lt;=2,"Poor",S1226&lt;=3,"Fair",S1226&gt;=4,"Good")</f>
        <v>Fair</v>
      </c>
      <c r="U1226" t="s">
        <v>48</v>
      </c>
      <c r="V1226" s="1">
        <v>3477</v>
      </c>
      <c r="W1226" t="str" cm="1">
        <f t="array" ref="W1226">_xlfn.IFS(V1226&lt;=5000,"Low Salary",V1226&lt;=12000,"Good Salary",V1226&gt;12000,"High Salary")</f>
        <v>Low Salary</v>
      </c>
      <c r="X1226">
        <v>18103</v>
      </c>
      <c r="Y1226">
        <v>1</v>
      </c>
      <c r="Z1226" t="s">
        <v>42</v>
      </c>
      <c r="AA1226" t="s">
        <v>35</v>
      </c>
      <c r="AB1226">
        <v>14</v>
      </c>
      <c r="AC1226">
        <v>3</v>
      </c>
      <c r="AD1226" t="str">
        <f t="shared" si="39"/>
        <v>Low Performance</v>
      </c>
      <c r="AE1226">
        <v>4</v>
      </c>
      <c r="AF1226">
        <v>80</v>
      </c>
      <c r="AG1226">
        <v>1</v>
      </c>
      <c r="AH1226">
        <v>6</v>
      </c>
      <c r="AI1226">
        <v>2</v>
      </c>
      <c r="AJ1226">
        <v>4</v>
      </c>
      <c r="AK1226" t="str" cm="1">
        <f t="array" ref="AK1226">_xlfn.IFS(AJ1226&lt;=2,"Poor",AJ1226&lt;=3,"Fair",AJ1226&gt;3,"Good")</f>
        <v>Good</v>
      </c>
      <c r="AL1226">
        <v>5</v>
      </c>
      <c r="AM1226">
        <v>2</v>
      </c>
      <c r="AN1226">
        <v>0</v>
      </c>
      <c r="AO1226">
        <v>3</v>
      </c>
    </row>
    <row r="1227" spans="1:41" x14ac:dyDescent="0.2">
      <c r="A1227">
        <v>1702718</v>
      </c>
      <c r="B1227">
        <v>41</v>
      </c>
      <c r="C1227" t="str" cm="1">
        <f t="array" ref="C1227">_xlfn.IFS(B1227&lt;=25,"15-25",B1227&lt;=35,"26-35",B1227&lt;=45,"36-45",B1227&lt;=55,"46-55",B1227&lt;=65,"56-65")</f>
        <v>36-45</v>
      </c>
      <c r="D1227" t="s">
        <v>35</v>
      </c>
      <c r="E1227" t="str">
        <f t="shared" si="38"/>
        <v>Current Employee</v>
      </c>
      <c r="F1227" t="s">
        <v>52</v>
      </c>
      <c r="G1227">
        <v>552</v>
      </c>
      <c r="H1227" t="s">
        <v>54</v>
      </c>
      <c r="I1227">
        <v>4</v>
      </c>
      <c r="J1227">
        <v>3</v>
      </c>
      <c r="K1227" t="s">
        <v>57</v>
      </c>
      <c r="L1227">
        <v>1</v>
      </c>
      <c r="M1227">
        <v>3</v>
      </c>
      <c r="N1227" t="s">
        <v>46</v>
      </c>
      <c r="O1227">
        <v>60</v>
      </c>
      <c r="P1227">
        <v>1</v>
      </c>
      <c r="Q1227">
        <v>2</v>
      </c>
      <c r="R1227" t="s">
        <v>47</v>
      </c>
      <c r="S1227">
        <v>2</v>
      </c>
      <c r="T1227" t="str" cm="1">
        <f t="array" ref="T1227">_xlfn.IFS(S1227&lt;=2,"Poor",S1227&lt;=3,"Fair",S1227&gt;=4,"Good")</f>
        <v>Poor</v>
      </c>
      <c r="U1227" t="s">
        <v>48</v>
      </c>
      <c r="V1227" s="1">
        <v>6430</v>
      </c>
      <c r="W1227" t="str" cm="1">
        <f t="array" ref="W1227">_xlfn.IFS(V1227&lt;=5000,"Low Salary",V1227&lt;=12000,"Good Salary",V1227&gt;12000,"High Salary")</f>
        <v>Good Salary</v>
      </c>
      <c r="X1227">
        <v>20794</v>
      </c>
      <c r="Y1227">
        <v>6</v>
      </c>
      <c r="Z1227" t="s">
        <v>42</v>
      </c>
      <c r="AA1227" t="s">
        <v>35</v>
      </c>
      <c r="AB1227">
        <v>19</v>
      </c>
      <c r="AC1227">
        <v>3</v>
      </c>
      <c r="AD1227" t="str">
        <f t="shared" si="39"/>
        <v>Low Performance</v>
      </c>
      <c r="AE1227">
        <v>2</v>
      </c>
      <c r="AF1227">
        <v>80</v>
      </c>
      <c r="AG1227">
        <v>1</v>
      </c>
      <c r="AH1227">
        <v>10</v>
      </c>
      <c r="AI1227">
        <v>4</v>
      </c>
      <c r="AJ1227">
        <v>3</v>
      </c>
      <c r="AK1227" t="str" cm="1">
        <f t="array" ref="AK1227">_xlfn.IFS(AJ1227&lt;=2,"Poor",AJ1227&lt;=3,"Fair",AJ1227&gt;3,"Good")</f>
        <v>Fair</v>
      </c>
      <c r="AL1227">
        <v>3</v>
      </c>
      <c r="AM1227">
        <v>2</v>
      </c>
      <c r="AN1227">
        <v>1</v>
      </c>
      <c r="AO1227">
        <v>2</v>
      </c>
    </row>
    <row r="1228" spans="1:41" x14ac:dyDescent="0.2">
      <c r="A1228">
        <v>1417199</v>
      </c>
      <c r="B1228">
        <v>40</v>
      </c>
      <c r="C1228" t="str" cm="1">
        <f t="array" ref="C1228">_xlfn.IFS(B1228&lt;=25,"15-25",B1228&lt;=35,"26-35",B1228&lt;=45,"36-45",B1228&lt;=55,"46-55",B1228&lt;=65,"56-65")</f>
        <v>36-45</v>
      </c>
      <c r="D1228" t="s">
        <v>35</v>
      </c>
      <c r="E1228" t="str">
        <f t="shared" si="38"/>
        <v>Current Employee</v>
      </c>
      <c r="F1228" t="s">
        <v>36</v>
      </c>
      <c r="G1228">
        <v>369</v>
      </c>
      <c r="H1228" t="s">
        <v>45</v>
      </c>
      <c r="I1228">
        <v>8</v>
      </c>
      <c r="J1228">
        <v>2</v>
      </c>
      <c r="K1228" t="s">
        <v>38</v>
      </c>
      <c r="L1228">
        <v>1</v>
      </c>
      <c r="M1228">
        <v>2</v>
      </c>
      <c r="N1228" t="s">
        <v>39</v>
      </c>
      <c r="O1228">
        <v>92</v>
      </c>
      <c r="P1228">
        <v>3</v>
      </c>
      <c r="Q1228">
        <v>2</v>
      </c>
      <c r="R1228" t="s">
        <v>51</v>
      </c>
      <c r="S1228">
        <v>1</v>
      </c>
      <c r="T1228" t="str" cm="1">
        <f t="array" ref="T1228">_xlfn.IFS(S1228&lt;=2,"Poor",S1228&lt;=3,"Fair",S1228&gt;=4,"Good")</f>
        <v>Poor</v>
      </c>
      <c r="U1228" t="s">
        <v>48</v>
      </c>
      <c r="V1228" s="1">
        <v>6516</v>
      </c>
      <c r="W1228" t="str" cm="1">
        <f t="array" ref="W1228">_xlfn.IFS(V1228&lt;=5000,"Low Salary",V1228&lt;=12000,"Good Salary",V1228&gt;12000,"High Salary")</f>
        <v>Good Salary</v>
      </c>
      <c r="X1228">
        <v>5041</v>
      </c>
      <c r="Y1228">
        <v>2</v>
      </c>
      <c r="Z1228" t="s">
        <v>42</v>
      </c>
      <c r="AA1228" t="s">
        <v>43</v>
      </c>
      <c r="AB1228">
        <v>16</v>
      </c>
      <c r="AC1228">
        <v>3</v>
      </c>
      <c r="AD1228" t="str">
        <f t="shared" si="39"/>
        <v>Low Performance</v>
      </c>
      <c r="AE1228">
        <v>2</v>
      </c>
      <c r="AF1228">
        <v>80</v>
      </c>
      <c r="AG1228">
        <v>1</v>
      </c>
      <c r="AH1228">
        <v>18</v>
      </c>
      <c r="AI1228">
        <v>3</v>
      </c>
      <c r="AJ1228">
        <v>3</v>
      </c>
      <c r="AK1228" t="str" cm="1">
        <f t="array" ref="AK1228">_xlfn.IFS(AJ1228&lt;=2,"Poor",AJ1228&lt;=3,"Fair",AJ1228&gt;3,"Good")</f>
        <v>Fair</v>
      </c>
      <c r="AL1228">
        <v>1</v>
      </c>
      <c r="AM1228">
        <v>0</v>
      </c>
      <c r="AN1228">
        <v>0</v>
      </c>
      <c r="AO1228">
        <v>0</v>
      </c>
    </row>
    <row r="1229" spans="1:41" x14ac:dyDescent="0.2">
      <c r="A1229">
        <v>1078051</v>
      </c>
      <c r="B1229">
        <v>24</v>
      </c>
      <c r="C1229" t="str" cm="1">
        <f t="array" ref="C1229">_xlfn.IFS(B1229&lt;=25,"15-25",B1229&lt;=35,"26-35",B1229&lt;=45,"36-45",B1229&lt;=55,"46-55",B1229&lt;=65,"56-65")</f>
        <v>15-25</v>
      </c>
      <c r="D1229" t="s">
        <v>35</v>
      </c>
      <c r="E1229" t="str">
        <f t="shared" si="38"/>
        <v>Current Employee</v>
      </c>
      <c r="F1229" t="s">
        <v>36</v>
      </c>
      <c r="G1229">
        <v>506</v>
      </c>
      <c r="H1229" t="s">
        <v>45</v>
      </c>
      <c r="I1229">
        <v>29</v>
      </c>
      <c r="J1229">
        <v>1</v>
      </c>
      <c r="K1229" t="s">
        <v>49</v>
      </c>
      <c r="L1229">
        <v>1</v>
      </c>
      <c r="M1229">
        <v>2</v>
      </c>
      <c r="N1229" t="s">
        <v>46</v>
      </c>
      <c r="O1229">
        <v>91</v>
      </c>
      <c r="P1229">
        <v>3</v>
      </c>
      <c r="Q1229">
        <v>1</v>
      </c>
      <c r="R1229" t="s">
        <v>40</v>
      </c>
      <c r="S1229">
        <v>1</v>
      </c>
      <c r="T1229" t="str" cm="1">
        <f t="array" ref="T1229">_xlfn.IFS(S1229&lt;=2,"Poor",S1229&lt;=3,"Fair",S1229&gt;=4,"Good")</f>
        <v>Poor</v>
      </c>
      <c r="U1229" t="s">
        <v>50</v>
      </c>
      <c r="V1229" s="1">
        <v>3907</v>
      </c>
      <c r="W1229" t="str" cm="1">
        <f t="array" ref="W1229">_xlfn.IFS(V1229&lt;=5000,"Low Salary",V1229&lt;=12000,"Good Salary",V1229&gt;12000,"High Salary")</f>
        <v>Low Salary</v>
      </c>
      <c r="X1229">
        <v>3622</v>
      </c>
      <c r="Y1229">
        <v>1</v>
      </c>
      <c r="Z1229" t="s">
        <v>42</v>
      </c>
      <c r="AA1229" t="s">
        <v>35</v>
      </c>
      <c r="AB1229">
        <v>13</v>
      </c>
      <c r="AC1229">
        <v>3</v>
      </c>
      <c r="AD1229" t="str">
        <f t="shared" si="39"/>
        <v>Low Performance</v>
      </c>
      <c r="AE1229">
        <v>2</v>
      </c>
      <c r="AF1229">
        <v>80</v>
      </c>
      <c r="AG1229">
        <v>3</v>
      </c>
      <c r="AH1229">
        <v>6</v>
      </c>
      <c r="AI1229">
        <v>2</v>
      </c>
      <c r="AJ1229">
        <v>4</v>
      </c>
      <c r="AK1229" t="str" cm="1">
        <f t="array" ref="AK1229">_xlfn.IFS(AJ1229&lt;=2,"Poor",AJ1229&lt;=3,"Fair",AJ1229&gt;3,"Good")</f>
        <v>Good</v>
      </c>
      <c r="AL1229">
        <v>6</v>
      </c>
      <c r="AM1229">
        <v>2</v>
      </c>
      <c r="AN1229">
        <v>1</v>
      </c>
      <c r="AO1229">
        <v>2</v>
      </c>
    </row>
    <row r="1230" spans="1:41" x14ac:dyDescent="0.2">
      <c r="A1230">
        <v>1146326</v>
      </c>
      <c r="B1230">
        <v>46</v>
      </c>
      <c r="C1230" t="str" cm="1">
        <f t="array" ref="C1230">_xlfn.IFS(B1230&lt;=25,"15-25",B1230&lt;=35,"26-35",B1230&lt;=45,"36-45",B1230&lt;=55,"46-55",B1230&lt;=65,"56-65")</f>
        <v>46-55</v>
      </c>
      <c r="D1230" t="s">
        <v>35</v>
      </c>
      <c r="E1230" t="str">
        <f t="shared" si="38"/>
        <v>Current Employee</v>
      </c>
      <c r="F1230" t="s">
        <v>36</v>
      </c>
      <c r="G1230">
        <v>717</v>
      </c>
      <c r="H1230" t="s">
        <v>45</v>
      </c>
      <c r="I1230">
        <v>13</v>
      </c>
      <c r="J1230">
        <v>4</v>
      </c>
      <c r="K1230" t="s">
        <v>38</v>
      </c>
      <c r="L1230">
        <v>1</v>
      </c>
      <c r="M1230">
        <v>3</v>
      </c>
      <c r="N1230" t="s">
        <v>46</v>
      </c>
      <c r="O1230">
        <v>34</v>
      </c>
      <c r="P1230">
        <v>3</v>
      </c>
      <c r="Q1230">
        <v>2</v>
      </c>
      <c r="R1230" t="s">
        <v>40</v>
      </c>
      <c r="S1230">
        <v>2</v>
      </c>
      <c r="T1230" t="str" cm="1">
        <f t="array" ref="T1230">_xlfn.IFS(S1230&lt;=2,"Poor",S1230&lt;=3,"Fair",S1230&gt;=4,"Good")</f>
        <v>Poor</v>
      </c>
      <c r="U1230" t="s">
        <v>41</v>
      </c>
      <c r="V1230" s="1">
        <v>5562</v>
      </c>
      <c r="W1230" t="str" cm="1">
        <f t="array" ref="W1230">_xlfn.IFS(V1230&lt;=5000,"Low Salary",V1230&lt;=12000,"Good Salary",V1230&gt;12000,"High Salary")</f>
        <v>Good Salary</v>
      </c>
      <c r="X1230">
        <v>9697</v>
      </c>
      <c r="Y1230">
        <v>6</v>
      </c>
      <c r="Z1230" t="s">
        <v>42</v>
      </c>
      <c r="AA1230" t="s">
        <v>35</v>
      </c>
      <c r="AB1230">
        <v>14</v>
      </c>
      <c r="AC1230">
        <v>3</v>
      </c>
      <c r="AD1230" t="str">
        <f t="shared" si="39"/>
        <v>Low Performance</v>
      </c>
      <c r="AE1230">
        <v>4</v>
      </c>
      <c r="AF1230">
        <v>80</v>
      </c>
      <c r="AG1230">
        <v>0</v>
      </c>
      <c r="AH1230">
        <v>19</v>
      </c>
      <c r="AI1230">
        <v>3</v>
      </c>
      <c r="AJ1230">
        <v>3</v>
      </c>
      <c r="AK1230" t="str" cm="1">
        <f t="array" ref="AK1230">_xlfn.IFS(AJ1230&lt;=2,"Poor",AJ1230&lt;=3,"Fair",AJ1230&gt;3,"Good")</f>
        <v>Fair</v>
      </c>
      <c r="AL1230">
        <v>10</v>
      </c>
      <c r="AM1230">
        <v>7</v>
      </c>
      <c r="AN1230">
        <v>0</v>
      </c>
      <c r="AO1230">
        <v>9</v>
      </c>
    </row>
    <row r="1231" spans="1:41" x14ac:dyDescent="0.2">
      <c r="A1231">
        <v>1044017</v>
      </c>
      <c r="B1231">
        <v>35</v>
      </c>
      <c r="C1231" t="str" cm="1">
        <f t="array" ref="C1231">_xlfn.IFS(B1231&lt;=25,"15-25",B1231&lt;=35,"26-35",B1231&lt;=45,"36-45",B1231&lt;=55,"46-55",B1231&lt;=65,"56-65")</f>
        <v>26-35</v>
      </c>
      <c r="D1231" t="s">
        <v>35</v>
      </c>
      <c r="E1231" t="str">
        <f t="shared" si="38"/>
        <v>Current Employee</v>
      </c>
      <c r="F1231" t="s">
        <v>36</v>
      </c>
      <c r="G1231">
        <v>1370</v>
      </c>
      <c r="H1231" t="s">
        <v>45</v>
      </c>
      <c r="I1231">
        <v>27</v>
      </c>
      <c r="J1231">
        <v>4</v>
      </c>
      <c r="K1231" t="s">
        <v>38</v>
      </c>
      <c r="L1231">
        <v>1</v>
      </c>
      <c r="M1231">
        <v>4</v>
      </c>
      <c r="N1231" t="s">
        <v>46</v>
      </c>
      <c r="O1231">
        <v>49</v>
      </c>
      <c r="P1231">
        <v>3</v>
      </c>
      <c r="Q1231">
        <v>2</v>
      </c>
      <c r="R1231" t="s">
        <v>51</v>
      </c>
      <c r="S1231">
        <v>3</v>
      </c>
      <c r="T1231" t="str" cm="1">
        <f t="array" ref="T1231">_xlfn.IFS(S1231&lt;=2,"Poor",S1231&lt;=3,"Fair",S1231&gt;=4,"Good")</f>
        <v>Fair</v>
      </c>
      <c r="U1231" t="s">
        <v>48</v>
      </c>
      <c r="V1231" s="1">
        <v>6883</v>
      </c>
      <c r="W1231" t="str" cm="1">
        <f t="array" ref="W1231">_xlfn.IFS(V1231&lt;=5000,"Low Salary",V1231&lt;=12000,"Good Salary",V1231&gt;12000,"High Salary")</f>
        <v>Good Salary</v>
      </c>
      <c r="X1231">
        <v>5151</v>
      </c>
      <c r="Y1231">
        <v>2</v>
      </c>
      <c r="Z1231" t="s">
        <v>42</v>
      </c>
      <c r="AA1231" t="s">
        <v>35</v>
      </c>
      <c r="AB1231">
        <v>16</v>
      </c>
      <c r="AC1231">
        <v>3</v>
      </c>
      <c r="AD1231" t="str">
        <f t="shared" si="39"/>
        <v>Low Performance</v>
      </c>
      <c r="AE1231">
        <v>2</v>
      </c>
      <c r="AF1231">
        <v>80</v>
      </c>
      <c r="AG1231">
        <v>1</v>
      </c>
      <c r="AH1231">
        <v>17</v>
      </c>
      <c r="AI1231">
        <v>3</v>
      </c>
      <c r="AJ1231">
        <v>3</v>
      </c>
      <c r="AK1231" t="str" cm="1">
        <f t="array" ref="AK1231">_xlfn.IFS(AJ1231&lt;=2,"Poor",AJ1231&lt;=3,"Fair",AJ1231&gt;3,"Good")</f>
        <v>Fair</v>
      </c>
      <c r="AL1231">
        <v>7</v>
      </c>
      <c r="AM1231">
        <v>7</v>
      </c>
      <c r="AN1231">
        <v>0</v>
      </c>
      <c r="AO1231">
        <v>7</v>
      </c>
    </row>
    <row r="1232" spans="1:41" x14ac:dyDescent="0.2">
      <c r="A1232">
        <v>1294406</v>
      </c>
      <c r="B1232">
        <v>30</v>
      </c>
      <c r="C1232" t="str" cm="1">
        <f t="array" ref="C1232">_xlfn.IFS(B1232&lt;=25,"15-25",B1232&lt;=35,"26-35",B1232&lt;=45,"36-45",B1232&lt;=55,"46-55",B1232&lt;=65,"56-65")</f>
        <v>26-35</v>
      </c>
      <c r="D1232" t="s">
        <v>35</v>
      </c>
      <c r="E1232" t="str">
        <f t="shared" si="38"/>
        <v>Current Employee</v>
      </c>
      <c r="F1232" t="s">
        <v>36</v>
      </c>
      <c r="G1232">
        <v>793</v>
      </c>
      <c r="H1232" t="s">
        <v>45</v>
      </c>
      <c r="I1232">
        <v>16</v>
      </c>
      <c r="J1232">
        <v>1</v>
      </c>
      <c r="K1232" t="s">
        <v>38</v>
      </c>
      <c r="L1232">
        <v>1</v>
      </c>
      <c r="M1232">
        <v>2</v>
      </c>
      <c r="N1232" t="s">
        <v>46</v>
      </c>
      <c r="O1232">
        <v>33</v>
      </c>
      <c r="P1232">
        <v>3</v>
      </c>
      <c r="Q1232">
        <v>1</v>
      </c>
      <c r="R1232" t="s">
        <v>47</v>
      </c>
      <c r="S1232">
        <v>4</v>
      </c>
      <c r="T1232" t="str" cm="1">
        <f t="array" ref="T1232">_xlfn.IFS(S1232&lt;=2,"Poor",S1232&lt;=3,"Fair",S1232&gt;=4,"Good")</f>
        <v>Good</v>
      </c>
      <c r="U1232" t="s">
        <v>48</v>
      </c>
      <c r="V1232" s="1">
        <v>2862</v>
      </c>
      <c r="W1232" t="str" cm="1">
        <f t="array" ref="W1232">_xlfn.IFS(V1232&lt;=5000,"Low Salary",V1232&lt;=12000,"Good Salary",V1232&gt;12000,"High Salary")</f>
        <v>Low Salary</v>
      </c>
      <c r="X1232">
        <v>3811</v>
      </c>
      <c r="Y1232">
        <v>1</v>
      </c>
      <c r="Z1232" t="s">
        <v>42</v>
      </c>
      <c r="AA1232" t="s">
        <v>35</v>
      </c>
      <c r="AB1232">
        <v>12</v>
      </c>
      <c r="AC1232">
        <v>3</v>
      </c>
      <c r="AD1232" t="str">
        <f t="shared" si="39"/>
        <v>Low Performance</v>
      </c>
      <c r="AE1232">
        <v>2</v>
      </c>
      <c r="AF1232">
        <v>80</v>
      </c>
      <c r="AG1232">
        <v>1</v>
      </c>
      <c r="AH1232">
        <v>10</v>
      </c>
      <c r="AI1232">
        <v>2</v>
      </c>
      <c r="AJ1232">
        <v>2</v>
      </c>
      <c r="AK1232" t="str" cm="1">
        <f t="array" ref="AK1232">_xlfn.IFS(AJ1232&lt;=2,"Poor",AJ1232&lt;=3,"Fair",AJ1232&gt;3,"Good")</f>
        <v>Poor</v>
      </c>
      <c r="AL1232">
        <v>10</v>
      </c>
      <c r="AM1232">
        <v>0</v>
      </c>
      <c r="AN1232">
        <v>0</v>
      </c>
      <c r="AO1232">
        <v>8</v>
      </c>
    </row>
    <row r="1233" spans="1:41" x14ac:dyDescent="0.2">
      <c r="A1233">
        <v>1280706</v>
      </c>
      <c r="B1233">
        <v>47</v>
      </c>
      <c r="C1233" t="str" cm="1">
        <f t="array" ref="C1233">_xlfn.IFS(B1233&lt;=25,"15-25",B1233&lt;=35,"26-35",B1233&lt;=45,"36-45",B1233&lt;=55,"46-55",B1233&lt;=65,"56-65")</f>
        <v>46-55</v>
      </c>
      <c r="D1233" t="s">
        <v>35</v>
      </c>
      <c r="E1233" t="str">
        <f t="shared" si="38"/>
        <v>Current Employee</v>
      </c>
      <c r="F1233" t="s">
        <v>52</v>
      </c>
      <c r="G1233">
        <v>543</v>
      </c>
      <c r="H1233" t="s">
        <v>37</v>
      </c>
      <c r="I1233">
        <v>2</v>
      </c>
      <c r="J1233">
        <v>4</v>
      </c>
      <c r="K1233" t="s">
        <v>55</v>
      </c>
      <c r="L1233">
        <v>1</v>
      </c>
      <c r="M1233">
        <v>3</v>
      </c>
      <c r="N1233" t="s">
        <v>46</v>
      </c>
      <c r="O1233">
        <v>87</v>
      </c>
      <c r="P1233">
        <v>3</v>
      </c>
      <c r="Q1233">
        <v>2</v>
      </c>
      <c r="R1233" t="s">
        <v>40</v>
      </c>
      <c r="S1233">
        <v>2</v>
      </c>
      <c r="T1233" t="str" cm="1">
        <f t="array" ref="T1233">_xlfn.IFS(S1233&lt;=2,"Poor",S1233&lt;=3,"Fair",S1233&gt;=4,"Good")</f>
        <v>Poor</v>
      </c>
      <c r="U1233" t="s">
        <v>48</v>
      </c>
      <c r="V1233" s="1">
        <v>4978</v>
      </c>
      <c r="W1233" t="str" cm="1">
        <f t="array" ref="W1233">_xlfn.IFS(V1233&lt;=5000,"Low Salary",V1233&lt;=12000,"Good Salary",V1233&gt;12000,"High Salary")</f>
        <v>Low Salary</v>
      </c>
      <c r="X1233">
        <v>3536</v>
      </c>
      <c r="Y1233">
        <v>7</v>
      </c>
      <c r="Z1233" t="s">
        <v>42</v>
      </c>
      <c r="AA1233" t="s">
        <v>35</v>
      </c>
      <c r="AB1233">
        <v>11</v>
      </c>
      <c r="AC1233">
        <v>3</v>
      </c>
      <c r="AD1233" t="str">
        <f t="shared" si="39"/>
        <v>Low Performance</v>
      </c>
      <c r="AE1233">
        <v>4</v>
      </c>
      <c r="AF1233">
        <v>80</v>
      </c>
      <c r="AG1233">
        <v>1</v>
      </c>
      <c r="AH1233">
        <v>4</v>
      </c>
      <c r="AI1233">
        <v>3</v>
      </c>
      <c r="AJ1233">
        <v>1</v>
      </c>
      <c r="AK1233" t="str" cm="1">
        <f t="array" ref="AK1233">_xlfn.IFS(AJ1233&lt;=2,"Poor",AJ1233&lt;=3,"Fair",AJ1233&gt;3,"Good")</f>
        <v>Poor</v>
      </c>
      <c r="AL1233">
        <v>1</v>
      </c>
      <c r="AM1233">
        <v>0</v>
      </c>
      <c r="AN1233">
        <v>0</v>
      </c>
      <c r="AO1233">
        <v>0</v>
      </c>
    </row>
    <row r="1234" spans="1:41" x14ac:dyDescent="0.2">
      <c r="A1234">
        <v>1488805</v>
      </c>
      <c r="B1234">
        <v>46</v>
      </c>
      <c r="C1234" t="str" cm="1">
        <f t="array" ref="C1234">_xlfn.IFS(B1234&lt;=25,"15-25",B1234&lt;=35,"26-35",B1234&lt;=45,"36-45",B1234&lt;=55,"46-55",B1234&lt;=65,"56-65")</f>
        <v>46-55</v>
      </c>
      <c r="D1234" t="s">
        <v>35</v>
      </c>
      <c r="E1234" t="str">
        <f t="shared" si="38"/>
        <v>Current Employee</v>
      </c>
      <c r="F1234" t="s">
        <v>36</v>
      </c>
      <c r="G1234">
        <v>1277</v>
      </c>
      <c r="H1234" t="s">
        <v>37</v>
      </c>
      <c r="I1234">
        <v>2</v>
      </c>
      <c r="J1234">
        <v>3</v>
      </c>
      <c r="K1234" t="s">
        <v>38</v>
      </c>
      <c r="L1234">
        <v>1</v>
      </c>
      <c r="M1234">
        <v>3</v>
      </c>
      <c r="N1234" t="s">
        <v>46</v>
      </c>
      <c r="O1234">
        <v>74</v>
      </c>
      <c r="P1234">
        <v>3</v>
      </c>
      <c r="Q1234">
        <v>3</v>
      </c>
      <c r="R1234" t="s">
        <v>40</v>
      </c>
      <c r="S1234">
        <v>4</v>
      </c>
      <c r="T1234" t="str" cm="1">
        <f t="array" ref="T1234">_xlfn.IFS(S1234&lt;=2,"Poor",S1234&lt;=3,"Fair",S1234&gt;=4,"Good")</f>
        <v>Good</v>
      </c>
      <c r="U1234" t="s">
        <v>50</v>
      </c>
      <c r="V1234" s="1">
        <v>10368</v>
      </c>
      <c r="W1234" t="str" cm="1">
        <f t="array" ref="W1234">_xlfn.IFS(V1234&lt;=5000,"Low Salary",V1234&lt;=12000,"Good Salary",V1234&gt;12000,"High Salary")</f>
        <v>Good Salary</v>
      </c>
      <c r="X1234">
        <v>5596</v>
      </c>
      <c r="Y1234">
        <v>4</v>
      </c>
      <c r="Z1234" t="s">
        <v>42</v>
      </c>
      <c r="AA1234" t="s">
        <v>43</v>
      </c>
      <c r="AB1234">
        <v>12</v>
      </c>
      <c r="AC1234">
        <v>3</v>
      </c>
      <c r="AD1234" t="str">
        <f t="shared" si="39"/>
        <v>Low Performance</v>
      </c>
      <c r="AE1234">
        <v>2</v>
      </c>
      <c r="AF1234">
        <v>80</v>
      </c>
      <c r="AG1234">
        <v>1</v>
      </c>
      <c r="AH1234">
        <v>13</v>
      </c>
      <c r="AI1234">
        <v>5</v>
      </c>
      <c r="AJ1234">
        <v>2</v>
      </c>
      <c r="AK1234" t="str" cm="1">
        <f t="array" ref="AK1234">_xlfn.IFS(AJ1234&lt;=2,"Poor",AJ1234&lt;=3,"Fair",AJ1234&gt;3,"Good")</f>
        <v>Poor</v>
      </c>
      <c r="AL1234">
        <v>10</v>
      </c>
      <c r="AM1234">
        <v>6</v>
      </c>
      <c r="AN1234">
        <v>0</v>
      </c>
      <c r="AO1234">
        <v>3</v>
      </c>
    </row>
    <row r="1235" spans="1:41" x14ac:dyDescent="0.2">
      <c r="A1235">
        <v>1315940</v>
      </c>
      <c r="B1235">
        <v>36</v>
      </c>
      <c r="C1235" t="str" cm="1">
        <f t="array" ref="C1235">_xlfn.IFS(B1235&lt;=25,"15-25",B1235&lt;=35,"26-35",B1235&lt;=45,"36-45",B1235&lt;=55,"46-55",B1235&lt;=65,"56-65")</f>
        <v>36-45</v>
      </c>
      <c r="D1235" t="s">
        <v>35</v>
      </c>
      <c r="E1235" t="str">
        <f t="shared" si="38"/>
        <v>Current Employee</v>
      </c>
      <c r="F1235" t="s">
        <v>36</v>
      </c>
      <c r="G1235">
        <v>1456</v>
      </c>
      <c r="H1235" t="s">
        <v>37</v>
      </c>
      <c r="I1235">
        <v>13</v>
      </c>
      <c r="J1235">
        <v>5</v>
      </c>
      <c r="K1235" t="s">
        <v>55</v>
      </c>
      <c r="L1235">
        <v>1</v>
      </c>
      <c r="M1235">
        <v>2</v>
      </c>
      <c r="N1235" t="s">
        <v>46</v>
      </c>
      <c r="O1235">
        <v>96</v>
      </c>
      <c r="P1235">
        <v>2</v>
      </c>
      <c r="Q1235">
        <v>2</v>
      </c>
      <c r="R1235" t="s">
        <v>40</v>
      </c>
      <c r="S1235">
        <v>1</v>
      </c>
      <c r="T1235" t="str" cm="1">
        <f t="array" ref="T1235">_xlfn.IFS(S1235&lt;=2,"Poor",S1235&lt;=3,"Fair",S1235&gt;=4,"Good")</f>
        <v>Poor</v>
      </c>
      <c r="U1235" t="s">
        <v>50</v>
      </c>
      <c r="V1235" s="1">
        <v>6134</v>
      </c>
      <c r="W1235" t="str" cm="1">
        <f t="array" ref="W1235">_xlfn.IFS(V1235&lt;=5000,"Low Salary",V1235&lt;=12000,"Good Salary",V1235&gt;12000,"High Salary")</f>
        <v>Good Salary</v>
      </c>
      <c r="X1235">
        <v>8658</v>
      </c>
      <c r="Y1235">
        <v>5</v>
      </c>
      <c r="Z1235" t="s">
        <v>42</v>
      </c>
      <c r="AA1235" t="s">
        <v>43</v>
      </c>
      <c r="AB1235">
        <v>13</v>
      </c>
      <c r="AC1235">
        <v>3</v>
      </c>
      <c r="AD1235" t="str">
        <f t="shared" si="39"/>
        <v>Low Performance</v>
      </c>
      <c r="AE1235">
        <v>2</v>
      </c>
      <c r="AF1235">
        <v>80</v>
      </c>
      <c r="AG1235">
        <v>3</v>
      </c>
      <c r="AH1235">
        <v>16</v>
      </c>
      <c r="AI1235">
        <v>3</v>
      </c>
      <c r="AJ1235">
        <v>3</v>
      </c>
      <c r="AK1235" t="str" cm="1">
        <f t="array" ref="AK1235">_xlfn.IFS(AJ1235&lt;=2,"Poor",AJ1235&lt;=3,"Fair",AJ1235&gt;3,"Good")</f>
        <v>Fair</v>
      </c>
      <c r="AL1235">
        <v>2</v>
      </c>
      <c r="AM1235">
        <v>2</v>
      </c>
      <c r="AN1235">
        <v>2</v>
      </c>
      <c r="AO1235">
        <v>2</v>
      </c>
    </row>
    <row r="1236" spans="1:41" x14ac:dyDescent="0.2">
      <c r="A1236">
        <v>1878824</v>
      </c>
      <c r="B1236">
        <v>32</v>
      </c>
      <c r="C1236" t="str" cm="1">
        <f t="array" ref="C1236">_xlfn.IFS(B1236&lt;=25,"15-25",B1236&lt;=35,"26-35",B1236&lt;=45,"36-45",B1236&lt;=55,"46-55",B1236&lt;=65,"56-65")</f>
        <v>26-35</v>
      </c>
      <c r="D1236" t="s">
        <v>43</v>
      </c>
      <c r="E1236" t="str">
        <f t="shared" si="38"/>
        <v>Former Employee</v>
      </c>
      <c r="F1236" t="s">
        <v>36</v>
      </c>
      <c r="G1236">
        <v>964</v>
      </c>
      <c r="H1236" t="s">
        <v>37</v>
      </c>
      <c r="I1236">
        <v>1</v>
      </c>
      <c r="J1236">
        <v>2</v>
      </c>
      <c r="K1236" t="s">
        <v>38</v>
      </c>
      <c r="L1236">
        <v>1</v>
      </c>
      <c r="M1236">
        <v>1</v>
      </c>
      <c r="N1236" t="s">
        <v>46</v>
      </c>
      <c r="O1236">
        <v>34</v>
      </c>
      <c r="P1236">
        <v>1</v>
      </c>
      <c r="Q1236">
        <v>2</v>
      </c>
      <c r="R1236" t="s">
        <v>40</v>
      </c>
      <c r="S1236">
        <v>2</v>
      </c>
      <c r="T1236" t="str" cm="1">
        <f t="array" ref="T1236">_xlfn.IFS(S1236&lt;=2,"Poor",S1236&lt;=3,"Fair",S1236&gt;=4,"Good")</f>
        <v>Poor</v>
      </c>
      <c r="U1236" t="s">
        <v>41</v>
      </c>
      <c r="V1236" s="1">
        <v>6735</v>
      </c>
      <c r="W1236" t="str" cm="1">
        <f t="array" ref="W1236">_xlfn.IFS(V1236&lt;=5000,"Low Salary",V1236&lt;=12000,"Good Salary",V1236&gt;12000,"High Salary")</f>
        <v>Good Salary</v>
      </c>
      <c r="X1236">
        <v>12147</v>
      </c>
      <c r="Y1236">
        <v>6</v>
      </c>
      <c r="Z1236" t="s">
        <v>42</v>
      </c>
      <c r="AA1236" t="s">
        <v>35</v>
      </c>
      <c r="AB1236">
        <v>15</v>
      </c>
      <c r="AC1236">
        <v>3</v>
      </c>
      <c r="AD1236" t="str">
        <f t="shared" si="39"/>
        <v>Low Performance</v>
      </c>
      <c r="AE1236">
        <v>2</v>
      </c>
      <c r="AF1236">
        <v>80</v>
      </c>
      <c r="AG1236">
        <v>0</v>
      </c>
      <c r="AH1236">
        <v>10</v>
      </c>
      <c r="AI1236">
        <v>2</v>
      </c>
      <c r="AJ1236">
        <v>3</v>
      </c>
      <c r="AK1236" t="str" cm="1">
        <f t="array" ref="AK1236">_xlfn.IFS(AJ1236&lt;=2,"Poor",AJ1236&lt;=3,"Fair",AJ1236&gt;3,"Good")</f>
        <v>Fair</v>
      </c>
      <c r="AL1236">
        <v>0</v>
      </c>
      <c r="AM1236">
        <v>0</v>
      </c>
      <c r="AN1236">
        <v>0</v>
      </c>
      <c r="AO1236">
        <v>0</v>
      </c>
    </row>
    <row r="1237" spans="1:41" x14ac:dyDescent="0.2">
      <c r="A1237">
        <v>1658260</v>
      </c>
      <c r="B1237">
        <v>23</v>
      </c>
      <c r="C1237" t="str" cm="1">
        <f t="array" ref="C1237">_xlfn.IFS(B1237&lt;=25,"15-25",B1237&lt;=35,"26-35",B1237&lt;=45,"36-45",B1237&lt;=55,"46-55",B1237&lt;=65,"56-65")</f>
        <v>15-25</v>
      </c>
      <c r="D1237" t="s">
        <v>35</v>
      </c>
      <c r="E1237" t="str">
        <f t="shared" si="38"/>
        <v>Current Employee</v>
      </c>
      <c r="F1237" t="s">
        <v>36</v>
      </c>
      <c r="G1237">
        <v>160</v>
      </c>
      <c r="H1237" t="s">
        <v>45</v>
      </c>
      <c r="I1237">
        <v>4</v>
      </c>
      <c r="J1237">
        <v>1</v>
      </c>
      <c r="K1237" t="s">
        <v>49</v>
      </c>
      <c r="L1237">
        <v>1</v>
      </c>
      <c r="M1237">
        <v>3</v>
      </c>
      <c r="N1237" t="s">
        <v>39</v>
      </c>
      <c r="O1237">
        <v>51</v>
      </c>
      <c r="P1237">
        <v>3</v>
      </c>
      <c r="Q1237">
        <v>1</v>
      </c>
      <c r="R1237" t="s">
        <v>40</v>
      </c>
      <c r="S1237">
        <v>2</v>
      </c>
      <c r="T1237" t="str" cm="1">
        <f t="array" ref="T1237">_xlfn.IFS(S1237&lt;=2,"Poor",S1237&lt;=3,"Fair",S1237&gt;=4,"Good")</f>
        <v>Poor</v>
      </c>
      <c r="U1237" t="s">
        <v>41</v>
      </c>
      <c r="V1237" s="1">
        <v>3295</v>
      </c>
      <c r="W1237" t="str" cm="1">
        <f t="array" ref="W1237">_xlfn.IFS(V1237&lt;=5000,"Low Salary",V1237&lt;=12000,"Good Salary",V1237&gt;12000,"High Salary")</f>
        <v>Low Salary</v>
      </c>
      <c r="X1237">
        <v>12862</v>
      </c>
      <c r="Y1237">
        <v>1</v>
      </c>
      <c r="Z1237" t="s">
        <v>42</v>
      </c>
      <c r="AA1237" t="s">
        <v>35</v>
      </c>
      <c r="AB1237">
        <v>13</v>
      </c>
      <c r="AC1237">
        <v>3</v>
      </c>
      <c r="AD1237" t="str">
        <f t="shared" si="39"/>
        <v>Low Performance</v>
      </c>
      <c r="AE1237">
        <v>3</v>
      </c>
      <c r="AF1237">
        <v>80</v>
      </c>
      <c r="AG1237">
        <v>0</v>
      </c>
      <c r="AH1237">
        <v>3</v>
      </c>
      <c r="AI1237">
        <v>3</v>
      </c>
      <c r="AJ1237">
        <v>1</v>
      </c>
      <c r="AK1237" t="str" cm="1">
        <f t="array" ref="AK1237">_xlfn.IFS(AJ1237&lt;=2,"Poor",AJ1237&lt;=3,"Fair",AJ1237&gt;3,"Good")</f>
        <v>Poor</v>
      </c>
      <c r="AL1237">
        <v>3</v>
      </c>
      <c r="AM1237">
        <v>2</v>
      </c>
      <c r="AN1237">
        <v>1</v>
      </c>
      <c r="AO1237">
        <v>2</v>
      </c>
    </row>
    <row r="1238" spans="1:41" x14ac:dyDescent="0.2">
      <c r="A1238">
        <v>1246363</v>
      </c>
      <c r="B1238">
        <v>31</v>
      </c>
      <c r="C1238" t="str" cm="1">
        <f t="array" ref="C1238">_xlfn.IFS(B1238&lt;=25,"15-25",B1238&lt;=35,"26-35",B1238&lt;=45,"36-45",B1238&lt;=55,"46-55",B1238&lt;=65,"56-65")</f>
        <v>26-35</v>
      </c>
      <c r="D1238" t="s">
        <v>35</v>
      </c>
      <c r="E1238" t="str">
        <f t="shared" si="38"/>
        <v>Current Employee</v>
      </c>
      <c r="F1238" t="s">
        <v>44</v>
      </c>
      <c r="G1238">
        <v>163</v>
      </c>
      <c r="H1238" t="s">
        <v>45</v>
      </c>
      <c r="I1238">
        <v>24</v>
      </c>
      <c r="J1238">
        <v>1</v>
      </c>
      <c r="K1238" t="s">
        <v>56</v>
      </c>
      <c r="L1238">
        <v>1</v>
      </c>
      <c r="M1238">
        <v>4</v>
      </c>
      <c r="N1238" t="s">
        <v>39</v>
      </c>
      <c r="O1238">
        <v>30</v>
      </c>
      <c r="P1238">
        <v>3</v>
      </c>
      <c r="Q1238">
        <v>2</v>
      </c>
      <c r="R1238" t="s">
        <v>51</v>
      </c>
      <c r="S1238">
        <v>4</v>
      </c>
      <c r="T1238" t="str" cm="1">
        <f t="array" ref="T1238">_xlfn.IFS(S1238&lt;=2,"Poor",S1238&lt;=3,"Fair",S1238&gt;=4,"Good")</f>
        <v>Good</v>
      </c>
      <c r="U1238" t="s">
        <v>41</v>
      </c>
      <c r="V1238" s="1">
        <v>5238</v>
      </c>
      <c r="W1238" t="str" cm="1">
        <f t="array" ref="W1238">_xlfn.IFS(V1238&lt;=5000,"Low Salary",V1238&lt;=12000,"Good Salary",V1238&gt;12000,"High Salary")</f>
        <v>Good Salary</v>
      </c>
      <c r="X1238">
        <v>6670</v>
      </c>
      <c r="Y1238">
        <v>2</v>
      </c>
      <c r="Z1238" t="s">
        <v>42</v>
      </c>
      <c r="AA1238" t="s">
        <v>35</v>
      </c>
      <c r="AB1238">
        <v>20</v>
      </c>
      <c r="AC1238">
        <v>4</v>
      </c>
      <c r="AD1238" t="str">
        <f t="shared" si="39"/>
        <v>High Performance</v>
      </c>
      <c r="AE1238">
        <v>4</v>
      </c>
      <c r="AF1238">
        <v>80</v>
      </c>
      <c r="AG1238">
        <v>0</v>
      </c>
      <c r="AH1238">
        <v>9</v>
      </c>
      <c r="AI1238">
        <v>3</v>
      </c>
      <c r="AJ1238">
        <v>2</v>
      </c>
      <c r="AK1238" t="str" cm="1">
        <f t="array" ref="AK1238">_xlfn.IFS(AJ1238&lt;=2,"Poor",AJ1238&lt;=3,"Fair",AJ1238&gt;3,"Good")</f>
        <v>Poor</v>
      </c>
      <c r="AL1238">
        <v>5</v>
      </c>
      <c r="AM1238">
        <v>4</v>
      </c>
      <c r="AN1238">
        <v>1</v>
      </c>
      <c r="AO1238">
        <v>4</v>
      </c>
    </row>
    <row r="1239" spans="1:41" x14ac:dyDescent="0.2">
      <c r="A1239">
        <v>1360469</v>
      </c>
      <c r="B1239">
        <v>39</v>
      </c>
      <c r="C1239" t="str" cm="1">
        <f t="array" ref="C1239">_xlfn.IFS(B1239&lt;=25,"15-25",B1239&lt;=35,"26-35",B1239&lt;=45,"36-45",B1239&lt;=55,"46-55",B1239&lt;=65,"56-65")</f>
        <v>36-45</v>
      </c>
      <c r="D1239" t="s">
        <v>35</v>
      </c>
      <c r="E1239" t="str">
        <f t="shared" si="38"/>
        <v>Current Employee</v>
      </c>
      <c r="F1239" t="s">
        <v>52</v>
      </c>
      <c r="G1239">
        <v>792</v>
      </c>
      <c r="H1239" t="s">
        <v>45</v>
      </c>
      <c r="I1239">
        <v>1</v>
      </c>
      <c r="J1239">
        <v>3</v>
      </c>
      <c r="K1239" t="s">
        <v>38</v>
      </c>
      <c r="L1239">
        <v>1</v>
      </c>
      <c r="M1239">
        <v>4</v>
      </c>
      <c r="N1239" t="s">
        <v>46</v>
      </c>
      <c r="O1239">
        <v>77</v>
      </c>
      <c r="P1239">
        <v>3</v>
      </c>
      <c r="Q1239">
        <v>2</v>
      </c>
      <c r="R1239" t="s">
        <v>40</v>
      </c>
      <c r="S1239">
        <v>4</v>
      </c>
      <c r="T1239" t="str" cm="1">
        <f t="array" ref="T1239">_xlfn.IFS(S1239&lt;=2,"Poor",S1239&lt;=3,"Fair",S1239&gt;=4,"Good")</f>
        <v>Good</v>
      </c>
      <c r="U1239" t="s">
        <v>48</v>
      </c>
      <c r="V1239" s="1">
        <v>6472</v>
      </c>
      <c r="W1239" t="str" cm="1">
        <f t="array" ref="W1239">_xlfn.IFS(V1239&lt;=5000,"Low Salary",V1239&lt;=12000,"Good Salary",V1239&gt;12000,"High Salary")</f>
        <v>Good Salary</v>
      </c>
      <c r="X1239">
        <v>8989</v>
      </c>
      <c r="Y1239">
        <v>1</v>
      </c>
      <c r="Z1239" t="s">
        <v>42</v>
      </c>
      <c r="AA1239" t="s">
        <v>43</v>
      </c>
      <c r="AB1239">
        <v>15</v>
      </c>
      <c r="AC1239">
        <v>3</v>
      </c>
      <c r="AD1239" t="str">
        <f t="shared" si="39"/>
        <v>Low Performance</v>
      </c>
      <c r="AE1239">
        <v>4</v>
      </c>
      <c r="AF1239">
        <v>80</v>
      </c>
      <c r="AG1239">
        <v>1</v>
      </c>
      <c r="AH1239">
        <v>9</v>
      </c>
      <c r="AI1239">
        <v>2</v>
      </c>
      <c r="AJ1239">
        <v>3</v>
      </c>
      <c r="AK1239" t="str" cm="1">
        <f t="array" ref="AK1239">_xlfn.IFS(AJ1239&lt;=2,"Poor",AJ1239&lt;=3,"Fair",AJ1239&gt;3,"Good")</f>
        <v>Fair</v>
      </c>
      <c r="AL1239">
        <v>9</v>
      </c>
      <c r="AM1239">
        <v>8</v>
      </c>
      <c r="AN1239">
        <v>5</v>
      </c>
      <c r="AO1239">
        <v>8</v>
      </c>
    </row>
    <row r="1240" spans="1:41" x14ac:dyDescent="0.2">
      <c r="A1240">
        <v>1412303</v>
      </c>
      <c r="B1240">
        <v>32</v>
      </c>
      <c r="C1240" t="str" cm="1">
        <f t="array" ref="C1240">_xlfn.IFS(B1240&lt;=25,"15-25",B1240&lt;=35,"26-35",B1240&lt;=45,"36-45",B1240&lt;=55,"46-55",B1240&lt;=65,"56-65")</f>
        <v>26-35</v>
      </c>
      <c r="D1240" t="s">
        <v>35</v>
      </c>
      <c r="E1240" t="str">
        <f t="shared" si="38"/>
        <v>Current Employee</v>
      </c>
      <c r="F1240" t="s">
        <v>36</v>
      </c>
      <c r="G1240">
        <v>371</v>
      </c>
      <c r="H1240" t="s">
        <v>37</v>
      </c>
      <c r="I1240">
        <v>19</v>
      </c>
      <c r="J1240">
        <v>3</v>
      </c>
      <c r="K1240" t="s">
        <v>38</v>
      </c>
      <c r="L1240">
        <v>1</v>
      </c>
      <c r="M1240">
        <v>4</v>
      </c>
      <c r="N1240" t="s">
        <v>46</v>
      </c>
      <c r="O1240">
        <v>80</v>
      </c>
      <c r="P1240">
        <v>1</v>
      </c>
      <c r="Q1240">
        <v>3</v>
      </c>
      <c r="R1240" t="s">
        <v>40</v>
      </c>
      <c r="S1240">
        <v>3</v>
      </c>
      <c r="T1240" t="str" cm="1">
        <f t="array" ref="T1240">_xlfn.IFS(S1240&lt;=2,"Poor",S1240&lt;=3,"Fair",S1240&gt;=4,"Good")</f>
        <v>Fair</v>
      </c>
      <c r="U1240" t="s">
        <v>48</v>
      </c>
      <c r="V1240" s="1">
        <v>9610</v>
      </c>
      <c r="W1240" t="str" cm="1">
        <f t="array" ref="W1240">_xlfn.IFS(V1240&lt;=5000,"Low Salary",V1240&lt;=12000,"Good Salary",V1240&gt;12000,"High Salary")</f>
        <v>Good Salary</v>
      </c>
      <c r="X1240">
        <v>3840</v>
      </c>
      <c r="Y1240">
        <v>3</v>
      </c>
      <c r="Z1240" t="s">
        <v>42</v>
      </c>
      <c r="AA1240" t="s">
        <v>35</v>
      </c>
      <c r="AB1240">
        <v>13</v>
      </c>
      <c r="AC1240">
        <v>3</v>
      </c>
      <c r="AD1240" t="str">
        <f t="shared" si="39"/>
        <v>Low Performance</v>
      </c>
      <c r="AE1240">
        <v>3</v>
      </c>
      <c r="AF1240">
        <v>80</v>
      </c>
      <c r="AG1240">
        <v>1</v>
      </c>
      <c r="AH1240">
        <v>10</v>
      </c>
      <c r="AI1240">
        <v>2</v>
      </c>
      <c r="AJ1240">
        <v>1</v>
      </c>
      <c r="AK1240" t="str" cm="1">
        <f t="array" ref="AK1240">_xlfn.IFS(AJ1240&lt;=2,"Poor",AJ1240&lt;=3,"Fair",AJ1240&gt;3,"Good")</f>
        <v>Poor</v>
      </c>
      <c r="AL1240">
        <v>4</v>
      </c>
      <c r="AM1240">
        <v>3</v>
      </c>
      <c r="AN1240">
        <v>0</v>
      </c>
      <c r="AO1240">
        <v>2</v>
      </c>
    </row>
    <row r="1241" spans="1:41" x14ac:dyDescent="0.2">
      <c r="A1241">
        <v>1360714</v>
      </c>
      <c r="B1241">
        <v>40</v>
      </c>
      <c r="C1241" t="str" cm="1">
        <f t="array" ref="C1241">_xlfn.IFS(B1241&lt;=25,"15-25",B1241&lt;=35,"26-35",B1241&lt;=45,"36-45",B1241&lt;=55,"46-55",B1241&lt;=65,"56-65")</f>
        <v>36-45</v>
      </c>
      <c r="D1241" t="s">
        <v>35</v>
      </c>
      <c r="E1241" t="str">
        <f t="shared" si="38"/>
        <v>Current Employee</v>
      </c>
      <c r="F1241" t="s">
        <v>36</v>
      </c>
      <c r="G1241">
        <v>611</v>
      </c>
      <c r="H1241" t="s">
        <v>37</v>
      </c>
      <c r="I1241">
        <v>7</v>
      </c>
      <c r="J1241">
        <v>4</v>
      </c>
      <c r="K1241" t="s">
        <v>49</v>
      </c>
      <c r="L1241">
        <v>1</v>
      </c>
      <c r="M1241">
        <v>2</v>
      </c>
      <c r="N1241" t="s">
        <v>46</v>
      </c>
      <c r="O1241">
        <v>88</v>
      </c>
      <c r="P1241">
        <v>3</v>
      </c>
      <c r="Q1241">
        <v>5</v>
      </c>
      <c r="R1241" t="s">
        <v>53</v>
      </c>
      <c r="S1241">
        <v>2</v>
      </c>
      <c r="T1241" t="str" cm="1">
        <f t="array" ref="T1241">_xlfn.IFS(S1241&lt;=2,"Poor",S1241&lt;=3,"Fair",S1241&gt;=4,"Good")</f>
        <v>Poor</v>
      </c>
      <c r="U1241" t="s">
        <v>41</v>
      </c>
      <c r="V1241" s="1">
        <v>19833</v>
      </c>
      <c r="W1241" t="str" cm="1">
        <f t="array" ref="W1241">_xlfn.IFS(V1241&lt;=5000,"Low Salary",V1241&lt;=12000,"Good Salary",V1241&gt;12000,"High Salary")</f>
        <v>High Salary</v>
      </c>
      <c r="X1241">
        <v>4349</v>
      </c>
      <c r="Y1241">
        <v>1</v>
      </c>
      <c r="Z1241" t="s">
        <v>42</v>
      </c>
      <c r="AA1241" t="s">
        <v>35</v>
      </c>
      <c r="AB1241">
        <v>14</v>
      </c>
      <c r="AC1241">
        <v>3</v>
      </c>
      <c r="AD1241" t="str">
        <f t="shared" si="39"/>
        <v>Low Performance</v>
      </c>
      <c r="AE1241">
        <v>2</v>
      </c>
      <c r="AF1241">
        <v>80</v>
      </c>
      <c r="AG1241">
        <v>0</v>
      </c>
      <c r="AH1241">
        <v>21</v>
      </c>
      <c r="AI1241">
        <v>3</v>
      </c>
      <c r="AJ1241">
        <v>2</v>
      </c>
      <c r="AK1241" t="str" cm="1">
        <f t="array" ref="AK1241">_xlfn.IFS(AJ1241&lt;=2,"Poor",AJ1241&lt;=3,"Fair",AJ1241&gt;3,"Good")</f>
        <v>Poor</v>
      </c>
      <c r="AL1241">
        <v>21</v>
      </c>
      <c r="AM1241">
        <v>8</v>
      </c>
      <c r="AN1241">
        <v>12</v>
      </c>
      <c r="AO1241">
        <v>8</v>
      </c>
    </row>
    <row r="1242" spans="1:41" x14ac:dyDescent="0.2">
      <c r="A1242">
        <v>1383815</v>
      </c>
      <c r="B1242">
        <v>45</v>
      </c>
      <c r="C1242" t="str" cm="1">
        <f t="array" ref="C1242">_xlfn.IFS(B1242&lt;=25,"15-25",B1242&lt;=35,"26-35",B1242&lt;=45,"36-45",B1242&lt;=55,"46-55",B1242&lt;=65,"56-65")</f>
        <v>36-45</v>
      </c>
      <c r="D1242" t="s">
        <v>35</v>
      </c>
      <c r="E1242" t="str">
        <f t="shared" si="38"/>
        <v>Current Employee</v>
      </c>
      <c r="F1242" t="s">
        <v>36</v>
      </c>
      <c r="G1242">
        <v>176</v>
      </c>
      <c r="H1242" t="s">
        <v>54</v>
      </c>
      <c r="I1242">
        <v>4</v>
      </c>
      <c r="J1242">
        <v>3</v>
      </c>
      <c r="K1242" t="s">
        <v>38</v>
      </c>
      <c r="L1242">
        <v>1</v>
      </c>
      <c r="M1242">
        <v>3</v>
      </c>
      <c r="N1242" t="s">
        <v>39</v>
      </c>
      <c r="O1242">
        <v>56</v>
      </c>
      <c r="P1242">
        <v>1</v>
      </c>
      <c r="Q1242">
        <v>3</v>
      </c>
      <c r="R1242" t="s">
        <v>47</v>
      </c>
      <c r="S1242">
        <v>3</v>
      </c>
      <c r="T1242" t="str" cm="1">
        <f t="array" ref="T1242">_xlfn.IFS(S1242&lt;=2,"Poor",S1242&lt;=3,"Fair",S1242&gt;=4,"Good")</f>
        <v>Fair</v>
      </c>
      <c r="U1242" t="s">
        <v>48</v>
      </c>
      <c r="V1242" s="1">
        <v>9756</v>
      </c>
      <c r="W1242" t="str" cm="1">
        <f t="array" ref="W1242">_xlfn.IFS(V1242&lt;=5000,"Low Salary",V1242&lt;=12000,"Good Salary",V1242&gt;12000,"High Salary")</f>
        <v>Good Salary</v>
      </c>
      <c r="X1242">
        <v>6595</v>
      </c>
      <c r="Y1242">
        <v>4</v>
      </c>
      <c r="Z1242" t="s">
        <v>42</v>
      </c>
      <c r="AA1242" t="s">
        <v>35</v>
      </c>
      <c r="AB1242">
        <v>21</v>
      </c>
      <c r="AC1242">
        <v>4</v>
      </c>
      <c r="AD1242" t="str">
        <f t="shared" si="39"/>
        <v>High Performance</v>
      </c>
      <c r="AE1242">
        <v>3</v>
      </c>
      <c r="AF1242">
        <v>80</v>
      </c>
      <c r="AG1242">
        <v>2</v>
      </c>
      <c r="AH1242">
        <v>9</v>
      </c>
      <c r="AI1242">
        <v>2</v>
      </c>
      <c r="AJ1242">
        <v>4</v>
      </c>
      <c r="AK1242" t="str" cm="1">
        <f t="array" ref="AK1242">_xlfn.IFS(AJ1242&lt;=2,"Poor",AJ1242&lt;=3,"Fair",AJ1242&gt;3,"Good")</f>
        <v>Good</v>
      </c>
      <c r="AL1242">
        <v>5</v>
      </c>
      <c r="AM1242">
        <v>0</v>
      </c>
      <c r="AN1242">
        <v>0</v>
      </c>
      <c r="AO1242">
        <v>3</v>
      </c>
    </row>
    <row r="1243" spans="1:41" x14ac:dyDescent="0.2">
      <c r="A1243">
        <v>1620383</v>
      </c>
      <c r="B1243">
        <v>30</v>
      </c>
      <c r="C1243" t="str" cm="1">
        <f t="array" ref="C1243">_xlfn.IFS(B1243&lt;=25,"15-25",B1243&lt;=35,"26-35",B1243&lt;=45,"36-45",B1243&lt;=55,"46-55",B1243&lt;=65,"56-65")</f>
        <v>26-35</v>
      </c>
      <c r="D1243" t="s">
        <v>35</v>
      </c>
      <c r="E1243" t="str">
        <f t="shared" si="38"/>
        <v>Current Employee</v>
      </c>
      <c r="F1243" t="s">
        <v>44</v>
      </c>
      <c r="G1243">
        <v>1312</v>
      </c>
      <c r="H1243" t="s">
        <v>45</v>
      </c>
      <c r="I1243">
        <v>2</v>
      </c>
      <c r="J1243">
        <v>4</v>
      </c>
      <c r="K1243" t="s">
        <v>56</v>
      </c>
      <c r="L1243">
        <v>1</v>
      </c>
      <c r="M1243">
        <v>4</v>
      </c>
      <c r="N1243" t="s">
        <v>39</v>
      </c>
      <c r="O1243">
        <v>78</v>
      </c>
      <c r="P1243">
        <v>2</v>
      </c>
      <c r="Q1243">
        <v>1</v>
      </c>
      <c r="R1243" t="s">
        <v>47</v>
      </c>
      <c r="S1243">
        <v>1</v>
      </c>
      <c r="T1243" t="str" cm="1">
        <f t="array" ref="T1243">_xlfn.IFS(S1243&lt;=2,"Poor",S1243&lt;=3,"Fair",S1243&gt;=4,"Good")</f>
        <v>Poor</v>
      </c>
      <c r="U1243" t="s">
        <v>41</v>
      </c>
      <c r="V1243" s="1">
        <v>4968</v>
      </c>
      <c r="W1243" t="str" cm="1">
        <f t="array" ref="W1243">_xlfn.IFS(V1243&lt;=5000,"Low Salary",V1243&lt;=12000,"Good Salary",V1243&gt;12000,"High Salary")</f>
        <v>Low Salary</v>
      </c>
      <c r="X1243">
        <v>26427</v>
      </c>
      <c r="Y1243">
        <v>0</v>
      </c>
      <c r="Z1243" t="s">
        <v>42</v>
      </c>
      <c r="AA1243" t="s">
        <v>35</v>
      </c>
      <c r="AB1243">
        <v>16</v>
      </c>
      <c r="AC1243">
        <v>3</v>
      </c>
      <c r="AD1243" t="str">
        <f t="shared" si="39"/>
        <v>Low Performance</v>
      </c>
      <c r="AE1243">
        <v>4</v>
      </c>
      <c r="AF1243">
        <v>80</v>
      </c>
      <c r="AG1243">
        <v>0</v>
      </c>
      <c r="AH1243">
        <v>10</v>
      </c>
      <c r="AI1243">
        <v>2</v>
      </c>
      <c r="AJ1243">
        <v>3</v>
      </c>
      <c r="AK1243" t="str" cm="1">
        <f t="array" ref="AK1243">_xlfn.IFS(AJ1243&lt;=2,"Poor",AJ1243&lt;=3,"Fair",AJ1243&gt;3,"Good")</f>
        <v>Fair</v>
      </c>
      <c r="AL1243">
        <v>9</v>
      </c>
      <c r="AM1243">
        <v>7</v>
      </c>
      <c r="AN1243">
        <v>0</v>
      </c>
      <c r="AO1243">
        <v>7</v>
      </c>
    </row>
    <row r="1244" spans="1:41" x14ac:dyDescent="0.2">
      <c r="A1244">
        <v>1377529</v>
      </c>
      <c r="B1244">
        <v>24</v>
      </c>
      <c r="C1244" t="str" cm="1">
        <f t="array" ref="C1244">_xlfn.IFS(B1244&lt;=25,"15-25",B1244&lt;=35,"26-35",B1244&lt;=45,"36-45",B1244&lt;=55,"46-55",B1244&lt;=65,"56-65")</f>
        <v>15-25</v>
      </c>
      <c r="D1244" t="s">
        <v>35</v>
      </c>
      <c r="E1244" t="str">
        <f t="shared" si="38"/>
        <v>Current Employee</v>
      </c>
      <c r="F1244" t="s">
        <v>44</v>
      </c>
      <c r="G1244">
        <v>897</v>
      </c>
      <c r="H1244" t="s">
        <v>54</v>
      </c>
      <c r="I1244">
        <v>10</v>
      </c>
      <c r="J1244">
        <v>3</v>
      </c>
      <c r="K1244" t="s">
        <v>49</v>
      </c>
      <c r="L1244">
        <v>1</v>
      </c>
      <c r="M1244">
        <v>1</v>
      </c>
      <c r="N1244" t="s">
        <v>46</v>
      </c>
      <c r="O1244">
        <v>59</v>
      </c>
      <c r="P1244">
        <v>3</v>
      </c>
      <c r="Q1244">
        <v>1</v>
      </c>
      <c r="R1244" t="s">
        <v>47</v>
      </c>
      <c r="S1244">
        <v>4</v>
      </c>
      <c r="T1244" t="str" cm="1">
        <f t="array" ref="T1244">_xlfn.IFS(S1244&lt;=2,"Poor",S1244&lt;=3,"Fair",S1244&gt;=4,"Good")</f>
        <v>Good</v>
      </c>
      <c r="U1244" t="s">
        <v>48</v>
      </c>
      <c r="V1244" s="1">
        <v>2145</v>
      </c>
      <c r="W1244" t="str" cm="1">
        <f t="array" ref="W1244">_xlfn.IFS(V1244&lt;=5000,"Low Salary",V1244&lt;=12000,"Good Salary",V1244&gt;12000,"High Salary")</f>
        <v>Low Salary</v>
      </c>
      <c r="X1244">
        <v>2097</v>
      </c>
      <c r="Y1244">
        <v>0</v>
      </c>
      <c r="Z1244" t="s">
        <v>42</v>
      </c>
      <c r="AA1244" t="s">
        <v>35</v>
      </c>
      <c r="AB1244">
        <v>14</v>
      </c>
      <c r="AC1244">
        <v>3</v>
      </c>
      <c r="AD1244" t="str">
        <f t="shared" si="39"/>
        <v>Low Performance</v>
      </c>
      <c r="AE1244">
        <v>4</v>
      </c>
      <c r="AF1244">
        <v>80</v>
      </c>
      <c r="AG1244">
        <v>1</v>
      </c>
      <c r="AH1244">
        <v>3</v>
      </c>
      <c r="AI1244">
        <v>2</v>
      </c>
      <c r="AJ1244">
        <v>3</v>
      </c>
      <c r="AK1244" t="str" cm="1">
        <f t="array" ref="AK1244">_xlfn.IFS(AJ1244&lt;=2,"Poor",AJ1244&lt;=3,"Fair",AJ1244&gt;3,"Good")</f>
        <v>Fair</v>
      </c>
      <c r="AL1244">
        <v>2</v>
      </c>
      <c r="AM1244">
        <v>2</v>
      </c>
      <c r="AN1244">
        <v>2</v>
      </c>
      <c r="AO1244">
        <v>1</v>
      </c>
    </row>
    <row r="1245" spans="1:41" x14ac:dyDescent="0.2">
      <c r="A1245">
        <v>1828538</v>
      </c>
      <c r="B1245">
        <v>30</v>
      </c>
      <c r="C1245" t="str" cm="1">
        <f t="array" ref="C1245">_xlfn.IFS(B1245&lt;=25,"15-25",B1245&lt;=35,"26-35",B1245&lt;=45,"36-45",B1245&lt;=55,"46-55",B1245&lt;=65,"56-65")</f>
        <v>26-35</v>
      </c>
      <c r="D1245" t="s">
        <v>43</v>
      </c>
      <c r="E1245" t="str">
        <f t="shared" si="38"/>
        <v>Former Employee</v>
      </c>
      <c r="F1245" t="s">
        <v>44</v>
      </c>
      <c r="G1245">
        <v>600</v>
      </c>
      <c r="H1245" t="s">
        <v>54</v>
      </c>
      <c r="I1245">
        <v>8</v>
      </c>
      <c r="J1245">
        <v>3</v>
      </c>
      <c r="K1245" t="s">
        <v>57</v>
      </c>
      <c r="L1245">
        <v>1</v>
      </c>
      <c r="M1245">
        <v>3</v>
      </c>
      <c r="N1245" t="s">
        <v>39</v>
      </c>
      <c r="O1245">
        <v>66</v>
      </c>
      <c r="P1245">
        <v>2</v>
      </c>
      <c r="Q1245">
        <v>1</v>
      </c>
      <c r="R1245" t="s">
        <v>47</v>
      </c>
      <c r="S1245">
        <v>4</v>
      </c>
      <c r="T1245" t="str" cm="1">
        <f t="array" ref="T1245">_xlfn.IFS(S1245&lt;=2,"Poor",S1245&lt;=3,"Fair",S1245&gt;=4,"Good")</f>
        <v>Good</v>
      </c>
      <c r="U1245" t="s">
        <v>50</v>
      </c>
      <c r="V1245" s="1">
        <v>2180</v>
      </c>
      <c r="W1245" t="str" cm="1">
        <f t="array" ref="W1245">_xlfn.IFS(V1245&lt;=5000,"Low Salary",V1245&lt;=12000,"Good Salary",V1245&gt;12000,"High Salary")</f>
        <v>Low Salary</v>
      </c>
      <c r="X1245">
        <v>9732</v>
      </c>
      <c r="Y1245">
        <v>6</v>
      </c>
      <c r="Z1245" t="s">
        <v>42</v>
      </c>
      <c r="AA1245" t="s">
        <v>35</v>
      </c>
      <c r="AB1245">
        <v>11</v>
      </c>
      <c r="AC1245">
        <v>3</v>
      </c>
      <c r="AD1245" t="str">
        <f t="shared" si="39"/>
        <v>Low Performance</v>
      </c>
      <c r="AE1245">
        <v>3</v>
      </c>
      <c r="AF1245">
        <v>80</v>
      </c>
      <c r="AG1245">
        <v>1</v>
      </c>
      <c r="AH1245">
        <v>6</v>
      </c>
      <c r="AI1245">
        <v>0</v>
      </c>
      <c r="AJ1245">
        <v>2</v>
      </c>
      <c r="AK1245" t="str" cm="1">
        <f t="array" ref="AK1245">_xlfn.IFS(AJ1245&lt;=2,"Poor",AJ1245&lt;=3,"Fair",AJ1245&gt;3,"Good")</f>
        <v>Poor</v>
      </c>
      <c r="AL1245">
        <v>4</v>
      </c>
      <c r="AM1245">
        <v>2</v>
      </c>
      <c r="AN1245">
        <v>1</v>
      </c>
      <c r="AO1245">
        <v>2</v>
      </c>
    </row>
    <row r="1246" spans="1:41" x14ac:dyDescent="0.2">
      <c r="A1246">
        <v>1692811</v>
      </c>
      <c r="B1246">
        <v>31</v>
      </c>
      <c r="C1246" t="str" cm="1">
        <f t="array" ref="C1246">_xlfn.IFS(B1246&lt;=25,"15-25",B1246&lt;=35,"26-35",B1246&lt;=45,"36-45",B1246&lt;=55,"46-55",B1246&lt;=65,"56-65")</f>
        <v>26-35</v>
      </c>
      <c r="D1246" t="s">
        <v>35</v>
      </c>
      <c r="E1246" t="str">
        <f t="shared" si="38"/>
        <v>Current Employee</v>
      </c>
      <c r="F1246" t="s">
        <v>36</v>
      </c>
      <c r="G1246">
        <v>1003</v>
      </c>
      <c r="H1246" t="s">
        <v>37</v>
      </c>
      <c r="I1246">
        <v>5</v>
      </c>
      <c r="J1246">
        <v>3</v>
      </c>
      <c r="K1246" t="s">
        <v>56</v>
      </c>
      <c r="L1246">
        <v>1</v>
      </c>
      <c r="M1246">
        <v>1</v>
      </c>
      <c r="N1246" t="s">
        <v>46</v>
      </c>
      <c r="O1246">
        <v>51</v>
      </c>
      <c r="P1246">
        <v>3</v>
      </c>
      <c r="Q1246">
        <v>2</v>
      </c>
      <c r="R1246" t="s">
        <v>40</v>
      </c>
      <c r="S1246">
        <v>3</v>
      </c>
      <c r="T1246" t="str" cm="1">
        <f t="array" ref="T1246">_xlfn.IFS(S1246&lt;=2,"Poor",S1246&lt;=3,"Fair",S1246&gt;=4,"Good")</f>
        <v>Fair</v>
      </c>
      <c r="U1246" t="s">
        <v>48</v>
      </c>
      <c r="V1246" s="1">
        <v>8346</v>
      </c>
      <c r="W1246" t="str" cm="1">
        <f t="array" ref="W1246">_xlfn.IFS(V1246&lt;=5000,"Low Salary",V1246&lt;=12000,"Good Salary",V1246&gt;12000,"High Salary")</f>
        <v>Good Salary</v>
      </c>
      <c r="X1246">
        <v>20943</v>
      </c>
      <c r="Y1246">
        <v>1</v>
      </c>
      <c r="Z1246" t="s">
        <v>42</v>
      </c>
      <c r="AA1246" t="s">
        <v>35</v>
      </c>
      <c r="AB1246">
        <v>19</v>
      </c>
      <c r="AC1246">
        <v>3</v>
      </c>
      <c r="AD1246" t="str">
        <f t="shared" si="39"/>
        <v>Low Performance</v>
      </c>
      <c r="AE1246">
        <v>3</v>
      </c>
      <c r="AF1246">
        <v>80</v>
      </c>
      <c r="AG1246">
        <v>1</v>
      </c>
      <c r="AH1246">
        <v>6</v>
      </c>
      <c r="AI1246">
        <v>3</v>
      </c>
      <c r="AJ1246">
        <v>3</v>
      </c>
      <c r="AK1246" t="str" cm="1">
        <f t="array" ref="AK1246">_xlfn.IFS(AJ1246&lt;=2,"Poor",AJ1246&lt;=3,"Fair",AJ1246&gt;3,"Good")</f>
        <v>Fair</v>
      </c>
      <c r="AL1246">
        <v>5</v>
      </c>
      <c r="AM1246">
        <v>2</v>
      </c>
      <c r="AN1246">
        <v>0</v>
      </c>
      <c r="AO1246">
        <v>2</v>
      </c>
    </row>
    <row r="1247" spans="1:41" x14ac:dyDescent="0.2">
      <c r="A1247">
        <v>1030937</v>
      </c>
      <c r="B1247">
        <v>27</v>
      </c>
      <c r="C1247" t="str" cm="1">
        <f t="array" ref="C1247">_xlfn.IFS(B1247&lt;=25,"15-25",B1247&lt;=35,"26-35",B1247&lt;=45,"36-45",B1247&lt;=55,"46-55",B1247&lt;=65,"56-65")</f>
        <v>26-35</v>
      </c>
      <c r="D1247" t="s">
        <v>35</v>
      </c>
      <c r="E1247" t="str">
        <f t="shared" si="38"/>
        <v>Current Employee</v>
      </c>
      <c r="F1247" t="s">
        <v>36</v>
      </c>
      <c r="G1247">
        <v>1054</v>
      </c>
      <c r="H1247" t="s">
        <v>45</v>
      </c>
      <c r="I1247">
        <v>8</v>
      </c>
      <c r="J1247">
        <v>3</v>
      </c>
      <c r="K1247" t="s">
        <v>49</v>
      </c>
      <c r="L1247">
        <v>1</v>
      </c>
      <c r="M1247">
        <v>3</v>
      </c>
      <c r="N1247" t="s">
        <v>39</v>
      </c>
      <c r="O1247">
        <v>67</v>
      </c>
      <c r="P1247">
        <v>3</v>
      </c>
      <c r="Q1247">
        <v>1</v>
      </c>
      <c r="R1247" t="s">
        <v>47</v>
      </c>
      <c r="S1247">
        <v>4</v>
      </c>
      <c r="T1247" t="str" cm="1">
        <f t="array" ref="T1247">_xlfn.IFS(S1247&lt;=2,"Poor",S1247&lt;=3,"Fair",S1247&gt;=4,"Good")</f>
        <v>Good</v>
      </c>
      <c r="U1247" t="s">
        <v>41</v>
      </c>
      <c r="V1247" s="1">
        <v>3445</v>
      </c>
      <c r="W1247" t="str" cm="1">
        <f t="array" ref="W1247">_xlfn.IFS(V1247&lt;=5000,"Low Salary",V1247&lt;=12000,"Good Salary",V1247&gt;12000,"High Salary")</f>
        <v>Low Salary</v>
      </c>
      <c r="X1247">
        <v>6152</v>
      </c>
      <c r="Y1247">
        <v>1</v>
      </c>
      <c r="Z1247" t="s">
        <v>42</v>
      </c>
      <c r="AA1247" t="s">
        <v>35</v>
      </c>
      <c r="AB1247">
        <v>11</v>
      </c>
      <c r="AC1247">
        <v>3</v>
      </c>
      <c r="AD1247" t="str">
        <f t="shared" si="39"/>
        <v>Low Performance</v>
      </c>
      <c r="AE1247">
        <v>3</v>
      </c>
      <c r="AF1247">
        <v>80</v>
      </c>
      <c r="AG1247">
        <v>0</v>
      </c>
      <c r="AH1247">
        <v>6</v>
      </c>
      <c r="AI1247">
        <v>5</v>
      </c>
      <c r="AJ1247">
        <v>2</v>
      </c>
      <c r="AK1247" t="str" cm="1">
        <f t="array" ref="AK1247">_xlfn.IFS(AJ1247&lt;=2,"Poor",AJ1247&lt;=3,"Fair",AJ1247&gt;3,"Good")</f>
        <v>Poor</v>
      </c>
      <c r="AL1247">
        <v>6</v>
      </c>
      <c r="AM1247">
        <v>2</v>
      </c>
      <c r="AN1247">
        <v>1</v>
      </c>
      <c r="AO1247">
        <v>4</v>
      </c>
    </row>
    <row r="1248" spans="1:41" x14ac:dyDescent="0.2">
      <c r="A1248">
        <v>1838448</v>
      </c>
      <c r="B1248">
        <v>29</v>
      </c>
      <c r="C1248" t="str" cm="1">
        <f t="array" ref="C1248">_xlfn.IFS(B1248&lt;=25,"15-25",B1248&lt;=35,"26-35",B1248&lt;=45,"36-45",B1248&lt;=55,"46-55",B1248&lt;=65,"56-65")</f>
        <v>26-35</v>
      </c>
      <c r="D1248" t="s">
        <v>43</v>
      </c>
      <c r="E1248" t="str">
        <f t="shared" si="38"/>
        <v>Former Employee</v>
      </c>
      <c r="F1248" t="s">
        <v>36</v>
      </c>
      <c r="G1248">
        <v>428</v>
      </c>
      <c r="H1248" t="s">
        <v>37</v>
      </c>
      <c r="I1248">
        <v>9</v>
      </c>
      <c r="J1248">
        <v>3</v>
      </c>
      <c r="K1248" t="s">
        <v>55</v>
      </c>
      <c r="L1248">
        <v>1</v>
      </c>
      <c r="M1248">
        <v>2</v>
      </c>
      <c r="N1248" t="s">
        <v>39</v>
      </c>
      <c r="O1248">
        <v>52</v>
      </c>
      <c r="P1248">
        <v>1</v>
      </c>
      <c r="Q1248">
        <v>1</v>
      </c>
      <c r="R1248" t="s">
        <v>47</v>
      </c>
      <c r="S1248">
        <v>2</v>
      </c>
      <c r="T1248" t="str" cm="1">
        <f t="array" ref="T1248">_xlfn.IFS(S1248&lt;=2,"Poor",S1248&lt;=3,"Fair",S1248&gt;=4,"Good")</f>
        <v>Poor</v>
      </c>
      <c r="U1248" t="s">
        <v>41</v>
      </c>
      <c r="V1248" s="1">
        <v>2760</v>
      </c>
      <c r="W1248" t="str" cm="1">
        <f t="array" ref="W1248">_xlfn.IFS(V1248&lt;=5000,"Low Salary",V1248&lt;=12000,"Good Salary",V1248&gt;12000,"High Salary")</f>
        <v>Low Salary</v>
      </c>
      <c r="X1248">
        <v>14630</v>
      </c>
      <c r="Y1248">
        <v>1</v>
      </c>
      <c r="Z1248" t="s">
        <v>42</v>
      </c>
      <c r="AA1248" t="s">
        <v>35</v>
      </c>
      <c r="AB1248">
        <v>13</v>
      </c>
      <c r="AC1248">
        <v>3</v>
      </c>
      <c r="AD1248" t="str">
        <f t="shared" si="39"/>
        <v>Low Performance</v>
      </c>
      <c r="AE1248">
        <v>3</v>
      </c>
      <c r="AF1248">
        <v>80</v>
      </c>
      <c r="AG1248">
        <v>0</v>
      </c>
      <c r="AH1248">
        <v>2</v>
      </c>
      <c r="AI1248">
        <v>3</v>
      </c>
      <c r="AJ1248">
        <v>3</v>
      </c>
      <c r="AK1248" t="str" cm="1">
        <f t="array" ref="AK1248">_xlfn.IFS(AJ1248&lt;=2,"Poor",AJ1248&lt;=3,"Fair",AJ1248&gt;3,"Good")</f>
        <v>Fair</v>
      </c>
      <c r="AL1248">
        <v>2</v>
      </c>
      <c r="AM1248">
        <v>2</v>
      </c>
      <c r="AN1248">
        <v>2</v>
      </c>
      <c r="AO1248">
        <v>2</v>
      </c>
    </row>
    <row r="1249" spans="1:41" x14ac:dyDescent="0.2">
      <c r="A1249">
        <v>1176037</v>
      </c>
      <c r="B1249">
        <v>29</v>
      </c>
      <c r="C1249" t="str" cm="1">
        <f t="array" ref="C1249">_xlfn.IFS(B1249&lt;=25,"15-25",B1249&lt;=35,"26-35",B1249&lt;=45,"36-45",B1249&lt;=55,"46-55",B1249&lt;=65,"56-65")</f>
        <v>26-35</v>
      </c>
      <c r="D1249" t="s">
        <v>35</v>
      </c>
      <c r="E1249" t="str">
        <f t="shared" si="38"/>
        <v>Current Employee</v>
      </c>
      <c r="F1249" t="s">
        <v>44</v>
      </c>
      <c r="G1249">
        <v>461</v>
      </c>
      <c r="H1249" t="s">
        <v>45</v>
      </c>
      <c r="I1249">
        <v>1</v>
      </c>
      <c r="J1249">
        <v>3</v>
      </c>
      <c r="K1249" t="s">
        <v>38</v>
      </c>
      <c r="L1249">
        <v>1</v>
      </c>
      <c r="M1249">
        <v>4</v>
      </c>
      <c r="N1249" t="s">
        <v>46</v>
      </c>
      <c r="O1249">
        <v>70</v>
      </c>
      <c r="P1249">
        <v>4</v>
      </c>
      <c r="Q1249">
        <v>2</v>
      </c>
      <c r="R1249" t="s">
        <v>40</v>
      </c>
      <c r="S1249">
        <v>3</v>
      </c>
      <c r="T1249" t="str" cm="1">
        <f t="array" ref="T1249">_xlfn.IFS(S1249&lt;=2,"Poor",S1249&lt;=3,"Fair",S1249&gt;=4,"Good")</f>
        <v>Fair</v>
      </c>
      <c r="U1249" t="s">
        <v>41</v>
      </c>
      <c r="V1249" s="1">
        <v>6294</v>
      </c>
      <c r="W1249" t="str" cm="1">
        <f t="array" ref="W1249">_xlfn.IFS(V1249&lt;=5000,"Low Salary",V1249&lt;=12000,"Good Salary",V1249&gt;12000,"High Salary")</f>
        <v>Good Salary</v>
      </c>
      <c r="X1249">
        <v>23060</v>
      </c>
      <c r="Y1249">
        <v>8</v>
      </c>
      <c r="Z1249" t="s">
        <v>42</v>
      </c>
      <c r="AA1249" t="s">
        <v>43</v>
      </c>
      <c r="AB1249">
        <v>12</v>
      </c>
      <c r="AC1249">
        <v>3</v>
      </c>
      <c r="AD1249" t="str">
        <f t="shared" si="39"/>
        <v>Low Performance</v>
      </c>
      <c r="AE1249">
        <v>4</v>
      </c>
      <c r="AF1249">
        <v>80</v>
      </c>
      <c r="AG1249">
        <v>0</v>
      </c>
      <c r="AH1249">
        <v>10</v>
      </c>
      <c r="AI1249">
        <v>5</v>
      </c>
      <c r="AJ1249">
        <v>4</v>
      </c>
      <c r="AK1249" t="str" cm="1">
        <f t="array" ref="AK1249">_xlfn.IFS(AJ1249&lt;=2,"Poor",AJ1249&lt;=3,"Fair",AJ1249&gt;3,"Good")</f>
        <v>Good</v>
      </c>
      <c r="AL1249">
        <v>3</v>
      </c>
      <c r="AM1249">
        <v>2</v>
      </c>
      <c r="AN1249">
        <v>0</v>
      </c>
      <c r="AO1249">
        <v>2</v>
      </c>
    </row>
    <row r="1250" spans="1:41" x14ac:dyDescent="0.2">
      <c r="A1250">
        <v>1764157</v>
      </c>
      <c r="B1250">
        <v>30</v>
      </c>
      <c r="C1250" t="str" cm="1">
        <f t="array" ref="C1250">_xlfn.IFS(B1250&lt;=25,"15-25",B1250&lt;=35,"26-35",B1250&lt;=45,"36-45",B1250&lt;=55,"46-55",B1250&lt;=65,"56-65")</f>
        <v>26-35</v>
      </c>
      <c r="D1250" t="s">
        <v>35</v>
      </c>
      <c r="E1250" t="str">
        <f t="shared" si="38"/>
        <v>Current Employee</v>
      </c>
      <c r="F1250" t="s">
        <v>36</v>
      </c>
      <c r="G1250">
        <v>979</v>
      </c>
      <c r="H1250" t="s">
        <v>37</v>
      </c>
      <c r="I1250">
        <v>15</v>
      </c>
      <c r="J1250">
        <v>2</v>
      </c>
      <c r="K1250" t="s">
        <v>55</v>
      </c>
      <c r="L1250">
        <v>1</v>
      </c>
      <c r="M1250">
        <v>3</v>
      </c>
      <c r="N1250" t="s">
        <v>46</v>
      </c>
      <c r="O1250">
        <v>94</v>
      </c>
      <c r="P1250">
        <v>2</v>
      </c>
      <c r="Q1250">
        <v>3</v>
      </c>
      <c r="R1250" t="s">
        <v>40</v>
      </c>
      <c r="S1250">
        <v>1</v>
      </c>
      <c r="T1250" t="str" cm="1">
        <f t="array" ref="T1250">_xlfn.IFS(S1250&lt;=2,"Poor",S1250&lt;=3,"Fair",S1250&gt;=4,"Good")</f>
        <v>Poor</v>
      </c>
      <c r="U1250" t="s">
        <v>50</v>
      </c>
      <c r="V1250" s="1">
        <v>7140</v>
      </c>
      <c r="W1250" t="str" cm="1">
        <f t="array" ref="W1250">_xlfn.IFS(V1250&lt;=5000,"Low Salary",V1250&lt;=12000,"Good Salary",V1250&gt;12000,"High Salary")</f>
        <v>Good Salary</v>
      </c>
      <c r="X1250">
        <v>3088</v>
      </c>
      <c r="Y1250">
        <v>2</v>
      </c>
      <c r="Z1250" t="s">
        <v>42</v>
      </c>
      <c r="AA1250" t="s">
        <v>35</v>
      </c>
      <c r="AB1250">
        <v>11</v>
      </c>
      <c r="AC1250">
        <v>3</v>
      </c>
      <c r="AD1250" t="str">
        <f t="shared" si="39"/>
        <v>Low Performance</v>
      </c>
      <c r="AE1250">
        <v>1</v>
      </c>
      <c r="AF1250">
        <v>80</v>
      </c>
      <c r="AG1250">
        <v>1</v>
      </c>
      <c r="AH1250">
        <v>12</v>
      </c>
      <c r="AI1250">
        <v>2</v>
      </c>
      <c r="AJ1250">
        <v>3</v>
      </c>
      <c r="AK1250" t="str" cm="1">
        <f t="array" ref="AK1250">_xlfn.IFS(AJ1250&lt;=2,"Poor",AJ1250&lt;=3,"Fair",AJ1250&gt;3,"Good")</f>
        <v>Fair</v>
      </c>
      <c r="AL1250">
        <v>7</v>
      </c>
      <c r="AM1250">
        <v>7</v>
      </c>
      <c r="AN1250">
        <v>1</v>
      </c>
      <c r="AO1250">
        <v>7</v>
      </c>
    </row>
    <row r="1251" spans="1:41" x14ac:dyDescent="0.2">
      <c r="A1251">
        <v>1483732</v>
      </c>
      <c r="B1251">
        <v>34</v>
      </c>
      <c r="C1251" t="str" cm="1">
        <f t="array" ref="C1251">_xlfn.IFS(B1251&lt;=25,"15-25",B1251&lt;=35,"26-35",B1251&lt;=45,"36-45",B1251&lt;=55,"46-55",B1251&lt;=65,"56-65")</f>
        <v>26-35</v>
      </c>
      <c r="D1251" t="s">
        <v>35</v>
      </c>
      <c r="E1251" t="str">
        <f t="shared" si="38"/>
        <v>Current Employee</v>
      </c>
      <c r="F1251" t="s">
        <v>36</v>
      </c>
      <c r="G1251">
        <v>181</v>
      </c>
      <c r="H1251" t="s">
        <v>45</v>
      </c>
      <c r="I1251">
        <v>2</v>
      </c>
      <c r="J1251">
        <v>4</v>
      </c>
      <c r="K1251" t="s">
        <v>49</v>
      </c>
      <c r="L1251">
        <v>1</v>
      </c>
      <c r="M1251">
        <v>4</v>
      </c>
      <c r="N1251" t="s">
        <v>46</v>
      </c>
      <c r="O1251">
        <v>97</v>
      </c>
      <c r="P1251">
        <v>4</v>
      </c>
      <c r="Q1251">
        <v>1</v>
      </c>
      <c r="R1251" t="s">
        <v>47</v>
      </c>
      <c r="S1251">
        <v>4</v>
      </c>
      <c r="T1251" t="str" cm="1">
        <f t="array" ref="T1251">_xlfn.IFS(S1251&lt;=2,"Poor",S1251&lt;=3,"Fair",S1251&gt;=4,"Good")</f>
        <v>Good</v>
      </c>
      <c r="U1251" t="s">
        <v>48</v>
      </c>
      <c r="V1251" s="1">
        <v>2932</v>
      </c>
      <c r="W1251" t="str" cm="1">
        <f t="array" ref="W1251">_xlfn.IFS(V1251&lt;=5000,"Low Salary",V1251&lt;=12000,"Good Salary",V1251&gt;12000,"High Salary")</f>
        <v>Low Salary</v>
      </c>
      <c r="X1251">
        <v>5586</v>
      </c>
      <c r="Y1251">
        <v>0</v>
      </c>
      <c r="Z1251" t="s">
        <v>42</v>
      </c>
      <c r="AA1251" t="s">
        <v>43</v>
      </c>
      <c r="AB1251">
        <v>14</v>
      </c>
      <c r="AC1251">
        <v>3</v>
      </c>
      <c r="AD1251" t="str">
        <f t="shared" si="39"/>
        <v>Low Performance</v>
      </c>
      <c r="AE1251">
        <v>1</v>
      </c>
      <c r="AF1251">
        <v>80</v>
      </c>
      <c r="AG1251">
        <v>3</v>
      </c>
      <c r="AH1251">
        <v>6</v>
      </c>
      <c r="AI1251">
        <v>3</v>
      </c>
      <c r="AJ1251">
        <v>3</v>
      </c>
      <c r="AK1251" t="str" cm="1">
        <f t="array" ref="AK1251">_xlfn.IFS(AJ1251&lt;=2,"Poor",AJ1251&lt;=3,"Fair",AJ1251&gt;3,"Good")</f>
        <v>Fair</v>
      </c>
      <c r="AL1251">
        <v>5</v>
      </c>
      <c r="AM1251">
        <v>0</v>
      </c>
      <c r="AN1251">
        <v>1</v>
      </c>
      <c r="AO1251">
        <v>2</v>
      </c>
    </row>
    <row r="1252" spans="1:41" x14ac:dyDescent="0.2">
      <c r="A1252">
        <v>1059340</v>
      </c>
      <c r="B1252">
        <v>33</v>
      </c>
      <c r="C1252" t="str" cm="1">
        <f t="array" ref="C1252">_xlfn.IFS(B1252&lt;=25,"15-25",B1252&lt;=35,"26-35",B1252&lt;=45,"36-45",B1252&lt;=55,"46-55",B1252&lt;=65,"56-65")</f>
        <v>26-35</v>
      </c>
      <c r="D1252" t="s">
        <v>35</v>
      </c>
      <c r="E1252" t="str">
        <f t="shared" si="38"/>
        <v>Current Employee</v>
      </c>
      <c r="F1252" t="s">
        <v>52</v>
      </c>
      <c r="G1252">
        <v>1283</v>
      </c>
      <c r="H1252" t="s">
        <v>37</v>
      </c>
      <c r="I1252">
        <v>2</v>
      </c>
      <c r="J1252">
        <v>3</v>
      </c>
      <c r="K1252" t="s">
        <v>55</v>
      </c>
      <c r="L1252">
        <v>1</v>
      </c>
      <c r="M1252">
        <v>4</v>
      </c>
      <c r="N1252" t="s">
        <v>39</v>
      </c>
      <c r="O1252">
        <v>62</v>
      </c>
      <c r="P1252">
        <v>3</v>
      </c>
      <c r="Q1252">
        <v>2</v>
      </c>
      <c r="R1252" t="s">
        <v>40</v>
      </c>
      <c r="S1252">
        <v>2</v>
      </c>
      <c r="T1252" t="str" cm="1">
        <f t="array" ref="T1252">_xlfn.IFS(S1252&lt;=2,"Poor",S1252&lt;=3,"Fair",S1252&gt;=4,"Good")</f>
        <v>Poor</v>
      </c>
      <c r="U1252" t="s">
        <v>41</v>
      </c>
      <c r="V1252" s="1">
        <v>5147</v>
      </c>
      <c r="W1252" t="str" cm="1">
        <f t="array" ref="W1252">_xlfn.IFS(V1252&lt;=5000,"Low Salary",V1252&lt;=12000,"Good Salary",V1252&gt;12000,"High Salary")</f>
        <v>Good Salary</v>
      </c>
      <c r="X1252">
        <v>10697</v>
      </c>
      <c r="Y1252">
        <v>8</v>
      </c>
      <c r="Z1252" t="s">
        <v>42</v>
      </c>
      <c r="AA1252" t="s">
        <v>35</v>
      </c>
      <c r="AB1252">
        <v>15</v>
      </c>
      <c r="AC1252">
        <v>3</v>
      </c>
      <c r="AD1252" t="str">
        <f t="shared" si="39"/>
        <v>Low Performance</v>
      </c>
      <c r="AE1252">
        <v>4</v>
      </c>
      <c r="AF1252">
        <v>80</v>
      </c>
      <c r="AG1252">
        <v>0</v>
      </c>
      <c r="AH1252">
        <v>13</v>
      </c>
      <c r="AI1252">
        <v>2</v>
      </c>
      <c r="AJ1252">
        <v>2</v>
      </c>
      <c r="AK1252" t="str" cm="1">
        <f t="array" ref="AK1252">_xlfn.IFS(AJ1252&lt;=2,"Poor",AJ1252&lt;=3,"Fair",AJ1252&gt;3,"Good")</f>
        <v>Poor</v>
      </c>
      <c r="AL1252">
        <v>11</v>
      </c>
      <c r="AM1252">
        <v>7</v>
      </c>
      <c r="AN1252">
        <v>1</v>
      </c>
      <c r="AO1252">
        <v>7</v>
      </c>
    </row>
    <row r="1253" spans="1:41" x14ac:dyDescent="0.2">
      <c r="A1253">
        <v>1260966</v>
      </c>
      <c r="B1253">
        <v>49</v>
      </c>
      <c r="C1253" t="str" cm="1">
        <f t="array" ref="C1253">_xlfn.IFS(B1253&lt;=25,"15-25",B1253&lt;=35,"26-35",B1253&lt;=45,"36-45",B1253&lt;=55,"46-55",B1253&lt;=65,"56-65")</f>
        <v>46-55</v>
      </c>
      <c r="D1253" t="s">
        <v>35</v>
      </c>
      <c r="E1253" t="str">
        <f t="shared" si="38"/>
        <v>Current Employee</v>
      </c>
      <c r="F1253" t="s">
        <v>36</v>
      </c>
      <c r="G1253">
        <v>1313</v>
      </c>
      <c r="H1253" t="s">
        <v>37</v>
      </c>
      <c r="I1253">
        <v>11</v>
      </c>
      <c r="J1253">
        <v>4</v>
      </c>
      <c r="K1253" t="s">
        <v>55</v>
      </c>
      <c r="L1253">
        <v>1</v>
      </c>
      <c r="M1253">
        <v>4</v>
      </c>
      <c r="N1253" t="s">
        <v>39</v>
      </c>
      <c r="O1253">
        <v>80</v>
      </c>
      <c r="P1253">
        <v>3</v>
      </c>
      <c r="Q1253">
        <v>2</v>
      </c>
      <c r="R1253" t="s">
        <v>40</v>
      </c>
      <c r="S1253">
        <v>4</v>
      </c>
      <c r="T1253" t="str" cm="1">
        <f t="array" ref="T1253">_xlfn.IFS(S1253&lt;=2,"Poor",S1253&lt;=3,"Fair",S1253&gt;=4,"Good")</f>
        <v>Good</v>
      </c>
      <c r="U1253" t="s">
        <v>41</v>
      </c>
      <c r="V1253" s="1">
        <v>4507</v>
      </c>
      <c r="W1253" t="str" cm="1">
        <f t="array" ref="W1253">_xlfn.IFS(V1253&lt;=5000,"Low Salary",V1253&lt;=12000,"Good Salary",V1253&gt;12000,"High Salary")</f>
        <v>Low Salary</v>
      </c>
      <c r="X1253">
        <v>8191</v>
      </c>
      <c r="Y1253">
        <v>3</v>
      </c>
      <c r="Z1253" t="s">
        <v>42</v>
      </c>
      <c r="AA1253" t="s">
        <v>35</v>
      </c>
      <c r="AB1253">
        <v>12</v>
      </c>
      <c r="AC1253">
        <v>3</v>
      </c>
      <c r="AD1253" t="str">
        <f t="shared" si="39"/>
        <v>Low Performance</v>
      </c>
      <c r="AE1253">
        <v>3</v>
      </c>
      <c r="AF1253">
        <v>80</v>
      </c>
      <c r="AG1253">
        <v>0</v>
      </c>
      <c r="AH1253">
        <v>8</v>
      </c>
      <c r="AI1253">
        <v>1</v>
      </c>
      <c r="AJ1253">
        <v>4</v>
      </c>
      <c r="AK1253" t="str" cm="1">
        <f t="array" ref="AK1253">_xlfn.IFS(AJ1253&lt;=2,"Poor",AJ1253&lt;=3,"Fair",AJ1253&gt;3,"Good")</f>
        <v>Good</v>
      </c>
      <c r="AL1253">
        <v>5</v>
      </c>
      <c r="AM1253">
        <v>1</v>
      </c>
      <c r="AN1253">
        <v>0</v>
      </c>
      <c r="AO1253">
        <v>4</v>
      </c>
    </row>
    <row r="1254" spans="1:41" x14ac:dyDescent="0.2">
      <c r="A1254">
        <v>1196870</v>
      </c>
      <c r="B1254">
        <v>33</v>
      </c>
      <c r="C1254" t="str" cm="1">
        <f t="array" ref="C1254">_xlfn.IFS(B1254&lt;=25,"15-25",B1254&lt;=35,"26-35",B1254&lt;=45,"36-45",B1254&lt;=55,"46-55",B1254&lt;=65,"56-65")</f>
        <v>26-35</v>
      </c>
      <c r="D1254" t="s">
        <v>43</v>
      </c>
      <c r="E1254" t="str">
        <f t="shared" si="38"/>
        <v>Former Employee</v>
      </c>
      <c r="F1254" t="s">
        <v>36</v>
      </c>
      <c r="G1254">
        <v>211</v>
      </c>
      <c r="H1254" t="s">
        <v>37</v>
      </c>
      <c r="I1254">
        <v>16</v>
      </c>
      <c r="J1254">
        <v>3</v>
      </c>
      <c r="K1254" t="s">
        <v>38</v>
      </c>
      <c r="L1254">
        <v>1</v>
      </c>
      <c r="M1254">
        <v>1</v>
      </c>
      <c r="N1254" t="s">
        <v>39</v>
      </c>
      <c r="O1254">
        <v>74</v>
      </c>
      <c r="P1254">
        <v>3</v>
      </c>
      <c r="Q1254">
        <v>3</v>
      </c>
      <c r="R1254" t="s">
        <v>40</v>
      </c>
      <c r="S1254">
        <v>1</v>
      </c>
      <c r="T1254" t="str" cm="1">
        <f t="array" ref="T1254">_xlfn.IFS(S1254&lt;=2,"Poor",S1254&lt;=3,"Fair",S1254&gt;=4,"Good")</f>
        <v>Poor</v>
      </c>
      <c r="U1254" t="s">
        <v>41</v>
      </c>
      <c r="V1254" s="1">
        <v>8564</v>
      </c>
      <c r="W1254" t="str" cm="1">
        <f t="array" ref="W1254">_xlfn.IFS(V1254&lt;=5000,"Low Salary",V1254&lt;=12000,"Good Salary",V1254&gt;12000,"High Salary")</f>
        <v>Good Salary</v>
      </c>
      <c r="X1254">
        <v>10092</v>
      </c>
      <c r="Y1254">
        <v>2</v>
      </c>
      <c r="Z1254" t="s">
        <v>42</v>
      </c>
      <c r="AA1254" t="s">
        <v>43</v>
      </c>
      <c r="AB1254">
        <v>20</v>
      </c>
      <c r="AC1254">
        <v>4</v>
      </c>
      <c r="AD1254" t="str">
        <f t="shared" si="39"/>
        <v>High Performance</v>
      </c>
      <c r="AE1254">
        <v>3</v>
      </c>
      <c r="AF1254">
        <v>80</v>
      </c>
      <c r="AG1254">
        <v>0</v>
      </c>
      <c r="AH1254">
        <v>11</v>
      </c>
      <c r="AI1254">
        <v>2</v>
      </c>
      <c r="AJ1254">
        <v>2</v>
      </c>
      <c r="AK1254" t="str" cm="1">
        <f t="array" ref="AK1254">_xlfn.IFS(AJ1254&lt;=2,"Poor",AJ1254&lt;=3,"Fair",AJ1254&gt;3,"Good")</f>
        <v>Poor</v>
      </c>
      <c r="AL1254">
        <v>0</v>
      </c>
      <c r="AM1254">
        <v>0</v>
      </c>
      <c r="AN1254">
        <v>0</v>
      </c>
      <c r="AO1254">
        <v>0</v>
      </c>
    </row>
    <row r="1255" spans="1:41" x14ac:dyDescent="0.2">
      <c r="A1255">
        <v>1434954</v>
      </c>
      <c r="B1255">
        <v>38</v>
      </c>
      <c r="C1255" t="str" cm="1">
        <f t="array" ref="C1255">_xlfn.IFS(B1255&lt;=25,"15-25",B1255&lt;=35,"26-35",B1255&lt;=45,"36-45",B1255&lt;=55,"46-55",B1255&lt;=65,"56-65")</f>
        <v>36-45</v>
      </c>
      <c r="D1255" t="s">
        <v>35</v>
      </c>
      <c r="E1255" t="str">
        <f t="shared" si="38"/>
        <v>Current Employee</v>
      </c>
      <c r="F1255" t="s">
        <v>44</v>
      </c>
      <c r="G1255">
        <v>594</v>
      </c>
      <c r="H1255" t="s">
        <v>45</v>
      </c>
      <c r="I1255">
        <v>2</v>
      </c>
      <c r="J1255">
        <v>2</v>
      </c>
      <c r="K1255" t="s">
        <v>49</v>
      </c>
      <c r="L1255">
        <v>1</v>
      </c>
      <c r="M1255">
        <v>3</v>
      </c>
      <c r="N1255" t="s">
        <v>39</v>
      </c>
      <c r="O1255">
        <v>75</v>
      </c>
      <c r="P1255">
        <v>2</v>
      </c>
      <c r="Q1255">
        <v>1</v>
      </c>
      <c r="R1255" t="s">
        <v>40</v>
      </c>
      <c r="S1255">
        <v>2</v>
      </c>
      <c r="T1255" t="str" cm="1">
        <f t="array" ref="T1255">_xlfn.IFS(S1255&lt;=2,"Poor",S1255&lt;=3,"Fair",S1255&gt;=4,"Good")</f>
        <v>Poor</v>
      </c>
      <c r="U1255" t="s">
        <v>48</v>
      </c>
      <c r="V1255" s="1">
        <v>2468</v>
      </c>
      <c r="W1255" t="str" cm="1">
        <f t="array" ref="W1255">_xlfn.IFS(V1255&lt;=5000,"Low Salary",V1255&lt;=12000,"Good Salary",V1255&gt;12000,"High Salary")</f>
        <v>Low Salary</v>
      </c>
      <c r="X1255">
        <v>15963</v>
      </c>
      <c r="Y1255">
        <v>4</v>
      </c>
      <c r="Z1255" t="s">
        <v>42</v>
      </c>
      <c r="AA1255" t="s">
        <v>35</v>
      </c>
      <c r="AB1255">
        <v>14</v>
      </c>
      <c r="AC1255">
        <v>3</v>
      </c>
      <c r="AD1255" t="str">
        <f t="shared" si="39"/>
        <v>Low Performance</v>
      </c>
      <c r="AE1255">
        <v>2</v>
      </c>
      <c r="AF1255">
        <v>80</v>
      </c>
      <c r="AG1255">
        <v>1</v>
      </c>
      <c r="AH1255">
        <v>9</v>
      </c>
      <c r="AI1255">
        <v>4</v>
      </c>
      <c r="AJ1255">
        <v>2</v>
      </c>
      <c r="AK1255" t="str" cm="1">
        <f t="array" ref="AK1255">_xlfn.IFS(AJ1255&lt;=2,"Poor",AJ1255&lt;=3,"Fair",AJ1255&gt;3,"Good")</f>
        <v>Poor</v>
      </c>
      <c r="AL1255">
        <v>6</v>
      </c>
      <c r="AM1255">
        <v>1</v>
      </c>
      <c r="AN1255">
        <v>0</v>
      </c>
      <c r="AO1255">
        <v>5</v>
      </c>
    </row>
    <row r="1256" spans="1:41" x14ac:dyDescent="0.2">
      <c r="A1256">
        <v>1872248</v>
      </c>
      <c r="B1256">
        <v>31</v>
      </c>
      <c r="C1256" t="str" cm="1">
        <f t="array" ref="C1256">_xlfn.IFS(B1256&lt;=25,"15-25",B1256&lt;=35,"26-35",B1256&lt;=45,"36-45",B1256&lt;=55,"46-55",B1256&lt;=65,"56-65")</f>
        <v>26-35</v>
      </c>
      <c r="D1256" t="s">
        <v>43</v>
      </c>
      <c r="E1256" t="str">
        <f t="shared" si="38"/>
        <v>Former Employee</v>
      </c>
      <c r="F1256" t="s">
        <v>36</v>
      </c>
      <c r="G1256">
        <v>1079</v>
      </c>
      <c r="H1256" t="s">
        <v>37</v>
      </c>
      <c r="I1256">
        <v>16</v>
      </c>
      <c r="J1256">
        <v>4</v>
      </c>
      <c r="K1256" t="s">
        <v>55</v>
      </c>
      <c r="L1256">
        <v>1</v>
      </c>
      <c r="M1256">
        <v>1</v>
      </c>
      <c r="N1256" t="s">
        <v>46</v>
      </c>
      <c r="O1256">
        <v>70</v>
      </c>
      <c r="P1256">
        <v>3</v>
      </c>
      <c r="Q1256">
        <v>3</v>
      </c>
      <c r="R1256" t="s">
        <v>40</v>
      </c>
      <c r="S1256">
        <v>3</v>
      </c>
      <c r="T1256" t="str" cm="1">
        <f t="array" ref="T1256">_xlfn.IFS(S1256&lt;=2,"Poor",S1256&lt;=3,"Fair",S1256&gt;=4,"Good")</f>
        <v>Fair</v>
      </c>
      <c r="U1256" t="s">
        <v>48</v>
      </c>
      <c r="V1256" s="1">
        <v>8161</v>
      </c>
      <c r="W1256" t="str" cm="1">
        <f t="array" ref="W1256">_xlfn.IFS(V1256&lt;=5000,"Low Salary",V1256&lt;=12000,"Good Salary",V1256&gt;12000,"High Salary")</f>
        <v>Good Salary</v>
      </c>
      <c r="X1256">
        <v>19002</v>
      </c>
      <c r="Y1256">
        <v>2</v>
      </c>
      <c r="Z1256" t="s">
        <v>42</v>
      </c>
      <c r="AA1256" t="s">
        <v>35</v>
      </c>
      <c r="AB1256">
        <v>13</v>
      </c>
      <c r="AC1256">
        <v>3</v>
      </c>
      <c r="AD1256" t="str">
        <f t="shared" si="39"/>
        <v>Low Performance</v>
      </c>
      <c r="AE1256">
        <v>1</v>
      </c>
      <c r="AF1256">
        <v>80</v>
      </c>
      <c r="AG1256">
        <v>3</v>
      </c>
      <c r="AH1256">
        <v>10</v>
      </c>
      <c r="AI1256">
        <v>2</v>
      </c>
      <c r="AJ1256">
        <v>3</v>
      </c>
      <c r="AK1256" t="str" cm="1">
        <f t="array" ref="AK1256">_xlfn.IFS(AJ1256&lt;=2,"Poor",AJ1256&lt;=3,"Fair",AJ1256&gt;3,"Good")</f>
        <v>Fair</v>
      </c>
      <c r="AL1256">
        <v>1</v>
      </c>
      <c r="AM1256">
        <v>0</v>
      </c>
      <c r="AN1256">
        <v>0</v>
      </c>
      <c r="AO1256">
        <v>0</v>
      </c>
    </row>
    <row r="1257" spans="1:41" x14ac:dyDescent="0.2">
      <c r="A1257">
        <v>1498457</v>
      </c>
      <c r="B1257">
        <v>29</v>
      </c>
      <c r="C1257" t="str" cm="1">
        <f t="array" ref="C1257">_xlfn.IFS(B1257&lt;=25,"15-25",B1257&lt;=35,"26-35",B1257&lt;=45,"36-45",B1257&lt;=55,"46-55",B1257&lt;=65,"56-65")</f>
        <v>26-35</v>
      </c>
      <c r="D1257" t="s">
        <v>35</v>
      </c>
      <c r="E1257" t="str">
        <f t="shared" si="38"/>
        <v>Current Employee</v>
      </c>
      <c r="F1257" t="s">
        <v>36</v>
      </c>
      <c r="G1257">
        <v>590</v>
      </c>
      <c r="H1257" t="s">
        <v>45</v>
      </c>
      <c r="I1257">
        <v>4</v>
      </c>
      <c r="J1257">
        <v>3</v>
      </c>
      <c r="K1257" t="s">
        <v>56</v>
      </c>
      <c r="L1257">
        <v>1</v>
      </c>
      <c r="M1257">
        <v>4</v>
      </c>
      <c r="N1257" t="s">
        <v>39</v>
      </c>
      <c r="O1257">
        <v>91</v>
      </c>
      <c r="P1257">
        <v>2</v>
      </c>
      <c r="Q1257">
        <v>1</v>
      </c>
      <c r="R1257" t="s">
        <v>47</v>
      </c>
      <c r="S1257">
        <v>1</v>
      </c>
      <c r="T1257" t="str" cm="1">
        <f t="array" ref="T1257">_xlfn.IFS(S1257&lt;=2,"Poor",S1257&lt;=3,"Fair",S1257&gt;=4,"Good")</f>
        <v>Poor</v>
      </c>
      <c r="U1257" t="s">
        <v>50</v>
      </c>
      <c r="V1257" s="1">
        <v>2109</v>
      </c>
      <c r="W1257" t="str" cm="1">
        <f t="array" ref="W1257">_xlfn.IFS(V1257&lt;=5000,"Low Salary",V1257&lt;=12000,"Good Salary",V1257&gt;12000,"High Salary")</f>
        <v>Low Salary</v>
      </c>
      <c r="X1257">
        <v>10007</v>
      </c>
      <c r="Y1257">
        <v>1</v>
      </c>
      <c r="Z1257" t="s">
        <v>42</v>
      </c>
      <c r="AA1257" t="s">
        <v>35</v>
      </c>
      <c r="AB1257">
        <v>13</v>
      </c>
      <c r="AC1257">
        <v>3</v>
      </c>
      <c r="AD1257" t="str">
        <f t="shared" si="39"/>
        <v>Low Performance</v>
      </c>
      <c r="AE1257">
        <v>3</v>
      </c>
      <c r="AF1257">
        <v>80</v>
      </c>
      <c r="AG1257">
        <v>1</v>
      </c>
      <c r="AH1257">
        <v>1</v>
      </c>
      <c r="AI1257">
        <v>2</v>
      </c>
      <c r="AJ1257">
        <v>3</v>
      </c>
      <c r="AK1257" t="str" cm="1">
        <f t="array" ref="AK1257">_xlfn.IFS(AJ1257&lt;=2,"Poor",AJ1257&lt;=3,"Fair",AJ1257&gt;3,"Good")</f>
        <v>Fair</v>
      </c>
      <c r="AL1257">
        <v>1</v>
      </c>
      <c r="AM1257">
        <v>0</v>
      </c>
      <c r="AN1257">
        <v>0</v>
      </c>
      <c r="AO1257">
        <v>0</v>
      </c>
    </row>
    <row r="1258" spans="1:41" x14ac:dyDescent="0.2">
      <c r="A1258">
        <v>1322097</v>
      </c>
      <c r="B1258">
        <v>30</v>
      </c>
      <c r="C1258" t="str" cm="1">
        <f t="array" ref="C1258">_xlfn.IFS(B1258&lt;=25,"15-25",B1258&lt;=35,"26-35",B1258&lt;=45,"36-45",B1258&lt;=55,"46-55",B1258&lt;=65,"56-65")</f>
        <v>26-35</v>
      </c>
      <c r="D1258" t="s">
        <v>35</v>
      </c>
      <c r="E1258" t="str">
        <f t="shared" si="38"/>
        <v>Current Employee</v>
      </c>
      <c r="F1258" t="s">
        <v>36</v>
      </c>
      <c r="G1258">
        <v>305</v>
      </c>
      <c r="H1258" t="s">
        <v>45</v>
      </c>
      <c r="I1258">
        <v>16</v>
      </c>
      <c r="J1258">
        <v>3</v>
      </c>
      <c r="K1258" t="s">
        <v>38</v>
      </c>
      <c r="L1258">
        <v>1</v>
      </c>
      <c r="M1258">
        <v>3</v>
      </c>
      <c r="N1258" t="s">
        <v>46</v>
      </c>
      <c r="O1258">
        <v>58</v>
      </c>
      <c r="P1258">
        <v>4</v>
      </c>
      <c r="Q1258">
        <v>2</v>
      </c>
      <c r="R1258" t="s">
        <v>40</v>
      </c>
      <c r="S1258">
        <v>3</v>
      </c>
      <c r="T1258" t="str" cm="1">
        <f t="array" ref="T1258">_xlfn.IFS(S1258&lt;=2,"Poor",S1258&lt;=3,"Fair",S1258&gt;=4,"Good")</f>
        <v>Fair</v>
      </c>
      <c r="U1258" t="s">
        <v>48</v>
      </c>
      <c r="V1258" s="1">
        <v>5294</v>
      </c>
      <c r="W1258" t="str" cm="1">
        <f t="array" ref="W1258">_xlfn.IFS(V1258&lt;=5000,"Low Salary",V1258&lt;=12000,"Good Salary",V1258&gt;12000,"High Salary")</f>
        <v>Good Salary</v>
      </c>
      <c r="X1258">
        <v>9128</v>
      </c>
      <c r="Y1258">
        <v>3</v>
      </c>
      <c r="Z1258" t="s">
        <v>42</v>
      </c>
      <c r="AA1258" t="s">
        <v>35</v>
      </c>
      <c r="AB1258">
        <v>16</v>
      </c>
      <c r="AC1258">
        <v>3</v>
      </c>
      <c r="AD1258" t="str">
        <f t="shared" si="39"/>
        <v>Low Performance</v>
      </c>
      <c r="AE1258">
        <v>3</v>
      </c>
      <c r="AF1258">
        <v>80</v>
      </c>
      <c r="AG1258">
        <v>1</v>
      </c>
      <c r="AH1258">
        <v>10</v>
      </c>
      <c r="AI1258">
        <v>3</v>
      </c>
      <c r="AJ1258">
        <v>3</v>
      </c>
      <c r="AK1258" t="str" cm="1">
        <f t="array" ref="AK1258">_xlfn.IFS(AJ1258&lt;=2,"Poor",AJ1258&lt;=3,"Fair",AJ1258&gt;3,"Good")</f>
        <v>Fair</v>
      </c>
      <c r="AL1258">
        <v>7</v>
      </c>
      <c r="AM1258">
        <v>0</v>
      </c>
      <c r="AN1258">
        <v>1</v>
      </c>
      <c r="AO1258">
        <v>7</v>
      </c>
    </row>
    <row r="1259" spans="1:41" x14ac:dyDescent="0.2">
      <c r="A1259">
        <v>1400783</v>
      </c>
      <c r="B1259">
        <v>32</v>
      </c>
      <c r="C1259" t="str" cm="1">
        <f t="array" ref="C1259">_xlfn.IFS(B1259&lt;=25,"15-25",B1259&lt;=35,"26-35",B1259&lt;=45,"36-45",B1259&lt;=55,"46-55",B1259&lt;=65,"56-65")</f>
        <v>26-35</v>
      </c>
      <c r="D1259" t="s">
        <v>35</v>
      </c>
      <c r="E1259" t="str">
        <f t="shared" si="38"/>
        <v>Current Employee</v>
      </c>
      <c r="F1259" t="s">
        <v>52</v>
      </c>
      <c r="G1259">
        <v>953</v>
      </c>
      <c r="H1259" t="s">
        <v>45</v>
      </c>
      <c r="I1259">
        <v>5</v>
      </c>
      <c r="J1259">
        <v>4</v>
      </c>
      <c r="K1259" t="s">
        <v>56</v>
      </c>
      <c r="L1259">
        <v>1</v>
      </c>
      <c r="M1259">
        <v>2</v>
      </c>
      <c r="N1259" t="s">
        <v>46</v>
      </c>
      <c r="O1259">
        <v>65</v>
      </c>
      <c r="P1259">
        <v>3</v>
      </c>
      <c r="Q1259">
        <v>1</v>
      </c>
      <c r="R1259" t="s">
        <v>47</v>
      </c>
      <c r="S1259">
        <v>2</v>
      </c>
      <c r="T1259" t="str" cm="1">
        <f t="array" ref="T1259">_xlfn.IFS(S1259&lt;=2,"Poor",S1259&lt;=3,"Fair",S1259&gt;=4,"Good")</f>
        <v>Poor</v>
      </c>
      <c r="U1259" t="s">
        <v>41</v>
      </c>
      <c r="V1259" s="1">
        <v>2718</v>
      </c>
      <c r="W1259" t="str" cm="1">
        <f t="array" ref="W1259">_xlfn.IFS(V1259&lt;=5000,"Low Salary",V1259&lt;=12000,"Good Salary",V1259&gt;12000,"High Salary")</f>
        <v>Low Salary</v>
      </c>
      <c r="X1259">
        <v>17674</v>
      </c>
      <c r="Y1259">
        <v>2</v>
      </c>
      <c r="Z1259" t="s">
        <v>42</v>
      </c>
      <c r="AA1259" t="s">
        <v>35</v>
      </c>
      <c r="AB1259">
        <v>14</v>
      </c>
      <c r="AC1259">
        <v>3</v>
      </c>
      <c r="AD1259" t="str">
        <f t="shared" si="39"/>
        <v>Low Performance</v>
      </c>
      <c r="AE1259">
        <v>2</v>
      </c>
      <c r="AF1259">
        <v>80</v>
      </c>
      <c r="AG1259">
        <v>0</v>
      </c>
      <c r="AH1259">
        <v>12</v>
      </c>
      <c r="AI1259">
        <v>3</v>
      </c>
      <c r="AJ1259">
        <v>3</v>
      </c>
      <c r="AK1259" t="str" cm="1">
        <f t="array" ref="AK1259">_xlfn.IFS(AJ1259&lt;=2,"Poor",AJ1259&lt;=3,"Fair",AJ1259&gt;3,"Good")</f>
        <v>Fair</v>
      </c>
      <c r="AL1259">
        <v>7</v>
      </c>
      <c r="AM1259">
        <v>7</v>
      </c>
      <c r="AN1259">
        <v>0</v>
      </c>
      <c r="AO1259">
        <v>7</v>
      </c>
    </row>
    <row r="1260" spans="1:41" x14ac:dyDescent="0.2">
      <c r="A1260">
        <v>1511863</v>
      </c>
      <c r="B1260">
        <v>38</v>
      </c>
      <c r="C1260" t="str" cm="1">
        <f t="array" ref="C1260">_xlfn.IFS(B1260&lt;=25,"15-25",B1260&lt;=35,"26-35",B1260&lt;=45,"36-45",B1260&lt;=55,"46-55",B1260&lt;=65,"56-65")</f>
        <v>36-45</v>
      </c>
      <c r="D1260" t="s">
        <v>35</v>
      </c>
      <c r="E1260" t="str">
        <f t="shared" si="38"/>
        <v>Current Employee</v>
      </c>
      <c r="F1260" t="s">
        <v>36</v>
      </c>
      <c r="G1260">
        <v>833</v>
      </c>
      <c r="H1260" t="s">
        <v>45</v>
      </c>
      <c r="I1260">
        <v>18</v>
      </c>
      <c r="J1260">
        <v>3</v>
      </c>
      <c r="K1260" t="s">
        <v>49</v>
      </c>
      <c r="L1260">
        <v>1</v>
      </c>
      <c r="M1260">
        <v>2</v>
      </c>
      <c r="N1260" t="s">
        <v>46</v>
      </c>
      <c r="O1260">
        <v>60</v>
      </c>
      <c r="P1260">
        <v>1</v>
      </c>
      <c r="Q1260">
        <v>2</v>
      </c>
      <c r="R1260" t="s">
        <v>40</v>
      </c>
      <c r="S1260">
        <v>4</v>
      </c>
      <c r="T1260" t="str" cm="1">
        <f t="array" ref="T1260">_xlfn.IFS(S1260&lt;=2,"Poor",S1260&lt;=3,"Fair",S1260&gt;=4,"Good")</f>
        <v>Good</v>
      </c>
      <c r="U1260" t="s">
        <v>48</v>
      </c>
      <c r="V1260" s="1">
        <v>5811</v>
      </c>
      <c r="W1260" t="str" cm="1">
        <f t="array" ref="W1260">_xlfn.IFS(V1260&lt;=5000,"Low Salary",V1260&lt;=12000,"Good Salary",V1260&gt;12000,"High Salary")</f>
        <v>Good Salary</v>
      </c>
      <c r="X1260">
        <v>24539</v>
      </c>
      <c r="Y1260">
        <v>3</v>
      </c>
      <c r="Z1260" t="s">
        <v>42</v>
      </c>
      <c r="AA1260" t="s">
        <v>43</v>
      </c>
      <c r="AB1260">
        <v>16</v>
      </c>
      <c r="AC1260">
        <v>3</v>
      </c>
      <c r="AD1260" t="str">
        <f t="shared" si="39"/>
        <v>Low Performance</v>
      </c>
      <c r="AE1260">
        <v>3</v>
      </c>
      <c r="AF1260">
        <v>80</v>
      </c>
      <c r="AG1260">
        <v>1</v>
      </c>
      <c r="AH1260">
        <v>15</v>
      </c>
      <c r="AI1260">
        <v>2</v>
      </c>
      <c r="AJ1260">
        <v>3</v>
      </c>
      <c r="AK1260" t="str" cm="1">
        <f t="array" ref="AK1260">_xlfn.IFS(AJ1260&lt;=2,"Poor",AJ1260&lt;=3,"Fair",AJ1260&gt;3,"Good")</f>
        <v>Fair</v>
      </c>
      <c r="AL1260">
        <v>1</v>
      </c>
      <c r="AM1260">
        <v>0</v>
      </c>
      <c r="AN1260">
        <v>1</v>
      </c>
      <c r="AO1260">
        <v>0</v>
      </c>
    </row>
    <row r="1261" spans="1:41" x14ac:dyDescent="0.2">
      <c r="A1261">
        <v>1581569</v>
      </c>
      <c r="B1261">
        <v>43</v>
      </c>
      <c r="C1261" t="str" cm="1">
        <f t="array" ref="C1261">_xlfn.IFS(B1261&lt;=25,"15-25",B1261&lt;=35,"26-35",B1261&lt;=45,"36-45",B1261&lt;=55,"46-55",B1261&lt;=65,"56-65")</f>
        <v>36-45</v>
      </c>
      <c r="D1261" t="s">
        <v>43</v>
      </c>
      <c r="E1261" t="str">
        <f t="shared" si="38"/>
        <v>Former Employee</v>
      </c>
      <c r="F1261" t="s">
        <v>44</v>
      </c>
      <c r="G1261">
        <v>807</v>
      </c>
      <c r="H1261" t="s">
        <v>45</v>
      </c>
      <c r="I1261">
        <v>17</v>
      </c>
      <c r="J1261">
        <v>3</v>
      </c>
      <c r="K1261" t="s">
        <v>56</v>
      </c>
      <c r="L1261">
        <v>1</v>
      </c>
      <c r="M1261">
        <v>3</v>
      </c>
      <c r="N1261" t="s">
        <v>46</v>
      </c>
      <c r="O1261">
        <v>38</v>
      </c>
      <c r="P1261">
        <v>2</v>
      </c>
      <c r="Q1261">
        <v>1</v>
      </c>
      <c r="R1261" t="s">
        <v>47</v>
      </c>
      <c r="S1261">
        <v>3</v>
      </c>
      <c r="T1261" t="str" cm="1">
        <f t="array" ref="T1261">_xlfn.IFS(S1261&lt;=2,"Poor",S1261&lt;=3,"Fair",S1261&gt;=4,"Good")</f>
        <v>Fair</v>
      </c>
      <c r="U1261" t="s">
        <v>48</v>
      </c>
      <c r="V1261" s="1">
        <v>2437</v>
      </c>
      <c r="W1261" t="str" cm="1">
        <f t="array" ref="W1261">_xlfn.IFS(V1261&lt;=5000,"Low Salary",V1261&lt;=12000,"Good Salary",V1261&gt;12000,"High Salary")</f>
        <v>Low Salary</v>
      </c>
      <c r="X1261">
        <v>15587</v>
      </c>
      <c r="Y1261">
        <v>9</v>
      </c>
      <c r="Z1261" t="s">
        <v>42</v>
      </c>
      <c r="AA1261" t="s">
        <v>43</v>
      </c>
      <c r="AB1261">
        <v>16</v>
      </c>
      <c r="AC1261">
        <v>3</v>
      </c>
      <c r="AD1261" t="str">
        <f t="shared" si="39"/>
        <v>Low Performance</v>
      </c>
      <c r="AE1261">
        <v>4</v>
      </c>
      <c r="AF1261">
        <v>80</v>
      </c>
      <c r="AG1261">
        <v>1</v>
      </c>
      <c r="AH1261">
        <v>6</v>
      </c>
      <c r="AI1261">
        <v>4</v>
      </c>
      <c r="AJ1261">
        <v>3</v>
      </c>
      <c r="AK1261" t="str" cm="1">
        <f t="array" ref="AK1261">_xlfn.IFS(AJ1261&lt;=2,"Poor",AJ1261&lt;=3,"Fair",AJ1261&gt;3,"Good")</f>
        <v>Fair</v>
      </c>
      <c r="AL1261">
        <v>1</v>
      </c>
      <c r="AM1261">
        <v>0</v>
      </c>
      <c r="AN1261">
        <v>0</v>
      </c>
      <c r="AO1261">
        <v>0</v>
      </c>
    </row>
    <row r="1262" spans="1:41" x14ac:dyDescent="0.2">
      <c r="A1262">
        <v>1628396</v>
      </c>
      <c r="B1262">
        <v>42</v>
      </c>
      <c r="C1262" t="str" cm="1">
        <f t="array" ref="C1262">_xlfn.IFS(B1262&lt;=25,"15-25",B1262&lt;=35,"26-35",B1262&lt;=45,"36-45",B1262&lt;=55,"46-55",B1262&lt;=65,"56-65")</f>
        <v>36-45</v>
      </c>
      <c r="D1262" t="s">
        <v>35</v>
      </c>
      <c r="E1262" t="str">
        <f t="shared" si="38"/>
        <v>Current Employee</v>
      </c>
      <c r="F1262" t="s">
        <v>36</v>
      </c>
      <c r="G1262">
        <v>855</v>
      </c>
      <c r="H1262" t="s">
        <v>45</v>
      </c>
      <c r="I1262">
        <v>12</v>
      </c>
      <c r="J1262">
        <v>3</v>
      </c>
      <c r="K1262" t="s">
        <v>49</v>
      </c>
      <c r="L1262">
        <v>1</v>
      </c>
      <c r="M1262">
        <v>2</v>
      </c>
      <c r="N1262" t="s">
        <v>46</v>
      </c>
      <c r="O1262">
        <v>57</v>
      </c>
      <c r="P1262">
        <v>3</v>
      </c>
      <c r="Q1262">
        <v>1</v>
      </c>
      <c r="R1262" t="s">
        <v>40</v>
      </c>
      <c r="S1262">
        <v>2</v>
      </c>
      <c r="T1262" t="str" cm="1">
        <f t="array" ref="T1262">_xlfn.IFS(S1262&lt;=2,"Poor",S1262&lt;=3,"Fair",S1262&gt;=4,"Good")</f>
        <v>Poor</v>
      </c>
      <c r="U1262" t="s">
        <v>50</v>
      </c>
      <c r="V1262" s="1">
        <v>2766</v>
      </c>
      <c r="W1262" t="str" cm="1">
        <f t="array" ref="W1262">_xlfn.IFS(V1262&lt;=5000,"Low Salary",V1262&lt;=12000,"Good Salary",V1262&gt;12000,"High Salary")</f>
        <v>Low Salary</v>
      </c>
      <c r="X1262">
        <v>8952</v>
      </c>
      <c r="Y1262">
        <v>8</v>
      </c>
      <c r="Z1262" t="s">
        <v>42</v>
      </c>
      <c r="AA1262" t="s">
        <v>35</v>
      </c>
      <c r="AB1262">
        <v>22</v>
      </c>
      <c r="AC1262">
        <v>4</v>
      </c>
      <c r="AD1262" t="str">
        <f t="shared" si="39"/>
        <v>High Performance</v>
      </c>
      <c r="AE1262">
        <v>2</v>
      </c>
      <c r="AF1262">
        <v>80</v>
      </c>
      <c r="AG1262">
        <v>3</v>
      </c>
      <c r="AH1262">
        <v>7</v>
      </c>
      <c r="AI1262">
        <v>6</v>
      </c>
      <c r="AJ1262">
        <v>2</v>
      </c>
      <c r="AK1262" t="str" cm="1">
        <f t="array" ref="AK1262">_xlfn.IFS(AJ1262&lt;=2,"Poor",AJ1262&lt;=3,"Fair",AJ1262&gt;3,"Good")</f>
        <v>Poor</v>
      </c>
      <c r="AL1262">
        <v>5</v>
      </c>
      <c r="AM1262">
        <v>3</v>
      </c>
      <c r="AN1262">
        <v>0</v>
      </c>
      <c r="AO1262">
        <v>4</v>
      </c>
    </row>
    <row r="1263" spans="1:41" x14ac:dyDescent="0.2">
      <c r="A1263">
        <v>1715321</v>
      </c>
      <c r="B1263">
        <v>55</v>
      </c>
      <c r="C1263" t="str" cm="1">
        <f t="array" ref="C1263">_xlfn.IFS(B1263&lt;=25,"15-25",B1263&lt;=35,"26-35",B1263&lt;=45,"36-45",B1263&lt;=55,"46-55",B1263&lt;=65,"56-65")</f>
        <v>46-55</v>
      </c>
      <c r="D1263" t="s">
        <v>35</v>
      </c>
      <c r="E1263" t="str">
        <f t="shared" si="38"/>
        <v>Current Employee</v>
      </c>
      <c r="F1263" t="s">
        <v>36</v>
      </c>
      <c r="G1263">
        <v>478</v>
      </c>
      <c r="H1263" t="s">
        <v>45</v>
      </c>
      <c r="I1263">
        <v>2</v>
      </c>
      <c r="J1263">
        <v>3</v>
      </c>
      <c r="K1263" t="s">
        <v>49</v>
      </c>
      <c r="L1263">
        <v>1</v>
      </c>
      <c r="M1263">
        <v>3</v>
      </c>
      <c r="N1263" t="s">
        <v>46</v>
      </c>
      <c r="O1263">
        <v>60</v>
      </c>
      <c r="P1263">
        <v>2</v>
      </c>
      <c r="Q1263">
        <v>5</v>
      </c>
      <c r="R1263" t="s">
        <v>53</v>
      </c>
      <c r="S1263">
        <v>1</v>
      </c>
      <c r="T1263" t="str" cm="1">
        <f t="array" ref="T1263">_xlfn.IFS(S1263&lt;=2,"Poor",S1263&lt;=3,"Fair",S1263&gt;=4,"Good")</f>
        <v>Poor</v>
      </c>
      <c r="U1263" t="s">
        <v>48</v>
      </c>
      <c r="V1263" s="1">
        <v>19038</v>
      </c>
      <c r="W1263" t="str" cm="1">
        <f t="array" ref="W1263">_xlfn.IFS(V1263&lt;=5000,"Low Salary",V1263&lt;=12000,"Good Salary",V1263&gt;12000,"High Salary")</f>
        <v>High Salary</v>
      </c>
      <c r="X1263">
        <v>19805</v>
      </c>
      <c r="Y1263">
        <v>8</v>
      </c>
      <c r="Z1263" t="s">
        <v>42</v>
      </c>
      <c r="AA1263" t="s">
        <v>35</v>
      </c>
      <c r="AB1263">
        <v>12</v>
      </c>
      <c r="AC1263">
        <v>3</v>
      </c>
      <c r="AD1263" t="str">
        <f t="shared" si="39"/>
        <v>Low Performance</v>
      </c>
      <c r="AE1263">
        <v>2</v>
      </c>
      <c r="AF1263">
        <v>80</v>
      </c>
      <c r="AG1263">
        <v>3</v>
      </c>
      <c r="AH1263">
        <v>34</v>
      </c>
      <c r="AI1263">
        <v>2</v>
      </c>
      <c r="AJ1263">
        <v>3</v>
      </c>
      <c r="AK1263" t="str" cm="1">
        <f t="array" ref="AK1263">_xlfn.IFS(AJ1263&lt;=2,"Poor",AJ1263&lt;=3,"Fair",AJ1263&gt;3,"Good")</f>
        <v>Fair</v>
      </c>
      <c r="AL1263">
        <v>1</v>
      </c>
      <c r="AM1263">
        <v>0</v>
      </c>
      <c r="AN1263">
        <v>0</v>
      </c>
      <c r="AO1263">
        <v>0</v>
      </c>
    </row>
    <row r="1264" spans="1:41" x14ac:dyDescent="0.2">
      <c r="A1264">
        <v>1541808</v>
      </c>
      <c r="B1264">
        <v>33</v>
      </c>
      <c r="C1264" t="str" cm="1">
        <f t="array" ref="C1264">_xlfn.IFS(B1264&lt;=25,"15-25",B1264&lt;=35,"26-35",B1264&lt;=45,"36-45",B1264&lt;=55,"46-55",B1264&lt;=65,"56-65")</f>
        <v>26-35</v>
      </c>
      <c r="D1264" t="s">
        <v>35</v>
      </c>
      <c r="E1264" t="str">
        <f t="shared" si="38"/>
        <v>Current Employee</v>
      </c>
      <c r="F1264" t="s">
        <v>52</v>
      </c>
      <c r="G1264">
        <v>775</v>
      </c>
      <c r="H1264" t="s">
        <v>45</v>
      </c>
      <c r="I1264">
        <v>4</v>
      </c>
      <c r="J1264">
        <v>3</v>
      </c>
      <c r="K1264" t="s">
        <v>56</v>
      </c>
      <c r="L1264">
        <v>1</v>
      </c>
      <c r="M1264">
        <v>4</v>
      </c>
      <c r="N1264" t="s">
        <v>46</v>
      </c>
      <c r="O1264">
        <v>90</v>
      </c>
      <c r="P1264">
        <v>3</v>
      </c>
      <c r="Q1264">
        <v>2</v>
      </c>
      <c r="R1264" t="s">
        <v>47</v>
      </c>
      <c r="S1264">
        <v>2</v>
      </c>
      <c r="T1264" t="str" cm="1">
        <f t="array" ref="T1264">_xlfn.IFS(S1264&lt;=2,"Poor",S1264&lt;=3,"Fair",S1264&gt;=4,"Good")</f>
        <v>Poor</v>
      </c>
      <c r="U1264" t="s">
        <v>50</v>
      </c>
      <c r="V1264" s="1">
        <v>3055</v>
      </c>
      <c r="W1264" t="str" cm="1">
        <f t="array" ref="W1264">_xlfn.IFS(V1264&lt;=5000,"Low Salary",V1264&lt;=12000,"Good Salary",V1264&gt;12000,"High Salary")</f>
        <v>Low Salary</v>
      </c>
      <c r="X1264">
        <v>6194</v>
      </c>
      <c r="Y1264">
        <v>5</v>
      </c>
      <c r="Z1264" t="s">
        <v>42</v>
      </c>
      <c r="AA1264" t="s">
        <v>35</v>
      </c>
      <c r="AB1264">
        <v>15</v>
      </c>
      <c r="AC1264">
        <v>3</v>
      </c>
      <c r="AD1264" t="str">
        <f t="shared" si="39"/>
        <v>Low Performance</v>
      </c>
      <c r="AE1264">
        <v>4</v>
      </c>
      <c r="AF1264">
        <v>80</v>
      </c>
      <c r="AG1264">
        <v>2</v>
      </c>
      <c r="AH1264">
        <v>11</v>
      </c>
      <c r="AI1264">
        <v>2</v>
      </c>
      <c r="AJ1264">
        <v>2</v>
      </c>
      <c r="AK1264" t="str" cm="1">
        <f t="array" ref="AK1264">_xlfn.IFS(AJ1264&lt;=2,"Poor",AJ1264&lt;=3,"Fair",AJ1264&gt;3,"Good")</f>
        <v>Poor</v>
      </c>
      <c r="AL1264">
        <v>9</v>
      </c>
      <c r="AM1264">
        <v>8</v>
      </c>
      <c r="AN1264">
        <v>1</v>
      </c>
      <c r="AO1264">
        <v>7</v>
      </c>
    </row>
    <row r="1265" spans="1:41" x14ac:dyDescent="0.2">
      <c r="A1265">
        <v>1479918</v>
      </c>
      <c r="B1265">
        <v>41</v>
      </c>
      <c r="C1265" t="str" cm="1">
        <f t="array" ref="C1265">_xlfn.IFS(B1265&lt;=25,"15-25",B1265&lt;=35,"26-35",B1265&lt;=45,"36-45",B1265&lt;=55,"46-55",B1265&lt;=65,"56-65")</f>
        <v>36-45</v>
      </c>
      <c r="D1265" t="s">
        <v>35</v>
      </c>
      <c r="E1265" t="str">
        <f t="shared" si="38"/>
        <v>Current Employee</v>
      </c>
      <c r="F1265" t="s">
        <v>36</v>
      </c>
      <c r="G1265">
        <v>548</v>
      </c>
      <c r="H1265" t="s">
        <v>45</v>
      </c>
      <c r="I1265">
        <v>9</v>
      </c>
      <c r="J1265">
        <v>4</v>
      </c>
      <c r="K1265" t="s">
        <v>38</v>
      </c>
      <c r="L1265">
        <v>1</v>
      </c>
      <c r="M1265">
        <v>3</v>
      </c>
      <c r="N1265" t="s">
        <v>46</v>
      </c>
      <c r="O1265">
        <v>94</v>
      </c>
      <c r="P1265">
        <v>3</v>
      </c>
      <c r="Q1265">
        <v>1</v>
      </c>
      <c r="R1265" t="s">
        <v>40</v>
      </c>
      <c r="S1265">
        <v>1</v>
      </c>
      <c r="T1265" t="str" cm="1">
        <f t="array" ref="T1265">_xlfn.IFS(S1265&lt;=2,"Poor",S1265&lt;=3,"Fair",S1265&gt;=4,"Good")</f>
        <v>Poor</v>
      </c>
      <c r="U1265" t="s">
        <v>50</v>
      </c>
      <c r="V1265" s="1">
        <v>2289</v>
      </c>
      <c r="W1265" t="str" cm="1">
        <f t="array" ref="W1265">_xlfn.IFS(V1265&lt;=5000,"Low Salary",V1265&lt;=12000,"Good Salary",V1265&gt;12000,"High Salary")</f>
        <v>Low Salary</v>
      </c>
      <c r="X1265">
        <v>20520</v>
      </c>
      <c r="Y1265">
        <v>1</v>
      </c>
      <c r="Z1265" t="s">
        <v>42</v>
      </c>
      <c r="AA1265" t="s">
        <v>35</v>
      </c>
      <c r="AB1265">
        <v>20</v>
      </c>
      <c r="AC1265">
        <v>4</v>
      </c>
      <c r="AD1265" t="str">
        <f t="shared" si="39"/>
        <v>High Performance</v>
      </c>
      <c r="AE1265">
        <v>2</v>
      </c>
      <c r="AF1265">
        <v>80</v>
      </c>
      <c r="AG1265">
        <v>2</v>
      </c>
      <c r="AH1265">
        <v>5</v>
      </c>
      <c r="AI1265">
        <v>2</v>
      </c>
      <c r="AJ1265">
        <v>3</v>
      </c>
      <c r="AK1265" t="str" cm="1">
        <f t="array" ref="AK1265">_xlfn.IFS(AJ1265&lt;=2,"Poor",AJ1265&lt;=3,"Fair",AJ1265&gt;3,"Good")</f>
        <v>Fair</v>
      </c>
      <c r="AL1265">
        <v>5</v>
      </c>
      <c r="AM1265">
        <v>3</v>
      </c>
      <c r="AN1265">
        <v>0</v>
      </c>
      <c r="AO1265">
        <v>4</v>
      </c>
    </row>
    <row r="1266" spans="1:41" x14ac:dyDescent="0.2">
      <c r="A1266">
        <v>1404955</v>
      </c>
      <c r="B1266">
        <v>34</v>
      </c>
      <c r="C1266" t="str" cm="1">
        <f t="array" ref="C1266">_xlfn.IFS(B1266&lt;=25,"15-25",B1266&lt;=35,"26-35",B1266&lt;=45,"36-45",B1266&lt;=55,"46-55",B1266&lt;=65,"56-65")</f>
        <v>26-35</v>
      </c>
      <c r="D1266" t="s">
        <v>35</v>
      </c>
      <c r="E1266" t="str">
        <f t="shared" si="38"/>
        <v>Current Employee</v>
      </c>
      <c r="F1266" t="s">
        <v>52</v>
      </c>
      <c r="G1266">
        <v>1375</v>
      </c>
      <c r="H1266" t="s">
        <v>37</v>
      </c>
      <c r="I1266">
        <v>10</v>
      </c>
      <c r="J1266">
        <v>3</v>
      </c>
      <c r="K1266" t="s">
        <v>38</v>
      </c>
      <c r="L1266">
        <v>1</v>
      </c>
      <c r="M1266">
        <v>4</v>
      </c>
      <c r="N1266" t="s">
        <v>46</v>
      </c>
      <c r="O1266">
        <v>87</v>
      </c>
      <c r="P1266">
        <v>3</v>
      </c>
      <c r="Q1266">
        <v>2</v>
      </c>
      <c r="R1266" t="s">
        <v>40</v>
      </c>
      <c r="S1266">
        <v>3</v>
      </c>
      <c r="T1266" t="str" cm="1">
        <f t="array" ref="T1266">_xlfn.IFS(S1266&lt;=2,"Poor",S1266&lt;=3,"Fair",S1266&gt;=4,"Good")</f>
        <v>Fair</v>
      </c>
      <c r="U1266" t="s">
        <v>50</v>
      </c>
      <c r="V1266" s="1">
        <v>4001</v>
      </c>
      <c r="W1266" t="str" cm="1">
        <f t="array" ref="W1266">_xlfn.IFS(V1266&lt;=5000,"Low Salary",V1266&lt;=12000,"Good Salary",V1266&gt;12000,"High Salary")</f>
        <v>Low Salary</v>
      </c>
      <c r="X1266">
        <v>12313</v>
      </c>
      <c r="Y1266">
        <v>1</v>
      </c>
      <c r="Z1266" t="s">
        <v>42</v>
      </c>
      <c r="AA1266" t="s">
        <v>43</v>
      </c>
      <c r="AB1266">
        <v>14</v>
      </c>
      <c r="AC1266">
        <v>3</v>
      </c>
      <c r="AD1266" t="str">
        <f t="shared" si="39"/>
        <v>Low Performance</v>
      </c>
      <c r="AE1266">
        <v>3</v>
      </c>
      <c r="AF1266">
        <v>80</v>
      </c>
      <c r="AG1266">
        <v>1</v>
      </c>
      <c r="AH1266">
        <v>15</v>
      </c>
      <c r="AI1266">
        <v>3</v>
      </c>
      <c r="AJ1266">
        <v>3</v>
      </c>
      <c r="AK1266" t="str" cm="1">
        <f t="array" ref="AK1266">_xlfn.IFS(AJ1266&lt;=2,"Poor",AJ1266&lt;=3,"Fair",AJ1266&gt;3,"Good")</f>
        <v>Fair</v>
      </c>
      <c r="AL1266">
        <v>15</v>
      </c>
      <c r="AM1266">
        <v>14</v>
      </c>
      <c r="AN1266">
        <v>0</v>
      </c>
      <c r="AO1266">
        <v>7</v>
      </c>
    </row>
    <row r="1267" spans="1:41" x14ac:dyDescent="0.2">
      <c r="A1267">
        <v>1473417</v>
      </c>
      <c r="B1267">
        <v>53</v>
      </c>
      <c r="C1267" t="str" cm="1">
        <f t="array" ref="C1267">_xlfn.IFS(B1267&lt;=25,"15-25",B1267&lt;=35,"26-35",B1267&lt;=45,"36-45",B1267&lt;=55,"46-55",B1267&lt;=65,"56-65")</f>
        <v>46-55</v>
      </c>
      <c r="D1267" t="s">
        <v>35</v>
      </c>
      <c r="E1267" t="str">
        <f t="shared" si="38"/>
        <v>Current Employee</v>
      </c>
      <c r="F1267" t="s">
        <v>52</v>
      </c>
      <c r="G1267">
        <v>661</v>
      </c>
      <c r="H1267" t="s">
        <v>54</v>
      </c>
      <c r="I1267">
        <v>1</v>
      </c>
      <c r="J1267">
        <v>4</v>
      </c>
      <c r="K1267" t="s">
        <v>49</v>
      </c>
      <c r="L1267">
        <v>1</v>
      </c>
      <c r="M1267">
        <v>1</v>
      </c>
      <c r="N1267" t="s">
        <v>39</v>
      </c>
      <c r="O1267">
        <v>60</v>
      </c>
      <c r="P1267">
        <v>2</v>
      </c>
      <c r="Q1267">
        <v>4</v>
      </c>
      <c r="R1267" t="s">
        <v>51</v>
      </c>
      <c r="S1267">
        <v>3</v>
      </c>
      <c r="T1267" t="str" cm="1">
        <f t="array" ref="T1267">_xlfn.IFS(S1267&lt;=2,"Poor",S1267&lt;=3,"Fair",S1267&gt;=4,"Good")</f>
        <v>Fair</v>
      </c>
      <c r="U1267" t="s">
        <v>48</v>
      </c>
      <c r="V1267" s="1">
        <v>12965</v>
      </c>
      <c r="W1267" t="str" cm="1">
        <f t="array" ref="W1267">_xlfn.IFS(V1267&lt;=5000,"Low Salary",V1267&lt;=12000,"Good Salary",V1267&gt;12000,"High Salary")</f>
        <v>High Salary</v>
      </c>
      <c r="X1267">
        <v>22308</v>
      </c>
      <c r="Y1267">
        <v>4</v>
      </c>
      <c r="Z1267" t="s">
        <v>42</v>
      </c>
      <c r="AA1267" t="s">
        <v>43</v>
      </c>
      <c r="AB1267">
        <v>20</v>
      </c>
      <c r="AC1267">
        <v>4</v>
      </c>
      <c r="AD1267" t="str">
        <f t="shared" si="39"/>
        <v>High Performance</v>
      </c>
      <c r="AE1267">
        <v>4</v>
      </c>
      <c r="AF1267">
        <v>80</v>
      </c>
      <c r="AG1267">
        <v>3</v>
      </c>
      <c r="AH1267">
        <v>27</v>
      </c>
      <c r="AI1267">
        <v>2</v>
      </c>
      <c r="AJ1267">
        <v>2</v>
      </c>
      <c r="AK1267" t="str" cm="1">
        <f t="array" ref="AK1267">_xlfn.IFS(AJ1267&lt;=2,"Poor",AJ1267&lt;=3,"Fair",AJ1267&gt;3,"Good")</f>
        <v>Poor</v>
      </c>
      <c r="AL1267">
        <v>3</v>
      </c>
      <c r="AM1267">
        <v>2</v>
      </c>
      <c r="AN1267">
        <v>0</v>
      </c>
      <c r="AO1267">
        <v>2</v>
      </c>
    </row>
    <row r="1268" spans="1:41" x14ac:dyDescent="0.2">
      <c r="A1268">
        <v>1778124</v>
      </c>
      <c r="B1268">
        <v>43</v>
      </c>
      <c r="C1268" t="str" cm="1">
        <f t="array" ref="C1268">_xlfn.IFS(B1268&lt;=25,"15-25",B1268&lt;=35,"26-35",B1268&lt;=45,"36-45",B1268&lt;=55,"46-55",B1268&lt;=65,"56-65")</f>
        <v>36-45</v>
      </c>
      <c r="D1268" t="s">
        <v>35</v>
      </c>
      <c r="E1268" t="str">
        <f t="shared" si="38"/>
        <v>Current Employee</v>
      </c>
      <c r="F1268" t="s">
        <v>36</v>
      </c>
      <c r="G1268">
        <v>244</v>
      </c>
      <c r="H1268" t="s">
        <v>54</v>
      </c>
      <c r="I1268">
        <v>2</v>
      </c>
      <c r="J1268">
        <v>3</v>
      </c>
      <c r="K1268" t="s">
        <v>38</v>
      </c>
      <c r="L1268">
        <v>1</v>
      </c>
      <c r="M1268">
        <v>2</v>
      </c>
      <c r="N1268" t="s">
        <v>46</v>
      </c>
      <c r="O1268">
        <v>97</v>
      </c>
      <c r="P1268">
        <v>3</v>
      </c>
      <c r="Q1268">
        <v>1</v>
      </c>
      <c r="R1268" t="s">
        <v>47</v>
      </c>
      <c r="S1268">
        <v>4</v>
      </c>
      <c r="T1268" t="str" cm="1">
        <f t="array" ref="T1268">_xlfn.IFS(S1268&lt;=2,"Poor",S1268&lt;=3,"Fair",S1268&gt;=4,"Good")</f>
        <v>Good</v>
      </c>
      <c r="U1268" t="s">
        <v>41</v>
      </c>
      <c r="V1268" s="1">
        <v>3539</v>
      </c>
      <c r="W1268" t="str" cm="1">
        <f t="array" ref="W1268">_xlfn.IFS(V1268&lt;=5000,"Low Salary",V1268&lt;=12000,"Good Salary",V1268&gt;12000,"High Salary")</f>
        <v>Low Salary</v>
      </c>
      <c r="X1268">
        <v>5033</v>
      </c>
      <c r="Y1268">
        <v>0</v>
      </c>
      <c r="Z1268" t="s">
        <v>42</v>
      </c>
      <c r="AA1268" t="s">
        <v>35</v>
      </c>
      <c r="AB1268">
        <v>13</v>
      </c>
      <c r="AC1268">
        <v>3</v>
      </c>
      <c r="AD1268" t="str">
        <f t="shared" si="39"/>
        <v>Low Performance</v>
      </c>
      <c r="AE1268">
        <v>2</v>
      </c>
      <c r="AF1268">
        <v>80</v>
      </c>
      <c r="AG1268">
        <v>0</v>
      </c>
      <c r="AH1268">
        <v>10</v>
      </c>
      <c r="AI1268">
        <v>5</v>
      </c>
      <c r="AJ1268">
        <v>3</v>
      </c>
      <c r="AK1268" t="str" cm="1">
        <f t="array" ref="AK1268">_xlfn.IFS(AJ1268&lt;=2,"Poor",AJ1268&lt;=3,"Fair",AJ1268&gt;3,"Good")</f>
        <v>Fair</v>
      </c>
      <c r="AL1268">
        <v>9</v>
      </c>
      <c r="AM1268">
        <v>7</v>
      </c>
      <c r="AN1268">
        <v>1</v>
      </c>
      <c r="AO1268">
        <v>8</v>
      </c>
    </row>
    <row r="1269" spans="1:41" x14ac:dyDescent="0.2">
      <c r="A1269">
        <v>1143717</v>
      </c>
      <c r="B1269">
        <v>34</v>
      </c>
      <c r="C1269" t="str" cm="1">
        <f t="array" ref="C1269">_xlfn.IFS(B1269&lt;=25,"15-25",B1269&lt;=35,"26-35",B1269&lt;=45,"36-45",B1269&lt;=55,"46-55",B1269&lt;=65,"56-65")</f>
        <v>26-35</v>
      </c>
      <c r="D1269" t="s">
        <v>35</v>
      </c>
      <c r="E1269" t="str">
        <f t="shared" si="38"/>
        <v>Current Employee</v>
      </c>
      <c r="F1269" t="s">
        <v>36</v>
      </c>
      <c r="G1269">
        <v>511</v>
      </c>
      <c r="H1269" t="s">
        <v>37</v>
      </c>
      <c r="I1269">
        <v>3</v>
      </c>
      <c r="J1269">
        <v>2</v>
      </c>
      <c r="K1269" t="s">
        <v>38</v>
      </c>
      <c r="L1269">
        <v>1</v>
      </c>
      <c r="M1269">
        <v>4</v>
      </c>
      <c r="N1269" t="s">
        <v>39</v>
      </c>
      <c r="O1269">
        <v>32</v>
      </c>
      <c r="P1269">
        <v>1</v>
      </c>
      <c r="Q1269">
        <v>2</v>
      </c>
      <c r="R1269" t="s">
        <v>40</v>
      </c>
      <c r="S1269">
        <v>4</v>
      </c>
      <c r="T1269" t="str" cm="1">
        <f t="array" ref="T1269">_xlfn.IFS(S1269&lt;=2,"Poor",S1269&lt;=3,"Fair",S1269&gt;=4,"Good")</f>
        <v>Good</v>
      </c>
      <c r="U1269" t="s">
        <v>41</v>
      </c>
      <c r="V1269" s="1">
        <v>6029</v>
      </c>
      <c r="W1269" t="str" cm="1">
        <f t="array" ref="W1269">_xlfn.IFS(V1269&lt;=5000,"Low Salary",V1269&lt;=12000,"Good Salary",V1269&gt;12000,"High Salary")</f>
        <v>Good Salary</v>
      </c>
      <c r="X1269">
        <v>25353</v>
      </c>
      <c r="Y1269">
        <v>5</v>
      </c>
      <c r="Z1269" t="s">
        <v>42</v>
      </c>
      <c r="AA1269" t="s">
        <v>35</v>
      </c>
      <c r="AB1269">
        <v>12</v>
      </c>
      <c r="AC1269">
        <v>3</v>
      </c>
      <c r="AD1269" t="str">
        <f t="shared" si="39"/>
        <v>Low Performance</v>
      </c>
      <c r="AE1269">
        <v>1</v>
      </c>
      <c r="AF1269">
        <v>80</v>
      </c>
      <c r="AG1269">
        <v>0</v>
      </c>
      <c r="AH1269">
        <v>6</v>
      </c>
      <c r="AI1269">
        <v>3</v>
      </c>
      <c r="AJ1269">
        <v>3</v>
      </c>
      <c r="AK1269" t="str" cm="1">
        <f t="array" ref="AK1269">_xlfn.IFS(AJ1269&lt;=2,"Poor",AJ1269&lt;=3,"Fair",AJ1269&gt;3,"Good")</f>
        <v>Fair</v>
      </c>
      <c r="AL1269">
        <v>2</v>
      </c>
      <c r="AM1269">
        <v>2</v>
      </c>
      <c r="AN1269">
        <v>2</v>
      </c>
      <c r="AO1269">
        <v>2</v>
      </c>
    </row>
    <row r="1270" spans="1:41" x14ac:dyDescent="0.2">
      <c r="A1270">
        <v>1193818</v>
      </c>
      <c r="B1270">
        <v>21</v>
      </c>
      <c r="C1270" t="str" cm="1">
        <f t="array" ref="C1270">_xlfn.IFS(B1270&lt;=25,"15-25",B1270&lt;=35,"26-35",B1270&lt;=45,"36-45",B1270&lt;=55,"46-55",B1270&lt;=65,"56-65")</f>
        <v>15-25</v>
      </c>
      <c r="D1270" t="s">
        <v>43</v>
      </c>
      <c r="E1270" t="str">
        <f t="shared" si="38"/>
        <v>Former Employee</v>
      </c>
      <c r="F1270" t="s">
        <v>36</v>
      </c>
      <c r="G1270">
        <v>337</v>
      </c>
      <c r="H1270" t="s">
        <v>37</v>
      </c>
      <c r="I1270">
        <v>7</v>
      </c>
      <c r="J1270">
        <v>1</v>
      </c>
      <c r="K1270" t="s">
        <v>55</v>
      </c>
      <c r="L1270">
        <v>1</v>
      </c>
      <c r="M1270">
        <v>2</v>
      </c>
      <c r="N1270" t="s">
        <v>46</v>
      </c>
      <c r="O1270">
        <v>31</v>
      </c>
      <c r="P1270">
        <v>3</v>
      </c>
      <c r="Q1270">
        <v>1</v>
      </c>
      <c r="R1270" t="s">
        <v>47</v>
      </c>
      <c r="S1270">
        <v>2</v>
      </c>
      <c r="T1270" t="str" cm="1">
        <f t="array" ref="T1270">_xlfn.IFS(S1270&lt;=2,"Poor",S1270&lt;=3,"Fair",S1270&gt;=4,"Good")</f>
        <v>Poor</v>
      </c>
      <c r="U1270" t="s">
        <v>41</v>
      </c>
      <c r="V1270" s="1">
        <v>2679</v>
      </c>
      <c r="W1270" t="str" cm="1">
        <f t="array" ref="W1270">_xlfn.IFS(V1270&lt;=5000,"Low Salary",V1270&lt;=12000,"Good Salary",V1270&gt;12000,"High Salary")</f>
        <v>Low Salary</v>
      </c>
      <c r="X1270">
        <v>4567</v>
      </c>
      <c r="Y1270">
        <v>1</v>
      </c>
      <c r="Z1270" t="s">
        <v>42</v>
      </c>
      <c r="AA1270" t="s">
        <v>35</v>
      </c>
      <c r="AB1270">
        <v>13</v>
      </c>
      <c r="AC1270">
        <v>3</v>
      </c>
      <c r="AD1270" t="str">
        <f t="shared" si="39"/>
        <v>Low Performance</v>
      </c>
      <c r="AE1270">
        <v>2</v>
      </c>
      <c r="AF1270">
        <v>80</v>
      </c>
      <c r="AG1270">
        <v>0</v>
      </c>
      <c r="AH1270">
        <v>1</v>
      </c>
      <c r="AI1270">
        <v>3</v>
      </c>
      <c r="AJ1270">
        <v>3</v>
      </c>
      <c r="AK1270" t="str" cm="1">
        <f t="array" ref="AK1270">_xlfn.IFS(AJ1270&lt;=2,"Poor",AJ1270&lt;=3,"Fair",AJ1270&gt;3,"Good")</f>
        <v>Fair</v>
      </c>
      <c r="AL1270">
        <v>1</v>
      </c>
      <c r="AM1270">
        <v>0</v>
      </c>
      <c r="AN1270">
        <v>1</v>
      </c>
      <c r="AO1270">
        <v>0</v>
      </c>
    </row>
    <row r="1271" spans="1:41" x14ac:dyDescent="0.2">
      <c r="A1271">
        <v>1795187</v>
      </c>
      <c r="B1271">
        <v>38</v>
      </c>
      <c r="C1271" t="str" cm="1">
        <f t="array" ref="C1271">_xlfn.IFS(B1271&lt;=25,"15-25",B1271&lt;=35,"26-35",B1271&lt;=45,"36-45",B1271&lt;=55,"46-55",B1271&lt;=65,"56-65")</f>
        <v>36-45</v>
      </c>
      <c r="D1271" t="s">
        <v>35</v>
      </c>
      <c r="E1271" t="str">
        <f t="shared" si="38"/>
        <v>Current Employee</v>
      </c>
      <c r="F1271" t="s">
        <v>36</v>
      </c>
      <c r="G1271">
        <v>1153</v>
      </c>
      <c r="H1271" t="s">
        <v>45</v>
      </c>
      <c r="I1271">
        <v>6</v>
      </c>
      <c r="J1271">
        <v>2</v>
      </c>
      <c r="K1271" t="s">
        <v>47</v>
      </c>
      <c r="L1271">
        <v>1</v>
      </c>
      <c r="M1271">
        <v>4</v>
      </c>
      <c r="N1271" t="s">
        <v>39</v>
      </c>
      <c r="O1271">
        <v>40</v>
      </c>
      <c r="P1271">
        <v>2</v>
      </c>
      <c r="Q1271">
        <v>1</v>
      </c>
      <c r="R1271" t="s">
        <v>40</v>
      </c>
      <c r="S1271">
        <v>3</v>
      </c>
      <c r="T1271" t="str" cm="1">
        <f t="array" ref="T1271">_xlfn.IFS(S1271&lt;=2,"Poor",S1271&lt;=3,"Fair",S1271&gt;=4,"Good")</f>
        <v>Fair</v>
      </c>
      <c r="U1271" t="s">
        <v>48</v>
      </c>
      <c r="V1271" s="1">
        <v>3702</v>
      </c>
      <c r="W1271" t="str" cm="1">
        <f t="array" ref="W1271">_xlfn.IFS(V1271&lt;=5000,"Low Salary",V1271&lt;=12000,"Good Salary",V1271&gt;12000,"High Salary")</f>
        <v>Low Salary</v>
      </c>
      <c r="X1271">
        <v>16376</v>
      </c>
      <c r="Y1271">
        <v>1</v>
      </c>
      <c r="Z1271" t="s">
        <v>42</v>
      </c>
      <c r="AA1271" t="s">
        <v>35</v>
      </c>
      <c r="AB1271">
        <v>11</v>
      </c>
      <c r="AC1271">
        <v>3</v>
      </c>
      <c r="AD1271" t="str">
        <f t="shared" si="39"/>
        <v>Low Performance</v>
      </c>
      <c r="AE1271">
        <v>2</v>
      </c>
      <c r="AF1271">
        <v>80</v>
      </c>
      <c r="AG1271">
        <v>1</v>
      </c>
      <c r="AH1271">
        <v>5</v>
      </c>
      <c r="AI1271">
        <v>3</v>
      </c>
      <c r="AJ1271">
        <v>3</v>
      </c>
      <c r="AK1271" t="str" cm="1">
        <f t="array" ref="AK1271">_xlfn.IFS(AJ1271&lt;=2,"Poor",AJ1271&lt;=3,"Fair",AJ1271&gt;3,"Good")</f>
        <v>Fair</v>
      </c>
      <c r="AL1271">
        <v>5</v>
      </c>
      <c r="AM1271">
        <v>4</v>
      </c>
      <c r="AN1271">
        <v>0</v>
      </c>
      <c r="AO1271">
        <v>4</v>
      </c>
    </row>
    <row r="1272" spans="1:41" x14ac:dyDescent="0.2">
      <c r="A1272">
        <v>1241701</v>
      </c>
      <c r="B1272">
        <v>22</v>
      </c>
      <c r="C1272" t="str" cm="1">
        <f t="array" ref="C1272">_xlfn.IFS(B1272&lt;=25,"15-25",B1272&lt;=35,"26-35",B1272&lt;=45,"36-45",B1272&lt;=55,"46-55",B1272&lt;=65,"56-65")</f>
        <v>15-25</v>
      </c>
      <c r="D1272" t="s">
        <v>43</v>
      </c>
      <c r="E1272" t="str">
        <f t="shared" si="38"/>
        <v>Former Employee</v>
      </c>
      <c r="F1272" t="s">
        <v>36</v>
      </c>
      <c r="G1272">
        <v>1294</v>
      </c>
      <c r="H1272" t="s">
        <v>45</v>
      </c>
      <c r="I1272">
        <v>8</v>
      </c>
      <c r="J1272">
        <v>1</v>
      </c>
      <c r="K1272" t="s">
        <v>49</v>
      </c>
      <c r="L1272">
        <v>1</v>
      </c>
      <c r="M1272">
        <v>3</v>
      </c>
      <c r="N1272" t="s">
        <v>39</v>
      </c>
      <c r="O1272">
        <v>79</v>
      </c>
      <c r="P1272">
        <v>3</v>
      </c>
      <c r="Q1272">
        <v>1</v>
      </c>
      <c r="R1272" t="s">
        <v>40</v>
      </c>
      <c r="S1272">
        <v>1</v>
      </c>
      <c r="T1272" t="str" cm="1">
        <f t="array" ref="T1272">_xlfn.IFS(S1272&lt;=2,"Poor",S1272&lt;=3,"Fair",S1272&gt;=4,"Good")</f>
        <v>Poor</v>
      </c>
      <c r="U1272" t="s">
        <v>48</v>
      </c>
      <c r="V1272" s="1">
        <v>2398</v>
      </c>
      <c r="W1272" t="str" cm="1">
        <f t="array" ref="W1272">_xlfn.IFS(V1272&lt;=5000,"Low Salary",V1272&lt;=12000,"Good Salary",V1272&gt;12000,"High Salary")</f>
        <v>Low Salary</v>
      </c>
      <c r="X1272">
        <v>15999</v>
      </c>
      <c r="Y1272">
        <v>1</v>
      </c>
      <c r="Z1272" t="s">
        <v>42</v>
      </c>
      <c r="AA1272" t="s">
        <v>43</v>
      </c>
      <c r="AB1272">
        <v>17</v>
      </c>
      <c r="AC1272">
        <v>3</v>
      </c>
      <c r="AD1272" t="str">
        <f t="shared" si="39"/>
        <v>Low Performance</v>
      </c>
      <c r="AE1272">
        <v>3</v>
      </c>
      <c r="AF1272">
        <v>80</v>
      </c>
      <c r="AG1272">
        <v>0</v>
      </c>
      <c r="AH1272">
        <v>1</v>
      </c>
      <c r="AI1272">
        <v>6</v>
      </c>
      <c r="AJ1272">
        <v>3</v>
      </c>
      <c r="AK1272" t="str" cm="1">
        <f t="array" ref="AK1272">_xlfn.IFS(AJ1272&lt;=2,"Poor",AJ1272&lt;=3,"Fair",AJ1272&gt;3,"Good")</f>
        <v>Fair</v>
      </c>
      <c r="AL1272">
        <v>1</v>
      </c>
      <c r="AM1272">
        <v>0</v>
      </c>
      <c r="AN1272">
        <v>0</v>
      </c>
      <c r="AO1272">
        <v>0</v>
      </c>
    </row>
    <row r="1273" spans="1:41" x14ac:dyDescent="0.2">
      <c r="A1273">
        <v>1729178</v>
      </c>
      <c r="B1273">
        <v>31</v>
      </c>
      <c r="C1273" t="str" cm="1">
        <f t="array" ref="C1273">_xlfn.IFS(B1273&lt;=25,"15-25",B1273&lt;=35,"26-35",B1273&lt;=45,"36-45",B1273&lt;=55,"46-55",B1273&lt;=65,"56-65")</f>
        <v>26-35</v>
      </c>
      <c r="D1273" t="s">
        <v>35</v>
      </c>
      <c r="E1273" t="str">
        <f t="shared" si="38"/>
        <v>Current Employee</v>
      </c>
      <c r="F1273" t="s">
        <v>36</v>
      </c>
      <c r="G1273">
        <v>196</v>
      </c>
      <c r="H1273" t="s">
        <v>37</v>
      </c>
      <c r="I1273">
        <v>29</v>
      </c>
      <c r="J1273">
        <v>4</v>
      </c>
      <c r="K1273" t="s">
        <v>55</v>
      </c>
      <c r="L1273">
        <v>1</v>
      </c>
      <c r="M1273">
        <v>1</v>
      </c>
      <c r="N1273" t="s">
        <v>39</v>
      </c>
      <c r="O1273">
        <v>91</v>
      </c>
      <c r="P1273">
        <v>2</v>
      </c>
      <c r="Q1273">
        <v>2</v>
      </c>
      <c r="R1273" t="s">
        <v>40</v>
      </c>
      <c r="S1273">
        <v>4</v>
      </c>
      <c r="T1273" t="str" cm="1">
        <f t="array" ref="T1273">_xlfn.IFS(S1273&lt;=2,"Poor",S1273&lt;=3,"Fair",S1273&gt;=4,"Good")</f>
        <v>Good</v>
      </c>
      <c r="U1273" t="s">
        <v>48</v>
      </c>
      <c r="V1273" s="1">
        <v>5468</v>
      </c>
      <c r="W1273" t="str" cm="1">
        <f t="array" ref="W1273">_xlfn.IFS(V1273&lt;=5000,"Low Salary",V1273&lt;=12000,"Good Salary",V1273&gt;12000,"High Salary")</f>
        <v>Good Salary</v>
      </c>
      <c r="X1273">
        <v>13402</v>
      </c>
      <c r="Y1273">
        <v>1</v>
      </c>
      <c r="Z1273" t="s">
        <v>42</v>
      </c>
      <c r="AA1273" t="s">
        <v>35</v>
      </c>
      <c r="AB1273">
        <v>14</v>
      </c>
      <c r="AC1273">
        <v>3</v>
      </c>
      <c r="AD1273" t="str">
        <f t="shared" si="39"/>
        <v>Low Performance</v>
      </c>
      <c r="AE1273">
        <v>1</v>
      </c>
      <c r="AF1273">
        <v>80</v>
      </c>
      <c r="AG1273">
        <v>2</v>
      </c>
      <c r="AH1273">
        <v>13</v>
      </c>
      <c r="AI1273">
        <v>3</v>
      </c>
      <c r="AJ1273">
        <v>3</v>
      </c>
      <c r="AK1273" t="str" cm="1">
        <f t="array" ref="AK1273">_xlfn.IFS(AJ1273&lt;=2,"Poor",AJ1273&lt;=3,"Fair",AJ1273&gt;3,"Good")</f>
        <v>Fair</v>
      </c>
      <c r="AL1273">
        <v>12</v>
      </c>
      <c r="AM1273">
        <v>7</v>
      </c>
      <c r="AN1273">
        <v>5</v>
      </c>
      <c r="AO1273">
        <v>7</v>
      </c>
    </row>
    <row r="1274" spans="1:41" x14ac:dyDescent="0.2">
      <c r="A1274">
        <v>1612699</v>
      </c>
      <c r="B1274">
        <v>51</v>
      </c>
      <c r="C1274" t="str" cm="1">
        <f t="array" ref="C1274">_xlfn.IFS(B1274&lt;=25,"15-25",B1274&lt;=35,"26-35",B1274&lt;=45,"36-45",B1274&lt;=55,"46-55",B1274&lt;=65,"56-65")</f>
        <v>46-55</v>
      </c>
      <c r="D1274" t="s">
        <v>35</v>
      </c>
      <c r="E1274" t="str">
        <f t="shared" si="38"/>
        <v>Current Employee</v>
      </c>
      <c r="F1274" t="s">
        <v>36</v>
      </c>
      <c r="G1274">
        <v>942</v>
      </c>
      <c r="H1274" t="s">
        <v>54</v>
      </c>
      <c r="I1274">
        <v>3</v>
      </c>
      <c r="J1274">
        <v>3</v>
      </c>
      <c r="K1274" t="s">
        <v>56</v>
      </c>
      <c r="L1274">
        <v>1</v>
      </c>
      <c r="M1274">
        <v>1</v>
      </c>
      <c r="N1274" t="s">
        <v>39</v>
      </c>
      <c r="O1274">
        <v>53</v>
      </c>
      <c r="P1274">
        <v>3</v>
      </c>
      <c r="Q1274">
        <v>3</v>
      </c>
      <c r="R1274" t="s">
        <v>47</v>
      </c>
      <c r="S1274">
        <v>3</v>
      </c>
      <c r="T1274" t="str" cm="1">
        <f t="array" ref="T1274">_xlfn.IFS(S1274&lt;=2,"Poor",S1274&lt;=3,"Fair",S1274&gt;=4,"Good")</f>
        <v>Fair</v>
      </c>
      <c r="U1274" t="s">
        <v>48</v>
      </c>
      <c r="V1274" s="1">
        <v>13116</v>
      </c>
      <c r="W1274" t="str" cm="1">
        <f t="array" ref="W1274">_xlfn.IFS(V1274&lt;=5000,"Low Salary",V1274&lt;=12000,"Good Salary",V1274&gt;12000,"High Salary")</f>
        <v>High Salary</v>
      </c>
      <c r="X1274">
        <v>22984</v>
      </c>
      <c r="Y1274">
        <v>2</v>
      </c>
      <c r="Z1274" t="s">
        <v>42</v>
      </c>
      <c r="AA1274" t="s">
        <v>35</v>
      </c>
      <c r="AB1274">
        <v>11</v>
      </c>
      <c r="AC1274">
        <v>3</v>
      </c>
      <c r="AD1274" t="str">
        <f t="shared" si="39"/>
        <v>Low Performance</v>
      </c>
      <c r="AE1274">
        <v>4</v>
      </c>
      <c r="AF1274">
        <v>80</v>
      </c>
      <c r="AG1274">
        <v>0</v>
      </c>
      <c r="AH1274">
        <v>15</v>
      </c>
      <c r="AI1274">
        <v>2</v>
      </c>
      <c r="AJ1274">
        <v>3</v>
      </c>
      <c r="AK1274" t="str" cm="1">
        <f t="array" ref="AK1274">_xlfn.IFS(AJ1274&lt;=2,"Poor",AJ1274&lt;=3,"Fair",AJ1274&gt;3,"Good")</f>
        <v>Fair</v>
      </c>
      <c r="AL1274">
        <v>2</v>
      </c>
      <c r="AM1274">
        <v>2</v>
      </c>
      <c r="AN1274">
        <v>2</v>
      </c>
      <c r="AO1274">
        <v>2</v>
      </c>
    </row>
    <row r="1275" spans="1:41" x14ac:dyDescent="0.2">
      <c r="A1275">
        <v>1880660</v>
      </c>
      <c r="B1275">
        <v>37</v>
      </c>
      <c r="C1275" t="str" cm="1">
        <f t="array" ref="C1275">_xlfn.IFS(B1275&lt;=25,"15-25",B1275&lt;=35,"26-35",B1275&lt;=45,"36-45",B1275&lt;=55,"46-55",B1275&lt;=65,"56-65")</f>
        <v>36-45</v>
      </c>
      <c r="D1275" t="s">
        <v>35</v>
      </c>
      <c r="E1275" t="str">
        <f t="shared" si="38"/>
        <v>Current Employee</v>
      </c>
      <c r="F1275" t="s">
        <v>36</v>
      </c>
      <c r="G1275">
        <v>589</v>
      </c>
      <c r="H1275" t="s">
        <v>37</v>
      </c>
      <c r="I1275">
        <v>9</v>
      </c>
      <c r="J1275">
        <v>2</v>
      </c>
      <c r="K1275" t="s">
        <v>55</v>
      </c>
      <c r="L1275">
        <v>1</v>
      </c>
      <c r="M1275">
        <v>2</v>
      </c>
      <c r="N1275" t="s">
        <v>46</v>
      </c>
      <c r="O1275">
        <v>46</v>
      </c>
      <c r="P1275">
        <v>2</v>
      </c>
      <c r="Q1275">
        <v>2</v>
      </c>
      <c r="R1275" t="s">
        <v>40</v>
      </c>
      <c r="S1275">
        <v>2</v>
      </c>
      <c r="T1275" t="str" cm="1">
        <f t="array" ref="T1275">_xlfn.IFS(S1275&lt;=2,"Poor",S1275&lt;=3,"Fair",S1275&gt;=4,"Good")</f>
        <v>Poor</v>
      </c>
      <c r="U1275" t="s">
        <v>48</v>
      </c>
      <c r="V1275" s="1">
        <v>4189</v>
      </c>
      <c r="W1275" t="str" cm="1">
        <f t="array" ref="W1275">_xlfn.IFS(V1275&lt;=5000,"Low Salary",V1275&lt;=12000,"Good Salary",V1275&gt;12000,"High Salary")</f>
        <v>Low Salary</v>
      </c>
      <c r="X1275">
        <v>8800</v>
      </c>
      <c r="Y1275">
        <v>1</v>
      </c>
      <c r="Z1275" t="s">
        <v>42</v>
      </c>
      <c r="AA1275" t="s">
        <v>35</v>
      </c>
      <c r="AB1275">
        <v>14</v>
      </c>
      <c r="AC1275">
        <v>3</v>
      </c>
      <c r="AD1275" t="str">
        <f t="shared" si="39"/>
        <v>Low Performance</v>
      </c>
      <c r="AE1275">
        <v>1</v>
      </c>
      <c r="AF1275">
        <v>80</v>
      </c>
      <c r="AG1275">
        <v>2</v>
      </c>
      <c r="AH1275">
        <v>5</v>
      </c>
      <c r="AI1275">
        <v>2</v>
      </c>
      <c r="AJ1275">
        <v>3</v>
      </c>
      <c r="AK1275" t="str" cm="1">
        <f t="array" ref="AK1275">_xlfn.IFS(AJ1275&lt;=2,"Poor",AJ1275&lt;=3,"Fair",AJ1275&gt;3,"Good")</f>
        <v>Fair</v>
      </c>
      <c r="AL1275">
        <v>5</v>
      </c>
      <c r="AM1275">
        <v>2</v>
      </c>
      <c r="AN1275">
        <v>0</v>
      </c>
      <c r="AO1275">
        <v>3</v>
      </c>
    </row>
    <row r="1276" spans="1:41" x14ac:dyDescent="0.2">
      <c r="A1276">
        <v>1275366</v>
      </c>
      <c r="B1276">
        <v>46</v>
      </c>
      <c r="C1276" t="str" cm="1">
        <f t="array" ref="C1276">_xlfn.IFS(B1276&lt;=25,"15-25",B1276&lt;=35,"26-35",B1276&lt;=45,"36-45",B1276&lt;=55,"46-55",B1276&lt;=65,"56-65")</f>
        <v>46-55</v>
      </c>
      <c r="D1276" t="s">
        <v>35</v>
      </c>
      <c r="E1276" t="str">
        <f t="shared" si="38"/>
        <v>Current Employee</v>
      </c>
      <c r="F1276" t="s">
        <v>36</v>
      </c>
      <c r="G1276">
        <v>734</v>
      </c>
      <c r="H1276" t="s">
        <v>45</v>
      </c>
      <c r="I1276">
        <v>2</v>
      </c>
      <c r="J1276">
        <v>4</v>
      </c>
      <c r="K1276" t="s">
        <v>49</v>
      </c>
      <c r="L1276">
        <v>1</v>
      </c>
      <c r="M1276">
        <v>3</v>
      </c>
      <c r="N1276" t="s">
        <v>46</v>
      </c>
      <c r="O1276">
        <v>46</v>
      </c>
      <c r="P1276">
        <v>3</v>
      </c>
      <c r="Q1276">
        <v>5</v>
      </c>
      <c r="R1276" t="s">
        <v>53</v>
      </c>
      <c r="S1276">
        <v>4</v>
      </c>
      <c r="T1276" t="str" cm="1">
        <f t="array" ref="T1276">_xlfn.IFS(S1276&lt;=2,"Poor",S1276&lt;=3,"Fair",S1276&gt;=4,"Good")</f>
        <v>Good</v>
      </c>
      <c r="U1276" t="s">
        <v>50</v>
      </c>
      <c r="V1276" s="1">
        <v>19328</v>
      </c>
      <c r="W1276" t="str" cm="1">
        <f t="array" ref="W1276">_xlfn.IFS(V1276&lt;=5000,"Low Salary",V1276&lt;=12000,"Good Salary",V1276&gt;12000,"High Salary")</f>
        <v>High Salary</v>
      </c>
      <c r="X1276">
        <v>14218</v>
      </c>
      <c r="Y1276">
        <v>7</v>
      </c>
      <c r="Z1276" t="s">
        <v>42</v>
      </c>
      <c r="AA1276" t="s">
        <v>43</v>
      </c>
      <c r="AB1276">
        <v>17</v>
      </c>
      <c r="AC1276">
        <v>3</v>
      </c>
      <c r="AD1276" t="str">
        <f t="shared" si="39"/>
        <v>Low Performance</v>
      </c>
      <c r="AE1276">
        <v>3</v>
      </c>
      <c r="AF1276">
        <v>80</v>
      </c>
      <c r="AG1276">
        <v>1</v>
      </c>
      <c r="AH1276">
        <v>24</v>
      </c>
      <c r="AI1276">
        <v>3</v>
      </c>
      <c r="AJ1276">
        <v>3</v>
      </c>
      <c r="AK1276" t="str" cm="1">
        <f t="array" ref="AK1276">_xlfn.IFS(AJ1276&lt;=2,"Poor",AJ1276&lt;=3,"Fair",AJ1276&gt;3,"Good")</f>
        <v>Fair</v>
      </c>
      <c r="AL1276">
        <v>2</v>
      </c>
      <c r="AM1276">
        <v>1</v>
      </c>
      <c r="AN1276">
        <v>2</v>
      </c>
      <c r="AO1276">
        <v>2</v>
      </c>
    </row>
    <row r="1277" spans="1:41" x14ac:dyDescent="0.2">
      <c r="A1277">
        <v>1377582</v>
      </c>
      <c r="B1277">
        <v>36</v>
      </c>
      <c r="C1277" t="str" cm="1">
        <f t="array" ref="C1277">_xlfn.IFS(B1277&lt;=25,"15-25",B1277&lt;=35,"26-35",B1277&lt;=45,"36-45",B1277&lt;=55,"46-55",B1277&lt;=65,"56-65")</f>
        <v>36-45</v>
      </c>
      <c r="D1277" t="s">
        <v>35</v>
      </c>
      <c r="E1277" t="str">
        <f t="shared" si="38"/>
        <v>Current Employee</v>
      </c>
      <c r="F1277" t="s">
        <v>36</v>
      </c>
      <c r="G1277">
        <v>1383</v>
      </c>
      <c r="H1277" t="s">
        <v>45</v>
      </c>
      <c r="I1277">
        <v>10</v>
      </c>
      <c r="J1277">
        <v>3</v>
      </c>
      <c r="K1277" t="s">
        <v>38</v>
      </c>
      <c r="L1277">
        <v>1</v>
      </c>
      <c r="M1277">
        <v>4</v>
      </c>
      <c r="N1277" t="s">
        <v>46</v>
      </c>
      <c r="O1277">
        <v>90</v>
      </c>
      <c r="P1277">
        <v>3</v>
      </c>
      <c r="Q1277">
        <v>3</v>
      </c>
      <c r="R1277" t="s">
        <v>40</v>
      </c>
      <c r="S1277">
        <v>1</v>
      </c>
      <c r="T1277" t="str" cm="1">
        <f t="array" ref="T1277">_xlfn.IFS(S1277&lt;=2,"Poor",S1277&lt;=3,"Fair",S1277&gt;=4,"Good")</f>
        <v>Poor</v>
      </c>
      <c r="U1277" t="s">
        <v>48</v>
      </c>
      <c r="V1277" s="1">
        <v>8321</v>
      </c>
      <c r="W1277" t="str" cm="1">
        <f t="array" ref="W1277">_xlfn.IFS(V1277&lt;=5000,"Low Salary",V1277&lt;=12000,"Good Salary",V1277&gt;12000,"High Salary")</f>
        <v>Good Salary</v>
      </c>
      <c r="X1277">
        <v>25949</v>
      </c>
      <c r="Y1277">
        <v>7</v>
      </c>
      <c r="Z1277" t="s">
        <v>42</v>
      </c>
      <c r="AA1277" t="s">
        <v>43</v>
      </c>
      <c r="AB1277">
        <v>13</v>
      </c>
      <c r="AC1277">
        <v>3</v>
      </c>
      <c r="AD1277" t="str">
        <f t="shared" si="39"/>
        <v>Low Performance</v>
      </c>
      <c r="AE1277">
        <v>4</v>
      </c>
      <c r="AF1277">
        <v>80</v>
      </c>
      <c r="AG1277">
        <v>1</v>
      </c>
      <c r="AH1277">
        <v>15</v>
      </c>
      <c r="AI1277">
        <v>1</v>
      </c>
      <c r="AJ1277">
        <v>3</v>
      </c>
      <c r="AK1277" t="str" cm="1">
        <f t="array" ref="AK1277">_xlfn.IFS(AJ1277&lt;=2,"Poor",AJ1277&lt;=3,"Fair",AJ1277&gt;3,"Good")</f>
        <v>Fair</v>
      </c>
      <c r="AL1277">
        <v>12</v>
      </c>
      <c r="AM1277">
        <v>8</v>
      </c>
      <c r="AN1277">
        <v>5</v>
      </c>
      <c r="AO1277">
        <v>7</v>
      </c>
    </row>
    <row r="1278" spans="1:41" x14ac:dyDescent="0.2">
      <c r="A1278">
        <v>1590795</v>
      </c>
      <c r="B1278">
        <v>44</v>
      </c>
      <c r="C1278" t="str" cm="1">
        <f t="array" ref="C1278">_xlfn.IFS(B1278&lt;=25,"15-25",B1278&lt;=35,"26-35",B1278&lt;=45,"36-45",B1278&lt;=55,"46-55",B1278&lt;=65,"56-65")</f>
        <v>36-45</v>
      </c>
      <c r="D1278" t="s">
        <v>35</v>
      </c>
      <c r="E1278" t="str">
        <f t="shared" si="38"/>
        <v>Current Employee</v>
      </c>
      <c r="F1278" t="s">
        <v>44</v>
      </c>
      <c r="G1278">
        <v>429</v>
      </c>
      <c r="H1278" t="s">
        <v>45</v>
      </c>
      <c r="I1278">
        <v>1</v>
      </c>
      <c r="J1278">
        <v>2</v>
      </c>
      <c r="K1278" t="s">
        <v>49</v>
      </c>
      <c r="L1278">
        <v>1</v>
      </c>
      <c r="M1278">
        <v>3</v>
      </c>
      <c r="N1278" t="s">
        <v>46</v>
      </c>
      <c r="O1278">
        <v>99</v>
      </c>
      <c r="P1278">
        <v>3</v>
      </c>
      <c r="Q1278">
        <v>1</v>
      </c>
      <c r="R1278" t="s">
        <v>47</v>
      </c>
      <c r="S1278">
        <v>2</v>
      </c>
      <c r="T1278" t="str" cm="1">
        <f t="array" ref="T1278">_xlfn.IFS(S1278&lt;=2,"Poor",S1278&lt;=3,"Fair",S1278&gt;=4,"Good")</f>
        <v>Poor</v>
      </c>
      <c r="U1278" t="s">
        <v>50</v>
      </c>
      <c r="V1278" s="1">
        <v>2342</v>
      </c>
      <c r="W1278" t="str" cm="1">
        <f t="array" ref="W1278">_xlfn.IFS(V1278&lt;=5000,"Low Salary",V1278&lt;=12000,"Good Salary",V1278&gt;12000,"High Salary")</f>
        <v>Low Salary</v>
      </c>
      <c r="X1278">
        <v>11092</v>
      </c>
      <c r="Y1278">
        <v>1</v>
      </c>
      <c r="Z1278" t="s">
        <v>42</v>
      </c>
      <c r="AA1278" t="s">
        <v>43</v>
      </c>
      <c r="AB1278">
        <v>12</v>
      </c>
      <c r="AC1278">
        <v>3</v>
      </c>
      <c r="AD1278" t="str">
        <f t="shared" si="39"/>
        <v>Low Performance</v>
      </c>
      <c r="AE1278">
        <v>3</v>
      </c>
      <c r="AF1278">
        <v>80</v>
      </c>
      <c r="AG1278">
        <v>3</v>
      </c>
      <c r="AH1278">
        <v>6</v>
      </c>
      <c r="AI1278">
        <v>2</v>
      </c>
      <c r="AJ1278">
        <v>2</v>
      </c>
      <c r="AK1278" t="str" cm="1">
        <f t="array" ref="AK1278">_xlfn.IFS(AJ1278&lt;=2,"Poor",AJ1278&lt;=3,"Fair",AJ1278&gt;3,"Good")</f>
        <v>Poor</v>
      </c>
      <c r="AL1278">
        <v>5</v>
      </c>
      <c r="AM1278">
        <v>3</v>
      </c>
      <c r="AN1278">
        <v>2</v>
      </c>
      <c r="AO1278">
        <v>3</v>
      </c>
    </row>
    <row r="1279" spans="1:41" x14ac:dyDescent="0.2">
      <c r="A1279">
        <v>1554560</v>
      </c>
      <c r="B1279">
        <v>37</v>
      </c>
      <c r="C1279" t="str" cm="1">
        <f t="array" ref="C1279">_xlfn.IFS(B1279&lt;=25,"15-25",B1279&lt;=35,"26-35",B1279&lt;=45,"36-45",B1279&lt;=55,"46-55",B1279&lt;=65,"56-65")</f>
        <v>36-45</v>
      </c>
      <c r="D1279" t="s">
        <v>35</v>
      </c>
      <c r="E1279" t="str">
        <f t="shared" si="38"/>
        <v>Current Employee</v>
      </c>
      <c r="F1279" t="s">
        <v>36</v>
      </c>
      <c r="G1279">
        <v>1239</v>
      </c>
      <c r="H1279" t="s">
        <v>54</v>
      </c>
      <c r="I1279">
        <v>8</v>
      </c>
      <c r="J1279">
        <v>2</v>
      </c>
      <c r="K1279" t="s">
        <v>47</v>
      </c>
      <c r="L1279">
        <v>1</v>
      </c>
      <c r="M1279">
        <v>3</v>
      </c>
      <c r="N1279" t="s">
        <v>46</v>
      </c>
      <c r="O1279">
        <v>89</v>
      </c>
      <c r="P1279">
        <v>3</v>
      </c>
      <c r="Q1279">
        <v>2</v>
      </c>
      <c r="R1279" t="s">
        <v>47</v>
      </c>
      <c r="S1279">
        <v>2</v>
      </c>
      <c r="T1279" t="str" cm="1">
        <f t="array" ref="T1279">_xlfn.IFS(S1279&lt;=2,"Poor",S1279&lt;=3,"Fair",S1279&gt;=4,"Good")</f>
        <v>Poor</v>
      </c>
      <c r="U1279" t="s">
        <v>50</v>
      </c>
      <c r="V1279" s="1">
        <v>4071</v>
      </c>
      <c r="W1279" t="str" cm="1">
        <f t="array" ref="W1279">_xlfn.IFS(V1279&lt;=5000,"Low Salary",V1279&lt;=12000,"Good Salary",V1279&gt;12000,"High Salary")</f>
        <v>Low Salary</v>
      </c>
      <c r="X1279">
        <v>12832</v>
      </c>
      <c r="Y1279">
        <v>2</v>
      </c>
      <c r="Z1279" t="s">
        <v>42</v>
      </c>
      <c r="AA1279" t="s">
        <v>35</v>
      </c>
      <c r="AB1279">
        <v>13</v>
      </c>
      <c r="AC1279">
        <v>3</v>
      </c>
      <c r="AD1279" t="str">
        <f t="shared" si="39"/>
        <v>Low Performance</v>
      </c>
      <c r="AE1279">
        <v>3</v>
      </c>
      <c r="AF1279">
        <v>80</v>
      </c>
      <c r="AG1279">
        <v>0</v>
      </c>
      <c r="AH1279">
        <v>19</v>
      </c>
      <c r="AI1279">
        <v>4</v>
      </c>
      <c r="AJ1279">
        <v>2</v>
      </c>
      <c r="AK1279" t="str" cm="1">
        <f t="array" ref="AK1279">_xlfn.IFS(AJ1279&lt;=2,"Poor",AJ1279&lt;=3,"Fair",AJ1279&gt;3,"Good")</f>
        <v>Poor</v>
      </c>
      <c r="AL1279">
        <v>10</v>
      </c>
      <c r="AM1279">
        <v>0</v>
      </c>
      <c r="AN1279">
        <v>4</v>
      </c>
      <c r="AO1279">
        <v>7</v>
      </c>
    </row>
    <row r="1280" spans="1:41" x14ac:dyDescent="0.2">
      <c r="A1280">
        <v>1563500</v>
      </c>
      <c r="B1280">
        <v>35</v>
      </c>
      <c r="C1280" t="str" cm="1">
        <f t="array" ref="C1280">_xlfn.IFS(B1280&lt;=25,"15-25",B1280&lt;=35,"26-35",B1280&lt;=45,"36-45",B1280&lt;=55,"46-55",B1280&lt;=65,"56-65")</f>
        <v>26-35</v>
      </c>
      <c r="D1280" t="s">
        <v>43</v>
      </c>
      <c r="E1280" t="str">
        <f t="shared" si="38"/>
        <v>Former Employee</v>
      </c>
      <c r="F1280" t="s">
        <v>36</v>
      </c>
      <c r="G1280">
        <v>303</v>
      </c>
      <c r="H1280" t="s">
        <v>37</v>
      </c>
      <c r="I1280">
        <v>27</v>
      </c>
      <c r="J1280">
        <v>3</v>
      </c>
      <c r="K1280" t="s">
        <v>38</v>
      </c>
      <c r="L1280">
        <v>1</v>
      </c>
      <c r="M1280">
        <v>3</v>
      </c>
      <c r="N1280" t="s">
        <v>46</v>
      </c>
      <c r="O1280">
        <v>84</v>
      </c>
      <c r="P1280">
        <v>3</v>
      </c>
      <c r="Q1280">
        <v>2</v>
      </c>
      <c r="R1280" t="s">
        <v>40</v>
      </c>
      <c r="S1280">
        <v>4</v>
      </c>
      <c r="T1280" t="str" cm="1">
        <f t="array" ref="T1280">_xlfn.IFS(S1280&lt;=2,"Poor",S1280&lt;=3,"Fair",S1280&gt;=4,"Good")</f>
        <v>Good</v>
      </c>
      <c r="U1280" t="s">
        <v>41</v>
      </c>
      <c r="V1280" s="1">
        <v>5813</v>
      </c>
      <c r="W1280" t="str" cm="1">
        <f t="array" ref="W1280">_xlfn.IFS(V1280&lt;=5000,"Low Salary",V1280&lt;=12000,"Good Salary",V1280&gt;12000,"High Salary")</f>
        <v>Good Salary</v>
      </c>
      <c r="X1280">
        <v>13492</v>
      </c>
      <c r="Y1280">
        <v>1</v>
      </c>
      <c r="Z1280" t="s">
        <v>42</v>
      </c>
      <c r="AA1280" t="s">
        <v>43</v>
      </c>
      <c r="AB1280">
        <v>18</v>
      </c>
      <c r="AC1280">
        <v>3</v>
      </c>
      <c r="AD1280" t="str">
        <f t="shared" si="39"/>
        <v>Low Performance</v>
      </c>
      <c r="AE1280">
        <v>4</v>
      </c>
      <c r="AF1280">
        <v>80</v>
      </c>
      <c r="AG1280">
        <v>0</v>
      </c>
      <c r="AH1280">
        <v>10</v>
      </c>
      <c r="AI1280">
        <v>2</v>
      </c>
      <c r="AJ1280">
        <v>3</v>
      </c>
      <c r="AK1280" t="str" cm="1">
        <f t="array" ref="AK1280">_xlfn.IFS(AJ1280&lt;=2,"Poor",AJ1280&lt;=3,"Fair",AJ1280&gt;3,"Good")</f>
        <v>Fair</v>
      </c>
      <c r="AL1280">
        <v>10</v>
      </c>
      <c r="AM1280">
        <v>7</v>
      </c>
      <c r="AN1280">
        <v>7</v>
      </c>
      <c r="AO1280">
        <v>7</v>
      </c>
    </row>
    <row r="1281" spans="1:41" x14ac:dyDescent="0.2">
      <c r="A1281">
        <v>1287606</v>
      </c>
      <c r="B1281">
        <v>33</v>
      </c>
      <c r="C1281" t="str" cm="1">
        <f t="array" ref="C1281">_xlfn.IFS(B1281&lt;=25,"15-25",B1281&lt;=35,"26-35",B1281&lt;=45,"36-45",B1281&lt;=55,"46-55",B1281&lt;=65,"56-65")</f>
        <v>26-35</v>
      </c>
      <c r="D1281" t="s">
        <v>35</v>
      </c>
      <c r="E1281" t="str">
        <f t="shared" si="38"/>
        <v>Current Employee</v>
      </c>
      <c r="F1281" t="s">
        <v>36</v>
      </c>
      <c r="G1281">
        <v>867</v>
      </c>
      <c r="H1281" t="s">
        <v>45</v>
      </c>
      <c r="I1281">
        <v>8</v>
      </c>
      <c r="J1281">
        <v>4</v>
      </c>
      <c r="K1281" t="s">
        <v>38</v>
      </c>
      <c r="L1281">
        <v>1</v>
      </c>
      <c r="M1281">
        <v>4</v>
      </c>
      <c r="N1281" t="s">
        <v>46</v>
      </c>
      <c r="O1281">
        <v>90</v>
      </c>
      <c r="P1281">
        <v>4</v>
      </c>
      <c r="Q1281">
        <v>1</v>
      </c>
      <c r="R1281" t="s">
        <v>47</v>
      </c>
      <c r="S1281">
        <v>1</v>
      </c>
      <c r="T1281" t="str" cm="1">
        <f t="array" ref="T1281">_xlfn.IFS(S1281&lt;=2,"Poor",S1281&lt;=3,"Fair",S1281&gt;=4,"Good")</f>
        <v>Poor</v>
      </c>
      <c r="U1281" t="s">
        <v>48</v>
      </c>
      <c r="V1281" s="1">
        <v>3143</v>
      </c>
      <c r="W1281" t="str" cm="1">
        <f t="array" ref="W1281">_xlfn.IFS(V1281&lt;=5000,"Low Salary",V1281&lt;=12000,"Good Salary",V1281&gt;12000,"High Salary")</f>
        <v>Low Salary</v>
      </c>
      <c r="X1281">
        <v>6076</v>
      </c>
      <c r="Y1281">
        <v>6</v>
      </c>
      <c r="Z1281" t="s">
        <v>42</v>
      </c>
      <c r="AA1281" t="s">
        <v>35</v>
      </c>
      <c r="AB1281">
        <v>19</v>
      </c>
      <c r="AC1281">
        <v>3</v>
      </c>
      <c r="AD1281" t="str">
        <f t="shared" si="39"/>
        <v>Low Performance</v>
      </c>
      <c r="AE1281">
        <v>2</v>
      </c>
      <c r="AF1281">
        <v>80</v>
      </c>
      <c r="AG1281">
        <v>1</v>
      </c>
      <c r="AH1281">
        <v>14</v>
      </c>
      <c r="AI1281">
        <v>1</v>
      </c>
      <c r="AJ1281">
        <v>3</v>
      </c>
      <c r="AK1281" t="str" cm="1">
        <f t="array" ref="AK1281">_xlfn.IFS(AJ1281&lt;=2,"Poor",AJ1281&lt;=3,"Fair",AJ1281&gt;3,"Good")</f>
        <v>Fair</v>
      </c>
      <c r="AL1281">
        <v>10</v>
      </c>
      <c r="AM1281">
        <v>8</v>
      </c>
      <c r="AN1281">
        <v>7</v>
      </c>
      <c r="AO1281">
        <v>6</v>
      </c>
    </row>
    <row r="1282" spans="1:41" x14ac:dyDescent="0.2">
      <c r="A1282">
        <v>1395052</v>
      </c>
      <c r="B1282">
        <v>28</v>
      </c>
      <c r="C1282" t="str" cm="1">
        <f t="array" ref="C1282">_xlfn.IFS(B1282&lt;=25,"15-25",B1282&lt;=35,"26-35",B1282&lt;=45,"36-45",B1282&lt;=55,"46-55",B1282&lt;=65,"56-65")</f>
        <v>26-35</v>
      </c>
      <c r="D1282" t="s">
        <v>35</v>
      </c>
      <c r="E1282" t="str">
        <f t="shared" si="38"/>
        <v>Current Employee</v>
      </c>
      <c r="F1282" t="s">
        <v>36</v>
      </c>
      <c r="G1282">
        <v>1181</v>
      </c>
      <c r="H1282" t="s">
        <v>45</v>
      </c>
      <c r="I1282">
        <v>1</v>
      </c>
      <c r="J1282">
        <v>3</v>
      </c>
      <c r="K1282" t="s">
        <v>38</v>
      </c>
      <c r="L1282">
        <v>1</v>
      </c>
      <c r="M1282">
        <v>3</v>
      </c>
      <c r="N1282" t="s">
        <v>46</v>
      </c>
      <c r="O1282">
        <v>82</v>
      </c>
      <c r="P1282">
        <v>3</v>
      </c>
      <c r="Q1282">
        <v>1</v>
      </c>
      <c r="R1282" t="s">
        <v>47</v>
      </c>
      <c r="S1282">
        <v>4</v>
      </c>
      <c r="T1282" t="str" cm="1">
        <f t="array" ref="T1282">_xlfn.IFS(S1282&lt;=2,"Poor",S1282&lt;=3,"Fair",S1282&gt;=4,"Good")</f>
        <v>Good</v>
      </c>
      <c r="U1282" t="s">
        <v>48</v>
      </c>
      <c r="V1282" s="1">
        <v>2044</v>
      </c>
      <c r="W1282" t="str" cm="1">
        <f t="array" ref="W1282">_xlfn.IFS(V1282&lt;=5000,"Low Salary",V1282&lt;=12000,"Good Salary",V1282&gt;12000,"High Salary")</f>
        <v>Low Salary</v>
      </c>
      <c r="X1282">
        <v>5531</v>
      </c>
      <c r="Y1282">
        <v>1</v>
      </c>
      <c r="Z1282" t="s">
        <v>42</v>
      </c>
      <c r="AA1282" t="s">
        <v>35</v>
      </c>
      <c r="AB1282">
        <v>11</v>
      </c>
      <c r="AC1282">
        <v>3</v>
      </c>
      <c r="AD1282" t="str">
        <f t="shared" si="39"/>
        <v>Low Performance</v>
      </c>
      <c r="AE1282">
        <v>3</v>
      </c>
      <c r="AF1282">
        <v>80</v>
      </c>
      <c r="AG1282">
        <v>1</v>
      </c>
      <c r="AH1282">
        <v>5</v>
      </c>
      <c r="AI1282">
        <v>6</v>
      </c>
      <c r="AJ1282">
        <v>4</v>
      </c>
      <c r="AK1282" t="str" cm="1">
        <f t="array" ref="AK1282">_xlfn.IFS(AJ1282&lt;=2,"Poor",AJ1282&lt;=3,"Fair",AJ1282&gt;3,"Good")</f>
        <v>Good</v>
      </c>
      <c r="AL1282">
        <v>5</v>
      </c>
      <c r="AM1282">
        <v>3</v>
      </c>
      <c r="AN1282">
        <v>0</v>
      </c>
      <c r="AO1282">
        <v>3</v>
      </c>
    </row>
    <row r="1283" spans="1:41" x14ac:dyDescent="0.2">
      <c r="A1283">
        <v>1692699</v>
      </c>
      <c r="B1283">
        <v>39</v>
      </c>
      <c r="C1283" t="str" cm="1">
        <f t="array" ref="C1283">_xlfn.IFS(B1283&lt;=25,"15-25",B1283&lt;=35,"26-35",B1283&lt;=45,"36-45",B1283&lt;=55,"46-55",B1283&lt;=65,"56-65")</f>
        <v>36-45</v>
      </c>
      <c r="D1283" t="s">
        <v>35</v>
      </c>
      <c r="E1283" t="str">
        <f t="shared" ref="E1283:E1346" si="40">IF(D1283="No","Current Employee","Former Employee")</f>
        <v>Current Employee</v>
      </c>
      <c r="F1283" t="s">
        <v>36</v>
      </c>
      <c r="G1283">
        <v>1253</v>
      </c>
      <c r="H1283" t="s">
        <v>45</v>
      </c>
      <c r="I1283">
        <v>10</v>
      </c>
      <c r="J1283">
        <v>1</v>
      </c>
      <c r="K1283" t="s">
        <v>49</v>
      </c>
      <c r="L1283">
        <v>1</v>
      </c>
      <c r="M1283">
        <v>3</v>
      </c>
      <c r="N1283" t="s">
        <v>46</v>
      </c>
      <c r="O1283">
        <v>65</v>
      </c>
      <c r="P1283">
        <v>3</v>
      </c>
      <c r="Q1283">
        <v>3</v>
      </c>
      <c r="R1283" t="s">
        <v>53</v>
      </c>
      <c r="S1283">
        <v>3</v>
      </c>
      <c r="T1283" t="str" cm="1">
        <f t="array" ref="T1283">_xlfn.IFS(S1283&lt;=2,"Poor",S1283&lt;=3,"Fair",S1283&gt;=4,"Good")</f>
        <v>Fair</v>
      </c>
      <c r="U1283" t="s">
        <v>41</v>
      </c>
      <c r="V1283" s="1">
        <v>13464</v>
      </c>
      <c r="W1283" t="str" cm="1">
        <f t="array" ref="W1283">_xlfn.IFS(V1283&lt;=5000,"Low Salary",V1283&lt;=12000,"Good Salary",V1283&gt;12000,"High Salary")</f>
        <v>High Salary</v>
      </c>
      <c r="X1283">
        <v>7914</v>
      </c>
      <c r="Y1283">
        <v>7</v>
      </c>
      <c r="Z1283" t="s">
        <v>42</v>
      </c>
      <c r="AA1283" t="s">
        <v>35</v>
      </c>
      <c r="AB1283">
        <v>21</v>
      </c>
      <c r="AC1283">
        <v>4</v>
      </c>
      <c r="AD1283" t="str">
        <f t="shared" ref="AD1283:AD1346" si="41">IF(AC1283&lt;=3,"Low Performance","High Performance")</f>
        <v>High Performance</v>
      </c>
      <c r="AE1283">
        <v>3</v>
      </c>
      <c r="AF1283">
        <v>80</v>
      </c>
      <c r="AG1283">
        <v>0</v>
      </c>
      <c r="AH1283">
        <v>9</v>
      </c>
      <c r="AI1283">
        <v>3</v>
      </c>
      <c r="AJ1283">
        <v>3</v>
      </c>
      <c r="AK1283" t="str" cm="1">
        <f t="array" ref="AK1283">_xlfn.IFS(AJ1283&lt;=2,"Poor",AJ1283&lt;=3,"Fair",AJ1283&gt;3,"Good")</f>
        <v>Fair</v>
      </c>
      <c r="AL1283">
        <v>4</v>
      </c>
      <c r="AM1283">
        <v>3</v>
      </c>
      <c r="AN1283">
        <v>2</v>
      </c>
      <c r="AO1283">
        <v>2</v>
      </c>
    </row>
    <row r="1284" spans="1:41" x14ac:dyDescent="0.2">
      <c r="A1284">
        <v>1691971</v>
      </c>
      <c r="B1284">
        <v>46</v>
      </c>
      <c r="C1284" t="str" cm="1">
        <f t="array" ref="C1284">_xlfn.IFS(B1284&lt;=25,"15-25",B1284&lt;=35,"26-35",B1284&lt;=45,"36-45",B1284&lt;=55,"46-55",B1284&lt;=65,"56-65")</f>
        <v>46-55</v>
      </c>
      <c r="D1284" t="s">
        <v>35</v>
      </c>
      <c r="E1284" t="str">
        <f t="shared" si="40"/>
        <v>Current Employee</v>
      </c>
      <c r="F1284" t="s">
        <v>52</v>
      </c>
      <c r="G1284">
        <v>849</v>
      </c>
      <c r="H1284" t="s">
        <v>37</v>
      </c>
      <c r="I1284">
        <v>26</v>
      </c>
      <c r="J1284">
        <v>2</v>
      </c>
      <c r="K1284" t="s">
        <v>38</v>
      </c>
      <c r="L1284">
        <v>1</v>
      </c>
      <c r="M1284">
        <v>2</v>
      </c>
      <c r="N1284" t="s">
        <v>46</v>
      </c>
      <c r="O1284">
        <v>98</v>
      </c>
      <c r="P1284">
        <v>2</v>
      </c>
      <c r="Q1284">
        <v>2</v>
      </c>
      <c r="R1284" t="s">
        <v>40</v>
      </c>
      <c r="S1284">
        <v>2</v>
      </c>
      <c r="T1284" t="str" cm="1">
        <f t="array" ref="T1284">_xlfn.IFS(S1284&lt;=2,"Poor",S1284&lt;=3,"Fair",S1284&gt;=4,"Good")</f>
        <v>Poor</v>
      </c>
      <c r="U1284" t="s">
        <v>41</v>
      </c>
      <c r="V1284" s="1">
        <v>7991</v>
      </c>
      <c r="W1284" t="str" cm="1">
        <f t="array" ref="W1284">_xlfn.IFS(V1284&lt;=5000,"Low Salary",V1284&lt;=12000,"Good Salary",V1284&gt;12000,"High Salary")</f>
        <v>Good Salary</v>
      </c>
      <c r="X1284">
        <v>25166</v>
      </c>
      <c r="Y1284">
        <v>8</v>
      </c>
      <c r="Z1284" t="s">
        <v>42</v>
      </c>
      <c r="AA1284" t="s">
        <v>35</v>
      </c>
      <c r="AB1284">
        <v>15</v>
      </c>
      <c r="AC1284">
        <v>3</v>
      </c>
      <c r="AD1284" t="str">
        <f t="shared" si="41"/>
        <v>Low Performance</v>
      </c>
      <c r="AE1284">
        <v>3</v>
      </c>
      <c r="AF1284">
        <v>80</v>
      </c>
      <c r="AG1284">
        <v>0</v>
      </c>
      <c r="AH1284">
        <v>6</v>
      </c>
      <c r="AI1284">
        <v>3</v>
      </c>
      <c r="AJ1284">
        <v>3</v>
      </c>
      <c r="AK1284" t="str" cm="1">
        <f t="array" ref="AK1284">_xlfn.IFS(AJ1284&lt;=2,"Poor",AJ1284&lt;=3,"Fair",AJ1284&gt;3,"Good")</f>
        <v>Fair</v>
      </c>
      <c r="AL1284">
        <v>2</v>
      </c>
      <c r="AM1284">
        <v>2</v>
      </c>
      <c r="AN1284">
        <v>2</v>
      </c>
      <c r="AO1284">
        <v>2</v>
      </c>
    </row>
    <row r="1285" spans="1:41" x14ac:dyDescent="0.2">
      <c r="A1285">
        <v>1048578</v>
      </c>
      <c r="B1285">
        <v>40</v>
      </c>
      <c r="C1285" t="str" cm="1">
        <f t="array" ref="C1285">_xlfn.IFS(B1285&lt;=25,"15-25",B1285&lt;=35,"26-35",B1285&lt;=45,"36-45",B1285&lt;=55,"46-55",B1285&lt;=65,"56-65")</f>
        <v>36-45</v>
      </c>
      <c r="D1285" t="s">
        <v>35</v>
      </c>
      <c r="E1285" t="str">
        <f t="shared" si="40"/>
        <v>Current Employee</v>
      </c>
      <c r="F1285" t="s">
        <v>36</v>
      </c>
      <c r="G1285">
        <v>616</v>
      </c>
      <c r="H1285" t="s">
        <v>45</v>
      </c>
      <c r="I1285">
        <v>2</v>
      </c>
      <c r="J1285">
        <v>2</v>
      </c>
      <c r="K1285" t="s">
        <v>38</v>
      </c>
      <c r="L1285">
        <v>1</v>
      </c>
      <c r="M1285">
        <v>3</v>
      </c>
      <c r="N1285" t="s">
        <v>39</v>
      </c>
      <c r="O1285">
        <v>99</v>
      </c>
      <c r="P1285">
        <v>3</v>
      </c>
      <c r="Q1285">
        <v>1</v>
      </c>
      <c r="R1285" t="s">
        <v>40</v>
      </c>
      <c r="S1285">
        <v>1</v>
      </c>
      <c r="T1285" t="str" cm="1">
        <f t="array" ref="T1285">_xlfn.IFS(S1285&lt;=2,"Poor",S1285&lt;=3,"Fair",S1285&gt;=4,"Good")</f>
        <v>Poor</v>
      </c>
      <c r="U1285" t="s">
        <v>48</v>
      </c>
      <c r="V1285" s="1">
        <v>3377</v>
      </c>
      <c r="W1285" t="str" cm="1">
        <f t="array" ref="W1285">_xlfn.IFS(V1285&lt;=5000,"Low Salary",V1285&lt;=12000,"Good Salary",V1285&gt;12000,"High Salary")</f>
        <v>Low Salary</v>
      </c>
      <c r="X1285">
        <v>25605</v>
      </c>
      <c r="Y1285">
        <v>4</v>
      </c>
      <c r="Z1285" t="s">
        <v>42</v>
      </c>
      <c r="AA1285" t="s">
        <v>35</v>
      </c>
      <c r="AB1285">
        <v>17</v>
      </c>
      <c r="AC1285">
        <v>3</v>
      </c>
      <c r="AD1285" t="str">
        <f t="shared" si="41"/>
        <v>Low Performance</v>
      </c>
      <c r="AE1285">
        <v>4</v>
      </c>
      <c r="AF1285">
        <v>80</v>
      </c>
      <c r="AG1285">
        <v>1</v>
      </c>
      <c r="AH1285">
        <v>7</v>
      </c>
      <c r="AI1285">
        <v>5</v>
      </c>
      <c r="AJ1285">
        <v>2</v>
      </c>
      <c r="AK1285" t="str" cm="1">
        <f t="array" ref="AK1285">_xlfn.IFS(AJ1285&lt;=2,"Poor",AJ1285&lt;=3,"Fair",AJ1285&gt;3,"Good")</f>
        <v>Poor</v>
      </c>
      <c r="AL1285">
        <v>4</v>
      </c>
      <c r="AM1285">
        <v>3</v>
      </c>
      <c r="AN1285">
        <v>0</v>
      </c>
      <c r="AO1285">
        <v>2</v>
      </c>
    </row>
    <row r="1286" spans="1:41" x14ac:dyDescent="0.2">
      <c r="A1286">
        <v>1874111</v>
      </c>
      <c r="B1286">
        <v>42</v>
      </c>
      <c r="C1286" t="str" cm="1">
        <f t="array" ref="C1286">_xlfn.IFS(B1286&lt;=25,"15-25",B1286&lt;=35,"26-35",B1286&lt;=45,"36-45",B1286&lt;=55,"46-55",B1286&lt;=65,"56-65")</f>
        <v>36-45</v>
      </c>
      <c r="D1286" t="s">
        <v>35</v>
      </c>
      <c r="E1286" t="str">
        <f t="shared" si="40"/>
        <v>Current Employee</v>
      </c>
      <c r="F1286" t="s">
        <v>36</v>
      </c>
      <c r="G1286">
        <v>1128</v>
      </c>
      <c r="H1286" t="s">
        <v>45</v>
      </c>
      <c r="I1286">
        <v>13</v>
      </c>
      <c r="J1286">
        <v>3</v>
      </c>
      <c r="K1286" t="s">
        <v>49</v>
      </c>
      <c r="L1286">
        <v>1</v>
      </c>
      <c r="M1286">
        <v>2</v>
      </c>
      <c r="N1286" t="s">
        <v>46</v>
      </c>
      <c r="O1286">
        <v>95</v>
      </c>
      <c r="P1286">
        <v>4</v>
      </c>
      <c r="Q1286">
        <v>2</v>
      </c>
      <c r="R1286" t="s">
        <v>40</v>
      </c>
      <c r="S1286">
        <v>1</v>
      </c>
      <c r="T1286" t="str" cm="1">
        <f t="array" ref="T1286">_xlfn.IFS(S1286&lt;=2,"Poor",S1286&lt;=3,"Fair",S1286&gt;=4,"Good")</f>
        <v>Poor</v>
      </c>
      <c r="U1286" t="s">
        <v>48</v>
      </c>
      <c r="V1286" s="1">
        <v>5538</v>
      </c>
      <c r="W1286" t="str" cm="1">
        <f t="array" ref="W1286">_xlfn.IFS(V1286&lt;=5000,"Low Salary",V1286&lt;=12000,"Good Salary",V1286&gt;12000,"High Salary")</f>
        <v>Good Salary</v>
      </c>
      <c r="X1286">
        <v>5696</v>
      </c>
      <c r="Y1286">
        <v>5</v>
      </c>
      <c r="Z1286" t="s">
        <v>42</v>
      </c>
      <c r="AA1286" t="s">
        <v>35</v>
      </c>
      <c r="AB1286">
        <v>18</v>
      </c>
      <c r="AC1286">
        <v>3</v>
      </c>
      <c r="AD1286" t="str">
        <f t="shared" si="41"/>
        <v>Low Performance</v>
      </c>
      <c r="AE1286">
        <v>3</v>
      </c>
      <c r="AF1286">
        <v>80</v>
      </c>
      <c r="AG1286">
        <v>2</v>
      </c>
      <c r="AH1286">
        <v>10</v>
      </c>
      <c r="AI1286">
        <v>2</v>
      </c>
      <c r="AJ1286">
        <v>2</v>
      </c>
      <c r="AK1286" t="str" cm="1">
        <f t="array" ref="AK1286">_xlfn.IFS(AJ1286&lt;=2,"Poor",AJ1286&lt;=3,"Fair",AJ1286&gt;3,"Good")</f>
        <v>Poor</v>
      </c>
      <c r="AL1286">
        <v>0</v>
      </c>
      <c r="AM1286">
        <v>0</v>
      </c>
      <c r="AN1286">
        <v>0</v>
      </c>
      <c r="AO1286">
        <v>0</v>
      </c>
    </row>
    <row r="1287" spans="1:41" x14ac:dyDescent="0.2">
      <c r="A1287">
        <v>1083173</v>
      </c>
      <c r="B1287">
        <v>35</v>
      </c>
      <c r="C1287" t="str" cm="1">
        <f t="array" ref="C1287">_xlfn.IFS(B1287&lt;=25,"15-25",B1287&lt;=35,"26-35",B1287&lt;=45,"36-45",B1287&lt;=55,"46-55",B1287&lt;=65,"56-65")</f>
        <v>26-35</v>
      </c>
      <c r="D1287" t="s">
        <v>35</v>
      </c>
      <c r="E1287" t="str">
        <f t="shared" si="40"/>
        <v>Current Employee</v>
      </c>
      <c r="F1287" t="s">
        <v>52</v>
      </c>
      <c r="G1287">
        <v>1180</v>
      </c>
      <c r="H1287" t="s">
        <v>37</v>
      </c>
      <c r="I1287">
        <v>2</v>
      </c>
      <c r="J1287">
        <v>2</v>
      </c>
      <c r="K1287" t="s">
        <v>49</v>
      </c>
      <c r="L1287">
        <v>1</v>
      </c>
      <c r="M1287">
        <v>2</v>
      </c>
      <c r="N1287" t="s">
        <v>46</v>
      </c>
      <c r="O1287">
        <v>90</v>
      </c>
      <c r="P1287">
        <v>3</v>
      </c>
      <c r="Q1287">
        <v>2</v>
      </c>
      <c r="R1287" t="s">
        <v>51</v>
      </c>
      <c r="S1287">
        <v>4</v>
      </c>
      <c r="T1287" t="str" cm="1">
        <f t="array" ref="T1287">_xlfn.IFS(S1287&lt;=2,"Poor",S1287&lt;=3,"Fair",S1287&gt;=4,"Good")</f>
        <v>Good</v>
      </c>
      <c r="U1287" t="s">
        <v>50</v>
      </c>
      <c r="V1287" s="1">
        <v>5762</v>
      </c>
      <c r="W1287" t="str" cm="1">
        <f t="array" ref="W1287">_xlfn.IFS(V1287&lt;=5000,"Low Salary",V1287&lt;=12000,"Good Salary",V1287&gt;12000,"High Salary")</f>
        <v>Good Salary</v>
      </c>
      <c r="X1287">
        <v>24442</v>
      </c>
      <c r="Y1287">
        <v>2</v>
      </c>
      <c r="Z1287" t="s">
        <v>42</v>
      </c>
      <c r="AA1287" t="s">
        <v>35</v>
      </c>
      <c r="AB1287">
        <v>14</v>
      </c>
      <c r="AC1287">
        <v>3</v>
      </c>
      <c r="AD1287" t="str">
        <f t="shared" si="41"/>
        <v>Low Performance</v>
      </c>
      <c r="AE1287">
        <v>3</v>
      </c>
      <c r="AF1287">
        <v>80</v>
      </c>
      <c r="AG1287">
        <v>1</v>
      </c>
      <c r="AH1287">
        <v>15</v>
      </c>
      <c r="AI1287">
        <v>6</v>
      </c>
      <c r="AJ1287">
        <v>3</v>
      </c>
      <c r="AK1287" t="str" cm="1">
        <f t="array" ref="AK1287">_xlfn.IFS(AJ1287&lt;=2,"Poor",AJ1287&lt;=3,"Fair",AJ1287&gt;3,"Good")</f>
        <v>Fair</v>
      </c>
      <c r="AL1287">
        <v>7</v>
      </c>
      <c r="AM1287">
        <v>7</v>
      </c>
      <c r="AN1287">
        <v>1</v>
      </c>
      <c r="AO1287">
        <v>7</v>
      </c>
    </row>
    <row r="1288" spans="1:41" x14ac:dyDescent="0.2">
      <c r="A1288">
        <v>1819347</v>
      </c>
      <c r="B1288">
        <v>38</v>
      </c>
      <c r="C1288" t="str" cm="1">
        <f t="array" ref="C1288">_xlfn.IFS(B1288&lt;=25,"15-25",B1288&lt;=35,"26-35",B1288&lt;=45,"36-45",B1288&lt;=55,"46-55",B1288&lt;=65,"56-65")</f>
        <v>36-45</v>
      </c>
      <c r="D1288" t="s">
        <v>35</v>
      </c>
      <c r="E1288" t="str">
        <f t="shared" si="40"/>
        <v>Current Employee</v>
      </c>
      <c r="F1288" t="s">
        <v>52</v>
      </c>
      <c r="G1288">
        <v>1336</v>
      </c>
      <c r="H1288" t="s">
        <v>54</v>
      </c>
      <c r="I1288">
        <v>2</v>
      </c>
      <c r="J1288">
        <v>3</v>
      </c>
      <c r="K1288" t="s">
        <v>57</v>
      </c>
      <c r="L1288">
        <v>1</v>
      </c>
      <c r="M1288">
        <v>1</v>
      </c>
      <c r="N1288" t="s">
        <v>46</v>
      </c>
      <c r="O1288">
        <v>100</v>
      </c>
      <c r="P1288">
        <v>3</v>
      </c>
      <c r="Q1288">
        <v>1</v>
      </c>
      <c r="R1288" t="s">
        <v>47</v>
      </c>
      <c r="S1288">
        <v>2</v>
      </c>
      <c r="T1288" t="str" cm="1">
        <f t="array" ref="T1288">_xlfn.IFS(S1288&lt;=2,"Poor",S1288&lt;=3,"Fair",S1288&gt;=4,"Good")</f>
        <v>Poor</v>
      </c>
      <c r="U1288" t="s">
        <v>50</v>
      </c>
      <c r="V1288" s="1">
        <v>2592</v>
      </c>
      <c r="W1288" t="str" cm="1">
        <f t="array" ref="W1288">_xlfn.IFS(V1288&lt;=5000,"Low Salary",V1288&lt;=12000,"Good Salary",V1288&gt;12000,"High Salary")</f>
        <v>Low Salary</v>
      </c>
      <c r="X1288">
        <v>7129</v>
      </c>
      <c r="Y1288">
        <v>5</v>
      </c>
      <c r="Z1288" t="s">
        <v>42</v>
      </c>
      <c r="AA1288" t="s">
        <v>35</v>
      </c>
      <c r="AB1288">
        <v>13</v>
      </c>
      <c r="AC1288">
        <v>3</v>
      </c>
      <c r="AD1288" t="str">
        <f t="shared" si="41"/>
        <v>Low Performance</v>
      </c>
      <c r="AE1288">
        <v>4</v>
      </c>
      <c r="AF1288">
        <v>80</v>
      </c>
      <c r="AG1288">
        <v>3</v>
      </c>
      <c r="AH1288">
        <v>13</v>
      </c>
      <c r="AI1288">
        <v>3</v>
      </c>
      <c r="AJ1288">
        <v>3</v>
      </c>
      <c r="AK1288" t="str" cm="1">
        <f t="array" ref="AK1288">_xlfn.IFS(AJ1288&lt;=2,"Poor",AJ1288&lt;=3,"Fair",AJ1288&gt;3,"Good")</f>
        <v>Fair</v>
      </c>
      <c r="AL1288">
        <v>11</v>
      </c>
      <c r="AM1288">
        <v>10</v>
      </c>
      <c r="AN1288">
        <v>3</v>
      </c>
      <c r="AO1288">
        <v>8</v>
      </c>
    </row>
    <row r="1289" spans="1:41" x14ac:dyDescent="0.2">
      <c r="A1289">
        <v>1645963</v>
      </c>
      <c r="B1289">
        <v>34</v>
      </c>
      <c r="C1289" t="str" cm="1">
        <f t="array" ref="C1289">_xlfn.IFS(B1289&lt;=25,"15-25",B1289&lt;=35,"26-35",B1289&lt;=45,"36-45",B1289&lt;=55,"46-55",B1289&lt;=65,"56-65")</f>
        <v>26-35</v>
      </c>
      <c r="D1289" t="s">
        <v>35</v>
      </c>
      <c r="E1289" t="str">
        <f t="shared" si="40"/>
        <v>Current Employee</v>
      </c>
      <c r="F1289" t="s">
        <v>44</v>
      </c>
      <c r="G1289">
        <v>234</v>
      </c>
      <c r="H1289" t="s">
        <v>54</v>
      </c>
      <c r="I1289">
        <v>9</v>
      </c>
      <c r="J1289">
        <v>4</v>
      </c>
      <c r="K1289" t="s">
        <v>38</v>
      </c>
      <c r="L1289">
        <v>1</v>
      </c>
      <c r="M1289">
        <v>4</v>
      </c>
      <c r="N1289" t="s">
        <v>46</v>
      </c>
      <c r="O1289">
        <v>93</v>
      </c>
      <c r="P1289">
        <v>3</v>
      </c>
      <c r="Q1289">
        <v>2</v>
      </c>
      <c r="R1289" t="s">
        <v>40</v>
      </c>
      <c r="S1289">
        <v>1</v>
      </c>
      <c r="T1289" t="str" cm="1">
        <f t="array" ref="T1289">_xlfn.IFS(S1289&lt;=2,"Poor",S1289&lt;=3,"Fair",S1289&gt;=4,"Good")</f>
        <v>Poor</v>
      </c>
      <c r="U1289" t="s">
        <v>48</v>
      </c>
      <c r="V1289" s="1">
        <v>5346</v>
      </c>
      <c r="W1289" t="str" cm="1">
        <f t="array" ref="W1289">_xlfn.IFS(V1289&lt;=5000,"Low Salary",V1289&lt;=12000,"Good Salary",V1289&gt;12000,"High Salary")</f>
        <v>Good Salary</v>
      </c>
      <c r="X1289">
        <v>6208</v>
      </c>
      <c r="Y1289">
        <v>4</v>
      </c>
      <c r="Z1289" t="s">
        <v>42</v>
      </c>
      <c r="AA1289" t="s">
        <v>35</v>
      </c>
      <c r="AB1289">
        <v>17</v>
      </c>
      <c r="AC1289">
        <v>3</v>
      </c>
      <c r="AD1289" t="str">
        <f t="shared" si="41"/>
        <v>Low Performance</v>
      </c>
      <c r="AE1289">
        <v>3</v>
      </c>
      <c r="AF1289">
        <v>80</v>
      </c>
      <c r="AG1289">
        <v>1</v>
      </c>
      <c r="AH1289">
        <v>11</v>
      </c>
      <c r="AI1289">
        <v>3</v>
      </c>
      <c r="AJ1289">
        <v>2</v>
      </c>
      <c r="AK1289" t="str" cm="1">
        <f t="array" ref="AK1289">_xlfn.IFS(AJ1289&lt;=2,"Poor",AJ1289&lt;=3,"Fair",AJ1289&gt;3,"Good")</f>
        <v>Poor</v>
      </c>
      <c r="AL1289">
        <v>7</v>
      </c>
      <c r="AM1289">
        <v>1</v>
      </c>
      <c r="AN1289">
        <v>0</v>
      </c>
      <c r="AO1289">
        <v>7</v>
      </c>
    </row>
    <row r="1290" spans="1:41" x14ac:dyDescent="0.2">
      <c r="A1290">
        <v>1174838</v>
      </c>
      <c r="B1290">
        <v>37</v>
      </c>
      <c r="C1290" t="str" cm="1">
        <f t="array" ref="C1290">_xlfn.IFS(B1290&lt;=25,"15-25",B1290&lt;=35,"26-35",B1290&lt;=45,"36-45",B1290&lt;=55,"46-55",B1290&lt;=65,"56-65")</f>
        <v>36-45</v>
      </c>
      <c r="D1290" t="s">
        <v>35</v>
      </c>
      <c r="E1290" t="str">
        <f t="shared" si="40"/>
        <v>Current Employee</v>
      </c>
      <c r="F1290" t="s">
        <v>36</v>
      </c>
      <c r="G1290">
        <v>370</v>
      </c>
      <c r="H1290" t="s">
        <v>37</v>
      </c>
      <c r="I1290">
        <v>10</v>
      </c>
      <c r="J1290">
        <v>4</v>
      </c>
      <c r="K1290" t="s">
        <v>49</v>
      </c>
      <c r="L1290">
        <v>1</v>
      </c>
      <c r="M1290">
        <v>4</v>
      </c>
      <c r="N1290" t="s">
        <v>46</v>
      </c>
      <c r="O1290">
        <v>58</v>
      </c>
      <c r="P1290">
        <v>3</v>
      </c>
      <c r="Q1290">
        <v>2</v>
      </c>
      <c r="R1290" t="s">
        <v>51</v>
      </c>
      <c r="S1290">
        <v>1</v>
      </c>
      <c r="T1290" t="str" cm="1">
        <f t="array" ref="T1290">_xlfn.IFS(S1290&lt;=2,"Poor",S1290&lt;=3,"Fair",S1290&gt;=4,"Good")</f>
        <v>Poor</v>
      </c>
      <c r="U1290" t="s">
        <v>41</v>
      </c>
      <c r="V1290" s="1">
        <v>4213</v>
      </c>
      <c r="W1290" t="str" cm="1">
        <f t="array" ref="W1290">_xlfn.IFS(V1290&lt;=5000,"Low Salary",V1290&lt;=12000,"Good Salary",V1290&gt;12000,"High Salary")</f>
        <v>Low Salary</v>
      </c>
      <c r="X1290">
        <v>4992</v>
      </c>
      <c r="Y1290">
        <v>1</v>
      </c>
      <c r="Z1290" t="s">
        <v>42</v>
      </c>
      <c r="AA1290" t="s">
        <v>35</v>
      </c>
      <c r="AB1290">
        <v>15</v>
      </c>
      <c r="AC1290">
        <v>3</v>
      </c>
      <c r="AD1290" t="str">
        <f t="shared" si="41"/>
        <v>Low Performance</v>
      </c>
      <c r="AE1290">
        <v>2</v>
      </c>
      <c r="AF1290">
        <v>80</v>
      </c>
      <c r="AG1290">
        <v>0</v>
      </c>
      <c r="AH1290">
        <v>10</v>
      </c>
      <c r="AI1290">
        <v>4</v>
      </c>
      <c r="AJ1290">
        <v>1</v>
      </c>
      <c r="AK1290" t="str" cm="1">
        <f t="array" ref="AK1290">_xlfn.IFS(AJ1290&lt;=2,"Poor",AJ1290&lt;=3,"Fair",AJ1290&gt;3,"Good")</f>
        <v>Poor</v>
      </c>
      <c r="AL1290">
        <v>10</v>
      </c>
      <c r="AM1290">
        <v>3</v>
      </c>
      <c r="AN1290">
        <v>0</v>
      </c>
      <c r="AO1290">
        <v>8</v>
      </c>
    </row>
    <row r="1291" spans="1:41" x14ac:dyDescent="0.2">
      <c r="A1291">
        <v>1751502</v>
      </c>
      <c r="B1291">
        <v>39</v>
      </c>
      <c r="C1291" t="str" cm="1">
        <f t="array" ref="C1291">_xlfn.IFS(B1291&lt;=25,"15-25",B1291&lt;=35,"26-35",B1291&lt;=45,"36-45",B1291&lt;=55,"46-55",B1291&lt;=65,"56-65")</f>
        <v>36-45</v>
      </c>
      <c r="D1291" t="s">
        <v>35</v>
      </c>
      <c r="E1291" t="str">
        <f t="shared" si="40"/>
        <v>Current Employee</v>
      </c>
      <c r="F1291" t="s">
        <v>44</v>
      </c>
      <c r="G1291">
        <v>766</v>
      </c>
      <c r="H1291" t="s">
        <v>37</v>
      </c>
      <c r="I1291">
        <v>20</v>
      </c>
      <c r="J1291">
        <v>3</v>
      </c>
      <c r="K1291" t="s">
        <v>38</v>
      </c>
      <c r="L1291">
        <v>1</v>
      </c>
      <c r="M1291">
        <v>3</v>
      </c>
      <c r="N1291" t="s">
        <v>46</v>
      </c>
      <c r="O1291">
        <v>83</v>
      </c>
      <c r="P1291">
        <v>3</v>
      </c>
      <c r="Q1291">
        <v>2</v>
      </c>
      <c r="R1291" t="s">
        <v>40</v>
      </c>
      <c r="S1291">
        <v>4</v>
      </c>
      <c r="T1291" t="str" cm="1">
        <f t="array" ref="T1291">_xlfn.IFS(S1291&lt;=2,"Poor",S1291&lt;=3,"Fair",S1291&gt;=4,"Good")</f>
        <v>Good</v>
      </c>
      <c r="U1291" t="s">
        <v>50</v>
      </c>
      <c r="V1291" s="1">
        <v>4127</v>
      </c>
      <c r="W1291" t="str" cm="1">
        <f t="array" ref="W1291">_xlfn.IFS(V1291&lt;=5000,"Low Salary",V1291&lt;=12000,"Good Salary",V1291&gt;12000,"High Salary")</f>
        <v>Low Salary</v>
      </c>
      <c r="X1291">
        <v>19188</v>
      </c>
      <c r="Y1291">
        <v>2</v>
      </c>
      <c r="Z1291" t="s">
        <v>42</v>
      </c>
      <c r="AA1291" t="s">
        <v>35</v>
      </c>
      <c r="AB1291">
        <v>18</v>
      </c>
      <c r="AC1291">
        <v>3</v>
      </c>
      <c r="AD1291" t="str">
        <f t="shared" si="41"/>
        <v>Low Performance</v>
      </c>
      <c r="AE1291">
        <v>4</v>
      </c>
      <c r="AF1291">
        <v>80</v>
      </c>
      <c r="AG1291">
        <v>1</v>
      </c>
      <c r="AH1291">
        <v>7</v>
      </c>
      <c r="AI1291">
        <v>6</v>
      </c>
      <c r="AJ1291">
        <v>3</v>
      </c>
      <c r="AK1291" t="str" cm="1">
        <f t="array" ref="AK1291">_xlfn.IFS(AJ1291&lt;=2,"Poor",AJ1291&lt;=3,"Fair",AJ1291&gt;3,"Good")</f>
        <v>Fair</v>
      </c>
      <c r="AL1291">
        <v>2</v>
      </c>
      <c r="AM1291">
        <v>1</v>
      </c>
      <c r="AN1291">
        <v>2</v>
      </c>
      <c r="AO1291">
        <v>2</v>
      </c>
    </row>
    <row r="1292" spans="1:41" x14ac:dyDescent="0.2">
      <c r="A1292">
        <v>1117560</v>
      </c>
      <c r="B1292">
        <v>43</v>
      </c>
      <c r="C1292" t="str" cm="1">
        <f t="array" ref="C1292">_xlfn.IFS(B1292&lt;=25,"15-25",B1292&lt;=35,"26-35",B1292&lt;=45,"36-45",B1292&lt;=55,"46-55",B1292&lt;=65,"56-65")</f>
        <v>36-45</v>
      </c>
      <c r="D1292" t="s">
        <v>35</v>
      </c>
      <c r="E1292" t="str">
        <f t="shared" si="40"/>
        <v>Current Employee</v>
      </c>
      <c r="F1292" t="s">
        <v>52</v>
      </c>
      <c r="G1292">
        <v>343</v>
      </c>
      <c r="H1292" t="s">
        <v>54</v>
      </c>
      <c r="I1292">
        <v>9</v>
      </c>
      <c r="J1292">
        <v>3</v>
      </c>
      <c r="K1292" t="s">
        <v>38</v>
      </c>
      <c r="L1292">
        <v>1</v>
      </c>
      <c r="M1292">
        <v>1</v>
      </c>
      <c r="N1292" t="s">
        <v>46</v>
      </c>
      <c r="O1292">
        <v>52</v>
      </c>
      <c r="P1292">
        <v>3</v>
      </c>
      <c r="Q1292">
        <v>1</v>
      </c>
      <c r="R1292" t="s">
        <v>47</v>
      </c>
      <c r="S1292">
        <v>3</v>
      </c>
      <c r="T1292" t="str" cm="1">
        <f t="array" ref="T1292">_xlfn.IFS(S1292&lt;=2,"Poor",S1292&lt;=3,"Fair",S1292&gt;=4,"Good")</f>
        <v>Fair</v>
      </c>
      <c r="U1292" t="s">
        <v>41</v>
      </c>
      <c r="V1292" s="1">
        <v>2438</v>
      </c>
      <c r="W1292" t="str" cm="1">
        <f t="array" ref="W1292">_xlfn.IFS(V1292&lt;=5000,"Low Salary",V1292&lt;=12000,"Good Salary",V1292&gt;12000,"High Salary")</f>
        <v>Low Salary</v>
      </c>
      <c r="X1292">
        <v>24978</v>
      </c>
      <c r="Y1292">
        <v>4</v>
      </c>
      <c r="Z1292" t="s">
        <v>42</v>
      </c>
      <c r="AA1292" t="s">
        <v>35</v>
      </c>
      <c r="AB1292">
        <v>13</v>
      </c>
      <c r="AC1292">
        <v>3</v>
      </c>
      <c r="AD1292" t="str">
        <f t="shared" si="41"/>
        <v>Low Performance</v>
      </c>
      <c r="AE1292">
        <v>3</v>
      </c>
      <c r="AF1292">
        <v>80</v>
      </c>
      <c r="AG1292">
        <v>0</v>
      </c>
      <c r="AH1292">
        <v>7</v>
      </c>
      <c r="AI1292">
        <v>2</v>
      </c>
      <c r="AJ1292">
        <v>2</v>
      </c>
      <c r="AK1292" t="str" cm="1">
        <f t="array" ref="AK1292">_xlfn.IFS(AJ1292&lt;=2,"Poor",AJ1292&lt;=3,"Fair",AJ1292&gt;3,"Good")</f>
        <v>Poor</v>
      </c>
      <c r="AL1292">
        <v>3</v>
      </c>
      <c r="AM1292">
        <v>2</v>
      </c>
      <c r="AN1292">
        <v>1</v>
      </c>
      <c r="AO1292">
        <v>2</v>
      </c>
    </row>
    <row r="1293" spans="1:41" x14ac:dyDescent="0.2">
      <c r="A1293">
        <v>1206981</v>
      </c>
      <c r="B1293">
        <v>41</v>
      </c>
      <c r="C1293" t="str" cm="1">
        <f t="array" ref="C1293">_xlfn.IFS(B1293&lt;=25,"15-25",B1293&lt;=35,"26-35",B1293&lt;=45,"36-45",B1293&lt;=55,"46-55",B1293&lt;=65,"56-65")</f>
        <v>36-45</v>
      </c>
      <c r="D1293" t="s">
        <v>35</v>
      </c>
      <c r="E1293" t="str">
        <f t="shared" si="40"/>
        <v>Current Employee</v>
      </c>
      <c r="F1293" t="s">
        <v>36</v>
      </c>
      <c r="G1293">
        <v>447</v>
      </c>
      <c r="H1293" t="s">
        <v>54</v>
      </c>
      <c r="I1293">
        <v>5</v>
      </c>
      <c r="J1293">
        <v>3</v>
      </c>
      <c r="K1293" t="s">
        <v>38</v>
      </c>
      <c r="L1293">
        <v>1</v>
      </c>
      <c r="M1293">
        <v>2</v>
      </c>
      <c r="N1293" t="s">
        <v>46</v>
      </c>
      <c r="O1293">
        <v>85</v>
      </c>
      <c r="P1293">
        <v>4</v>
      </c>
      <c r="Q1293">
        <v>2</v>
      </c>
      <c r="R1293" t="s">
        <v>40</v>
      </c>
      <c r="S1293">
        <v>2</v>
      </c>
      <c r="T1293" t="str" cm="1">
        <f t="array" ref="T1293">_xlfn.IFS(S1293&lt;=2,"Poor",S1293&lt;=3,"Fair",S1293&gt;=4,"Good")</f>
        <v>Poor</v>
      </c>
      <c r="U1293" t="s">
        <v>41</v>
      </c>
      <c r="V1293" s="1">
        <v>6870</v>
      </c>
      <c r="W1293" t="str" cm="1">
        <f t="array" ref="W1293">_xlfn.IFS(V1293&lt;=5000,"Low Salary",V1293&lt;=12000,"Good Salary",V1293&gt;12000,"High Salary")</f>
        <v>Good Salary</v>
      </c>
      <c r="X1293">
        <v>15530</v>
      </c>
      <c r="Y1293">
        <v>3</v>
      </c>
      <c r="Z1293" t="s">
        <v>42</v>
      </c>
      <c r="AA1293" t="s">
        <v>35</v>
      </c>
      <c r="AB1293">
        <v>12</v>
      </c>
      <c r="AC1293">
        <v>3</v>
      </c>
      <c r="AD1293" t="str">
        <f t="shared" si="41"/>
        <v>Low Performance</v>
      </c>
      <c r="AE1293">
        <v>1</v>
      </c>
      <c r="AF1293">
        <v>80</v>
      </c>
      <c r="AG1293">
        <v>0</v>
      </c>
      <c r="AH1293">
        <v>11</v>
      </c>
      <c r="AI1293">
        <v>3</v>
      </c>
      <c r="AJ1293">
        <v>1</v>
      </c>
      <c r="AK1293" t="str" cm="1">
        <f t="array" ref="AK1293">_xlfn.IFS(AJ1293&lt;=2,"Poor",AJ1293&lt;=3,"Fair",AJ1293&gt;3,"Good")</f>
        <v>Poor</v>
      </c>
      <c r="AL1293">
        <v>3</v>
      </c>
      <c r="AM1293">
        <v>2</v>
      </c>
      <c r="AN1293">
        <v>1</v>
      </c>
      <c r="AO1293">
        <v>2</v>
      </c>
    </row>
    <row r="1294" spans="1:41" x14ac:dyDescent="0.2">
      <c r="A1294">
        <v>1711876</v>
      </c>
      <c r="B1294">
        <v>41</v>
      </c>
      <c r="C1294" t="str" cm="1">
        <f t="array" ref="C1294">_xlfn.IFS(B1294&lt;=25,"15-25",B1294&lt;=35,"26-35",B1294&lt;=45,"36-45",B1294&lt;=55,"46-55",B1294&lt;=65,"56-65")</f>
        <v>36-45</v>
      </c>
      <c r="D1294" t="s">
        <v>35</v>
      </c>
      <c r="E1294" t="str">
        <f t="shared" si="40"/>
        <v>Current Employee</v>
      </c>
      <c r="F1294" t="s">
        <v>36</v>
      </c>
      <c r="G1294">
        <v>796</v>
      </c>
      <c r="H1294" t="s">
        <v>37</v>
      </c>
      <c r="I1294">
        <v>4</v>
      </c>
      <c r="J1294">
        <v>1</v>
      </c>
      <c r="K1294" t="s">
        <v>55</v>
      </c>
      <c r="L1294">
        <v>1</v>
      </c>
      <c r="M1294">
        <v>3</v>
      </c>
      <c r="N1294" t="s">
        <v>39</v>
      </c>
      <c r="O1294">
        <v>81</v>
      </c>
      <c r="P1294">
        <v>3</v>
      </c>
      <c r="Q1294">
        <v>3</v>
      </c>
      <c r="R1294" t="s">
        <v>40</v>
      </c>
      <c r="S1294">
        <v>3</v>
      </c>
      <c r="T1294" t="str" cm="1">
        <f t="array" ref="T1294">_xlfn.IFS(S1294&lt;=2,"Poor",S1294&lt;=3,"Fair",S1294&gt;=4,"Good")</f>
        <v>Fair</v>
      </c>
      <c r="U1294" t="s">
        <v>50</v>
      </c>
      <c r="V1294" s="1">
        <v>10447</v>
      </c>
      <c r="W1294" t="str" cm="1">
        <f t="array" ref="W1294">_xlfn.IFS(V1294&lt;=5000,"Low Salary",V1294&lt;=12000,"Good Salary",V1294&gt;12000,"High Salary")</f>
        <v>Good Salary</v>
      </c>
      <c r="X1294">
        <v>26458</v>
      </c>
      <c r="Y1294">
        <v>0</v>
      </c>
      <c r="Z1294" t="s">
        <v>42</v>
      </c>
      <c r="AA1294" t="s">
        <v>43</v>
      </c>
      <c r="AB1294">
        <v>13</v>
      </c>
      <c r="AC1294">
        <v>3</v>
      </c>
      <c r="AD1294" t="str">
        <f t="shared" si="41"/>
        <v>Low Performance</v>
      </c>
      <c r="AE1294">
        <v>4</v>
      </c>
      <c r="AF1294">
        <v>80</v>
      </c>
      <c r="AG1294">
        <v>1</v>
      </c>
      <c r="AH1294">
        <v>23</v>
      </c>
      <c r="AI1294">
        <v>3</v>
      </c>
      <c r="AJ1294">
        <v>4</v>
      </c>
      <c r="AK1294" t="str" cm="1">
        <f t="array" ref="AK1294">_xlfn.IFS(AJ1294&lt;=2,"Poor",AJ1294&lt;=3,"Fair",AJ1294&gt;3,"Good")</f>
        <v>Good</v>
      </c>
      <c r="AL1294">
        <v>22</v>
      </c>
      <c r="AM1294">
        <v>14</v>
      </c>
      <c r="AN1294">
        <v>13</v>
      </c>
      <c r="AO1294">
        <v>5</v>
      </c>
    </row>
    <row r="1295" spans="1:41" x14ac:dyDescent="0.2">
      <c r="A1295">
        <v>1366196</v>
      </c>
      <c r="B1295">
        <v>30</v>
      </c>
      <c r="C1295" t="str" cm="1">
        <f t="array" ref="C1295">_xlfn.IFS(B1295&lt;=25,"15-25",B1295&lt;=35,"26-35",B1295&lt;=45,"36-45",B1295&lt;=55,"46-55",B1295&lt;=65,"56-65")</f>
        <v>26-35</v>
      </c>
      <c r="D1295" t="s">
        <v>35</v>
      </c>
      <c r="E1295" t="str">
        <f t="shared" si="40"/>
        <v>Current Employee</v>
      </c>
      <c r="F1295" t="s">
        <v>36</v>
      </c>
      <c r="G1295">
        <v>1092</v>
      </c>
      <c r="H1295" t="s">
        <v>37</v>
      </c>
      <c r="I1295">
        <v>10</v>
      </c>
      <c r="J1295">
        <v>3</v>
      </c>
      <c r="K1295" t="s">
        <v>49</v>
      </c>
      <c r="L1295">
        <v>1</v>
      </c>
      <c r="M1295">
        <v>1</v>
      </c>
      <c r="N1295" t="s">
        <v>39</v>
      </c>
      <c r="O1295">
        <v>64</v>
      </c>
      <c r="P1295">
        <v>3</v>
      </c>
      <c r="Q1295">
        <v>3</v>
      </c>
      <c r="R1295" t="s">
        <v>51</v>
      </c>
      <c r="S1295">
        <v>3</v>
      </c>
      <c r="T1295" t="str" cm="1">
        <f t="array" ref="T1295">_xlfn.IFS(S1295&lt;=2,"Poor",S1295&lt;=3,"Fair",S1295&gt;=4,"Good")</f>
        <v>Fair</v>
      </c>
      <c r="U1295" t="s">
        <v>41</v>
      </c>
      <c r="V1295" s="1">
        <v>9667</v>
      </c>
      <c r="W1295" t="str" cm="1">
        <f t="array" ref="W1295">_xlfn.IFS(V1295&lt;=5000,"Low Salary",V1295&lt;=12000,"Good Salary",V1295&gt;12000,"High Salary")</f>
        <v>Good Salary</v>
      </c>
      <c r="X1295">
        <v>2739</v>
      </c>
      <c r="Y1295">
        <v>9</v>
      </c>
      <c r="Z1295" t="s">
        <v>42</v>
      </c>
      <c r="AA1295" t="s">
        <v>35</v>
      </c>
      <c r="AB1295">
        <v>14</v>
      </c>
      <c r="AC1295">
        <v>3</v>
      </c>
      <c r="AD1295" t="str">
        <f t="shared" si="41"/>
        <v>Low Performance</v>
      </c>
      <c r="AE1295">
        <v>2</v>
      </c>
      <c r="AF1295">
        <v>80</v>
      </c>
      <c r="AG1295">
        <v>0</v>
      </c>
      <c r="AH1295">
        <v>9</v>
      </c>
      <c r="AI1295">
        <v>3</v>
      </c>
      <c r="AJ1295">
        <v>3</v>
      </c>
      <c r="AK1295" t="str" cm="1">
        <f t="array" ref="AK1295">_xlfn.IFS(AJ1295&lt;=2,"Poor",AJ1295&lt;=3,"Fair",AJ1295&gt;3,"Good")</f>
        <v>Fair</v>
      </c>
      <c r="AL1295">
        <v>7</v>
      </c>
      <c r="AM1295">
        <v>7</v>
      </c>
      <c r="AN1295">
        <v>0</v>
      </c>
      <c r="AO1295">
        <v>2</v>
      </c>
    </row>
    <row r="1296" spans="1:41" x14ac:dyDescent="0.2">
      <c r="A1296">
        <v>1347924</v>
      </c>
      <c r="B1296">
        <v>26</v>
      </c>
      <c r="C1296" t="str" cm="1">
        <f t="array" ref="C1296">_xlfn.IFS(B1296&lt;=25,"15-25",B1296&lt;=35,"26-35",B1296&lt;=45,"36-45",B1296&lt;=55,"46-55",B1296&lt;=65,"56-65")</f>
        <v>26-35</v>
      </c>
      <c r="D1296" t="s">
        <v>35</v>
      </c>
      <c r="E1296" t="str">
        <f t="shared" si="40"/>
        <v>Current Employee</v>
      </c>
      <c r="F1296" t="s">
        <v>36</v>
      </c>
      <c r="G1296">
        <v>920</v>
      </c>
      <c r="H1296" t="s">
        <v>54</v>
      </c>
      <c r="I1296">
        <v>20</v>
      </c>
      <c r="J1296">
        <v>2</v>
      </c>
      <c r="K1296" t="s">
        <v>49</v>
      </c>
      <c r="L1296">
        <v>1</v>
      </c>
      <c r="M1296">
        <v>4</v>
      </c>
      <c r="N1296" t="s">
        <v>39</v>
      </c>
      <c r="O1296">
        <v>69</v>
      </c>
      <c r="P1296">
        <v>3</v>
      </c>
      <c r="Q1296">
        <v>1</v>
      </c>
      <c r="R1296" t="s">
        <v>47</v>
      </c>
      <c r="S1296">
        <v>2</v>
      </c>
      <c r="T1296" t="str" cm="1">
        <f t="array" ref="T1296">_xlfn.IFS(S1296&lt;=2,"Poor",S1296&lt;=3,"Fair",S1296&gt;=4,"Good")</f>
        <v>Poor</v>
      </c>
      <c r="U1296" t="s">
        <v>48</v>
      </c>
      <c r="V1296" s="1">
        <v>2148</v>
      </c>
      <c r="W1296" t="str" cm="1">
        <f t="array" ref="W1296">_xlfn.IFS(V1296&lt;=5000,"Low Salary",V1296&lt;=12000,"Good Salary",V1296&gt;12000,"High Salary")</f>
        <v>Low Salary</v>
      </c>
      <c r="X1296">
        <v>6889</v>
      </c>
      <c r="Y1296">
        <v>0</v>
      </c>
      <c r="Z1296" t="s">
        <v>42</v>
      </c>
      <c r="AA1296" t="s">
        <v>43</v>
      </c>
      <c r="AB1296">
        <v>11</v>
      </c>
      <c r="AC1296">
        <v>3</v>
      </c>
      <c r="AD1296" t="str">
        <f t="shared" si="41"/>
        <v>Low Performance</v>
      </c>
      <c r="AE1296">
        <v>3</v>
      </c>
      <c r="AF1296">
        <v>80</v>
      </c>
      <c r="AG1296">
        <v>0</v>
      </c>
      <c r="AH1296">
        <v>6</v>
      </c>
      <c r="AI1296">
        <v>3</v>
      </c>
      <c r="AJ1296">
        <v>3</v>
      </c>
      <c r="AK1296" t="str" cm="1">
        <f t="array" ref="AK1296">_xlfn.IFS(AJ1296&lt;=2,"Poor",AJ1296&lt;=3,"Fair",AJ1296&gt;3,"Good")</f>
        <v>Fair</v>
      </c>
      <c r="AL1296">
        <v>5</v>
      </c>
      <c r="AM1296">
        <v>1</v>
      </c>
      <c r="AN1296">
        <v>1</v>
      </c>
      <c r="AO1296">
        <v>4</v>
      </c>
    </row>
    <row r="1297" spans="1:41" x14ac:dyDescent="0.2">
      <c r="A1297">
        <v>1140520</v>
      </c>
      <c r="B1297">
        <v>46</v>
      </c>
      <c r="C1297" t="str" cm="1">
        <f t="array" ref="C1297">_xlfn.IFS(B1297&lt;=25,"15-25",B1297&lt;=35,"26-35",B1297&lt;=45,"36-45",B1297&lt;=55,"46-55",B1297&lt;=65,"56-65")</f>
        <v>46-55</v>
      </c>
      <c r="D1297" t="s">
        <v>35</v>
      </c>
      <c r="E1297" t="str">
        <f t="shared" si="40"/>
        <v>Current Employee</v>
      </c>
      <c r="F1297" t="s">
        <v>36</v>
      </c>
      <c r="G1297">
        <v>261</v>
      </c>
      <c r="H1297" t="s">
        <v>54</v>
      </c>
      <c r="I1297">
        <v>21</v>
      </c>
      <c r="J1297">
        <v>2</v>
      </c>
      <c r="K1297" t="s">
        <v>49</v>
      </c>
      <c r="L1297">
        <v>1</v>
      </c>
      <c r="M1297">
        <v>4</v>
      </c>
      <c r="N1297" t="s">
        <v>39</v>
      </c>
      <c r="O1297">
        <v>66</v>
      </c>
      <c r="P1297">
        <v>3</v>
      </c>
      <c r="Q1297">
        <v>2</v>
      </c>
      <c r="R1297" t="s">
        <v>40</v>
      </c>
      <c r="S1297">
        <v>2</v>
      </c>
      <c r="T1297" t="str" cm="1">
        <f t="array" ref="T1297">_xlfn.IFS(S1297&lt;=2,"Poor",S1297&lt;=3,"Fair",S1297&gt;=4,"Good")</f>
        <v>Poor</v>
      </c>
      <c r="U1297" t="s">
        <v>48</v>
      </c>
      <c r="V1297" s="1">
        <v>8926</v>
      </c>
      <c r="W1297" t="str" cm="1">
        <f t="array" ref="W1297">_xlfn.IFS(V1297&lt;=5000,"Low Salary",V1297&lt;=12000,"Good Salary",V1297&gt;12000,"High Salary")</f>
        <v>Good Salary</v>
      </c>
      <c r="X1297">
        <v>10842</v>
      </c>
      <c r="Y1297">
        <v>4</v>
      </c>
      <c r="Z1297" t="s">
        <v>42</v>
      </c>
      <c r="AA1297" t="s">
        <v>35</v>
      </c>
      <c r="AB1297">
        <v>22</v>
      </c>
      <c r="AC1297">
        <v>4</v>
      </c>
      <c r="AD1297" t="str">
        <f t="shared" si="41"/>
        <v>High Performance</v>
      </c>
      <c r="AE1297">
        <v>4</v>
      </c>
      <c r="AF1297">
        <v>80</v>
      </c>
      <c r="AG1297">
        <v>1</v>
      </c>
      <c r="AH1297">
        <v>13</v>
      </c>
      <c r="AI1297">
        <v>2</v>
      </c>
      <c r="AJ1297">
        <v>4</v>
      </c>
      <c r="AK1297" t="str" cm="1">
        <f t="array" ref="AK1297">_xlfn.IFS(AJ1297&lt;=2,"Poor",AJ1297&lt;=3,"Fair",AJ1297&gt;3,"Good")</f>
        <v>Good</v>
      </c>
      <c r="AL1297">
        <v>9</v>
      </c>
      <c r="AM1297">
        <v>7</v>
      </c>
      <c r="AN1297">
        <v>3</v>
      </c>
      <c r="AO1297">
        <v>7</v>
      </c>
    </row>
    <row r="1298" spans="1:41" x14ac:dyDescent="0.2">
      <c r="A1298">
        <v>1187455</v>
      </c>
      <c r="B1298">
        <v>40</v>
      </c>
      <c r="C1298" t="str" cm="1">
        <f t="array" ref="C1298">_xlfn.IFS(B1298&lt;=25,"15-25",B1298&lt;=35,"26-35",B1298&lt;=45,"36-45",B1298&lt;=55,"46-55",B1298&lt;=65,"56-65")</f>
        <v>36-45</v>
      </c>
      <c r="D1298" t="s">
        <v>35</v>
      </c>
      <c r="E1298" t="str">
        <f t="shared" si="40"/>
        <v>Current Employee</v>
      </c>
      <c r="F1298" t="s">
        <v>36</v>
      </c>
      <c r="G1298">
        <v>1194</v>
      </c>
      <c r="H1298" t="s">
        <v>54</v>
      </c>
      <c r="I1298">
        <v>1</v>
      </c>
      <c r="J1298">
        <v>3</v>
      </c>
      <c r="K1298" t="s">
        <v>38</v>
      </c>
      <c r="L1298">
        <v>1</v>
      </c>
      <c r="M1298">
        <v>3</v>
      </c>
      <c r="N1298" t="s">
        <v>39</v>
      </c>
      <c r="O1298">
        <v>52</v>
      </c>
      <c r="P1298">
        <v>3</v>
      </c>
      <c r="Q1298">
        <v>2</v>
      </c>
      <c r="R1298" t="s">
        <v>40</v>
      </c>
      <c r="S1298">
        <v>4</v>
      </c>
      <c r="T1298" t="str" cm="1">
        <f t="array" ref="T1298">_xlfn.IFS(S1298&lt;=2,"Poor",S1298&lt;=3,"Fair",S1298&gt;=4,"Good")</f>
        <v>Good</v>
      </c>
      <c r="U1298" t="s">
        <v>50</v>
      </c>
      <c r="V1298" s="1">
        <v>6513</v>
      </c>
      <c r="W1298" t="str" cm="1">
        <f t="array" ref="W1298">_xlfn.IFS(V1298&lt;=5000,"Low Salary",V1298&lt;=12000,"Good Salary",V1298&gt;12000,"High Salary")</f>
        <v>Good Salary</v>
      </c>
      <c r="X1298">
        <v>9060</v>
      </c>
      <c r="Y1298">
        <v>4</v>
      </c>
      <c r="Z1298" t="s">
        <v>42</v>
      </c>
      <c r="AA1298" t="s">
        <v>35</v>
      </c>
      <c r="AB1298">
        <v>17</v>
      </c>
      <c r="AC1298">
        <v>3</v>
      </c>
      <c r="AD1298" t="str">
        <f t="shared" si="41"/>
        <v>Low Performance</v>
      </c>
      <c r="AE1298">
        <v>4</v>
      </c>
      <c r="AF1298">
        <v>80</v>
      </c>
      <c r="AG1298">
        <v>1</v>
      </c>
      <c r="AH1298">
        <v>12</v>
      </c>
      <c r="AI1298">
        <v>3</v>
      </c>
      <c r="AJ1298">
        <v>3</v>
      </c>
      <c r="AK1298" t="str" cm="1">
        <f t="array" ref="AK1298">_xlfn.IFS(AJ1298&lt;=2,"Poor",AJ1298&lt;=3,"Fair",AJ1298&gt;3,"Good")</f>
        <v>Fair</v>
      </c>
      <c r="AL1298">
        <v>5</v>
      </c>
      <c r="AM1298">
        <v>3</v>
      </c>
      <c r="AN1298">
        <v>0</v>
      </c>
      <c r="AO1298">
        <v>3</v>
      </c>
    </row>
    <row r="1299" spans="1:41" x14ac:dyDescent="0.2">
      <c r="A1299">
        <v>1645498</v>
      </c>
      <c r="B1299">
        <v>34</v>
      </c>
      <c r="C1299" t="str" cm="1">
        <f t="array" ref="C1299">_xlfn.IFS(B1299&lt;=25,"15-25",B1299&lt;=35,"26-35",B1299&lt;=45,"36-45",B1299&lt;=55,"46-55",B1299&lt;=65,"56-65")</f>
        <v>26-35</v>
      </c>
      <c r="D1299" t="s">
        <v>35</v>
      </c>
      <c r="E1299" t="str">
        <f t="shared" si="40"/>
        <v>Current Employee</v>
      </c>
      <c r="F1299" t="s">
        <v>36</v>
      </c>
      <c r="G1299">
        <v>810</v>
      </c>
      <c r="H1299" t="s">
        <v>37</v>
      </c>
      <c r="I1299">
        <v>8</v>
      </c>
      <c r="J1299">
        <v>2</v>
      </c>
      <c r="K1299" t="s">
        <v>56</v>
      </c>
      <c r="L1299">
        <v>1</v>
      </c>
      <c r="M1299">
        <v>2</v>
      </c>
      <c r="N1299" t="s">
        <v>46</v>
      </c>
      <c r="O1299">
        <v>92</v>
      </c>
      <c r="P1299">
        <v>4</v>
      </c>
      <c r="Q1299">
        <v>2</v>
      </c>
      <c r="R1299" t="s">
        <v>40</v>
      </c>
      <c r="S1299">
        <v>3</v>
      </c>
      <c r="T1299" t="str" cm="1">
        <f t="array" ref="T1299">_xlfn.IFS(S1299&lt;=2,"Poor",S1299&lt;=3,"Fair",S1299&gt;=4,"Good")</f>
        <v>Fair</v>
      </c>
      <c r="U1299" t="s">
        <v>48</v>
      </c>
      <c r="V1299" s="1">
        <v>6799</v>
      </c>
      <c r="W1299" t="str" cm="1">
        <f t="array" ref="W1299">_xlfn.IFS(V1299&lt;=5000,"Low Salary",V1299&lt;=12000,"Good Salary",V1299&gt;12000,"High Salary")</f>
        <v>Good Salary</v>
      </c>
      <c r="X1299">
        <v>22128</v>
      </c>
      <c r="Y1299">
        <v>1</v>
      </c>
      <c r="Z1299" t="s">
        <v>42</v>
      </c>
      <c r="AA1299" t="s">
        <v>35</v>
      </c>
      <c r="AB1299">
        <v>21</v>
      </c>
      <c r="AC1299">
        <v>4</v>
      </c>
      <c r="AD1299" t="str">
        <f t="shared" si="41"/>
        <v>High Performance</v>
      </c>
      <c r="AE1299">
        <v>3</v>
      </c>
      <c r="AF1299">
        <v>80</v>
      </c>
      <c r="AG1299">
        <v>2</v>
      </c>
      <c r="AH1299">
        <v>10</v>
      </c>
      <c r="AI1299">
        <v>5</v>
      </c>
      <c r="AJ1299">
        <v>3</v>
      </c>
      <c r="AK1299" t="str" cm="1">
        <f t="array" ref="AK1299">_xlfn.IFS(AJ1299&lt;=2,"Poor",AJ1299&lt;=3,"Fair",AJ1299&gt;3,"Good")</f>
        <v>Fair</v>
      </c>
      <c r="AL1299">
        <v>10</v>
      </c>
      <c r="AM1299">
        <v>8</v>
      </c>
      <c r="AN1299">
        <v>4</v>
      </c>
      <c r="AO1299">
        <v>8</v>
      </c>
    </row>
    <row r="1300" spans="1:41" x14ac:dyDescent="0.2">
      <c r="A1300">
        <v>1382530</v>
      </c>
      <c r="B1300">
        <v>58</v>
      </c>
      <c r="C1300" t="str" cm="1">
        <f t="array" ref="C1300">_xlfn.IFS(B1300&lt;=25,"15-25",B1300&lt;=35,"26-35",B1300&lt;=45,"36-45",B1300&lt;=55,"46-55",B1300&lt;=65,"56-65")</f>
        <v>56-65</v>
      </c>
      <c r="D1300" t="s">
        <v>35</v>
      </c>
      <c r="E1300" t="str">
        <f t="shared" si="40"/>
        <v>Current Employee</v>
      </c>
      <c r="F1300" t="s">
        <v>52</v>
      </c>
      <c r="G1300">
        <v>350</v>
      </c>
      <c r="H1300" t="s">
        <v>37</v>
      </c>
      <c r="I1300">
        <v>2</v>
      </c>
      <c r="J1300">
        <v>3</v>
      </c>
      <c r="K1300" t="s">
        <v>49</v>
      </c>
      <c r="L1300">
        <v>1</v>
      </c>
      <c r="M1300">
        <v>2</v>
      </c>
      <c r="N1300" t="s">
        <v>46</v>
      </c>
      <c r="O1300">
        <v>52</v>
      </c>
      <c r="P1300">
        <v>3</v>
      </c>
      <c r="Q1300">
        <v>4</v>
      </c>
      <c r="R1300" t="s">
        <v>53</v>
      </c>
      <c r="S1300">
        <v>2</v>
      </c>
      <c r="T1300" t="str" cm="1">
        <f t="array" ref="T1300">_xlfn.IFS(S1300&lt;=2,"Poor",S1300&lt;=3,"Fair",S1300&gt;=4,"Good")</f>
        <v>Poor</v>
      </c>
      <c r="U1300" t="s">
        <v>50</v>
      </c>
      <c r="V1300" s="1">
        <v>16291</v>
      </c>
      <c r="W1300" t="str" cm="1">
        <f t="array" ref="W1300">_xlfn.IFS(V1300&lt;=5000,"Low Salary",V1300&lt;=12000,"Good Salary",V1300&gt;12000,"High Salary")</f>
        <v>High Salary</v>
      </c>
      <c r="X1300">
        <v>22577</v>
      </c>
      <c r="Y1300">
        <v>4</v>
      </c>
      <c r="Z1300" t="s">
        <v>42</v>
      </c>
      <c r="AA1300" t="s">
        <v>35</v>
      </c>
      <c r="AB1300">
        <v>22</v>
      </c>
      <c r="AC1300">
        <v>4</v>
      </c>
      <c r="AD1300" t="str">
        <f t="shared" si="41"/>
        <v>High Performance</v>
      </c>
      <c r="AE1300">
        <v>4</v>
      </c>
      <c r="AF1300">
        <v>80</v>
      </c>
      <c r="AG1300">
        <v>1</v>
      </c>
      <c r="AH1300">
        <v>37</v>
      </c>
      <c r="AI1300">
        <v>0</v>
      </c>
      <c r="AJ1300">
        <v>2</v>
      </c>
      <c r="AK1300" t="str" cm="1">
        <f t="array" ref="AK1300">_xlfn.IFS(AJ1300&lt;=2,"Poor",AJ1300&lt;=3,"Fair",AJ1300&gt;3,"Good")</f>
        <v>Poor</v>
      </c>
      <c r="AL1300">
        <v>16</v>
      </c>
      <c r="AM1300">
        <v>9</v>
      </c>
      <c r="AN1300">
        <v>14</v>
      </c>
      <c r="AO1300">
        <v>14</v>
      </c>
    </row>
    <row r="1301" spans="1:41" x14ac:dyDescent="0.2">
      <c r="A1301">
        <v>1682292</v>
      </c>
      <c r="B1301">
        <v>35</v>
      </c>
      <c r="C1301" t="str" cm="1">
        <f t="array" ref="C1301">_xlfn.IFS(B1301&lt;=25,"15-25",B1301&lt;=35,"26-35",B1301&lt;=45,"36-45",B1301&lt;=55,"46-55",B1301&lt;=65,"56-65")</f>
        <v>26-35</v>
      </c>
      <c r="D1301" t="s">
        <v>35</v>
      </c>
      <c r="E1301" t="str">
        <f t="shared" si="40"/>
        <v>Current Employee</v>
      </c>
      <c r="F1301" t="s">
        <v>36</v>
      </c>
      <c r="G1301">
        <v>185</v>
      </c>
      <c r="H1301" t="s">
        <v>54</v>
      </c>
      <c r="I1301">
        <v>23</v>
      </c>
      <c r="J1301">
        <v>4</v>
      </c>
      <c r="K1301" t="s">
        <v>49</v>
      </c>
      <c r="L1301">
        <v>1</v>
      </c>
      <c r="M1301">
        <v>2</v>
      </c>
      <c r="N1301" t="s">
        <v>46</v>
      </c>
      <c r="O1301">
        <v>91</v>
      </c>
      <c r="P1301">
        <v>1</v>
      </c>
      <c r="Q1301">
        <v>1</v>
      </c>
      <c r="R1301" t="s">
        <v>40</v>
      </c>
      <c r="S1301">
        <v>3</v>
      </c>
      <c r="T1301" t="str" cm="1">
        <f t="array" ref="T1301">_xlfn.IFS(S1301&lt;=2,"Poor",S1301&lt;=3,"Fair",S1301&gt;=4,"Good")</f>
        <v>Fair</v>
      </c>
      <c r="U1301" t="s">
        <v>48</v>
      </c>
      <c r="V1301" s="1">
        <v>2705</v>
      </c>
      <c r="W1301" t="str" cm="1">
        <f t="array" ref="W1301">_xlfn.IFS(V1301&lt;=5000,"Low Salary",V1301&lt;=12000,"Good Salary",V1301&gt;12000,"High Salary")</f>
        <v>Low Salary</v>
      </c>
      <c r="X1301">
        <v>9696</v>
      </c>
      <c r="Y1301">
        <v>0</v>
      </c>
      <c r="Z1301" t="s">
        <v>42</v>
      </c>
      <c r="AA1301" t="s">
        <v>35</v>
      </c>
      <c r="AB1301">
        <v>16</v>
      </c>
      <c r="AC1301">
        <v>3</v>
      </c>
      <c r="AD1301" t="str">
        <f t="shared" si="41"/>
        <v>Low Performance</v>
      </c>
      <c r="AE1301">
        <v>2</v>
      </c>
      <c r="AF1301">
        <v>80</v>
      </c>
      <c r="AG1301">
        <v>1</v>
      </c>
      <c r="AH1301">
        <v>6</v>
      </c>
      <c r="AI1301">
        <v>2</v>
      </c>
      <c r="AJ1301">
        <v>4</v>
      </c>
      <c r="AK1301" t="str" cm="1">
        <f t="array" ref="AK1301">_xlfn.IFS(AJ1301&lt;=2,"Poor",AJ1301&lt;=3,"Fair",AJ1301&gt;3,"Good")</f>
        <v>Good</v>
      </c>
      <c r="AL1301">
        <v>5</v>
      </c>
      <c r="AM1301">
        <v>4</v>
      </c>
      <c r="AN1301">
        <v>0</v>
      </c>
      <c r="AO1301">
        <v>3</v>
      </c>
    </row>
    <row r="1302" spans="1:41" x14ac:dyDescent="0.2">
      <c r="A1302">
        <v>1602874</v>
      </c>
      <c r="B1302">
        <v>47</v>
      </c>
      <c r="C1302" t="str" cm="1">
        <f t="array" ref="C1302">_xlfn.IFS(B1302&lt;=25,"15-25",B1302&lt;=35,"26-35",B1302&lt;=45,"36-45",B1302&lt;=55,"46-55",B1302&lt;=65,"56-65")</f>
        <v>46-55</v>
      </c>
      <c r="D1302" t="s">
        <v>35</v>
      </c>
      <c r="E1302" t="str">
        <f t="shared" si="40"/>
        <v>Current Employee</v>
      </c>
      <c r="F1302" t="s">
        <v>36</v>
      </c>
      <c r="G1302">
        <v>1001</v>
      </c>
      <c r="H1302" t="s">
        <v>37</v>
      </c>
      <c r="I1302">
        <v>4</v>
      </c>
      <c r="J1302">
        <v>3</v>
      </c>
      <c r="K1302" t="s">
        <v>38</v>
      </c>
      <c r="L1302">
        <v>1</v>
      </c>
      <c r="M1302">
        <v>3</v>
      </c>
      <c r="N1302" t="s">
        <v>39</v>
      </c>
      <c r="O1302">
        <v>92</v>
      </c>
      <c r="P1302">
        <v>2</v>
      </c>
      <c r="Q1302">
        <v>3</v>
      </c>
      <c r="R1302" t="s">
        <v>51</v>
      </c>
      <c r="S1302">
        <v>2</v>
      </c>
      <c r="T1302" t="str" cm="1">
        <f t="array" ref="T1302">_xlfn.IFS(S1302&lt;=2,"Poor",S1302&lt;=3,"Fair",S1302&gt;=4,"Good")</f>
        <v>Poor</v>
      </c>
      <c r="U1302" t="s">
        <v>50</v>
      </c>
      <c r="V1302" s="1">
        <v>10333</v>
      </c>
      <c r="W1302" t="str" cm="1">
        <f t="array" ref="W1302">_xlfn.IFS(V1302&lt;=5000,"Low Salary",V1302&lt;=12000,"Good Salary",V1302&gt;12000,"High Salary")</f>
        <v>Good Salary</v>
      </c>
      <c r="X1302">
        <v>19271</v>
      </c>
      <c r="Y1302">
        <v>8</v>
      </c>
      <c r="Z1302" t="s">
        <v>42</v>
      </c>
      <c r="AA1302" t="s">
        <v>43</v>
      </c>
      <c r="AB1302">
        <v>12</v>
      </c>
      <c r="AC1302">
        <v>3</v>
      </c>
      <c r="AD1302" t="str">
        <f t="shared" si="41"/>
        <v>Low Performance</v>
      </c>
      <c r="AE1302">
        <v>3</v>
      </c>
      <c r="AF1302">
        <v>80</v>
      </c>
      <c r="AG1302">
        <v>1</v>
      </c>
      <c r="AH1302">
        <v>28</v>
      </c>
      <c r="AI1302">
        <v>4</v>
      </c>
      <c r="AJ1302">
        <v>3</v>
      </c>
      <c r="AK1302" t="str" cm="1">
        <f t="array" ref="AK1302">_xlfn.IFS(AJ1302&lt;=2,"Poor",AJ1302&lt;=3,"Fair",AJ1302&gt;3,"Good")</f>
        <v>Fair</v>
      </c>
      <c r="AL1302">
        <v>22</v>
      </c>
      <c r="AM1302">
        <v>11</v>
      </c>
      <c r="AN1302">
        <v>14</v>
      </c>
      <c r="AO1302">
        <v>10</v>
      </c>
    </row>
    <row r="1303" spans="1:41" x14ac:dyDescent="0.2">
      <c r="A1303">
        <v>1154770</v>
      </c>
      <c r="B1303">
        <v>40</v>
      </c>
      <c r="C1303" t="str" cm="1">
        <f t="array" ref="C1303">_xlfn.IFS(B1303&lt;=25,"15-25",B1303&lt;=35,"26-35",B1303&lt;=45,"36-45",B1303&lt;=55,"46-55",B1303&lt;=65,"56-65")</f>
        <v>36-45</v>
      </c>
      <c r="D1303" t="s">
        <v>35</v>
      </c>
      <c r="E1303" t="str">
        <f t="shared" si="40"/>
        <v>Current Employee</v>
      </c>
      <c r="F1303" t="s">
        <v>36</v>
      </c>
      <c r="G1303">
        <v>750</v>
      </c>
      <c r="H1303" t="s">
        <v>54</v>
      </c>
      <c r="I1303">
        <v>12</v>
      </c>
      <c r="J1303">
        <v>3</v>
      </c>
      <c r="K1303" t="s">
        <v>38</v>
      </c>
      <c r="L1303">
        <v>1</v>
      </c>
      <c r="M1303">
        <v>2</v>
      </c>
      <c r="N1303" t="s">
        <v>39</v>
      </c>
      <c r="O1303">
        <v>47</v>
      </c>
      <c r="P1303">
        <v>3</v>
      </c>
      <c r="Q1303">
        <v>2</v>
      </c>
      <c r="R1303" t="s">
        <v>40</v>
      </c>
      <c r="S1303">
        <v>1</v>
      </c>
      <c r="T1303" t="str" cm="1">
        <f t="array" ref="T1303">_xlfn.IFS(S1303&lt;=2,"Poor",S1303&lt;=3,"Fair",S1303&gt;=4,"Good")</f>
        <v>Poor</v>
      </c>
      <c r="U1303" t="s">
        <v>50</v>
      </c>
      <c r="V1303" s="1">
        <v>4448</v>
      </c>
      <c r="W1303" t="str" cm="1">
        <f t="array" ref="W1303">_xlfn.IFS(V1303&lt;=5000,"Low Salary",V1303&lt;=12000,"Good Salary",V1303&gt;12000,"High Salary")</f>
        <v>Low Salary</v>
      </c>
      <c r="X1303">
        <v>10748</v>
      </c>
      <c r="Y1303">
        <v>2</v>
      </c>
      <c r="Z1303" t="s">
        <v>42</v>
      </c>
      <c r="AA1303" t="s">
        <v>35</v>
      </c>
      <c r="AB1303">
        <v>12</v>
      </c>
      <c r="AC1303">
        <v>3</v>
      </c>
      <c r="AD1303" t="str">
        <f t="shared" si="41"/>
        <v>Low Performance</v>
      </c>
      <c r="AE1303">
        <v>2</v>
      </c>
      <c r="AF1303">
        <v>80</v>
      </c>
      <c r="AG1303">
        <v>1</v>
      </c>
      <c r="AH1303">
        <v>15</v>
      </c>
      <c r="AI1303">
        <v>3</v>
      </c>
      <c r="AJ1303">
        <v>3</v>
      </c>
      <c r="AK1303" t="str" cm="1">
        <f t="array" ref="AK1303">_xlfn.IFS(AJ1303&lt;=2,"Poor",AJ1303&lt;=3,"Fair",AJ1303&gt;3,"Good")</f>
        <v>Fair</v>
      </c>
      <c r="AL1303">
        <v>7</v>
      </c>
      <c r="AM1303">
        <v>4</v>
      </c>
      <c r="AN1303">
        <v>7</v>
      </c>
      <c r="AO1303">
        <v>7</v>
      </c>
    </row>
    <row r="1304" spans="1:41" x14ac:dyDescent="0.2">
      <c r="A1304">
        <v>1051875</v>
      </c>
      <c r="B1304">
        <v>54</v>
      </c>
      <c r="C1304" t="str" cm="1">
        <f t="array" ref="C1304">_xlfn.IFS(B1304&lt;=25,"15-25",B1304&lt;=35,"26-35",B1304&lt;=45,"36-45",B1304&lt;=55,"46-55",B1304&lt;=65,"56-65")</f>
        <v>46-55</v>
      </c>
      <c r="D1304" t="s">
        <v>35</v>
      </c>
      <c r="E1304" t="str">
        <f t="shared" si="40"/>
        <v>Current Employee</v>
      </c>
      <c r="F1304" t="s">
        <v>36</v>
      </c>
      <c r="G1304">
        <v>431</v>
      </c>
      <c r="H1304" t="s">
        <v>54</v>
      </c>
      <c r="I1304">
        <v>7</v>
      </c>
      <c r="J1304">
        <v>4</v>
      </c>
      <c r="K1304" t="s">
        <v>49</v>
      </c>
      <c r="L1304">
        <v>1</v>
      </c>
      <c r="M1304">
        <v>4</v>
      </c>
      <c r="N1304" t="s">
        <v>39</v>
      </c>
      <c r="O1304">
        <v>68</v>
      </c>
      <c r="P1304">
        <v>3</v>
      </c>
      <c r="Q1304">
        <v>2</v>
      </c>
      <c r="R1304" t="s">
        <v>47</v>
      </c>
      <c r="S1304">
        <v>4</v>
      </c>
      <c r="T1304" t="str" cm="1">
        <f t="array" ref="T1304">_xlfn.IFS(S1304&lt;=2,"Poor",S1304&lt;=3,"Fair",S1304&gt;=4,"Good")</f>
        <v>Good</v>
      </c>
      <c r="U1304" t="s">
        <v>48</v>
      </c>
      <c r="V1304" s="1">
        <v>6854</v>
      </c>
      <c r="W1304" t="str" cm="1">
        <f t="array" ref="W1304">_xlfn.IFS(V1304&lt;=5000,"Low Salary",V1304&lt;=12000,"Good Salary",V1304&gt;12000,"High Salary")</f>
        <v>Good Salary</v>
      </c>
      <c r="X1304">
        <v>15696</v>
      </c>
      <c r="Y1304">
        <v>4</v>
      </c>
      <c r="Z1304" t="s">
        <v>42</v>
      </c>
      <c r="AA1304" t="s">
        <v>35</v>
      </c>
      <c r="AB1304">
        <v>15</v>
      </c>
      <c r="AC1304">
        <v>3</v>
      </c>
      <c r="AD1304" t="str">
        <f t="shared" si="41"/>
        <v>Low Performance</v>
      </c>
      <c r="AE1304">
        <v>2</v>
      </c>
      <c r="AF1304">
        <v>80</v>
      </c>
      <c r="AG1304">
        <v>1</v>
      </c>
      <c r="AH1304">
        <v>14</v>
      </c>
      <c r="AI1304">
        <v>2</v>
      </c>
      <c r="AJ1304">
        <v>2</v>
      </c>
      <c r="AK1304" t="str" cm="1">
        <f t="array" ref="AK1304">_xlfn.IFS(AJ1304&lt;=2,"Poor",AJ1304&lt;=3,"Fair",AJ1304&gt;3,"Good")</f>
        <v>Poor</v>
      </c>
      <c r="AL1304">
        <v>7</v>
      </c>
      <c r="AM1304">
        <v>1</v>
      </c>
      <c r="AN1304">
        <v>1</v>
      </c>
      <c r="AO1304">
        <v>7</v>
      </c>
    </row>
    <row r="1305" spans="1:41" x14ac:dyDescent="0.2">
      <c r="A1305">
        <v>1834180</v>
      </c>
      <c r="B1305">
        <v>31</v>
      </c>
      <c r="C1305" t="str" cm="1">
        <f t="array" ref="C1305">_xlfn.IFS(B1305&lt;=25,"15-25",B1305&lt;=35,"26-35",B1305&lt;=45,"36-45",B1305&lt;=55,"46-55",B1305&lt;=65,"56-65")</f>
        <v>26-35</v>
      </c>
      <c r="D1305" t="s">
        <v>35</v>
      </c>
      <c r="E1305" t="str">
        <f t="shared" si="40"/>
        <v>Current Employee</v>
      </c>
      <c r="F1305" t="s">
        <v>44</v>
      </c>
      <c r="G1305">
        <v>1125</v>
      </c>
      <c r="H1305" t="s">
        <v>37</v>
      </c>
      <c r="I1305">
        <v>7</v>
      </c>
      <c r="J1305">
        <v>4</v>
      </c>
      <c r="K1305" t="s">
        <v>55</v>
      </c>
      <c r="L1305">
        <v>1</v>
      </c>
      <c r="M1305">
        <v>1</v>
      </c>
      <c r="N1305" t="s">
        <v>39</v>
      </c>
      <c r="O1305">
        <v>68</v>
      </c>
      <c r="P1305">
        <v>3</v>
      </c>
      <c r="Q1305">
        <v>3</v>
      </c>
      <c r="R1305" t="s">
        <v>40</v>
      </c>
      <c r="S1305">
        <v>1</v>
      </c>
      <c r="T1305" t="str" cm="1">
        <f t="array" ref="T1305">_xlfn.IFS(S1305&lt;=2,"Poor",S1305&lt;=3,"Fair",S1305&gt;=4,"Good")</f>
        <v>Poor</v>
      </c>
      <c r="U1305" t="s">
        <v>48</v>
      </c>
      <c r="V1305" s="1">
        <v>9637</v>
      </c>
      <c r="W1305" t="str" cm="1">
        <f t="array" ref="W1305">_xlfn.IFS(V1305&lt;=5000,"Low Salary",V1305&lt;=12000,"Good Salary",V1305&gt;12000,"High Salary")</f>
        <v>Good Salary</v>
      </c>
      <c r="X1305">
        <v>8277</v>
      </c>
      <c r="Y1305">
        <v>2</v>
      </c>
      <c r="Z1305" t="s">
        <v>42</v>
      </c>
      <c r="AA1305" t="s">
        <v>35</v>
      </c>
      <c r="AB1305">
        <v>14</v>
      </c>
      <c r="AC1305">
        <v>3</v>
      </c>
      <c r="AD1305" t="str">
        <f t="shared" si="41"/>
        <v>Low Performance</v>
      </c>
      <c r="AE1305">
        <v>4</v>
      </c>
      <c r="AF1305">
        <v>80</v>
      </c>
      <c r="AG1305">
        <v>2</v>
      </c>
      <c r="AH1305">
        <v>9</v>
      </c>
      <c r="AI1305">
        <v>3</v>
      </c>
      <c r="AJ1305">
        <v>3</v>
      </c>
      <c r="AK1305" t="str" cm="1">
        <f t="array" ref="AK1305">_xlfn.IFS(AJ1305&lt;=2,"Poor",AJ1305&lt;=3,"Fair",AJ1305&gt;3,"Good")</f>
        <v>Fair</v>
      </c>
      <c r="AL1305">
        <v>3</v>
      </c>
      <c r="AM1305">
        <v>2</v>
      </c>
      <c r="AN1305">
        <v>2</v>
      </c>
      <c r="AO1305">
        <v>2</v>
      </c>
    </row>
    <row r="1306" spans="1:41" x14ac:dyDescent="0.2">
      <c r="A1306">
        <v>1564192</v>
      </c>
      <c r="B1306">
        <v>28</v>
      </c>
      <c r="C1306" t="str" cm="1">
        <f t="array" ref="C1306">_xlfn.IFS(B1306&lt;=25,"15-25",B1306&lt;=35,"26-35",B1306&lt;=45,"36-45",B1306&lt;=55,"46-55",B1306&lt;=65,"56-65")</f>
        <v>26-35</v>
      </c>
      <c r="D1306" t="s">
        <v>35</v>
      </c>
      <c r="E1306" t="str">
        <f t="shared" si="40"/>
        <v>Current Employee</v>
      </c>
      <c r="F1306" t="s">
        <v>36</v>
      </c>
      <c r="G1306">
        <v>1217</v>
      </c>
      <c r="H1306" t="s">
        <v>54</v>
      </c>
      <c r="I1306">
        <v>1</v>
      </c>
      <c r="J1306">
        <v>3</v>
      </c>
      <c r="K1306" t="s">
        <v>49</v>
      </c>
      <c r="L1306">
        <v>1</v>
      </c>
      <c r="M1306">
        <v>3</v>
      </c>
      <c r="N1306" t="s">
        <v>39</v>
      </c>
      <c r="O1306">
        <v>67</v>
      </c>
      <c r="P1306">
        <v>3</v>
      </c>
      <c r="Q1306">
        <v>1</v>
      </c>
      <c r="R1306" t="s">
        <v>47</v>
      </c>
      <c r="S1306">
        <v>1</v>
      </c>
      <c r="T1306" t="str" cm="1">
        <f t="array" ref="T1306">_xlfn.IFS(S1306&lt;=2,"Poor",S1306&lt;=3,"Fair",S1306&gt;=4,"Good")</f>
        <v>Poor</v>
      </c>
      <c r="U1306" t="s">
        <v>48</v>
      </c>
      <c r="V1306" s="1">
        <v>3591</v>
      </c>
      <c r="W1306" t="str" cm="1">
        <f t="array" ref="W1306">_xlfn.IFS(V1306&lt;=5000,"Low Salary",V1306&lt;=12000,"Good Salary",V1306&gt;12000,"High Salary")</f>
        <v>Low Salary</v>
      </c>
      <c r="X1306">
        <v>12719</v>
      </c>
      <c r="Y1306">
        <v>1</v>
      </c>
      <c r="Z1306" t="s">
        <v>42</v>
      </c>
      <c r="AA1306" t="s">
        <v>35</v>
      </c>
      <c r="AB1306">
        <v>25</v>
      </c>
      <c r="AC1306">
        <v>4</v>
      </c>
      <c r="AD1306" t="str">
        <f t="shared" si="41"/>
        <v>High Performance</v>
      </c>
      <c r="AE1306">
        <v>3</v>
      </c>
      <c r="AF1306">
        <v>80</v>
      </c>
      <c r="AG1306">
        <v>1</v>
      </c>
      <c r="AH1306">
        <v>3</v>
      </c>
      <c r="AI1306">
        <v>3</v>
      </c>
      <c r="AJ1306">
        <v>3</v>
      </c>
      <c r="AK1306" t="str" cm="1">
        <f t="array" ref="AK1306">_xlfn.IFS(AJ1306&lt;=2,"Poor",AJ1306&lt;=3,"Fair",AJ1306&gt;3,"Good")</f>
        <v>Fair</v>
      </c>
      <c r="AL1306">
        <v>3</v>
      </c>
      <c r="AM1306">
        <v>2</v>
      </c>
      <c r="AN1306">
        <v>1</v>
      </c>
      <c r="AO1306">
        <v>2</v>
      </c>
    </row>
    <row r="1307" spans="1:41" x14ac:dyDescent="0.2">
      <c r="A1307">
        <v>1802154</v>
      </c>
      <c r="B1307">
        <v>38</v>
      </c>
      <c r="C1307" t="str" cm="1">
        <f t="array" ref="C1307">_xlfn.IFS(B1307&lt;=25,"15-25",B1307&lt;=35,"26-35",B1307&lt;=45,"36-45",B1307&lt;=55,"46-55",B1307&lt;=65,"56-65")</f>
        <v>36-45</v>
      </c>
      <c r="D1307" t="s">
        <v>35</v>
      </c>
      <c r="E1307" t="str">
        <f t="shared" si="40"/>
        <v>Current Employee</v>
      </c>
      <c r="F1307" t="s">
        <v>36</v>
      </c>
      <c r="G1307">
        <v>723</v>
      </c>
      <c r="H1307" t="s">
        <v>37</v>
      </c>
      <c r="I1307">
        <v>2</v>
      </c>
      <c r="J1307">
        <v>4</v>
      </c>
      <c r="K1307" t="s">
        <v>55</v>
      </c>
      <c r="L1307">
        <v>1</v>
      </c>
      <c r="M1307">
        <v>2</v>
      </c>
      <c r="N1307" t="s">
        <v>39</v>
      </c>
      <c r="O1307">
        <v>77</v>
      </c>
      <c r="P1307">
        <v>1</v>
      </c>
      <c r="Q1307">
        <v>2</v>
      </c>
      <c r="R1307" t="s">
        <v>47</v>
      </c>
      <c r="S1307">
        <v>4</v>
      </c>
      <c r="T1307" t="str" cm="1">
        <f t="array" ref="T1307">_xlfn.IFS(S1307&lt;=2,"Poor",S1307&lt;=3,"Fair",S1307&gt;=4,"Good")</f>
        <v>Good</v>
      </c>
      <c r="U1307" t="s">
        <v>48</v>
      </c>
      <c r="V1307" s="1">
        <v>5405</v>
      </c>
      <c r="W1307" t="str" cm="1">
        <f t="array" ref="W1307">_xlfn.IFS(V1307&lt;=5000,"Low Salary",V1307&lt;=12000,"Good Salary",V1307&gt;12000,"High Salary")</f>
        <v>Good Salary</v>
      </c>
      <c r="X1307">
        <v>4244</v>
      </c>
      <c r="Y1307">
        <v>2</v>
      </c>
      <c r="Z1307" t="s">
        <v>42</v>
      </c>
      <c r="AA1307" t="s">
        <v>43</v>
      </c>
      <c r="AB1307">
        <v>20</v>
      </c>
      <c r="AC1307">
        <v>4</v>
      </c>
      <c r="AD1307" t="str">
        <f t="shared" si="41"/>
        <v>High Performance</v>
      </c>
      <c r="AE1307">
        <v>1</v>
      </c>
      <c r="AF1307">
        <v>80</v>
      </c>
      <c r="AG1307">
        <v>2</v>
      </c>
      <c r="AH1307">
        <v>20</v>
      </c>
      <c r="AI1307">
        <v>4</v>
      </c>
      <c r="AJ1307">
        <v>2</v>
      </c>
      <c r="AK1307" t="str" cm="1">
        <f t="array" ref="AK1307">_xlfn.IFS(AJ1307&lt;=2,"Poor",AJ1307&lt;=3,"Fair",AJ1307&gt;3,"Good")</f>
        <v>Poor</v>
      </c>
      <c r="AL1307">
        <v>4</v>
      </c>
      <c r="AM1307">
        <v>2</v>
      </c>
      <c r="AN1307">
        <v>0</v>
      </c>
      <c r="AO1307">
        <v>3</v>
      </c>
    </row>
    <row r="1308" spans="1:41" x14ac:dyDescent="0.2">
      <c r="A1308">
        <v>1207662</v>
      </c>
      <c r="B1308">
        <v>26</v>
      </c>
      <c r="C1308" t="str" cm="1">
        <f t="array" ref="C1308">_xlfn.IFS(B1308&lt;=25,"15-25",B1308&lt;=35,"26-35",B1308&lt;=45,"36-45",B1308&lt;=55,"46-55",B1308&lt;=65,"56-65")</f>
        <v>26-35</v>
      </c>
      <c r="D1308" t="s">
        <v>35</v>
      </c>
      <c r="E1308" t="str">
        <f t="shared" si="40"/>
        <v>Current Employee</v>
      </c>
      <c r="F1308" t="s">
        <v>36</v>
      </c>
      <c r="G1308">
        <v>572</v>
      </c>
      <c r="H1308" t="s">
        <v>37</v>
      </c>
      <c r="I1308">
        <v>10</v>
      </c>
      <c r="J1308">
        <v>3</v>
      </c>
      <c r="K1308" t="s">
        <v>49</v>
      </c>
      <c r="L1308">
        <v>1</v>
      </c>
      <c r="M1308">
        <v>3</v>
      </c>
      <c r="N1308" t="s">
        <v>46</v>
      </c>
      <c r="O1308">
        <v>46</v>
      </c>
      <c r="P1308">
        <v>3</v>
      </c>
      <c r="Q1308">
        <v>2</v>
      </c>
      <c r="R1308" t="s">
        <v>40</v>
      </c>
      <c r="S1308">
        <v>4</v>
      </c>
      <c r="T1308" t="str" cm="1">
        <f t="array" ref="T1308">_xlfn.IFS(S1308&lt;=2,"Poor",S1308&lt;=3,"Fair",S1308&gt;=4,"Good")</f>
        <v>Good</v>
      </c>
      <c r="U1308" t="s">
        <v>41</v>
      </c>
      <c r="V1308" s="1">
        <v>4684</v>
      </c>
      <c r="W1308" t="str" cm="1">
        <f t="array" ref="W1308">_xlfn.IFS(V1308&lt;=5000,"Low Salary",V1308&lt;=12000,"Good Salary",V1308&gt;12000,"High Salary")</f>
        <v>Low Salary</v>
      </c>
      <c r="X1308">
        <v>9125</v>
      </c>
      <c r="Y1308">
        <v>1</v>
      </c>
      <c r="Z1308" t="s">
        <v>42</v>
      </c>
      <c r="AA1308" t="s">
        <v>35</v>
      </c>
      <c r="AB1308">
        <v>13</v>
      </c>
      <c r="AC1308">
        <v>3</v>
      </c>
      <c r="AD1308" t="str">
        <f t="shared" si="41"/>
        <v>Low Performance</v>
      </c>
      <c r="AE1308">
        <v>1</v>
      </c>
      <c r="AF1308">
        <v>80</v>
      </c>
      <c r="AG1308">
        <v>0</v>
      </c>
      <c r="AH1308">
        <v>5</v>
      </c>
      <c r="AI1308">
        <v>4</v>
      </c>
      <c r="AJ1308">
        <v>3</v>
      </c>
      <c r="AK1308" t="str" cm="1">
        <f t="array" ref="AK1308">_xlfn.IFS(AJ1308&lt;=2,"Poor",AJ1308&lt;=3,"Fair",AJ1308&gt;3,"Good")</f>
        <v>Fair</v>
      </c>
      <c r="AL1308">
        <v>5</v>
      </c>
      <c r="AM1308">
        <v>3</v>
      </c>
      <c r="AN1308">
        <v>1</v>
      </c>
      <c r="AO1308">
        <v>2</v>
      </c>
    </row>
    <row r="1309" spans="1:41" x14ac:dyDescent="0.2">
      <c r="A1309">
        <v>1072716</v>
      </c>
      <c r="B1309">
        <v>58</v>
      </c>
      <c r="C1309" t="str" cm="1">
        <f t="array" ref="C1309">_xlfn.IFS(B1309&lt;=25,"15-25",B1309&lt;=35,"26-35",B1309&lt;=45,"36-45",B1309&lt;=55,"46-55",B1309&lt;=65,"56-65")</f>
        <v>56-65</v>
      </c>
      <c r="D1309" t="s">
        <v>35</v>
      </c>
      <c r="E1309" t="str">
        <f t="shared" si="40"/>
        <v>Current Employee</v>
      </c>
      <c r="F1309" t="s">
        <v>44</v>
      </c>
      <c r="G1309">
        <v>1216</v>
      </c>
      <c r="H1309" t="s">
        <v>54</v>
      </c>
      <c r="I1309">
        <v>15</v>
      </c>
      <c r="J1309">
        <v>4</v>
      </c>
      <c r="K1309" t="s">
        <v>38</v>
      </c>
      <c r="L1309">
        <v>1</v>
      </c>
      <c r="M1309">
        <v>1</v>
      </c>
      <c r="N1309" t="s">
        <v>46</v>
      </c>
      <c r="O1309">
        <v>87</v>
      </c>
      <c r="P1309">
        <v>3</v>
      </c>
      <c r="Q1309">
        <v>4</v>
      </c>
      <c r="R1309" t="s">
        <v>53</v>
      </c>
      <c r="S1309">
        <v>3</v>
      </c>
      <c r="T1309" t="str" cm="1">
        <f t="array" ref="T1309">_xlfn.IFS(S1309&lt;=2,"Poor",S1309&lt;=3,"Fair",S1309&gt;=4,"Good")</f>
        <v>Fair</v>
      </c>
      <c r="U1309" t="s">
        <v>48</v>
      </c>
      <c r="V1309" s="1">
        <v>15787</v>
      </c>
      <c r="W1309" t="str" cm="1">
        <f t="array" ref="W1309">_xlfn.IFS(V1309&lt;=5000,"Low Salary",V1309&lt;=12000,"Good Salary",V1309&gt;12000,"High Salary")</f>
        <v>High Salary</v>
      </c>
      <c r="X1309">
        <v>21624</v>
      </c>
      <c r="Y1309">
        <v>2</v>
      </c>
      <c r="Z1309" t="s">
        <v>42</v>
      </c>
      <c r="AA1309" t="s">
        <v>43</v>
      </c>
      <c r="AB1309">
        <v>14</v>
      </c>
      <c r="AC1309">
        <v>3</v>
      </c>
      <c r="AD1309" t="str">
        <f t="shared" si="41"/>
        <v>Low Performance</v>
      </c>
      <c r="AE1309">
        <v>2</v>
      </c>
      <c r="AF1309">
        <v>80</v>
      </c>
      <c r="AG1309">
        <v>0</v>
      </c>
      <c r="AH1309">
        <v>23</v>
      </c>
      <c r="AI1309">
        <v>3</v>
      </c>
      <c r="AJ1309">
        <v>3</v>
      </c>
      <c r="AK1309" t="str" cm="1">
        <f t="array" ref="AK1309">_xlfn.IFS(AJ1309&lt;=2,"Poor",AJ1309&lt;=3,"Fair",AJ1309&gt;3,"Good")</f>
        <v>Fair</v>
      </c>
      <c r="AL1309">
        <v>2</v>
      </c>
      <c r="AM1309">
        <v>2</v>
      </c>
      <c r="AN1309">
        <v>2</v>
      </c>
      <c r="AO1309">
        <v>2</v>
      </c>
    </row>
    <row r="1310" spans="1:41" x14ac:dyDescent="0.2">
      <c r="A1310">
        <v>1086016</v>
      </c>
      <c r="B1310">
        <v>18</v>
      </c>
      <c r="C1310" t="str" cm="1">
        <f t="array" ref="C1310">_xlfn.IFS(B1310&lt;=25,"15-25",B1310&lt;=35,"26-35",B1310&lt;=45,"36-45",B1310&lt;=55,"46-55",B1310&lt;=65,"56-65")</f>
        <v>15-25</v>
      </c>
      <c r="D1310" t="s">
        <v>43</v>
      </c>
      <c r="E1310" t="str">
        <f t="shared" si="40"/>
        <v>Former Employee</v>
      </c>
      <c r="F1310" t="s">
        <v>52</v>
      </c>
      <c r="G1310">
        <v>1431</v>
      </c>
      <c r="H1310" t="s">
        <v>54</v>
      </c>
      <c r="I1310">
        <v>14</v>
      </c>
      <c r="J1310">
        <v>3</v>
      </c>
      <c r="K1310" t="s">
        <v>49</v>
      </c>
      <c r="L1310">
        <v>1</v>
      </c>
      <c r="M1310">
        <v>2</v>
      </c>
      <c r="N1310" t="s">
        <v>39</v>
      </c>
      <c r="O1310">
        <v>33</v>
      </c>
      <c r="P1310">
        <v>3</v>
      </c>
      <c r="Q1310">
        <v>1</v>
      </c>
      <c r="R1310" t="s">
        <v>47</v>
      </c>
      <c r="S1310">
        <v>3</v>
      </c>
      <c r="T1310" t="str" cm="1">
        <f t="array" ref="T1310">_xlfn.IFS(S1310&lt;=2,"Poor",S1310&lt;=3,"Fair",S1310&gt;=4,"Good")</f>
        <v>Fair</v>
      </c>
      <c r="U1310" t="s">
        <v>41</v>
      </c>
      <c r="V1310" s="1">
        <v>1514</v>
      </c>
      <c r="W1310" t="str" cm="1">
        <f t="array" ref="W1310">_xlfn.IFS(V1310&lt;=5000,"Low Salary",V1310&lt;=12000,"Good Salary",V1310&gt;12000,"High Salary")</f>
        <v>Low Salary</v>
      </c>
      <c r="X1310">
        <v>8018</v>
      </c>
      <c r="Y1310">
        <v>1</v>
      </c>
      <c r="Z1310" t="s">
        <v>42</v>
      </c>
      <c r="AA1310" t="s">
        <v>35</v>
      </c>
      <c r="AB1310">
        <v>16</v>
      </c>
      <c r="AC1310">
        <v>3</v>
      </c>
      <c r="AD1310" t="str">
        <f t="shared" si="41"/>
        <v>Low Performance</v>
      </c>
      <c r="AE1310">
        <v>3</v>
      </c>
      <c r="AF1310">
        <v>80</v>
      </c>
      <c r="AG1310">
        <v>0</v>
      </c>
      <c r="AH1310">
        <v>0</v>
      </c>
      <c r="AI1310">
        <v>4</v>
      </c>
      <c r="AJ1310">
        <v>1</v>
      </c>
      <c r="AK1310" t="str" cm="1">
        <f t="array" ref="AK1310">_xlfn.IFS(AJ1310&lt;=2,"Poor",AJ1310&lt;=3,"Fair",AJ1310&gt;3,"Good")</f>
        <v>Poor</v>
      </c>
      <c r="AL1310">
        <v>0</v>
      </c>
      <c r="AM1310">
        <v>0</v>
      </c>
      <c r="AN1310">
        <v>0</v>
      </c>
      <c r="AO1310">
        <v>0</v>
      </c>
    </row>
    <row r="1311" spans="1:41" x14ac:dyDescent="0.2">
      <c r="A1311">
        <v>1552861</v>
      </c>
      <c r="B1311">
        <v>31</v>
      </c>
      <c r="C1311" t="str" cm="1">
        <f t="array" ref="C1311">_xlfn.IFS(B1311&lt;=25,"15-25",B1311&lt;=35,"26-35",B1311&lt;=45,"36-45",B1311&lt;=55,"46-55",B1311&lt;=65,"56-65")</f>
        <v>26-35</v>
      </c>
      <c r="D1311" t="s">
        <v>35</v>
      </c>
      <c r="E1311" t="str">
        <f t="shared" si="40"/>
        <v>Current Employee</v>
      </c>
      <c r="F1311" t="s">
        <v>36</v>
      </c>
      <c r="G1311">
        <v>359</v>
      </c>
      <c r="H1311" t="s">
        <v>54</v>
      </c>
      <c r="I1311">
        <v>18</v>
      </c>
      <c r="J1311">
        <v>5</v>
      </c>
      <c r="K1311" t="s">
        <v>57</v>
      </c>
      <c r="L1311">
        <v>1</v>
      </c>
      <c r="M1311">
        <v>4</v>
      </c>
      <c r="N1311" t="s">
        <v>46</v>
      </c>
      <c r="O1311">
        <v>89</v>
      </c>
      <c r="P1311">
        <v>4</v>
      </c>
      <c r="Q1311">
        <v>1</v>
      </c>
      <c r="R1311" t="s">
        <v>47</v>
      </c>
      <c r="S1311">
        <v>1</v>
      </c>
      <c r="T1311" t="str" cm="1">
        <f t="array" ref="T1311">_xlfn.IFS(S1311&lt;=2,"Poor",S1311&lt;=3,"Fair",S1311&gt;=4,"Good")</f>
        <v>Poor</v>
      </c>
      <c r="U1311" t="s">
        <v>48</v>
      </c>
      <c r="V1311" s="1">
        <v>2956</v>
      </c>
      <c r="W1311" t="str" cm="1">
        <f t="array" ref="W1311">_xlfn.IFS(V1311&lt;=5000,"Low Salary",V1311&lt;=12000,"Good Salary",V1311&gt;12000,"High Salary")</f>
        <v>Low Salary</v>
      </c>
      <c r="X1311">
        <v>21495</v>
      </c>
      <c r="Y1311">
        <v>0</v>
      </c>
      <c r="Z1311" t="s">
        <v>42</v>
      </c>
      <c r="AA1311" t="s">
        <v>35</v>
      </c>
      <c r="AB1311">
        <v>17</v>
      </c>
      <c r="AC1311">
        <v>3</v>
      </c>
      <c r="AD1311" t="str">
        <f t="shared" si="41"/>
        <v>Low Performance</v>
      </c>
      <c r="AE1311">
        <v>3</v>
      </c>
      <c r="AF1311">
        <v>80</v>
      </c>
      <c r="AG1311">
        <v>0</v>
      </c>
      <c r="AH1311">
        <v>2</v>
      </c>
      <c r="AI1311">
        <v>4</v>
      </c>
      <c r="AJ1311">
        <v>3</v>
      </c>
      <c r="AK1311" t="str" cm="1">
        <f t="array" ref="AK1311">_xlfn.IFS(AJ1311&lt;=2,"Poor",AJ1311&lt;=3,"Fair",AJ1311&gt;3,"Good")</f>
        <v>Fair</v>
      </c>
      <c r="AL1311">
        <v>1</v>
      </c>
      <c r="AM1311">
        <v>0</v>
      </c>
      <c r="AN1311">
        <v>0</v>
      </c>
      <c r="AO1311">
        <v>0</v>
      </c>
    </row>
    <row r="1312" spans="1:41" x14ac:dyDescent="0.2">
      <c r="A1312">
        <v>1235468</v>
      </c>
      <c r="B1312">
        <v>29</v>
      </c>
      <c r="C1312" t="str" cm="1">
        <f t="array" ref="C1312">_xlfn.IFS(B1312&lt;=25,"15-25",B1312&lt;=35,"26-35",B1312&lt;=45,"36-45",B1312&lt;=55,"46-55",B1312&lt;=65,"56-65")</f>
        <v>26-35</v>
      </c>
      <c r="D1312" t="s">
        <v>43</v>
      </c>
      <c r="E1312" t="str">
        <f t="shared" si="40"/>
        <v>Former Employee</v>
      </c>
      <c r="F1312" t="s">
        <v>36</v>
      </c>
      <c r="G1312">
        <v>350</v>
      </c>
      <c r="H1312" t="s">
        <v>54</v>
      </c>
      <c r="I1312">
        <v>13</v>
      </c>
      <c r="J1312">
        <v>3</v>
      </c>
      <c r="K1312" t="s">
        <v>57</v>
      </c>
      <c r="L1312">
        <v>1</v>
      </c>
      <c r="M1312">
        <v>1</v>
      </c>
      <c r="N1312" t="s">
        <v>46</v>
      </c>
      <c r="O1312">
        <v>56</v>
      </c>
      <c r="P1312">
        <v>2</v>
      </c>
      <c r="Q1312">
        <v>1</v>
      </c>
      <c r="R1312" t="s">
        <v>47</v>
      </c>
      <c r="S1312">
        <v>1</v>
      </c>
      <c r="T1312" t="str" cm="1">
        <f t="array" ref="T1312">_xlfn.IFS(S1312&lt;=2,"Poor",S1312&lt;=3,"Fair",S1312&gt;=4,"Good")</f>
        <v>Poor</v>
      </c>
      <c r="U1312" t="s">
        <v>50</v>
      </c>
      <c r="V1312" s="1">
        <v>2335</v>
      </c>
      <c r="W1312" t="str" cm="1">
        <f t="array" ref="W1312">_xlfn.IFS(V1312&lt;=5000,"Low Salary",V1312&lt;=12000,"Good Salary",V1312&gt;12000,"High Salary")</f>
        <v>Low Salary</v>
      </c>
      <c r="X1312">
        <v>3157</v>
      </c>
      <c r="Y1312">
        <v>4</v>
      </c>
      <c r="Z1312" t="s">
        <v>42</v>
      </c>
      <c r="AA1312" t="s">
        <v>43</v>
      </c>
      <c r="AB1312">
        <v>15</v>
      </c>
      <c r="AC1312">
        <v>3</v>
      </c>
      <c r="AD1312" t="str">
        <f t="shared" si="41"/>
        <v>Low Performance</v>
      </c>
      <c r="AE1312">
        <v>4</v>
      </c>
      <c r="AF1312">
        <v>80</v>
      </c>
      <c r="AG1312">
        <v>3</v>
      </c>
      <c r="AH1312">
        <v>4</v>
      </c>
      <c r="AI1312">
        <v>3</v>
      </c>
      <c r="AJ1312">
        <v>3</v>
      </c>
      <c r="AK1312" t="str" cm="1">
        <f t="array" ref="AK1312">_xlfn.IFS(AJ1312&lt;=2,"Poor",AJ1312&lt;=3,"Fair",AJ1312&gt;3,"Good")</f>
        <v>Fair</v>
      </c>
      <c r="AL1312">
        <v>2</v>
      </c>
      <c r="AM1312">
        <v>2</v>
      </c>
      <c r="AN1312">
        <v>2</v>
      </c>
      <c r="AO1312">
        <v>0</v>
      </c>
    </row>
    <row r="1313" spans="1:41" x14ac:dyDescent="0.2">
      <c r="A1313">
        <v>1281331</v>
      </c>
      <c r="B1313">
        <v>45</v>
      </c>
      <c r="C1313" t="str" cm="1">
        <f t="array" ref="C1313">_xlfn.IFS(B1313&lt;=25,"15-25",B1313&lt;=35,"26-35",B1313&lt;=45,"36-45",B1313&lt;=55,"46-55",B1313&lt;=65,"56-65")</f>
        <v>36-45</v>
      </c>
      <c r="D1313" t="s">
        <v>35</v>
      </c>
      <c r="E1313" t="str">
        <f t="shared" si="40"/>
        <v>Current Employee</v>
      </c>
      <c r="F1313" t="s">
        <v>52</v>
      </c>
      <c r="G1313">
        <v>589</v>
      </c>
      <c r="H1313" t="s">
        <v>37</v>
      </c>
      <c r="I1313">
        <v>2</v>
      </c>
      <c r="J1313">
        <v>4</v>
      </c>
      <c r="K1313" t="s">
        <v>38</v>
      </c>
      <c r="L1313">
        <v>1</v>
      </c>
      <c r="M1313">
        <v>3</v>
      </c>
      <c r="N1313" t="s">
        <v>39</v>
      </c>
      <c r="O1313">
        <v>67</v>
      </c>
      <c r="P1313">
        <v>3</v>
      </c>
      <c r="Q1313">
        <v>2</v>
      </c>
      <c r="R1313" t="s">
        <v>40</v>
      </c>
      <c r="S1313">
        <v>3</v>
      </c>
      <c r="T1313" t="str" cm="1">
        <f t="array" ref="T1313">_xlfn.IFS(S1313&lt;=2,"Poor",S1313&lt;=3,"Fair",S1313&gt;=4,"Good")</f>
        <v>Fair</v>
      </c>
      <c r="U1313" t="s">
        <v>48</v>
      </c>
      <c r="V1313" s="1">
        <v>5154</v>
      </c>
      <c r="W1313" t="str" cm="1">
        <f t="array" ref="W1313">_xlfn.IFS(V1313&lt;=5000,"Low Salary",V1313&lt;=12000,"Good Salary",V1313&gt;12000,"High Salary")</f>
        <v>Good Salary</v>
      </c>
      <c r="X1313">
        <v>19665</v>
      </c>
      <c r="Y1313">
        <v>4</v>
      </c>
      <c r="Z1313" t="s">
        <v>42</v>
      </c>
      <c r="AA1313" t="s">
        <v>35</v>
      </c>
      <c r="AB1313">
        <v>22</v>
      </c>
      <c r="AC1313">
        <v>4</v>
      </c>
      <c r="AD1313" t="str">
        <f t="shared" si="41"/>
        <v>High Performance</v>
      </c>
      <c r="AE1313">
        <v>2</v>
      </c>
      <c r="AF1313">
        <v>80</v>
      </c>
      <c r="AG1313">
        <v>2</v>
      </c>
      <c r="AH1313">
        <v>10</v>
      </c>
      <c r="AI1313">
        <v>3</v>
      </c>
      <c r="AJ1313">
        <v>4</v>
      </c>
      <c r="AK1313" t="str" cm="1">
        <f t="array" ref="AK1313">_xlfn.IFS(AJ1313&lt;=2,"Poor",AJ1313&lt;=3,"Fair",AJ1313&gt;3,"Good")</f>
        <v>Good</v>
      </c>
      <c r="AL1313">
        <v>8</v>
      </c>
      <c r="AM1313">
        <v>7</v>
      </c>
      <c r="AN1313">
        <v>5</v>
      </c>
      <c r="AO1313">
        <v>7</v>
      </c>
    </row>
    <row r="1314" spans="1:41" x14ac:dyDescent="0.2">
      <c r="A1314">
        <v>1220488</v>
      </c>
      <c r="B1314">
        <v>36</v>
      </c>
      <c r="C1314" t="str" cm="1">
        <f t="array" ref="C1314">_xlfn.IFS(B1314&lt;=25,"15-25",B1314&lt;=35,"26-35",B1314&lt;=45,"36-45",B1314&lt;=55,"46-55",B1314&lt;=65,"56-65")</f>
        <v>36-45</v>
      </c>
      <c r="D1314" t="s">
        <v>35</v>
      </c>
      <c r="E1314" t="str">
        <f t="shared" si="40"/>
        <v>Current Employee</v>
      </c>
      <c r="F1314" t="s">
        <v>36</v>
      </c>
      <c r="G1314">
        <v>430</v>
      </c>
      <c r="H1314" t="s">
        <v>54</v>
      </c>
      <c r="I1314">
        <v>2</v>
      </c>
      <c r="J1314">
        <v>4</v>
      </c>
      <c r="K1314" t="s">
        <v>47</v>
      </c>
      <c r="L1314">
        <v>1</v>
      </c>
      <c r="M1314">
        <v>4</v>
      </c>
      <c r="N1314" t="s">
        <v>39</v>
      </c>
      <c r="O1314">
        <v>73</v>
      </c>
      <c r="P1314">
        <v>3</v>
      </c>
      <c r="Q1314">
        <v>2</v>
      </c>
      <c r="R1314" t="s">
        <v>47</v>
      </c>
      <c r="S1314">
        <v>2</v>
      </c>
      <c r="T1314" t="str" cm="1">
        <f t="array" ref="T1314">_xlfn.IFS(S1314&lt;=2,"Poor",S1314&lt;=3,"Fair",S1314&gt;=4,"Good")</f>
        <v>Poor</v>
      </c>
      <c r="U1314" t="s">
        <v>48</v>
      </c>
      <c r="V1314" s="1">
        <v>6962</v>
      </c>
      <c r="W1314" t="str" cm="1">
        <f t="array" ref="W1314">_xlfn.IFS(V1314&lt;=5000,"Low Salary",V1314&lt;=12000,"Good Salary",V1314&gt;12000,"High Salary")</f>
        <v>Good Salary</v>
      </c>
      <c r="X1314">
        <v>19573</v>
      </c>
      <c r="Y1314">
        <v>4</v>
      </c>
      <c r="Z1314" t="s">
        <v>42</v>
      </c>
      <c r="AA1314" t="s">
        <v>43</v>
      </c>
      <c r="AB1314">
        <v>22</v>
      </c>
      <c r="AC1314">
        <v>4</v>
      </c>
      <c r="AD1314" t="str">
        <f t="shared" si="41"/>
        <v>High Performance</v>
      </c>
      <c r="AE1314">
        <v>4</v>
      </c>
      <c r="AF1314">
        <v>80</v>
      </c>
      <c r="AG1314">
        <v>1</v>
      </c>
      <c r="AH1314">
        <v>15</v>
      </c>
      <c r="AI1314">
        <v>2</v>
      </c>
      <c r="AJ1314">
        <v>3</v>
      </c>
      <c r="AK1314" t="str" cm="1">
        <f t="array" ref="AK1314">_xlfn.IFS(AJ1314&lt;=2,"Poor",AJ1314&lt;=3,"Fair",AJ1314&gt;3,"Good")</f>
        <v>Fair</v>
      </c>
      <c r="AL1314">
        <v>1</v>
      </c>
      <c r="AM1314">
        <v>0</v>
      </c>
      <c r="AN1314">
        <v>0</v>
      </c>
      <c r="AO1314">
        <v>0</v>
      </c>
    </row>
    <row r="1315" spans="1:41" x14ac:dyDescent="0.2">
      <c r="A1315">
        <v>1113271</v>
      </c>
      <c r="B1315">
        <v>43</v>
      </c>
      <c r="C1315" t="str" cm="1">
        <f t="array" ref="C1315">_xlfn.IFS(B1315&lt;=25,"15-25",B1315&lt;=35,"26-35",B1315&lt;=45,"36-45",B1315&lt;=55,"46-55",B1315&lt;=65,"56-65")</f>
        <v>36-45</v>
      </c>
      <c r="D1315" t="s">
        <v>35</v>
      </c>
      <c r="E1315" t="str">
        <f t="shared" si="40"/>
        <v>Current Employee</v>
      </c>
      <c r="F1315" t="s">
        <v>44</v>
      </c>
      <c r="G1315">
        <v>1422</v>
      </c>
      <c r="H1315" t="s">
        <v>37</v>
      </c>
      <c r="I1315">
        <v>2</v>
      </c>
      <c r="J1315">
        <v>4</v>
      </c>
      <c r="K1315" t="s">
        <v>38</v>
      </c>
      <c r="L1315">
        <v>1</v>
      </c>
      <c r="M1315">
        <v>1</v>
      </c>
      <c r="N1315" t="s">
        <v>46</v>
      </c>
      <c r="O1315">
        <v>92</v>
      </c>
      <c r="P1315">
        <v>3</v>
      </c>
      <c r="Q1315">
        <v>2</v>
      </c>
      <c r="R1315" t="s">
        <v>40</v>
      </c>
      <c r="S1315">
        <v>4</v>
      </c>
      <c r="T1315" t="str" cm="1">
        <f t="array" ref="T1315">_xlfn.IFS(S1315&lt;=2,"Poor",S1315&lt;=3,"Fair",S1315&gt;=4,"Good")</f>
        <v>Good</v>
      </c>
      <c r="U1315" t="s">
        <v>48</v>
      </c>
      <c r="V1315" s="1">
        <v>5675</v>
      </c>
      <c r="W1315" t="str" cm="1">
        <f t="array" ref="W1315">_xlfn.IFS(V1315&lt;=5000,"Low Salary",V1315&lt;=12000,"Good Salary",V1315&gt;12000,"High Salary")</f>
        <v>Good Salary</v>
      </c>
      <c r="X1315">
        <v>19246</v>
      </c>
      <c r="Y1315">
        <v>1</v>
      </c>
      <c r="Z1315" t="s">
        <v>42</v>
      </c>
      <c r="AA1315" t="s">
        <v>35</v>
      </c>
      <c r="AB1315">
        <v>20</v>
      </c>
      <c r="AC1315">
        <v>4</v>
      </c>
      <c r="AD1315" t="str">
        <f t="shared" si="41"/>
        <v>High Performance</v>
      </c>
      <c r="AE1315">
        <v>3</v>
      </c>
      <c r="AF1315">
        <v>80</v>
      </c>
      <c r="AG1315">
        <v>1</v>
      </c>
      <c r="AH1315">
        <v>7</v>
      </c>
      <c r="AI1315">
        <v>5</v>
      </c>
      <c r="AJ1315">
        <v>3</v>
      </c>
      <c r="AK1315" t="str" cm="1">
        <f t="array" ref="AK1315">_xlfn.IFS(AJ1315&lt;=2,"Poor",AJ1315&lt;=3,"Fair",AJ1315&gt;3,"Good")</f>
        <v>Fair</v>
      </c>
      <c r="AL1315">
        <v>7</v>
      </c>
      <c r="AM1315">
        <v>7</v>
      </c>
      <c r="AN1315">
        <v>7</v>
      </c>
      <c r="AO1315">
        <v>7</v>
      </c>
    </row>
    <row r="1316" spans="1:41" x14ac:dyDescent="0.2">
      <c r="A1316">
        <v>1152978</v>
      </c>
      <c r="B1316">
        <v>27</v>
      </c>
      <c r="C1316" t="str" cm="1">
        <f t="array" ref="C1316">_xlfn.IFS(B1316&lt;=25,"15-25",B1316&lt;=35,"26-35",B1316&lt;=45,"36-45",B1316&lt;=55,"46-55",B1316&lt;=65,"56-65")</f>
        <v>26-35</v>
      </c>
      <c r="D1316" t="s">
        <v>35</v>
      </c>
      <c r="E1316" t="str">
        <f t="shared" si="40"/>
        <v>Current Employee</v>
      </c>
      <c r="F1316" t="s">
        <v>44</v>
      </c>
      <c r="G1316">
        <v>1297</v>
      </c>
      <c r="H1316" t="s">
        <v>54</v>
      </c>
      <c r="I1316">
        <v>5</v>
      </c>
      <c r="J1316">
        <v>2</v>
      </c>
      <c r="K1316" t="s">
        <v>38</v>
      </c>
      <c r="L1316">
        <v>1</v>
      </c>
      <c r="M1316">
        <v>4</v>
      </c>
      <c r="N1316" t="s">
        <v>39</v>
      </c>
      <c r="O1316">
        <v>53</v>
      </c>
      <c r="P1316">
        <v>3</v>
      </c>
      <c r="Q1316">
        <v>1</v>
      </c>
      <c r="R1316" t="s">
        <v>40</v>
      </c>
      <c r="S1316">
        <v>4</v>
      </c>
      <c r="T1316" t="str" cm="1">
        <f t="array" ref="T1316">_xlfn.IFS(S1316&lt;=2,"Poor",S1316&lt;=3,"Fair",S1316&gt;=4,"Good")</f>
        <v>Good</v>
      </c>
      <c r="U1316" t="s">
        <v>41</v>
      </c>
      <c r="V1316" s="1">
        <v>2379</v>
      </c>
      <c r="W1316" t="str" cm="1">
        <f t="array" ref="W1316">_xlfn.IFS(V1316&lt;=5000,"Low Salary",V1316&lt;=12000,"Good Salary",V1316&gt;12000,"High Salary")</f>
        <v>Low Salary</v>
      </c>
      <c r="X1316">
        <v>19826</v>
      </c>
      <c r="Y1316">
        <v>0</v>
      </c>
      <c r="Z1316" t="s">
        <v>42</v>
      </c>
      <c r="AA1316" t="s">
        <v>43</v>
      </c>
      <c r="AB1316">
        <v>14</v>
      </c>
      <c r="AC1316">
        <v>3</v>
      </c>
      <c r="AD1316" t="str">
        <f t="shared" si="41"/>
        <v>Low Performance</v>
      </c>
      <c r="AE1316">
        <v>3</v>
      </c>
      <c r="AF1316">
        <v>80</v>
      </c>
      <c r="AG1316">
        <v>0</v>
      </c>
      <c r="AH1316">
        <v>6</v>
      </c>
      <c r="AI1316">
        <v>3</v>
      </c>
      <c r="AJ1316">
        <v>2</v>
      </c>
      <c r="AK1316" t="str" cm="1">
        <f t="array" ref="AK1316">_xlfn.IFS(AJ1316&lt;=2,"Poor",AJ1316&lt;=3,"Fair",AJ1316&gt;3,"Good")</f>
        <v>Poor</v>
      </c>
      <c r="AL1316">
        <v>5</v>
      </c>
      <c r="AM1316">
        <v>4</v>
      </c>
      <c r="AN1316">
        <v>0</v>
      </c>
      <c r="AO1316">
        <v>2</v>
      </c>
    </row>
    <row r="1317" spans="1:41" x14ac:dyDescent="0.2">
      <c r="A1317">
        <v>1871070</v>
      </c>
      <c r="B1317">
        <v>29</v>
      </c>
      <c r="C1317" t="str" cm="1">
        <f t="array" ref="C1317">_xlfn.IFS(B1317&lt;=25,"15-25",B1317&lt;=35,"26-35",B1317&lt;=45,"36-45",B1317&lt;=55,"46-55",B1317&lt;=65,"56-65")</f>
        <v>26-35</v>
      </c>
      <c r="D1317" t="s">
        <v>35</v>
      </c>
      <c r="E1317" t="str">
        <f t="shared" si="40"/>
        <v>Current Employee</v>
      </c>
      <c r="F1317" t="s">
        <v>44</v>
      </c>
      <c r="G1317">
        <v>574</v>
      </c>
      <c r="H1317" t="s">
        <v>54</v>
      </c>
      <c r="I1317">
        <v>20</v>
      </c>
      <c r="J1317">
        <v>1</v>
      </c>
      <c r="K1317" t="s">
        <v>49</v>
      </c>
      <c r="L1317">
        <v>1</v>
      </c>
      <c r="M1317">
        <v>4</v>
      </c>
      <c r="N1317" t="s">
        <v>46</v>
      </c>
      <c r="O1317">
        <v>40</v>
      </c>
      <c r="P1317">
        <v>3</v>
      </c>
      <c r="Q1317">
        <v>1</v>
      </c>
      <c r="R1317" t="s">
        <v>40</v>
      </c>
      <c r="S1317">
        <v>4</v>
      </c>
      <c r="T1317" t="str" cm="1">
        <f t="array" ref="T1317">_xlfn.IFS(S1317&lt;=2,"Poor",S1317&lt;=3,"Fair",S1317&gt;=4,"Good")</f>
        <v>Good</v>
      </c>
      <c r="U1317" t="s">
        <v>48</v>
      </c>
      <c r="V1317" s="1">
        <v>3812</v>
      </c>
      <c r="W1317" t="str" cm="1">
        <f t="array" ref="W1317">_xlfn.IFS(V1317&lt;=5000,"Low Salary",V1317&lt;=12000,"Good Salary",V1317&gt;12000,"High Salary")</f>
        <v>Low Salary</v>
      </c>
      <c r="X1317">
        <v>7003</v>
      </c>
      <c r="Y1317">
        <v>1</v>
      </c>
      <c r="Z1317" t="s">
        <v>42</v>
      </c>
      <c r="AA1317" t="s">
        <v>35</v>
      </c>
      <c r="AB1317">
        <v>13</v>
      </c>
      <c r="AC1317">
        <v>3</v>
      </c>
      <c r="AD1317" t="str">
        <f t="shared" si="41"/>
        <v>Low Performance</v>
      </c>
      <c r="AE1317">
        <v>2</v>
      </c>
      <c r="AF1317">
        <v>80</v>
      </c>
      <c r="AG1317">
        <v>0</v>
      </c>
      <c r="AH1317">
        <v>11</v>
      </c>
      <c r="AI1317">
        <v>3</v>
      </c>
      <c r="AJ1317">
        <v>4</v>
      </c>
      <c r="AK1317" t="str" cm="1">
        <f t="array" ref="AK1317">_xlfn.IFS(AJ1317&lt;=2,"Poor",AJ1317&lt;=3,"Fair",AJ1317&gt;3,"Good")</f>
        <v>Good</v>
      </c>
      <c r="AL1317">
        <v>11</v>
      </c>
      <c r="AM1317">
        <v>8</v>
      </c>
      <c r="AN1317">
        <v>3</v>
      </c>
      <c r="AO1317">
        <v>10</v>
      </c>
    </row>
    <row r="1318" spans="1:41" x14ac:dyDescent="0.2">
      <c r="A1318">
        <v>1687721</v>
      </c>
      <c r="B1318">
        <v>32</v>
      </c>
      <c r="C1318" t="str" cm="1">
        <f t="array" ref="C1318">_xlfn.IFS(B1318&lt;=25,"15-25",B1318&lt;=35,"26-35",B1318&lt;=45,"36-45",B1318&lt;=55,"46-55",B1318&lt;=65,"56-65")</f>
        <v>26-35</v>
      </c>
      <c r="D1318" t="s">
        <v>35</v>
      </c>
      <c r="E1318" t="str">
        <f t="shared" si="40"/>
        <v>Current Employee</v>
      </c>
      <c r="F1318" t="s">
        <v>44</v>
      </c>
      <c r="G1318">
        <v>1318</v>
      </c>
      <c r="H1318" t="s">
        <v>37</v>
      </c>
      <c r="I1318">
        <v>10</v>
      </c>
      <c r="J1318">
        <v>4</v>
      </c>
      <c r="K1318" t="s">
        <v>55</v>
      </c>
      <c r="L1318">
        <v>1</v>
      </c>
      <c r="M1318">
        <v>4</v>
      </c>
      <c r="N1318" t="s">
        <v>46</v>
      </c>
      <c r="O1318">
        <v>79</v>
      </c>
      <c r="P1318">
        <v>3</v>
      </c>
      <c r="Q1318">
        <v>2</v>
      </c>
      <c r="R1318" t="s">
        <v>40</v>
      </c>
      <c r="S1318">
        <v>4</v>
      </c>
      <c r="T1318" t="str" cm="1">
        <f t="array" ref="T1318">_xlfn.IFS(S1318&lt;=2,"Poor",S1318&lt;=3,"Fair",S1318&gt;=4,"Good")</f>
        <v>Good</v>
      </c>
      <c r="U1318" t="s">
        <v>41</v>
      </c>
      <c r="V1318" s="1">
        <v>4648</v>
      </c>
      <c r="W1318" t="str" cm="1">
        <f t="array" ref="W1318">_xlfn.IFS(V1318&lt;=5000,"Low Salary",V1318&lt;=12000,"Good Salary",V1318&gt;12000,"High Salary")</f>
        <v>Low Salary</v>
      </c>
      <c r="X1318">
        <v>26075</v>
      </c>
      <c r="Y1318">
        <v>8</v>
      </c>
      <c r="Z1318" t="s">
        <v>42</v>
      </c>
      <c r="AA1318" t="s">
        <v>35</v>
      </c>
      <c r="AB1318">
        <v>13</v>
      </c>
      <c r="AC1318">
        <v>3</v>
      </c>
      <c r="AD1318" t="str">
        <f t="shared" si="41"/>
        <v>Low Performance</v>
      </c>
      <c r="AE1318">
        <v>3</v>
      </c>
      <c r="AF1318">
        <v>80</v>
      </c>
      <c r="AG1318">
        <v>0</v>
      </c>
      <c r="AH1318">
        <v>4</v>
      </c>
      <c r="AI1318">
        <v>2</v>
      </c>
      <c r="AJ1318">
        <v>4</v>
      </c>
      <c r="AK1318" t="str" cm="1">
        <f t="array" ref="AK1318">_xlfn.IFS(AJ1318&lt;=2,"Poor",AJ1318&lt;=3,"Fair",AJ1318&gt;3,"Good")</f>
        <v>Good</v>
      </c>
      <c r="AL1318">
        <v>0</v>
      </c>
      <c r="AM1318">
        <v>0</v>
      </c>
      <c r="AN1318">
        <v>0</v>
      </c>
      <c r="AO1318">
        <v>0</v>
      </c>
    </row>
    <row r="1319" spans="1:41" x14ac:dyDescent="0.2">
      <c r="A1319">
        <v>1031664</v>
      </c>
      <c r="B1319">
        <v>42</v>
      </c>
      <c r="C1319" t="str" cm="1">
        <f t="array" ref="C1319">_xlfn.IFS(B1319&lt;=25,"15-25",B1319&lt;=35,"26-35",B1319&lt;=45,"36-45",B1319&lt;=55,"46-55",B1319&lt;=65,"56-65")</f>
        <v>36-45</v>
      </c>
      <c r="D1319" t="s">
        <v>35</v>
      </c>
      <c r="E1319" t="str">
        <f t="shared" si="40"/>
        <v>Current Employee</v>
      </c>
      <c r="F1319" t="s">
        <v>52</v>
      </c>
      <c r="G1319">
        <v>355</v>
      </c>
      <c r="H1319" t="s">
        <v>54</v>
      </c>
      <c r="I1319">
        <v>10</v>
      </c>
      <c r="J1319">
        <v>4</v>
      </c>
      <c r="K1319" t="s">
        <v>56</v>
      </c>
      <c r="L1319">
        <v>1</v>
      </c>
      <c r="M1319">
        <v>3</v>
      </c>
      <c r="N1319" t="s">
        <v>46</v>
      </c>
      <c r="O1319">
        <v>38</v>
      </c>
      <c r="P1319">
        <v>3</v>
      </c>
      <c r="Q1319">
        <v>1</v>
      </c>
      <c r="R1319" t="s">
        <v>47</v>
      </c>
      <c r="S1319">
        <v>3</v>
      </c>
      <c r="T1319" t="str" cm="1">
        <f t="array" ref="T1319">_xlfn.IFS(S1319&lt;=2,"Poor",S1319&lt;=3,"Fair",S1319&gt;=4,"Good")</f>
        <v>Fair</v>
      </c>
      <c r="U1319" t="s">
        <v>48</v>
      </c>
      <c r="V1319" s="1">
        <v>2936</v>
      </c>
      <c r="W1319" t="str" cm="1">
        <f t="array" ref="W1319">_xlfn.IFS(V1319&lt;=5000,"Low Salary",V1319&lt;=12000,"Good Salary",V1319&gt;12000,"High Salary")</f>
        <v>Low Salary</v>
      </c>
      <c r="X1319">
        <v>6161</v>
      </c>
      <c r="Y1319">
        <v>3</v>
      </c>
      <c r="Z1319" t="s">
        <v>42</v>
      </c>
      <c r="AA1319" t="s">
        <v>35</v>
      </c>
      <c r="AB1319">
        <v>22</v>
      </c>
      <c r="AC1319">
        <v>4</v>
      </c>
      <c r="AD1319" t="str">
        <f t="shared" si="41"/>
        <v>High Performance</v>
      </c>
      <c r="AE1319">
        <v>2</v>
      </c>
      <c r="AF1319">
        <v>80</v>
      </c>
      <c r="AG1319">
        <v>2</v>
      </c>
      <c r="AH1319">
        <v>10</v>
      </c>
      <c r="AI1319">
        <v>1</v>
      </c>
      <c r="AJ1319">
        <v>2</v>
      </c>
      <c r="AK1319" t="str" cm="1">
        <f t="array" ref="AK1319">_xlfn.IFS(AJ1319&lt;=2,"Poor",AJ1319&lt;=3,"Fair",AJ1319&gt;3,"Good")</f>
        <v>Poor</v>
      </c>
      <c r="AL1319">
        <v>6</v>
      </c>
      <c r="AM1319">
        <v>3</v>
      </c>
      <c r="AN1319">
        <v>3</v>
      </c>
      <c r="AO1319">
        <v>3</v>
      </c>
    </row>
    <row r="1320" spans="1:41" x14ac:dyDescent="0.2">
      <c r="A1320">
        <v>1402268</v>
      </c>
      <c r="B1320">
        <v>47</v>
      </c>
      <c r="C1320" t="str" cm="1">
        <f t="array" ref="C1320">_xlfn.IFS(B1320&lt;=25,"15-25",B1320&lt;=35,"26-35",B1320&lt;=45,"36-45",B1320&lt;=55,"46-55",B1320&lt;=65,"56-65")</f>
        <v>46-55</v>
      </c>
      <c r="D1320" t="s">
        <v>35</v>
      </c>
      <c r="E1320" t="str">
        <f t="shared" si="40"/>
        <v>Current Employee</v>
      </c>
      <c r="F1320" t="s">
        <v>36</v>
      </c>
      <c r="G1320">
        <v>207</v>
      </c>
      <c r="H1320" t="s">
        <v>54</v>
      </c>
      <c r="I1320">
        <v>9</v>
      </c>
      <c r="J1320">
        <v>4</v>
      </c>
      <c r="K1320" t="s">
        <v>38</v>
      </c>
      <c r="L1320">
        <v>1</v>
      </c>
      <c r="M1320">
        <v>2</v>
      </c>
      <c r="N1320" t="s">
        <v>39</v>
      </c>
      <c r="O1320">
        <v>64</v>
      </c>
      <c r="P1320">
        <v>3</v>
      </c>
      <c r="Q1320">
        <v>1</v>
      </c>
      <c r="R1320" t="s">
        <v>40</v>
      </c>
      <c r="S1320">
        <v>3</v>
      </c>
      <c r="T1320" t="str" cm="1">
        <f t="array" ref="T1320">_xlfn.IFS(S1320&lt;=2,"Poor",S1320&lt;=3,"Fair",S1320&gt;=4,"Good")</f>
        <v>Fair</v>
      </c>
      <c r="U1320" t="s">
        <v>41</v>
      </c>
      <c r="V1320" s="1">
        <v>2105</v>
      </c>
      <c r="W1320" t="str" cm="1">
        <f t="array" ref="W1320">_xlfn.IFS(V1320&lt;=5000,"Low Salary",V1320&lt;=12000,"Good Salary",V1320&gt;12000,"High Salary")</f>
        <v>Low Salary</v>
      </c>
      <c r="X1320">
        <v>5411</v>
      </c>
      <c r="Y1320">
        <v>4</v>
      </c>
      <c r="Z1320" t="s">
        <v>42</v>
      </c>
      <c r="AA1320" t="s">
        <v>35</v>
      </c>
      <c r="AB1320">
        <v>12</v>
      </c>
      <c r="AC1320">
        <v>3</v>
      </c>
      <c r="AD1320" t="str">
        <f t="shared" si="41"/>
        <v>Low Performance</v>
      </c>
      <c r="AE1320">
        <v>3</v>
      </c>
      <c r="AF1320">
        <v>80</v>
      </c>
      <c r="AG1320">
        <v>0</v>
      </c>
      <c r="AH1320">
        <v>7</v>
      </c>
      <c r="AI1320">
        <v>2</v>
      </c>
      <c r="AJ1320">
        <v>3</v>
      </c>
      <c r="AK1320" t="str" cm="1">
        <f t="array" ref="AK1320">_xlfn.IFS(AJ1320&lt;=2,"Poor",AJ1320&lt;=3,"Fair",AJ1320&gt;3,"Good")</f>
        <v>Fair</v>
      </c>
      <c r="AL1320">
        <v>2</v>
      </c>
      <c r="AM1320">
        <v>2</v>
      </c>
      <c r="AN1320">
        <v>2</v>
      </c>
      <c r="AO1320">
        <v>0</v>
      </c>
    </row>
    <row r="1321" spans="1:41" x14ac:dyDescent="0.2">
      <c r="A1321">
        <v>1601963</v>
      </c>
      <c r="B1321">
        <v>46</v>
      </c>
      <c r="C1321" t="str" cm="1">
        <f t="array" ref="C1321">_xlfn.IFS(B1321&lt;=25,"15-25",B1321&lt;=35,"26-35",B1321&lt;=45,"36-45",B1321&lt;=55,"46-55",B1321&lt;=65,"56-65")</f>
        <v>46-55</v>
      </c>
      <c r="D1321" t="s">
        <v>35</v>
      </c>
      <c r="E1321" t="str">
        <f t="shared" si="40"/>
        <v>Current Employee</v>
      </c>
      <c r="F1321" t="s">
        <v>36</v>
      </c>
      <c r="G1321">
        <v>706</v>
      </c>
      <c r="H1321" t="s">
        <v>37</v>
      </c>
      <c r="I1321">
        <v>2</v>
      </c>
      <c r="J1321">
        <v>2</v>
      </c>
      <c r="K1321" t="s">
        <v>38</v>
      </c>
      <c r="L1321">
        <v>1</v>
      </c>
      <c r="M1321">
        <v>4</v>
      </c>
      <c r="N1321" t="s">
        <v>46</v>
      </c>
      <c r="O1321">
        <v>82</v>
      </c>
      <c r="P1321">
        <v>3</v>
      </c>
      <c r="Q1321">
        <v>3</v>
      </c>
      <c r="R1321" t="s">
        <v>51</v>
      </c>
      <c r="S1321">
        <v>4</v>
      </c>
      <c r="T1321" t="str" cm="1">
        <f t="array" ref="T1321">_xlfn.IFS(S1321&lt;=2,"Poor",S1321&lt;=3,"Fair",S1321&gt;=4,"Good")</f>
        <v>Good</v>
      </c>
      <c r="U1321" t="s">
        <v>50</v>
      </c>
      <c r="V1321" s="1">
        <v>8578</v>
      </c>
      <c r="W1321" t="str" cm="1">
        <f t="array" ref="W1321">_xlfn.IFS(V1321&lt;=5000,"Low Salary",V1321&lt;=12000,"Good Salary",V1321&gt;12000,"High Salary")</f>
        <v>Good Salary</v>
      </c>
      <c r="X1321">
        <v>19989</v>
      </c>
      <c r="Y1321">
        <v>3</v>
      </c>
      <c r="Z1321" t="s">
        <v>42</v>
      </c>
      <c r="AA1321" t="s">
        <v>35</v>
      </c>
      <c r="AB1321">
        <v>14</v>
      </c>
      <c r="AC1321">
        <v>3</v>
      </c>
      <c r="AD1321" t="str">
        <f t="shared" si="41"/>
        <v>Low Performance</v>
      </c>
      <c r="AE1321">
        <v>3</v>
      </c>
      <c r="AF1321">
        <v>80</v>
      </c>
      <c r="AG1321">
        <v>1</v>
      </c>
      <c r="AH1321">
        <v>12</v>
      </c>
      <c r="AI1321">
        <v>4</v>
      </c>
      <c r="AJ1321">
        <v>2</v>
      </c>
      <c r="AK1321" t="str" cm="1">
        <f t="array" ref="AK1321">_xlfn.IFS(AJ1321&lt;=2,"Poor",AJ1321&lt;=3,"Fair",AJ1321&gt;3,"Good")</f>
        <v>Poor</v>
      </c>
      <c r="AL1321">
        <v>9</v>
      </c>
      <c r="AM1321">
        <v>8</v>
      </c>
      <c r="AN1321">
        <v>4</v>
      </c>
      <c r="AO1321">
        <v>7</v>
      </c>
    </row>
    <row r="1322" spans="1:41" x14ac:dyDescent="0.2">
      <c r="A1322">
        <v>1777794</v>
      </c>
      <c r="B1322">
        <v>28</v>
      </c>
      <c r="C1322" t="str" cm="1">
        <f t="array" ref="C1322">_xlfn.IFS(B1322&lt;=25,"15-25",B1322&lt;=35,"26-35",B1322&lt;=45,"36-45",B1322&lt;=55,"46-55",B1322&lt;=65,"56-65")</f>
        <v>26-35</v>
      </c>
      <c r="D1322" t="s">
        <v>35</v>
      </c>
      <c r="E1322" t="str">
        <f t="shared" si="40"/>
        <v>Current Employee</v>
      </c>
      <c r="F1322" t="s">
        <v>52</v>
      </c>
      <c r="G1322">
        <v>280</v>
      </c>
      <c r="H1322" t="s">
        <v>54</v>
      </c>
      <c r="I1322">
        <v>1</v>
      </c>
      <c r="J1322">
        <v>2</v>
      </c>
      <c r="K1322" t="s">
        <v>38</v>
      </c>
      <c r="L1322">
        <v>1</v>
      </c>
      <c r="M1322">
        <v>3</v>
      </c>
      <c r="N1322" t="s">
        <v>46</v>
      </c>
      <c r="O1322">
        <v>43</v>
      </c>
      <c r="P1322">
        <v>3</v>
      </c>
      <c r="Q1322">
        <v>1</v>
      </c>
      <c r="R1322" t="s">
        <v>47</v>
      </c>
      <c r="S1322">
        <v>4</v>
      </c>
      <c r="T1322" t="str" cm="1">
        <f t="array" ref="T1322">_xlfn.IFS(S1322&lt;=2,"Poor",S1322&lt;=3,"Fair",S1322&gt;=4,"Good")</f>
        <v>Good</v>
      </c>
      <c r="U1322" t="s">
        <v>50</v>
      </c>
      <c r="V1322" s="1">
        <v>2706</v>
      </c>
      <c r="W1322" t="str" cm="1">
        <f t="array" ref="W1322">_xlfn.IFS(V1322&lt;=5000,"Low Salary",V1322&lt;=12000,"Good Salary",V1322&gt;12000,"High Salary")</f>
        <v>Low Salary</v>
      </c>
      <c r="X1322">
        <v>10494</v>
      </c>
      <c r="Y1322">
        <v>1</v>
      </c>
      <c r="Z1322" t="s">
        <v>42</v>
      </c>
      <c r="AA1322" t="s">
        <v>35</v>
      </c>
      <c r="AB1322">
        <v>15</v>
      </c>
      <c r="AC1322">
        <v>3</v>
      </c>
      <c r="AD1322" t="str">
        <f t="shared" si="41"/>
        <v>Low Performance</v>
      </c>
      <c r="AE1322">
        <v>2</v>
      </c>
      <c r="AF1322">
        <v>80</v>
      </c>
      <c r="AG1322">
        <v>1</v>
      </c>
      <c r="AH1322">
        <v>3</v>
      </c>
      <c r="AI1322">
        <v>2</v>
      </c>
      <c r="AJ1322">
        <v>3</v>
      </c>
      <c r="AK1322" t="str" cm="1">
        <f t="array" ref="AK1322">_xlfn.IFS(AJ1322&lt;=2,"Poor",AJ1322&lt;=3,"Fair",AJ1322&gt;3,"Good")</f>
        <v>Fair</v>
      </c>
      <c r="AL1322">
        <v>3</v>
      </c>
      <c r="AM1322">
        <v>2</v>
      </c>
      <c r="AN1322">
        <v>2</v>
      </c>
      <c r="AO1322">
        <v>2</v>
      </c>
    </row>
    <row r="1323" spans="1:41" x14ac:dyDescent="0.2">
      <c r="A1323">
        <v>1510809</v>
      </c>
      <c r="B1323">
        <v>29</v>
      </c>
      <c r="C1323" t="str" cm="1">
        <f t="array" ref="C1323">_xlfn.IFS(B1323&lt;=25,"15-25",B1323&lt;=35,"26-35",B1323&lt;=45,"36-45",B1323&lt;=55,"46-55",B1323&lt;=65,"56-65")</f>
        <v>26-35</v>
      </c>
      <c r="D1323" t="s">
        <v>35</v>
      </c>
      <c r="E1323" t="str">
        <f t="shared" si="40"/>
        <v>Current Employee</v>
      </c>
      <c r="F1323" t="s">
        <v>36</v>
      </c>
      <c r="G1323">
        <v>726</v>
      </c>
      <c r="H1323" t="s">
        <v>54</v>
      </c>
      <c r="I1323">
        <v>29</v>
      </c>
      <c r="J1323">
        <v>1</v>
      </c>
      <c r="K1323" t="s">
        <v>38</v>
      </c>
      <c r="L1323">
        <v>1</v>
      </c>
      <c r="M1323">
        <v>4</v>
      </c>
      <c r="N1323" t="s">
        <v>46</v>
      </c>
      <c r="O1323">
        <v>93</v>
      </c>
      <c r="P1323">
        <v>1</v>
      </c>
      <c r="Q1323">
        <v>2</v>
      </c>
      <c r="R1323" t="s">
        <v>40</v>
      </c>
      <c r="S1323">
        <v>3</v>
      </c>
      <c r="T1323" t="str" cm="1">
        <f t="array" ref="T1323">_xlfn.IFS(S1323&lt;=2,"Poor",S1323&lt;=3,"Fair",S1323&gt;=4,"Good")</f>
        <v>Fair</v>
      </c>
      <c r="U1323" t="s">
        <v>50</v>
      </c>
      <c r="V1323" s="1">
        <v>6384</v>
      </c>
      <c r="W1323" t="str" cm="1">
        <f t="array" ref="W1323">_xlfn.IFS(V1323&lt;=5000,"Low Salary",V1323&lt;=12000,"Good Salary",V1323&gt;12000,"High Salary")</f>
        <v>Good Salary</v>
      </c>
      <c r="X1323">
        <v>21143</v>
      </c>
      <c r="Y1323">
        <v>8</v>
      </c>
      <c r="Z1323" t="s">
        <v>42</v>
      </c>
      <c r="AA1323" t="s">
        <v>35</v>
      </c>
      <c r="AB1323">
        <v>17</v>
      </c>
      <c r="AC1323">
        <v>3</v>
      </c>
      <c r="AD1323" t="str">
        <f t="shared" si="41"/>
        <v>Low Performance</v>
      </c>
      <c r="AE1323">
        <v>4</v>
      </c>
      <c r="AF1323">
        <v>80</v>
      </c>
      <c r="AG1323">
        <v>2</v>
      </c>
      <c r="AH1323">
        <v>11</v>
      </c>
      <c r="AI1323">
        <v>3</v>
      </c>
      <c r="AJ1323">
        <v>3</v>
      </c>
      <c r="AK1323" t="str" cm="1">
        <f t="array" ref="AK1323">_xlfn.IFS(AJ1323&lt;=2,"Poor",AJ1323&lt;=3,"Fair",AJ1323&gt;3,"Good")</f>
        <v>Fair</v>
      </c>
      <c r="AL1323">
        <v>7</v>
      </c>
      <c r="AM1323">
        <v>0</v>
      </c>
      <c r="AN1323">
        <v>1</v>
      </c>
      <c r="AO1323">
        <v>6</v>
      </c>
    </row>
    <row r="1324" spans="1:41" x14ac:dyDescent="0.2">
      <c r="A1324">
        <v>1676403</v>
      </c>
      <c r="B1324">
        <v>42</v>
      </c>
      <c r="C1324" t="str" cm="1">
        <f t="array" ref="C1324">_xlfn.IFS(B1324&lt;=25,"15-25",B1324&lt;=35,"26-35",B1324&lt;=45,"36-45",B1324&lt;=55,"46-55",B1324&lt;=65,"56-65")</f>
        <v>36-45</v>
      </c>
      <c r="D1324" t="s">
        <v>35</v>
      </c>
      <c r="E1324" t="str">
        <f t="shared" si="40"/>
        <v>Current Employee</v>
      </c>
      <c r="F1324" t="s">
        <v>36</v>
      </c>
      <c r="G1324">
        <v>1142</v>
      </c>
      <c r="H1324" t="s">
        <v>54</v>
      </c>
      <c r="I1324">
        <v>8</v>
      </c>
      <c r="J1324">
        <v>3</v>
      </c>
      <c r="K1324" t="s">
        <v>38</v>
      </c>
      <c r="L1324">
        <v>1</v>
      </c>
      <c r="M1324">
        <v>4</v>
      </c>
      <c r="N1324" t="s">
        <v>46</v>
      </c>
      <c r="O1324">
        <v>81</v>
      </c>
      <c r="P1324">
        <v>3</v>
      </c>
      <c r="Q1324">
        <v>1</v>
      </c>
      <c r="R1324" t="s">
        <v>40</v>
      </c>
      <c r="S1324">
        <v>3</v>
      </c>
      <c r="T1324" t="str" cm="1">
        <f t="array" ref="T1324">_xlfn.IFS(S1324&lt;=2,"Poor",S1324&lt;=3,"Fair",S1324&gt;=4,"Good")</f>
        <v>Fair</v>
      </c>
      <c r="U1324" t="s">
        <v>41</v>
      </c>
      <c r="V1324" s="1">
        <v>3968</v>
      </c>
      <c r="W1324" t="str" cm="1">
        <f t="array" ref="W1324">_xlfn.IFS(V1324&lt;=5000,"Low Salary",V1324&lt;=12000,"Good Salary",V1324&gt;12000,"High Salary")</f>
        <v>Low Salary</v>
      </c>
      <c r="X1324">
        <v>13624</v>
      </c>
      <c r="Y1324">
        <v>4</v>
      </c>
      <c r="Z1324" t="s">
        <v>42</v>
      </c>
      <c r="AA1324" t="s">
        <v>35</v>
      </c>
      <c r="AB1324">
        <v>13</v>
      </c>
      <c r="AC1324">
        <v>3</v>
      </c>
      <c r="AD1324" t="str">
        <f t="shared" si="41"/>
        <v>Low Performance</v>
      </c>
      <c r="AE1324">
        <v>4</v>
      </c>
      <c r="AF1324">
        <v>80</v>
      </c>
      <c r="AG1324">
        <v>0</v>
      </c>
      <c r="AH1324">
        <v>8</v>
      </c>
      <c r="AI1324">
        <v>3</v>
      </c>
      <c r="AJ1324">
        <v>3</v>
      </c>
      <c r="AK1324" t="str" cm="1">
        <f t="array" ref="AK1324">_xlfn.IFS(AJ1324&lt;=2,"Poor",AJ1324&lt;=3,"Fair",AJ1324&gt;3,"Good")</f>
        <v>Fair</v>
      </c>
      <c r="AL1324">
        <v>0</v>
      </c>
      <c r="AM1324">
        <v>0</v>
      </c>
      <c r="AN1324">
        <v>0</v>
      </c>
      <c r="AO1324">
        <v>0</v>
      </c>
    </row>
    <row r="1325" spans="1:41" x14ac:dyDescent="0.2">
      <c r="A1325">
        <v>1458226</v>
      </c>
      <c r="B1325">
        <v>32</v>
      </c>
      <c r="C1325" t="str" cm="1">
        <f t="array" ref="C1325">_xlfn.IFS(B1325&lt;=25,"15-25",B1325&lt;=35,"26-35",B1325&lt;=45,"36-45",B1325&lt;=55,"46-55",B1325&lt;=65,"56-65")</f>
        <v>26-35</v>
      </c>
      <c r="D1325" t="s">
        <v>43</v>
      </c>
      <c r="E1325" t="str">
        <f t="shared" si="40"/>
        <v>Former Employee</v>
      </c>
      <c r="F1325" t="s">
        <v>36</v>
      </c>
      <c r="G1325">
        <v>414</v>
      </c>
      <c r="H1325" t="s">
        <v>37</v>
      </c>
      <c r="I1325">
        <v>2</v>
      </c>
      <c r="J1325">
        <v>4</v>
      </c>
      <c r="K1325" t="s">
        <v>55</v>
      </c>
      <c r="L1325">
        <v>1</v>
      </c>
      <c r="M1325">
        <v>3</v>
      </c>
      <c r="N1325" t="s">
        <v>46</v>
      </c>
      <c r="O1325">
        <v>82</v>
      </c>
      <c r="P1325">
        <v>2</v>
      </c>
      <c r="Q1325">
        <v>2</v>
      </c>
      <c r="R1325" t="s">
        <v>40</v>
      </c>
      <c r="S1325">
        <v>2</v>
      </c>
      <c r="T1325" t="str" cm="1">
        <f t="array" ref="T1325">_xlfn.IFS(S1325&lt;=2,"Poor",S1325&lt;=3,"Fair",S1325&gt;=4,"Good")</f>
        <v>Poor</v>
      </c>
      <c r="U1325" t="s">
        <v>41</v>
      </c>
      <c r="V1325" s="1">
        <v>9907</v>
      </c>
      <c r="W1325" t="str" cm="1">
        <f t="array" ref="W1325">_xlfn.IFS(V1325&lt;=5000,"Low Salary",V1325&lt;=12000,"Good Salary",V1325&gt;12000,"High Salary")</f>
        <v>Good Salary</v>
      </c>
      <c r="X1325">
        <v>26186</v>
      </c>
      <c r="Y1325">
        <v>7</v>
      </c>
      <c r="Z1325" t="s">
        <v>42</v>
      </c>
      <c r="AA1325" t="s">
        <v>43</v>
      </c>
      <c r="AB1325">
        <v>12</v>
      </c>
      <c r="AC1325">
        <v>3</v>
      </c>
      <c r="AD1325" t="str">
        <f t="shared" si="41"/>
        <v>Low Performance</v>
      </c>
      <c r="AE1325">
        <v>3</v>
      </c>
      <c r="AF1325">
        <v>80</v>
      </c>
      <c r="AG1325">
        <v>0</v>
      </c>
      <c r="AH1325">
        <v>7</v>
      </c>
      <c r="AI1325">
        <v>3</v>
      </c>
      <c r="AJ1325">
        <v>2</v>
      </c>
      <c r="AK1325" t="str" cm="1">
        <f t="array" ref="AK1325">_xlfn.IFS(AJ1325&lt;=2,"Poor",AJ1325&lt;=3,"Fair",AJ1325&gt;3,"Good")</f>
        <v>Poor</v>
      </c>
      <c r="AL1325">
        <v>2</v>
      </c>
      <c r="AM1325">
        <v>2</v>
      </c>
      <c r="AN1325">
        <v>2</v>
      </c>
      <c r="AO1325">
        <v>2</v>
      </c>
    </row>
    <row r="1326" spans="1:41" x14ac:dyDescent="0.2">
      <c r="A1326">
        <v>1442296</v>
      </c>
      <c r="B1326">
        <v>46</v>
      </c>
      <c r="C1326" t="str" cm="1">
        <f t="array" ref="C1326">_xlfn.IFS(B1326&lt;=25,"15-25",B1326&lt;=35,"26-35",B1326&lt;=45,"36-45",B1326&lt;=55,"46-55",B1326&lt;=65,"56-65")</f>
        <v>46-55</v>
      </c>
      <c r="D1326" t="s">
        <v>35</v>
      </c>
      <c r="E1326" t="str">
        <f t="shared" si="40"/>
        <v>Current Employee</v>
      </c>
      <c r="F1326" t="s">
        <v>36</v>
      </c>
      <c r="G1326">
        <v>1319</v>
      </c>
      <c r="H1326" t="s">
        <v>37</v>
      </c>
      <c r="I1326">
        <v>3</v>
      </c>
      <c r="J1326">
        <v>3</v>
      </c>
      <c r="K1326" t="s">
        <v>56</v>
      </c>
      <c r="L1326">
        <v>1</v>
      </c>
      <c r="M1326">
        <v>1</v>
      </c>
      <c r="N1326" t="s">
        <v>39</v>
      </c>
      <c r="O1326">
        <v>45</v>
      </c>
      <c r="P1326">
        <v>4</v>
      </c>
      <c r="Q1326">
        <v>4</v>
      </c>
      <c r="R1326" t="s">
        <v>40</v>
      </c>
      <c r="S1326">
        <v>1</v>
      </c>
      <c r="T1326" t="str" cm="1">
        <f t="array" ref="T1326">_xlfn.IFS(S1326&lt;=2,"Poor",S1326&lt;=3,"Fair",S1326&gt;=4,"Good")</f>
        <v>Poor</v>
      </c>
      <c r="U1326" t="s">
        <v>50</v>
      </c>
      <c r="V1326" s="1">
        <v>13225</v>
      </c>
      <c r="W1326" t="str" cm="1">
        <f t="array" ref="W1326">_xlfn.IFS(V1326&lt;=5000,"Low Salary",V1326&lt;=12000,"Good Salary",V1326&gt;12000,"High Salary")</f>
        <v>High Salary</v>
      </c>
      <c r="X1326">
        <v>7739</v>
      </c>
      <c r="Y1326">
        <v>2</v>
      </c>
      <c r="Z1326" t="s">
        <v>42</v>
      </c>
      <c r="AA1326" t="s">
        <v>35</v>
      </c>
      <c r="AB1326">
        <v>12</v>
      </c>
      <c r="AC1326">
        <v>3</v>
      </c>
      <c r="AD1326" t="str">
        <f t="shared" si="41"/>
        <v>Low Performance</v>
      </c>
      <c r="AE1326">
        <v>4</v>
      </c>
      <c r="AF1326">
        <v>80</v>
      </c>
      <c r="AG1326">
        <v>1</v>
      </c>
      <c r="AH1326">
        <v>25</v>
      </c>
      <c r="AI1326">
        <v>5</v>
      </c>
      <c r="AJ1326">
        <v>3</v>
      </c>
      <c r="AK1326" t="str" cm="1">
        <f t="array" ref="AK1326">_xlfn.IFS(AJ1326&lt;=2,"Poor",AJ1326&lt;=3,"Fair",AJ1326&gt;3,"Good")</f>
        <v>Fair</v>
      </c>
      <c r="AL1326">
        <v>19</v>
      </c>
      <c r="AM1326">
        <v>17</v>
      </c>
      <c r="AN1326">
        <v>2</v>
      </c>
      <c r="AO1326">
        <v>8</v>
      </c>
    </row>
    <row r="1327" spans="1:41" x14ac:dyDescent="0.2">
      <c r="A1327">
        <v>1469297</v>
      </c>
      <c r="B1327">
        <v>27</v>
      </c>
      <c r="C1327" t="str" cm="1">
        <f t="array" ref="C1327">_xlfn.IFS(B1327&lt;=25,"15-25",B1327&lt;=35,"26-35",B1327&lt;=45,"36-45",B1327&lt;=55,"46-55",B1327&lt;=65,"56-65")</f>
        <v>26-35</v>
      </c>
      <c r="D1327" t="s">
        <v>35</v>
      </c>
      <c r="E1327" t="str">
        <f t="shared" si="40"/>
        <v>Current Employee</v>
      </c>
      <c r="F1327" t="s">
        <v>36</v>
      </c>
      <c r="G1327">
        <v>728</v>
      </c>
      <c r="H1327" t="s">
        <v>37</v>
      </c>
      <c r="I1327">
        <v>23</v>
      </c>
      <c r="J1327">
        <v>1</v>
      </c>
      <c r="K1327" t="s">
        <v>49</v>
      </c>
      <c r="L1327">
        <v>1</v>
      </c>
      <c r="M1327">
        <v>2</v>
      </c>
      <c r="N1327" t="s">
        <v>39</v>
      </c>
      <c r="O1327">
        <v>36</v>
      </c>
      <c r="P1327">
        <v>2</v>
      </c>
      <c r="Q1327">
        <v>2</v>
      </c>
      <c r="R1327" t="s">
        <v>47</v>
      </c>
      <c r="S1327">
        <v>3</v>
      </c>
      <c r="T1327" t="str" cm="1">
        <f t="array" ref="T1327">_xlfn.IFS(S1327&lt;=2,"Poor",S1327&lt;=3,"Fair",S1327&gt;=4,"Good")</f>
        <v>Fair</v>
      </c>
      <c r="U1327" t="s">
        <v>48</v>
      </c>
      <c r="V1327" s="1">
        <v>3540</v>
      </c>
      <c r="W1327" t="str" cm="1">
        <f t="array" ref="W1327">_xlfn.IFS(V1327&lt;=5000,"Low Salary",V1327&lt;=12000,"Good Salary",V1327&gt;12000,"High Salary")</f>
        <v>Low Salary</v>
      </c>
      <c r="X1327">
        <v>7018</v>
      </c>
      <c r="Y1327">
        <v>1</v>
      </c>
      <c r="Z1327" t="s">
        <v>42</v>
      </c>
      <c r="AA1327" t="s">
        <v>35</v>
      </c>
      <c r="AB1327">
        <v>21</v>
      </c>
      <c r="AC1327">
        <v>4</v>
      </c>
      <c r="AD1327" t="str">
        <f t="shared" si="41"/>
        <v>High Performance</v>
      </c>
      <c r="AE1327">
        <v>4</v>
      </c>
      <c r="AF1327">
        <v>80</v>
      </c>
      <c r="AG1327">
        <v>1</v>
      </c>
      <c r="AH1327">
        <v>9</v>
      </c>
      <c r="AI1327">
        <v>5</v>
      </c>
      <c r="AJ1327">
        <v>3</v>
      </c>
      <c r="AK1327" t="str" cm="1">
        <f t="array" ref="AK1327">_xlfn.IFS(AJ1327&lt;=2,"Poor",AJ1327&lt;=3,"Fair",AJ1327&gt;3,"Good")</f>
        <v>Fair</v>
      </c>
      <c r="AL1327">
        <v>9</v>
      </c>
      <c r="AM1327">
        <v>8</v>
      </c>
      <c r="AN1327">
        <v>5</v>
      </c>
      <c r="AO1327">
        <v>8</v>
      </c>
    </row>
    <row r="1328" spans="1:41" x14ac:dyDescent="0.2">
      <c r="A1328">
        <v>1701157</v>
      </c>
      <c r="B1328">
        <v>29</v>
      </c>
      <c r="C1328" t="str" cm="1">
        <f t="array" ref="C1328">_xlfn.IFS(B1328&lt;=25,"15-25",B1328&lt;=35,"26-35",B1328&lt;=45,"36-45",B1328&lt;=55,"46-55",B1328&lt;=65,"56-65")</f>
        <v>26-35</v>
      </c>
      <c r="D1328" t="s">
        <v>35</v>
      </c>
      <c r="E1328" t="str">
        <f t="shared" si="40"/>
        <v>Current Employee</v>
      </c>
      <c r="F1328" t="s">
        <v>36</v>
      </c>
      <c r="G1328">
        <v>352</v>
      </c>
      <c r="H1328" t="s">
        <v>54</v>
      </c>
      <c r="I1328">
        <v>6</v>
      </c>
      <c r="J1328">
        <v>1</v>
      </c>
      <c r="K1328" t="s">
        <v>49</v>
      </c>
      <c r="L1328">
        <v>1</v>
      </c>
      <c r="M1328">
        <v>4</v>
      </c>
      <c r="N1328" t="s">
        <v>46</v>
      </c>
      <c r="O1328">
        <v>87</v>
      </c>
      <c r="P1328">
        <v>2</v>
      </c>
      <c r="Q1328">
        <v>1</v>
      </c>
      <c r="R1328" t="s">
        <v>47</v>
      </c>
      <c r="S1328">
        <v>2</v>
      </c>
      <c r="T1328" t="str" cm="1">
        <f t="array" ref="T1328">_xlfn.IFS(S1328&lt;=2,"Poor",S1328&lt;=3,"Fair",S1328&gt;=4,"Good")</f>
        <v>Poor</v>
      </c>
      <c r="U1328" t="s">
        <v>48</v>
      </c>
      <c r="V1328" s="1">
        <v>2804</v>
      </c>
      <c r="W1328" t="str" cm="1">
        <f t="array" ref="W1328">_xlfn.IFS(V1328&lt;=5000,"Low Salary",V1328&lt;=12000,"Good Salary",V1328&gt;12000,"High Salary")</f>
        <v>Low Salary</v>
      </c>
      <c r="X1328">
        <v>15434</v>
      </c>
      <c r="Y1328">
        <v>1</v>
      </c>
      <c r="Z1328" t="s">
        <v>42</v>
      </c>
      <c r="AA1328" t="s">
        <v>35</v>
      </c>
      <c r="AB1328">
        <v>11</v>
      </c>
      <c r="AC1328">
        <v>3</v>
      </c>
      <c r="AD1328" t="str">
        <f t="shared" si="41"/>
        <v>Low Performance</v>
      </c>
      <c r="AE1328">
        <v>4</v>
      </c>
      <c r="AF1328">
        <v>80</v>
      </c>
      <c r="AG1328">
        <v>0</v>
      </c>
      <c r="AH1328">
        <v>1</v>
      </c>
      <c r="AI1328">
        <v>3</v>
      </c>
      <c r="AJ1328">
        <v>3</v>
      </c>
      <c r="AK1328" t="str" cm="1">
        <f t="array" ref="AK1328">_xlfn.IFS(AJ1328&lt;=2,"Poor",AJ1328&lt;=3,"Fair",AJ1328&gt;3,"Good")</f>
        <v>Fair</v>
      </c>
      <c r="AL1328">
        <v>1</v>
      </c>
      <c r="AM1328">
        <v>0</v>
      </c>
      <c r="AN1328">
        <v>0</v>
      </c>
      <c r="AO1328">
        <v>0</v>
      </c>
    </row>
    <row r="1329" spans="1:41" x14ac:dyDescent="0.2">
      <c r="A1329">
        <v>1141899</v>
      </c>
      <c r="B1329">
        <v>43</v>
      </c>
      <c r="C1329" t="str" cm="1">
        <f t="array" ref="C1329">_xlfn.IFS(B1329&lt;=25,"15-25",B1329&lt;=35,"26-35",B1329&lt;=45,"36-45",B1329&lt;=55,"46-55",B1329&lt;=65,"56-65")</f>
        <v>36-45</v>
      </c>
      <c r="D1329" t="s">
        <v>35</v>
      </c>
      <c r="E1329" t="str">
        <f t="shared" si="40"/>
        <v>Current Employee</v>
      </c>
      <c r="F1329" t="s">
        <v>36</v>
      </c>
      <c r="G1329">
        <v>823</v>
      </c>
      <c r="H1329" t="s">
        <v>54</v>
      </c>
      <c r="I1329">
        <v>6</v>
      </c>
      <c r="J1329">
        <v>3</v>
      </c>
      <c r="K1329" t="s">
        <v>49</v>
      </c>
      <c r="L1329">
        <v>1</v>
      </c>
      <c r="M1329">
        <v>1</v>
      </c>
      <c r="N1329" t="s">
        <v>39</v>
      </c>
      <c r="O1329">
        <v>81</v>
      </c>
      <c r="P1329">
        <v>2</v>
      </c>
      <c r="Q1329">
        <v>5</v>
      </c>
      <c r="R1329" t="s">
        <v>53</v>
      </c>
      <c r="S1329">
        <v>3</v>
      </c>
      <c r="T1329" t="str" cm="1">
        <f t="array" ref="T1329">_xlfn.IFS(S1329&lt;=2,"Poor",S1329&lt;=3,"Fair",S1329&gt;=4,"Good")</f>
        <v>Fair</v>
      </c>
      <c r="U1329" t="s">
        <v>48</v>
      </c>
      <c r="V1329" s="1">
        <v>19392</v>
      </c>
      <c r="W1329" t="str" cm="1">
        <f t="array" ref="W1329">_xlfn.IFS(V1329&lt;=5000,"Low Salary",V1329&lt;=12000,"Good Salary",V1329&gt;12000,"High Salary")</f>
        <v>High Salary</v>
      </c>
      <c r="X1329">
        <v>22539</v>
      </c>
      <c r="Y1329">
        <v>7</v>
      </c>
      <c r="Z1329" t="s">
        <v>42</v>
      </c>
      <c r="AA1329" t="s">
        <v>35</v>
      </c>
      <c r="AB1329">
        <v>13</v>
      </c>
      <c r="AC1329">
        <v>3</v>
      </c>
      <c r="AD1329" t="str">
        <f t="shared" si="41"/>
        <v>Low Performance</v>
      </c>
      <c r="AE1329">
        <v>4</v>
      </c>
      <c r="AF1329">
        <v>80</v>
      </c>
      <c r="AG1329">
        <v>0</v>
      </c>
      <c r="AH1329">
        <v>21</v>
      </c>
      <c r="AI1329">
        <v>2</v>
      </c>
      <c r="AJ1329">
        <v>3</v>
      </c>
      <c r="AK1329" t="str" cm="1">
        <f t="array" ref="AK1329">_xlfn.IFS(AJ1329&lt;=2,"Poor",AJ1329&lt;=3,"Fair",AJ1329&gt;3,"Good")</f>
        <v>Fair</v>
      </c>
      <c r="AL1329">
        <v>16</v>
      </c>
      <c r="AM1329">
        <v>12</v>
      </c>
      <c r="AN1329">
        <v>6</v>
      </c>
      <c r="AO1329">
        <v>14</v>
      </c>
    </row>
    <row r="1330" spans="1:41" x14ac:dyDescent="0.2">
      <c r="A1330">
        <v>1866815</v>
      </c>
      <c r="B1330">
        <v>48</v>
      </c>
      <c r="C1330" t="str" cm="1">
        <f t="array" ref="C1330">_xlfn.IFS(B1330&lt;=25,"15-25",B1330&lt;=35,"26-35",B1330&lt;=45,"36-45",B1330&lt;=55,"46-55",B1330&lt;=65,"56-65")</f>
        <v>46-55</v>
      </c>
      <c r="D1330" t="s">
        <v>35</v>
      </c>
      <c r="E1330" t="str">
        <f t="shared" si="40"/>
        <v>Current Employee</v>
      </c>
      <c r="F1330" t="s">
        <v>36</v>
      </c>
      <c r="G1330">
        <v>1224</v>
      </c>
      <c r="H1330" t="s">
        <v>54</v>
      </c>
      <c r="I1330">
        <v>10</v>
      </c>
      <c r="J1330">
        <v>3</v>
      </c>
      <c r="K1330" t="s">
        <v>38</v>
      </c>
      <c r="L1330">
        <v>1</v>
      </c>
      <c r="M1330">
        <v>4</v>
      </c>
      <c r="N1330" t="s">
        <v>46</v>
      </c>
      <c r="O1330">
        <v>91</v>
      </c>
      <c r="P1330">
        <v>2</v>
      </c>
      <c r="Q1330">
        <v>5</v>
      </c>
      <c r="R1330" t="s">
        <v>53</v>
      </c>
      <c r="S1330">
        <v>2</v>
      </c>
      <c r="T1330" t="str" cm="1">
        <f t="array" ref="T1330">_xlfn.IFS(S1330&lt;=2,"Poor",S1330&lt;=3,"Fair",S1330&gt;=4,"Good")</f>
        <v>Poor</v>
      </c>
      <c r="U1330" t="s">
        <v>48</v>
      </c>
      <c r="V1330" s="1">
        <v>19665</v>
      </c>
      <c r="W1330" t="str" cm="1">
        <f t="array" ref="W1330">_xlfn.IFS(V1330&lt;=5000,"Low Salary",V1330&lt;=12000,"Good Salary",V1330&gt;12000,"High Salary")</f>
        <v>High Salary</v>
      </c>
      <c r="X1330">
        <v>13583</v>
      </c>
      <c r="Y1330">
        <v>4</v>
      </c>
      <c r="Z1330" t="s">
        <v>42</v>
      </c>
      <c r="AA1330" t="s">
        <v>35</v>
      </c>
      <c r="AB1330">
        <v>12</v>
      </c>
      <c r="AC1330">
        <v>3</v>
      </c>
      <c r="AD1330" t="str">
        <f t="shared" si="41"/>
        <v>Low Performance</v>
      </c>
      <c r="AE1330">
        <v>4</v>
      </c>
      <c r="AF1330">
        <v>80</v>
      </c>
      <c r="AG1330">
        <v>0</v>
      </c>
      <c r="AH1330">
        <v>29</v>
      </c>
      <c r="AI1330">
        <v>3</v>
      </c>
      <c r="AJ1330">
        <v>3</v>
      </c>
      <c r="AK1330" t="str" cm="1">
        <f t="array" ref="AK1330">_xlfn.IFS(AJ1330&lt;=2,"Poor",AJ1330&lt;=3,"Fair",AJ1330&gt;3,"Good")</f>
        <v>Fair</v>
      </c>
      <c r="AL1330">
        <v>22</v>
      </c>
      <c r="AM1330">
        <v>10</v>
      </c>
      <c r="AN1330">
        <v>12</v>
      </c>
      <c r="AO1330">
        <v>9</v>
      </c>
    </row>
    <row r="1331" spans="1:41" x14ac:dyDescent="0.2">
      <c r="A1331">
        <v>1329673</v>
      </c>
      <c r="B1331">
        <v>29</v>
      </c>
      <c r="C1331" t="str" cm="1">
        <f t="array" ref="C1331">_xlfn.IFS(B1331&lt;=25,"15-25",B1331&lt;=35,"26-35",B1331&lt;=45,"36-45",B1331&lt;=55,"46-55",B1331&lt;=65,"56-65")</f>
        <v>26-35</v>
      </c>
      <c r="D1331" t="s">
        <v>43</v>
      </c>
      <c r="E1331" t="str">
        <f t="shared" si="40"/>
        <v>Former Employee</v>
      </c>
      <c r="F1331" t="s">
        <v>44</v>
      </c>
      <c r="G1331">
        <v>459</v>
      </c>
      <c r="H1331" t="s">
        <v>54</v>
      </c>
      <c r="I1331">
        <v>24</v>
      </c>
      <c r="J1331">
        <v>2</v>
      </c>
      <c r="K1331" t="s">
        <v>38</v>
      </c>
      <c r="L1331">
        <v>1</v>
      </c>
      <c r="M1331">
        <v>4</v>
      </c>
      <c r="N1331" t="s">
        <v>46</v>
      </c>
      <c r="O1331">
        <v>73</v>
      </c>
      <c r="P1331">
        <v>2</v>
      </c>
      <c r="Q1331">
        <v>1</v>
      </c>
      <c r="R1331" t="s">
        <v>47</v>
      </c>
      <c r="S1331">
        <v>4</v>
      </c>
      <c r="T1331" t="str" cm="1">
        <f t="array" ref="T1331">_xlfn.IFS(S1331&lt;=2,"Poor",S1331&lt;=3,"Fair",S1331&gt;=4,"Good")</f>
        <v>Good</v>
      </c>
      <c r="U1331" t="s">
        <v>41</v>
      </c>
      <c r="V1331" s="1">
        <v>2439</v>
      </c>
      <c r="W1331" t="str" cm="1">
        <f t="array" ref="W1331">_xlfn.IFS(V1331&lt;=5000,"Low Salary",V1331&lt;=12000,"Good Salary",V1331&gt;12000,"High Salary")</f>
        <v>Low Salary</v>
      </c>
      <c r="X1331">
        <v>14753</v>
      </c>
      <c r="Y1331">
        <v>1</v>
      </c>
      <c r="Z1331" t="s">
        <v>42</v>
      </c>
      <c r="AA1331" t="s">
        <v>43</v>
      </c>
      <c r="AB1331">
        <v>24</v>
      </c>
      <c r="AC1331">
        <v>4</v>
      </c>
      <c r="AD1331" t="str">
        <f t="shared" si="41"/>
        <v>High Performance</v>
      </c>
      <c r="AE1331">
        <v>2</v>
      </c>
      <c r="AF1331">
        <v>80</v>
      </c>
      <c r="AG1331">
        <v>0</v>
      </c>
      <c r="AH1331">
        <v>1</v>
      </c>
      <c r="AI1331">
        <v>3</v>
      </c>
      <c r="AJ1331">
        <v>2</v>
      </c>
      <c r="AK1331" t="str" cm="1">
        <f t="array" ref="AK1331">_xlfn.IFS(AJ1331&lt;=2,"Poor",AJ1331&lt;=3,"Fair",AJ1331&gt;3,"Good")</f>
        <v>Poor</v>
      </c>
      <c r="AL1331">
        <v>1</v>
      </c>
      <c r="AM1331">
        <v>0</v>
      </c>
      <c r="AN1331">
        <v>1</v>
      </c>
      <c r="AO1331">
        <v>0</v>
      </c>
    </row>
    <row r="1332" spans="1:41" x14ac:dyDescent="0.2">
      <c r="A1332">
        <v>1775838</v>
      </c>
      <c r="B1332">
        <v>46</v>
      </c>
      <c r="C1332" t="str" cm="1">
        <f t="array" ref="C1332">_xlfn.IFS(B1332&lt;=25,"15-25",B1332&lt;=35,"26-35",B1332&lt;=45,"36-45",B1332&lt;=55,"46-55",B1332&lt;=65,"56-65")</f>
        <v>46-55</v>
      </c>
      <c r="D1332" t="s">
        <v>35</v>
      </c>
      <c r="E1332" t="str">
        <f t="shared" si="40"/>
        <v>Current Employee</v>
      </c>
      <c r="F1332" t="s">
        <v>36</v>
      </c>
      <c r="G1332">
        <v>1254</v>
      </c>
      <c r="H1332" t="s">
        <v>37</v>
      </c>
      <c r="I1332">
        <v>10</v>
      </c>
      <c r="J1332">
        <v>3</v>
      </c>
      <c r="K1332" t="s">
        <v>38</v>
      </c>
      <c r="L1332">
        <v>1</v>
      </c>
      <c r="M1332">
        <v>3</v>
      </c>
      <c r="N1332" t="s">
        <v>39</v>
      </c>
      <c r="O1332">
        <v>64</v>
      </c>
      <c r="P1332">
        <v>3</v>
      </c>
      <c r="Q1332">
        <v>3</v>
      </c>
      <c r="R1332" t="s">
        <v>40</v>
      </c>
      <c r="S1332">
        <v>2</v>
      </c>
      <c r="T1332" t="str" cm="1">
        <f t="array" ref="T1332">_xlfn.IFS(S1332&lt;=2,"Poor",S1332&lt;=3,"Fair",S1332&gt;=4,"Good")</f>
        <v>Poor</v>
      </c>
      <c r="U1332" t="s">
        <v>48</v>
      </c>
      <c r="V1332" s="1">
        <v>7314</v>
      </c>
      <c r="W1332" t="str" cm="1">
        <f t="array" ref="W1332">_xlfn.IFS(V1332&lt;=5000,"Low Salary",V1332&lt;=12000,"Good Salary",V1332&gt;12000,"High Salary")</f>
        <v>Good Salary</v>
      </c>
      <c r="X1332">
        <v>14011</v>
      </c>
      <c r="Y1332">
        <v>5</v>
      </c>
      <c r="Z1332" t="s">
        <v>42</v>
      </c>
      <c r="AA1332" t="s">
        <v>35</v>
      </c>
      <c r="AB1332">
        <v>21</v>
      </c>
      <c r="AC1332">
        <v>4</v>
      </c>
      <c r="AD1332" t="str">
        <f t="shared" si="41"/>
        <v>High Performance</v>
      </c>
      <c r="AE1332">
        <v>3</v>
      </c>
      <c r="AF1332">
        <v>80</v>
      </c>
      <c r="AG1332">
        <v>3</v>
      </c>
      <c r="AH1332">
        <v>14</v>
      </c>
      <c r="AI1332">
        <v>2</v>
      </c>
      <c r="AJ1332">
        <v>3</v>
      </c>
      <c r="AK1332" t="str" cm="1">
        <f t="array" ref="AK1332">_xlfn.IFS(AJ1332&lt;=2,"Poor",AJ1332&lt;=3,"Fair",AJ1332&gt;3,"Good")</f>
        <v>Fair</v>
      </c>
      <c r="AL1332">
        <v>8</v>
      </c>
      <c r="AM1332">
        <v>7</v>
      </c>
      <c r="AN1332">
        <v>0</v>
      </c>
      <c r="AO1332">
        <v>7</v>
      </c>
    </row>
    <row r="1333" spans="1:41" x14ac:dyDescent="0.2">
      <c r="A1333">
        <v>1575047</v>
      </c>
      <c r="B1333">
        <v>27</v>
      </c>
      <c r="C1333" t="str" cm="1">
        <f t="array" ref="C1333">_xlfn.IFS(B1333&lt;=25,"15-25",B1333&lt;=35,"26-35",B1333&lt;=45,"36-45",B1333&lt;=55,"46-55",B1333&lt;=65,"56-65")</f>
        <v>26-35</v>
      </c>
      <c r="D1333" t="s">
        <v>35</v>
      </c>
      <c r="E1333" t="str">
        <f t="shared" si="40"/>
        <v>Current Employee</v>
      </c>
      <c r="F1333" t="s">
        <v>44</v>
      </c>
      <c r="G1333">
        <v>1131</v>
      </c>
      <c r="H1333" t="s">
        <v>54</v>
      </c>
      <c r="I1333">
        <v>15</v>
      </c>
      <c r="J1333">
        <v>3</v>
      </c>
      <c r="K1333" t="s">
        <v>38</v>
      </c>
      <c r="L1333">
        <v>1</v>
      </c>
      <c r="M1333">
        <v>4</v>
      </c>
      <c r="N1333" t="s">
        <v>39</v>
      </c>
      <c r="O1333">
        <v>77</v>
      </c>
      <c r="P1333">
        <v>2</v>
      </c>
      <c r="Q1333">
        <v>1</v>
      </c>
      <c r="R1333" t="s">
        <v>47</v>
      </c>
      <c r="S1333">
        <v>1</v>
      </c>
      <c r="T1333" t="str" cm="1">
        <f t="array" ref="T1333">_xlfn.IFS(S1333&lt;=2,"Poor",S1333&lt;=3,"Fair",S1333&gt;=4,"Good")</f>
        <v>Poor</v>
      </c>
      <c r="U1333" t="s">
        <v>48</v>
      </c>
      <c r="V1333" s="1">
        <v>4774</v>
      </c>
      <c r="W1333" t="str" cm="1">
        <f t="array" ref="W1333">_xlfn.IFS(V1333&lt;=5000,"Low Salary",V1333&lt;=12000,"Good Salary",V1333&gt;12000,"High Salary")</f>
        <v>Low Salary</v>
      </c>
      <c r="X1333">
        <v>23844</v>
      </c>
      <c r="Y1333">
        <v>0</v>
      </c>
      <c r="Z1333" t="s">
        <v>42</v>
      </c>
      <c r="AA1333" t="s">
        <v>35</v>
      </c>
      <c r="AB1333">
        <v>19</v>
      </c>
      <c r="AC1333">
        <v>3</v>
      </c>
      <c r="AD1333" t="str">
        <f t="shared" si="41"/>
        <v>Low Performance</v>
      </c>
      <c r="AE1333">
        <v>4</v>
      </c>
      <c r="AF1333">
        <v>80</v>
      </c>
      <c r="AG1333">
        <v>1</v>
      </c>
      <c r="AH1333">
        <v>8</v>
      </c>
      <c r="AI1333">
        <v>2</v>
      </c>
      <c r="AJ1333">
        <v>2</v>
      </c>
      <c r="AK1333" t="str" cm="1">
        <f t="array" ref="AK1333">_xlfn.IFS(AJ1333&lt;=2,"Poor",AJ1333&lt;=3,"Fair",AJ1333&gt;3,"Good")</f>
        <v>Poor</v>
      </c>
      <c r="AL1333">
        <v>7</v>
      </c>
      <c r="AM1333">
        <v>6</v>
      </c>
      <c r="AN1333">
        <v>7</v>
      </c>
      <c r="AO1333">
        <v>3</v>
      </c>
    </row>
    <row r="1334" spans="1:41" x14ac:dyDescent="0.2">
      <c r="A1334">
        <v>1049997</v>
      </c>
      <c r="B1334">
        <v>39</v>
      </c>
      <c r="C1334" t="str" cm="1">
        <f t="array" ref="C1334">_xlfn.IFS(B1334&lt;=25,"15-25",B1334&lt;=35,"26-35",B1334&lt;=45,"36-45",B1334&lt;=55,"46-55",B1334&lt;=65,"56-65")</f>
        <v>36-45</v>
      </c>
      <c r="D1334" t="s">
        <v>35</v>
      </c>
      <c r="E1334" t="str">
        <f t="shared" si="40"/>
        <v>Current Employee</v>
      </c>
      <c r="F1334" t="s">
        <v>36</v>
      </c>
      <c r="G1334">
        <v>835</v>
      </c>
      <c r="H1334" t="s">
        <v>54</v>
      </c>
      <c r="I1334">
        <v>19</v>
      </c>
      <c r="J1334">
        <v>4</v>
      </c>
      <c r="K1334" t="s">
        <v>47</v>
      </c>
      <c r="L1334">
        <v>1</v>
      </c>
      <c r="M1334">
        <v>4</v>
      </c>
      <c r="N1334" t="s">
        <v>46</v>
      </c>
      <c r="O1334">
        <v>41</v>
      </c>
      <c r="P1334">
        <v>3</v>
      </c>
      <c r="Q1334">
        <v>2</v>
      </c>
      <c r="R1334" t="s">
        <v>47</v>
      </c>
      <c r="S1334">
        <v>4</v>
      </c>
      <c r="T1334" t="str" cm="1">
        <f t="array" ref="T1334">_xlfn.IFS(S1334&lt;=2,"Poor",S1334&lt;=3,"Fair",S1334&gt;=4,"Good")</f>
        <v>Good</v>
      </c>
      <c r="U1334" t="s">
        <v>50</v>
      </c>
      <c r="V1334" s="1">
        <v>3902</v>
      </c>
      <c r="W1334" t="str" cm="1">
        <f t="array" ref="W1334">_xlfn.IFS(V1334&lt;=5000,"Low Salary",V1334&lt;=12000,"Good Salary",V1334&gt;12000,"High Salary")</f>
        <v>Low Salary</v>
      </c>
      <c r="X1334">
        <v>5141</v>
      </c>
      <c r="Y1334">
        <v>8</v>
      </c>
      <c r="Z1334" t="s">
        <v>42</v>
      </c>
      <c r="AA1334" t="s">
        <v>35</v>
      </c>
      <c r="AB1334">
        <v>14</v>
      </c>
      <c r="AC1334">
        <v>3</v>
      </c>
      <c r="AD1334" t="str">
        <f t="shared" si="41"/>
        <v>Low Performance</v>
      </c>
      <c r="AE1334">
        <v>2</v>
      </c>
      <c r="AF1334">
        <v>80</v>
      </c>
      <c r="AG1334">
        <v>3</v>
      </c>
      <c r="AH1334">
        <v>7</v>
      </c>
      <c r="AI1334">
        <v>2</v>
      </c>
      <c r="AJ1334">
        <v>3</v>
      </c>
      <c r="AK1334" t="str" cm="1">
        <f t="array" ref="AK1334">_xlfn.IFS(AJ1334&lt;=2,"Poor",AJ1334&lt;=3,"Fair",AJ1334&gt;3,"Good")</f>
        <v>Fair</v>
      </c>
      <c r="AL1334">
        <v>2</v>
      </c>
      <c r="AM1334">
        <v>2</v>
      </c>
      <c r="AN1334">
        <v>2</v>
      </c>
      <c r="AO1334">
        <v>2</v>
      </c>
    </row>
    <row r="1335" spans="1:41" x14ac:dyDescent="0.2">
      <c r="A1335">
        <v>1766213</v>
      </c>
      <c r="B1335">
        <v>55</v>
      </c>
      <c r="C1335" t="str" cm="1">
        <f t="array" ref="C1335">_xlfn.IFS(B1335&lt;=25,"15-25",B1335&lt;=35,"26-35",B1335&lt;=45,"36-45",B1335&lt;=55,"46-55",B1335&lt;=65,"56-65")</f>
        <v>46-55</v>
      </c>
      <c r="D1335" t="s">
        <v>35</v>
      </c>
      <c r="E1335" t="str">
        <f t="shared" si="40"/>
        <v>Current Employee</v>
      </c>
      <c r="F1335" t="s">
        <v>36</v>
      </c>
      <c r="G1335">
        <v>836</v>
      </c>
      <c r="H1335" t="s">
        <v>54</v>
      </c>
      <c r="I1335">
        <v>2</v>
      </c>
      <c r="J1335">
        <v>4</v>
      </c>
      <c r="K1335" t="s">
        <v>56</v>
      </c>
      <c r="L1335">
        <v>1</v>
      </c>
      <c r="M1335">
        <v>2</v>
      </c>
      <c r="N1335" t="s">
        <v>46</v>
      </c>
      <c r="O1335">
        <v>98</v>
      </c>
      <c r="P1335">
        <v>2</v>
      </c>
      <c r="Q1335">
        <v>1</v>
      </c>
      <c r="R1335" t="s">
        <v>47</v>
      </c>
      <c r="S1335">
        <v>4</v>
      </c>
      <c r="T1335" t="str" cm="1">
        <f t="array" ref="T1335">_xlfn.IFS(S1335&lt;=2,"Poor",S1335&lt;=3,"Fair",S1335&gt;=4,"Good")</f>
        <v>Good</v>
      </c>
      <c r="U1335" t="s">
        <v>48</v>
      </c>
      <c r="V1335" s="1">
        <v>2662</v>
      </c>
      <c r="W1335" t="str" cm="1">
        <f t="array" ref="W1335">_xlfn.IFS(V1335&lt;=5000,"Low Salary",V1335&lt;=12000,"Good Salary",V1335&gt;12000,"High Salary")</f>
        <v>Low Salary</v>
      </c>
      <c r="X1335">
        <v>7975</v>
      </c>
      <c r="Y1335">
        <v>8</v>
      </c>
      <c r="Z1335" t="s">
        <v>42</v>
      </c>
      <c r="AA1335" t="s">
        <v>35</v>
      </c>
      <c r="AB1335">
        <v>20</v>
      </c>
      <c r="AC1335">
        <v>4</v>
      </c>
      <c r="AD1335" t="str">
        <f t="shared" si="41"/>
        <v>High Performance</v>
      </c>
      <c r="AE1335">
        <v>2</v>
      </c>
      <c r="AF1335">
        <v>80</v>
      </c>
      <c r="AG1335">
        <v>1</v>
      </c>
      <c r="AH1335">
        <v>19</v>
      </c>
      <c r="AI1335">
        <v>2</v>
      </c>
      <c r="AJ1335">
        <v>4</v>
      </c>
      <c r="AK1335" t="str" cm="1">
        <f t="array" ref="AK1335">_xlfn.IFS(AJ1335&lt;=2,"Poor",AJ1335&lt;=3,"Fair",AJ1335&gt;3,"Good")</f>
        <v>Good</v>
      </c>
      <c r="AL1335">
        <v>5</v>
      </c>
      <c r="AM1335">
        <v>2</v>
      </c>
      <c r="AN1335">
        <v>0</v>
      </c>
      <c r="AO1335">
        <v>4</v>
      </c>
    </row>
    <row r="1336" spans="1:41" x14ac:dyDescent="0.2">
      <c r="A1336">
        <v>1544113</v>
      </c>
      <c r="B1336">
        <v>28</v>
      </c>
      <c r="C1336" t="str" cm="1">
        <f t="array" ref="C1336">_xlfn.IFS(B1336&lt;=25,"15-25",B1336&lt;=35,"26-35",B1336&lt;=45,"36-45",B1336&lt;=55,"46-55",B1336&lt;=65,"56-65")</f>
        <v>26-35</v>
      </c>
      <c r="D1336" t="s">
        <v>35</v>
      </c>
      <c r="E1336" t="str">
        <f t="shared" si="40"/>
        <v>Current Employee</v>
      </c>
      <c r="F1336" t="s">
        <v>36</v>
      </c>
      <c r="G1336">
        <v>1172</v>
      </c>
      <c r="H1336" t="s">
        <v>37</v>
      </c>
      <c r="I1336">
        <v>3</v>
      </c>
      <c r="J1336">
        <v>3</v>
      </c>
      <c r="K1336" t="s">
        <v>49</v>
      </c>
      <c r="L1336">
        <v>1</v>
      </c>
      <c r="M1336">
        <v>2</v>
      </c>
      <c r="N1336" t="s">
        <v>39</v>
      </c>
      <c r="O1336">
        <v>78</v>
      </c>
      <c r="P1336">
        <v>3</v>
      </c>
      <c r="Q1336">
        <v>1</v>
      </c>
      <c r="R1336" t="s">
        <v>47</v>
      </c>
      <c r="S1336">
        <v>2</v>
      </c>
      <c r="T1336" t="str" cm="1">
        <f t="array" ref="T1336">_xlfn.IFS(S1336&lt;=2,"Poor",S1336&lt;=3,"Fair",S1336&gt;=4,"Good")</f>
        <v>Poor</v>
      </c>
      <c r="U1336" t="s">
        <v>48</v>
      </c>
      <c r="V1336" s="1">
        <v>2856</v>
      </c>
      <c r="W1336" t="str" cm="1">
        <f t="array" ref="W1336">_xlfn.IFS(V1336&lt;=5000,"Low Salary",V1336&lt;=12000,"Good Salary",V1336&gt;12000,"High Salary")</f>
        <v>Low Salary</v>
      </c>
      <c r="X1336">
        <v>3692</v>
      </c>
      <c r="Y1336">
        <v>1</v>
      </c>
      <c r="Z1336" t="s">
        <v>42</v>
      </c>
      <c r="AA1336" t="s">
        <v>35</v>
      </c>
      <c r="AB1336">
        <v>19</v>
      </c>
      <c r="AC1336">
        <v>3</v>
      </c>
      <c r="AD1336" t="str">
        <f t="shared" si="41"/>
        <v>Low Performance</v>
      </c>
      <c r="AE1336">
        <v>4</v>
      </c>
      <c r="AF1336">
        <v>80</v>
      </c>
      <c r="AG1336">
        <v>1</v>
      </c>
      <c r="AH1336">
        <v>1</v>
      </c>
      <c r="AI1336">
        <v>3</v>
      </c>
      <c r="AJ1336">
        <v>3</v>
      </c>
      <c r="AK1336" t="str" cm="1">
        <f t="array" ref="AK1336">_xlfn.IFS(AJ1336&lt;=2,"Poor",AJ1336&lt;=3,"Fair",AJ1336&gt;3,"Good")</f>
        <v>Fair</v>
      </c>
      <c r="AL1336">
        <v>1</v>
      </c>
      <c r="AM1336">
        <v>0</v>
      </c>
      <c r="AN1336">
        <v>0</v>
      </c>
      <c r="AO1336">
        <v>0</v>
      </c>
    </row>
    <row r="1337" spans="1:41" x14ac:dyDescent="0.2">
      <c r="A1337">
        <v>1609966</v>
      </c>
      <c r="B1337">
        <v>30</v>
      </c>
      <c r="C1337" t="str" cm="1">
        <f t="array" ref="C1337">_xlfn.IFS(B1337&lt;=25,"15-25",B1337&lt;=35,"26-35",B1337&lt;=45,"36-45",B1337&lt;=55,"46-55",B1337&lt;=65,"56-65")</f>
        <v>26-35</v>
      </c>
      <c r="D1337" t="s">
        <v>43</v>
      </c>
      <c r="E1337" t="str">
        <f t="shared" si="40"/>
        <v>Former Employee</v>
      </c>
      <c r="F1337" t="s">
        <v>36</v>
      </c>
      <c r="G1337">
        <v>945</v>
      </c>
      <c r="H1337" t="s">
        <v>37</v>
      </c>
      <c r="I1337">
        <v>9</v>
      </c>
      <c r="J1337">
        <v>3</v>
      </c>
      <c r="K1337" t="s">
        <v>49</v>
      </c>
      <c r="L1337">
        <v>1</v>
      </c>
      <c r="M1337">
        <v>2</v>
      </c>
      <c r="N1337" t="s">
        <v>46</v>
      </c>
      <c r="O1337">
        <v>89</v>
      </c>
      <c r="P1337">
        <v>3</v>
      </c>
      <c r="Q1337">
        <v>1</v>
      </c>
      <c r="R1337" t="s">
        <v>47</v>
      </c>
      <c r="S1337">
        <v>4</v>
      </c>
      <c r="T1337" t="str" cm="1">
        <f t="array" ref="T1337">_xlfn.IFS(S1337&lt;=2,"Poor",S1337&lt;=3,"Fair",S1337&gt;=4,"Good")</f>
        <v>Good</v>
      </c>
      <c r="U1337" t="s">
        <v>41</v>
      </c>
      <c r="V1337" s="1">
        <v>1081</v>
      </c>
      <c r="W1337" t="str" cm="1">
        <f t="array" ref="W1337">_xlfn.IFS(V1337&lt;=5000,"Low Salary",V1337&lt;=12000,"Good Salary",V1337&gt;12000,"High Salary")</f>
        <v>Low Salary</v>
      </c>
      <c r="X1337">
        <v>16019</v>
      </c>
      <c r="Y1337">
        <v>1</v>
      </c>
      <c r="Z1337" t="s">
        <v>42</v>
      </c>
      <c r="AA1337" t="s">
        <v>35</v>
      </c>
      <c r="AB1337">
        <v>13</v>
      </c>
      <c r="AC1337">
        <v>3</v>
      </c>
      <c r="AD1337" t="str">
        <f t="shared" si="41"/>
        <v>Low Performance</v>
      </c>
      <c r="AE1337">
        <v>3</v>
      </c>
      <c r="AF1337">
        <v>80</v>
      </c>
      <c r="AG1337">
        <v>0</v>
      </c>
      <c r="AH1337">
        <v>1</v>
      </c>
      <c r="AI1337">
        <v>3</v>
      </c>
      <c r="AJ1337">
        <v>2</v>
      </c>
      <c r="AK1337" t="str" cm="1">
        <f t="array" ref="AK1337">_xlfn.IFS(AJ1337&lt;=2,"Poor",AJ1337&lt;=3,"Fair",AJ1337&gt;3,"Good")</f>
        <v>Poor</v>
      </c>
      <c r="AL1337">
        <v>1</v>
      </c>
      <c r="AM1337">
        <v>0</v>
      </c>
      <c r="AN1337">
        <v>0</v>
      </c>
      <c r="AO1337">
        <v>0</v>
      </c>
    </row>
    <row r="1338" spans="1:41" x14ac:dyDescent="0.2">
      <c r="A1338">
        <v>1242148</v>
      </c>
      <c r="B1338">
        <v>22</v>
      </c>
      <c r="C1338" t="str" cm="1">
        <f t="array" ref="C1338">_xlfn.IFS(B1338&lt;=25,"15-25",B1338&lt;=35,"26-35",B1338&lt;=45,"36-45",B1338&lt;=55,"46-55",B1338&lt;=65,"56-65")</f>
        <v>15-25</v>
      </c>
      <c r="D1338" t="s">
        <v>43</v>
      </c>
      <c r="E1338" t="str">
        <f t="shared" si="40"/>
        <v>Former Employee</v>
      </c>
      <c r="F1338" t="s">
        <v>36</v>
      </c>
      <c r="G1338">
        <v>391</v>
      </c>
      <c r="H1338" t="s">
        <v>54</v>
      </c>
      <c r="I1338">
        <v>7</v>
      </c>
      <c r="J1338">
        <v>1</v>
      </c>
      <c r="K1338" t="s">
        <v>38</v>
      </c>
      <c r="L1338">
        <v>1</v>
      </c>
      <c r="M1338">
        <v>4</v>
      </c>
      <c r="N1338" t="s">
        <v>46</v>
      </c>
      <c r="O1338">
        <v>75</v>
      </c>
      <c r="P1338">
        <v>3</v>
      </c>
      <c r="Q1338">
        <v>1</v>
      </c>
      <c r="R1338" t="s">
        <v>47</v>
      </c>
      <c r="S1338">
        <v>2</v>
      </c>
      <c r="T1338" t="str" cm="1">
        <f t="array" ref="T1338">_xlfn.IFS(S1338&lt;=2,"Poor",S1338&lt;=3,"Fair",S1338&gt;=4,"Good")</f>
        <v>Poor</v>
      </c>
      <c r="U1338" t="s">
        <v>41</v>
      </c>
      <c r="V1338" s="1">
        <v>2472</v>
      </c>
      <c r="W1338" t="str" cm="1">
        <f t="array" ref="W1338">_xlfn.IFS(V1338&lt;=5000,"Low Salary",V1338&lt;=12000,"Good Salary",V1338&gt;12000,"High Salary")</f>
        <v>Low Salary</v>
      </c>
      <c r="X1338">
        <v>26092</v>
      </c>
      <c r="Y1338">
        <v>1</v>
      </c>
      <c r="Z1338" t="s">
        <v>42</v>
      </c>
      <c r="AA1338" t="s">
        <v>43</v>
      </c>
      <c r="AB1338">
        <v>23</v>
      </c>
      <c r="AC1338">
        <v>4</v>
      </c>
      <c r="AD1338" t="str">
        <f t="shared" si="41"/>
        <v>High Performance</v>
      </c>
      <c r="AE1338">
        <v>1</v>
      </c>
      <c r="AF1338">
        <v>80</v>
      </c>
      <c r="AG1338">
        <v>0</v>
      </c>
      <c r="AH1338">
        <v>1</v>
      </c>
      <c r="AI1338">
        <v>2</v>
      </c>
      <c r="AJ1338">
        <v>3</v>
      </c>
      <c r="AK1338" t="str" cm="1">
        <f t="array" ref="AK1338">_xlfn.IFS(AJ1338&lt;=2,"Poor",AJ1338&lt;=3,"Fair",AJ1338&gt;3,"Good")</f>
        <v>Fair</v>
      </c>
      <c r="AL1338">
        <v>1</v>
      </c>
      <c r="AM1338">
        <v>0</v>
      </c>
      <c r="AN1338">
        <v>0</v>
      </c>
      <c r="AO1338">
        <v>0</v>
      </c>
    </row>
    <row r="1339" spans="1:41" x14ac:dyDescent="0.2">
      <c r="A1339">
        <v>1494882</v>
      </c>
      <c r="B1339">
        <v>36</v>
      </c>
      <c r="C1339" t="str" cm="1">
        <f t="array" ref="C1339">_xlfn.IFS(B1339&lt;=25,"15-25",B1339&lt;=35,"26-35",B1339&lt;=45,"36-45",B1339&lt;=55,"46-55",B1339&lt;=65,"56-65")</f>
        <v>36-45</v>
      </c>
      <c r="D1339" t="s">
        <v>35</v>
      </c>
      <c r="E1339" t="str">
        <f t="shared" si="40"/>
        <v>Current Employee</v>
      </c>
      <c r="F1339" t="s">
        <v>36</v>
      </c>
      <c r="G1339">
        <v>1266</v>
      </c>
      <c r="H1339" t="s">
        <v>37</v>
      </c>
      <c r="I1339">
        <v>10</v>
      </c>
      <c r="J1339">
        <v>4</v>
      </c>
      <c r="K1339" t="s">
        <v>56</v>
      </c>
      <c r="L1339">
        <v>1</v>
      </c>
      <c r="M1339">
        <v>2</v>
      </c>
      <c r="N1339" t="s">
        <v>39</v>
      </c>
      <c r="O1339">
        <v>63</v>
      </c>
      <c r="P1339">
        <v>2</v>
      </c>
      <c r="Q1339">
        <v>2</v>
      </c>
      <c r="R1339" t="s">
        <v>40</v>
      </c>
      <c r="S1339">
        <v>3</v>
      </c>
      <c r="T1339" t="str" cm="1">
        <f t="array" ref="T1339">_xlfn.IFS(S1339&lt;=2,"Poor",S1339&lt;=3,"Fair",S1339&gt;=4,"Good")</f>
        <v>Fair</v>
      </c>
      <c r="U1339" t="s">
        <v>48</v>
      </c>
      <c r="V1339" s="1">
        <v>5673</v>
      </c>
      <c r="W1339" t="str" cm="1">
        <f t="array" ref="W1339">_xlfn.IFS(V1339&lt;=5000,"Low Salary",V1339&lt;=12000,"Good Salary",V1339&gt;12000,"High Salary")</f>
        <v>Good Salary</v>
      </c>
      <c r="X1339">
        <v>6060</v>
      </c>
      <c r="Y1339">
        <v>1</v>
      </c>
      <c r="Z1339" t="s">
        <v>42</v>
      </c>
      <c r="AA1339" t="s">
        <v>43</v>
      </c>
      <c r="AB1339">
        <v>13</v>
      </c>
      <c r="AC1339">
        <v>3</v>
      </c>
      <c r="AD1339" t="str">
        <f t="shared" si="41"/>
        <v>Low Performance</v>
      </c>
      <c r="AE1339">
        <v>1</v>
      </c>
      <c r="AF1339">
        <v>80</v>
      </c>
      <c r="AG1339">
        <v>1</v>
      </c>
      <c r="AH1339">
        <v>10</v>
      </c>
      <c r="AI1339">
        <v>4</v>
      </c>
      <c r="AJ1339">
        <v>3</v>
      </c>
      <c r="AK1339" t="str" cm="1">
        <f t="array" ref="AK1339">_xlfn.IFS(AJ1339&lt;=2,"Poor",AJ1339&lt;=3,"Fair",AJ1339&gt;3,"Good")</f>
        <v>Fair</v>
      </c>
      <c r="AL1339">
        <v>10</v>
      </c>
      <c r="AM1339">
        <v>9</v>
      </c>
      <c r="AN1339">
        <v>1</v>
      </c>
      <c r="AO1339">
        <v>7</v>
      </c>
    </row>
    <row r="1340" spans="1:41" x14ac:dyDescent="0.2">
      <c r="A1340">
        <v>1450163</v>
      </c>
      <c r="B1340">
        <v>31</v>
      </c>
      <c r="C1340" t="str" cm="1">
        <f t="array" ref="C1340">_xlfn.IFS(B1340&lt;=25,"15-25",B1340&lt;=35,"26-35",B1340&lt;=45,"36-45",B1340&lt;=55,"46-55",B1340&lt;=65,"56-65")</f>
        <v>26-35</v>
      </c>
      <c r="D1340" t="s">
        <v>35</v>
      </c>
      <c r="E1340" t="str">
        <f t="shared" si="40"/>
        <v>Current Employee</v>
      </c>
      <c r="F1340" t="s">
        <v>36</v>
      </c>
      <c r="G1340">
        <v>311</v>
      </c>
      <c r="H1340" t="s">
        <v>54</v>
      </c>
      <c r="I1340">
        <v>20</v>
      </c>
      <c r="J1340">
        <v>3</v>
      </c>
      <c r="K1340" t="s">
        <v>38</v>
      </c>
      <c r="L1340">
        <v>1</v>
      </c>
      <c r="M1340">
        <v>2</v>
      </c>
      <c r="N1340" t="s">
        <v>46</v>
      </c>
      <c r="O1340">
        <v>89</v>
      </c>
      <c r="P1340">
        <v>3</v>
      </c>
      <c r="Q1340">
        <v>2</v>
      </c>
      <c r="R1340" t="s">
        <v>40</v>
      </c>
      <c r="S1340">
        <v>3</v>
      </c>
      <c r="T1340" t="str" cm="1">
        <f t="array" ref="T1340">_xlfn.IFS(S1340&lt;=2,"Poor",S1340&lt;=3,"Fair",S1340&gt;=4,"Good")</f>
        <v>Fair</v>
      </c>
      <c r="U1340" t="s">
        <v>50</v>
      </c>
      <c r="V1340" s="1">
        <v>4197</v>
      </c>
      <c r="W1340" t="str" cm="1">
        <f t="array" ref="W1340">_xlfn.IFS(V1340&lt;=5000,"Low Salary",V1340&lt;=12000,"Good Salary",V1340&gt;12000,"High Salary")</f>
        <v>Low Salary</v>
      </c>
      <c r="X1340">
        <v>18624</v>
      </c>
      <c r="Y1340">
        <v>1</v>
      </c>
      <c r="Z1340" t="s">
        <v>42</v>
      </c>
      <c r="AA1340" t="s">
        <v>35</v>
      </c>
      <c r="AB1340">
        <v>11</v>
      </c>
      <c r="AC1340">
        <v>3</v>
      </c>
      <c r="AD1340" t="str">
        <f t="shared" si="41"/>
        <v>Low Performance</v>
      </c>
      <c r="AE1340">
        <v>1</v>
      </c>
      <c r="AF1340">
        <v>80</v>
      </c>
      <c r="AG1340">
        <v>1</v>
      </c>
      <c r="AH1340">
        <v>10</v>
      </c>
      <c r="AI1340">
        <v>2</v>
      </c>
      <c r="AJ1340">
        <v>3</v>
      </c>
      <c r="AK1340" t="str" cm="1">
        <f t="array" ref="AK1340">_xlfn.IFS(AJ1340&lt;=2,"Poor",AJ1340&lt;=3,"Fair",AJ1340&gt;3,"Good")</f>
        <v>Fair</v>
      </c>
      <c r="AL1340">
        <v>10</v>
      </c>
      <c r="AM1340">
        <v>8</v>
      </c>
      <c r="AN1340">
        <v>0</v>
      </c>
      <c r="AO1340">
        <v>2</v>
      </c>
    </row>
    <row r="1341" spans="1:41" x14ac:dyDescent="0.2">
      <c r="A1341">
        <v>1104040</v>
      </c>
      <c r="B1341">
        <v>34</v>
      </c>
      <c r="C1341" t="str" cm="1">
        <f t="array" ref="C1341">_xlfn.IFS(B1341&lt;=25,"15-25",B1341&lt;=35,"26-35",B1341&lt;=45,"36-45",B1341&lt;=55,"46-55",B1341&lt;=65,"56-65")</f>
        <v>26-35</v>
      </c>
      <c r="D1341" t="s">
        <v>35</v>
      </c>
      <c r="E1341" t="str">
        <f t="shared" si="40"/>
        <v>Current Employee</v>
      </c>
      <c r="F1341" t="s">
        <v>36</v>
      </c>
      <c r="G1341">
        <v>1480</v>
      </c>
      <c r="H1341" t="s">
        <v>37</v>
      </c>
      <c r="I1341">
        <v>4</v>
      </c>
      <c r="J1341">
        <v>3</v>
      </c>
      <c r="K1341" t="s">
        <v>38</v>
      </c>
      <c r="L1341">
        <v>1</v>
      </c>
      <c r="M1341">
        <v>3</v>
      </c>
      <c r="N1341" t="s">
        <v>46</v>
      </c>
      <c r="O1341">
        <v>64</v>
      </c>
      <c r="P1341">
        <v>3</v>
      </c>
      <c r="Q1341">
        <v>3</v>
      </c>
      <c r="R1341" t="s">
        <v>40</v>
      </c>
      <c r="S1341">
        <v>4</v>
      </c>
      <c r="T1341" t="str" cm="1">
        <f t="array" ref="T1341">_xlfn.IFS(S1341&lt;=2,"Poor",S1341&lt;=3,"Fair",S1341&gt;=4,"Good")</f>
        <v>Good</v>
      </c>
      <c r="U1341" t="s">
        <v>48</v>
      </c>
      <c r="V1341" s="1">
        <v>9713</v>
      </c>
      <c r="W1341" t="str" cm="1">
        <f t="array" ref="W1341">_xlfn.IFS(V1341&lt;=5000,"Low Salary",V1341&lt;=12000,"Good Salary",V1341&gt;12000,"High Salary")</f>
        <v>Good Salary</v>
      </c>
      <c r="X1341">
        <v>24444</v>
      </c>
      <c r="Y1341">
        <v>2</v>
      </c>
      <c r="Z1341" t="s">
        <v>42</v>
      </c>
      <c r="AA1341" t="s">
        <v>43</v>
      </c>
      <c r="AB1341">
        <v>13</v>
      </c>
      <c r="AC1341">
        <v>3</v>
      </c>
      <c r="AD1341" t="str">
        <f t="shared" si="41"/>
        <v>Low Performance</v>
      </c>
      <c r="AE1341">
        <v>4</v>
      </c>
      <c r="AF1341">
        <v>80</v>
      </c>
      <c r="AG1341">
        <v>3</v>
      </c>
      <c r="AH1341">
        <v>9</v>
      </c>
      <c r="AI1341">
        <v>3</v>
      </c>
      <c r="AJ1341">
        <v>3</v>
      </c>
      <c r="AK1341" t="str" cm="1">
        <f t="array" ref="AK1341">_xlfn.IFS(AJ1341&lt;=2,"Poor",AJ1341&lt;=3,"Fair",AJ1341&gt;3,"Good")</f>
        <v>Fair</v>
      </c>
      <c r="AL1341">
        <v>5</v>
      </c>
      <c r="AM1341">
        <v>3</v>
      </c>
      <c r="AN1341">
        <v>1</v>
      </c>
      <c r="AO1341">
        <v>0</v>
      </c>
    </row>
    <row r="1342" spans="1:41" x14ac:dyDescent="0.2">
      <c r="A1342">
        <v>1879233</v>
      </c>
      <c r="B1342">
        <v>29</v>
      </c>
      <c r="C1342" t="str" cm="1">
        <f t="array" ref="C1342">_xlfn.IFS(B1342&lt;=25,"15-25",B1342&lt;=35,"26-35",B1342&lt;=45,"36-45",B1342&lt;=55,"46-55",B1342&lt;=65,"56-65")</f>
        <v>26-35</v>
      </c>
      <c r="D1342" t="s">
        <v>35</v>
      </c>
      <c r="E1342" t="str">
        <f t="shared" si="40"/>
        <v>Current Employee</v>
      </c>
      <c r="F1342" t="s">
        <v>36</v>
      </c>
      <c r="G1342">
        <v>592</v>
      </c>
      <c r="H1342" t="s">
        <v>54</v>
      </c>
      <c r="I1342">
        <v>7</v>
      </c>
      <c r="J1342">
        <v>3</v>
      </c>
      <c r="K1342" t="s">
        <v>38</v>
      </c>
      <c r="L1342">
        <v>1</v>
      </c>
      <c r="M1342">
        <v>4</v>
      </c>
      <c r="N1342" t="s">
        <v>46</v>
      </c>
      <c r="O1342">
        <v>59</v>
      </c>
      <c r="P1342">
        <v>3</v>
      </c>
      <c r="Q1342">
        <v>1</v>
      </c>
      <c r="R1342" t="s">
        <v>40</v>
      </c>
      <c r="S1342">
        <v>1</v>
      </c>
      <c r="T1342" t="str" cm="1">
        <f t="array" ref="T1342">_xlfn.IFS(S1342&lt;=2,"Poor",S1342&lt;=3,"Fair",S1342&gt;=4,"Good")</f>
        <v>Poor</v>
      </c>
      <c r="U1342" t="s">
        <v>41</v>
      </c>
      <c r="V1342" s="1">
        <v>2062</v>
      </c>
      <c r="W1342" t="str" cm="1">
        <f t="array" ref="W1342">_xlfn.IFS(V1342&lt;=5000,"Low Salary",V1342&lt;=12000,"Good Salary",V1342&gt;12000,"High Salary")</f>
        <v>Low Salary</v>
      </c>
      <c r="X1342">
        <v>19384</v>
      </c>
      <c r="Y1342">
        <v>3</v>
      </c>
      <c r="Z1342" t="s">
        <v>42</v>
      </c>
      <c r="AA1342" t="s">
        <v>35</v>
      </c>
      <c r="AB1342">
        <v>14</v>
      </c>
      <c r="AC1342">
        <v>3</v>
      </c>
      <c r="AD1342" t="str">
        <f t="shared" si="41"/>
        <v>Low Performance</v>
      </c>
      <c r="AE1342">
        <v>2</v>
      </c>
      <c r="AF1342">
        <v>80</v>
      </c>
      <c r="AG1342">
        <v>0</v>
      </c>
      <c r="AH1342">
        <v>11</v>
      </c>
      <c r="AI1342">
        <v>2</v>
      </c>
      <c r="AJ1342">
        <v>3</v>
      </c>
      <c r="AK1342" t="str" cm="1">
        <f t="array" ref="AK1342">_xlfn.IFS(AJ1342&lt;=2,"Poor",AJ1342&lt;=3,"Fair",AJ1342&gt;3,"Good")</f>
        <v>Fair</v>
      </c>
      <c r="AL1342">
        <v>3</v>
      </c>
      <c r="AM1342">
        <v>2</v>
      </c>
      <c r="AN1342">
        <v>1</v>
      </c>
      <c r="AO1342">
        <v>2</v>
      </c>
    </row>
    <row r="1343" spans="1:41" x14ac:dyDescent="0.2">
      <c r="A1343">
        <v>1878518</v>
      </c>
      <c r="B1343">
        <v>37</v>
      </c>
      <c r="C1343" t="str" cm="1">
        <f t="array" ref="C1343">_xlfn.IFS(B1343&lt;=25,"15-25",B1343&lt;=35,"26-35",B1343&lt;=45,"36-45",B1343&lt;=55,"46-55",B1343&lt;=65,"56-65")</f>
        <v>36-45</v>
      </c>
      <c r="D1343" t="s">
        <v>35</v>
      </c>
      <c r="E1343" t="str">
        <f t="shared" si="40"/>
        <v>Current Employee</v>
      </c>
      <c r="F1343" t="s">
        <v>36</v>
      </c>
      <c r="G1343">
        <v>783</v>
      </c>
      <c r="H1343" t="s">
        <v>54</v>
      </c>
      <c r="I1343">
        <v>7</v>
      </c>
      <c r="J1343">
        <v>4</v>
      </c>
      <c r="K1343" t="s">
        <v>49</v>
      </c>
      <c r="L1343">
        <v>1</v>
      </c>
      <c r="M1343">
        <v>4</v>
      </c>
      <c r="N1343" t="s">
        <v>46</v>
      </c>
      <c r="O1343">
        <v>78</v>
      </c>
      <c r="P1343">
        <v>3</v>
      </c>
      <c r="Q1343">
        <v>2</v>
      </c>
      <c r="R1343" t="s">
        <v>47</v>
      </c>
      <c r="S1343">
        <v>1</v>
      </c>
      <c r="T1343" t="str" cm="1">
        <f t="array" ref="T1343">_xlfn.IFS(S1343&lt;=2,"Poor",S1343&lt;=3,"Fair",S1343&gt;=4,"Good")</f>
        <v>Poor</v>
      </c>
      <c r="U1343" t="s">
        <v>48</v>
      </c>
      <c r="V1343" s="1">
        <v>4284</v>
      </c>
      <c r="W1343" t="str" cm="1">
        <f t="array" ref="W1343">_xlfn.IFS(V1343&lt;=5000,"Low Salary",V1343&lt;=12000,"Good Salary",V1343&gt;12000,"High Salary")</f>
        <v>Low Salary</v>
      </c>
      <c r="X1343">
        <v>13588</v>
      </c>
      <c r="Y1343">
        <v>5</v>
      </c>
      <c r="Z1343" t="s">
        <v>42</v>
      </c>
      <c r="AA1343" t="s">
        <v>43</v>
      </c>
      <c r="AB1343">
        <v>22</v>
      </c>
      <c r="AC1343">
        <v>4</v>
      </c>
      <c r="AD1343" t="str">
        <f t="shared" si="41"/>
        <v>High Performance</v>
      </c>
      <c r="AE1343">
        <v>3</v>
      </c>
      <c r="AF1343">
        <v>80</v>
      </c>
      <c r="AG1343">
        <v>1</v>
      </c>
      <c r="AH1343">
        <v>16</v>
      </c>
      <c r="AI1343">
        <v>2</v>
      </c>
      <c r="AJ1343">
        <v>3</v>
      </c>
      <c r="AK1343" t="str" cm="1">
        <f t="array" ref="AK1343">_xlfn.IFS(AJ1343&lt;=2,"Poor",AJ1343&lt;=3,"Fair",AJ1343&gt;3,"Good")</f>
        <v>Fair</v>
      </c>
      <c r="AL1343">
        <v>5</v>
      </c>
      <c r="AM1343">
        <v>3</v>
      </c>
      <c r="AN1343">
        <v>0</v>
      </c>
      <c r="AO1343">
        <v>4</v>
      </c>
    </row>
    <row r="1344" spans="1:41" x14ac:dyDescent="0.2">
      <c r="A1344">
        <v>1694441</v>
      </c>
      <c r="B1344">
        <v>35</v>
      </c>
      <c r="C1344" t="str" cm="1">
        <f t="array" ref="C1344">_xlfn.IFS(B1344&lt;=25,"15-25",B1344&lt;=35,"26-35",B1344&lt;=45,"36-45",B1344&lt;=55,"46-55",B1344&lt;=65,"56-65")</f>
        <v>26-35</v>
      </c>
      <c r="D1344" t="s">
        <v>35</v>
      </c>
      <c r="E1344" t="str">
        <f t="shared" si="40"/>
        <v>Current Employee</v>
      </c>
      <c r="F1344" t="s">
        <v>36</v>
      </c>
      <c r="G1344">
        <v>219</v>
      </c>
      <c r="H1344" t="s">
        <v>37</v>
      </c>
      <c r="I1344">
        <v>16</v>
      </c>
      <c r="J1344">
        <v>2</v>
      </c>
      <c r="K1344" t="s">
        <v>47</v>
      </c>
      <c r="L1344">
        <v>1</v>
      </c>
      <c r="M1344">
        <v>4</v>
      </c>
      <c r="N1344" t="s">
        <v>39</v>
      </c>
      <c r="O1344">
        <v>44</v>
      </c>
      <c r="P1344">
        <v>2</v>
      </c>
      <c r="Q1344">
        <v>2</v>
      </c>
      <c r="R1344" t="s">
        <v>51</v>
      </c>
      <c r="S1344">
        <v>2</v>
      </c>
      <c r="T1344" t="str" cm="1">
        <f t="array" ref="T1344">_xlfn.IFS(S1344&lt;=2,"Poor",S1344&lt;=3,"Fair",S1344&gt;=4,"Good")</f>
        <v>Poor</v>
      </c>
      <c r="U1344" t="s">
        <v>48</v>
      </c>
      <c r="V1344" s="1">
        <v>4788</v>
      </c>
      <c r="W1344" t="str" cm="1">
        <f t="array" ref="W1344">_xlfn.IFS(V1344&lt;=5000,"Low Salary",V1344&lt;=12000,"Good Salary",V1344&gt;12000,"High Salary")</f>
        <v>Low Salary</v>
      </c>
      <c r="X1344">
        <v>25388</v>
      </c>
      <c r="Y1344">
        <v>0</v>
      </c>
      <c r="Z1344" t="s">
        <v>42</v>
      </c>
      <c r="AA1344" t="s">
        <v>43</v>
      </c>
      <c r="AB1344">
        <v>11</v>
      </c>
      <c r="AC1344">
        <v>3</v>
      </c>
      <c r="AD1344" t="str">
        <f t="shared" si="41"/>
        <v>Low Performance</v>
      </c>
      <c r="AE1344">
        <v>4</v>
      </c>
      <c r="AF1344">
        <v>80</v>
      </c>
      <c r="AG1344">
        <v>0</v>
      </c>
      <c r="AH1344">
        <v>4</v>
      </c>
      <c r="AI1344">
        <v>2</v>
      </c>
      <c r="AJ1344">
        <v>3</v>
      </c>
      <c r="AK1344" t="str" cm="1">
        <f t="array" ref="AK1344">_xlfn.IFS(AJ1344&lt;=2,"Poor",AJ1344&lt;=3,"Fair",AJ1344&gt;3,"Good")</f>
        <v>Fair</v>
      </c>
      <c r="AL1344">
        <v>3</v>
      </c>
      <c r="AM1344">
        <v>2</v>
      </c>
      <c r="AN1344">
        <v>0</v>
      </c>
      <c r="AO1344">
        <v>2</v>
      </c>
    </row>
    <row r="1345" spans="1:41" x14ac:dyDescent="0.2">
      <c r="A1345">
        <v>1608760</v>
      </c>
      <c r="B1345">
        <v>45</v>
      </c>
      <c r="C1345" t="str" cm="1">
        <f t="array" ref="C1345">_xlfn.IFS(B1345&lt;=25,"15-25",B1345&lt;=35,"26-35",B1345&lt;=45,"36-45",B1345&lt;=55,"46-55",B1345&lt;=65,"56-65")</f>
        <v>36-45</v>
      </c>
      <c r="D1345" t="s">
        <v>35</v>
      </c>
      <c r="E1345" t="str">
        <f t="shared" si="40"/>
        <v>Current Employee</v>
      </c>
      <c r="F1345" t="s">
        <v>36</v>
      </c>
      <c r="G1345">
        <v>556</v>
      </c>
      <c r="H1345" t="s">
        <v>37</v>
      </c>
      <c r="I1345">
        <v>25</v>
      </c>
      <c r="J1345">
        <v>2</v>
      </c>
      <c r="K1345" t="s">
        <v>38</v>
      </c>
      <c r="L1345">
        <v>1</v>
      </c>
      <c r="M1345">
        <v>2</v>
      </c>
      <c r="N1345" t="s">
        <v>39</v>
      </c>
      <c r="O1345">
        <v>93</v>
      </c>
      <c r="P1345">
        <v>2</v>
      </c>
      <c r="Q1345">
        <v>2</v>
      </c>
      <c r="R1345" t="s">
        <v>51</v>
      </c>
      <c r="S1345">
        <v>4</v>
      </c>
      <c r="T1345" t="str" cm="1">
        <f t="array" ref="T1345">_xlfn.IFS(S1345&lt;=2,"Poor",S1345&lt;=3,"Fair",S1345&gt;=4,"Good")</f>
        <v>Good</v>
      </c>
      <c r="U1345" t="s">
        <v>48</v>
      </c>
      <c r="V1345" s="1">
        <v>5906</v>
      </c>
      <c r="W1345" t="str" cm="1">
        <f t="array" ref="W1345">_xlfn.IFS(V1345&lt;=5000,"Low Salary",V1345&lt;=12000,"Good Salary",V1345&gt;12000,"High Salary")</f>
        <v>Good Salary</v>
      </c>
      <c r="X1345">
        <v>23888</v>
      </c>
      <c r="Y1345">
        <v>0</v>
      </c>
      <c r="Z1345" t="s">
        <v>42</v>
      </c>
      <c r="AA1345" t="s">
        <v>35</v>
      </c>
      <c r="AB1345">
        <v>13</v>
      </c>
      <c r="AC1345">
        <v>3</v>
      </c>
      <c r="AD1345" t="str">
        <f t="shared" si="41"/>
        <v>Low Performance</v>
      </c>
      <c r="AE1345">
        <v>4</v>
      </c>
      <c r="AF1345">
        <v>80</v>
      </c>
      <c r="AG1345">
        <v>2</v>
      </c>
      <c r="AH1345">
        <v>10</v>
      </c>
      <c r="AI1345">
        <v>2</v>
      </c>
      <c r="AJ1345">
        <v>2</v>
      </c>
      <c r="AK1345" t="str" cm="1">
        <f t="array" ref="AK1345">_xlfn.IFS(AJ1345&lt;=2,"Poor",AJ1345&lt;=3,"Fair",AJ1345&gt;3,"Good")</f>
        <v>Poor</v>
      </c>
      <c r="AL1345">
        <v>9</v>
      </c>
      <c r="AM1345">
        <v>8</v>
      </c>
      <c r="AN1345">
        <v>3</v>
      </c>
      <c r="AO1345">
        <v>8</v>
      </c>
    </row>
    <row r="1346" spans="1:41" x14ac:dyDescent="0.2">
      <c r="A1346">
        <v>1357691</v>
      </c>
      <c r="B1346">
        <v>36</v>
      </c>
      <c r="C1346" t="str" cm="1">
        <f t="array" ref="C1346">_xlfn.IFS(B1346&lt;=25,"15-25",B1346&lt;=35,"26-35",B1346&lt;=45,"36-45",B1346&lt;=55,"46-55",B1346&lt;=65,"56-65")</f>
        <v>36-45</v>
      </c>
      <c r="D1346" t="s">
        <v>35</v>
      </c>
      <c r="E1346" t="str">
        <f t="shared" si="40"/>
        <v>Current Employee</v>
      </c>
      <c r="F1346" t="s">
        <v>44</v>
      </c>
      <c r="G1346">
        <v>1213</v>
      </c>
      <c r="H1346" t="s">
        <v>54</v>
      </c>
      <c r="I1346">
        <v>2</v>
      </c>
      <c r="J1346">
        <v>1</v>
      </c>
      <c r="K1346" t="s">
        <v>57</v>
      </c>
      <c r="L1346">
        <v>1</v>
      </c>
      <c r="M1346">
        <v>2</v>
      </c>
      <c r="N1346" t="s">
        <v>46</v>
      </c>
      <c r="O1346">
        <v>94</v>
      </c>
      <c r="P1346">
        <v>2</v>
      </c>
      <c r="Q1346">
        <v>2</v>
      </c>
      <c r="R1346" t="s">
        <v>47</v>
      </c>
      <c r="S1346">
        <v>4</v>
      </c>
      <c r="T1346" t="str" cm="1">
        <f t="array" ref="T1346">_xlfn.IFS(S1346&lt;=2,"Poor",S1346&lt;=3,"Fair",S1346&gt;=4,"Good")</f>
        <v>Good</v>
      </c>
      <c r="U1346" t="s">
        <v>41</v>
      </c>
      <c r="V1346" s="1">
        <v>3886</v>
      </c>
      <c r="W1346" t="str" cm="1">
        <f t="array" ref="W1346">_xlfn.IFS(V1346&lt;=5000,"Low Salary",V1346&lt;=12000,"Good Salary",V1346&gt;12000,"High Salary")</f>
        <v>Low Salary</v>
      </c>
      <c r="X1346">
        <v>4223</v>
      </c>
      <c r="Y1346">
        <v>1</v>
      </c>
      <c r="Z1346" t="s">
        <v>42</v>
      </c>
      <c r="AA1346" t="s">
        <v>35</v>
      </c>
      <c r="AB1346">
        <v>21</v>
      </c>
      <c r="AC1346">
        <v>4</v>
      </c>
      <c r="AD1346" t="str">
        <f t="shared" si="41"/>
        <v>High Performance</v>
      </c>
      <c r="AE1346">
        <v>4</v>
      </c>
      <c r="AF1346">
        <v>80</v>
      </c>
      <c r="AG1346">
        <v>0</v>
      </c>
      <c r="AH1346">
        <v>10</v>
      </c>
      <c r="AI1346">
        <v>2</v>
      </c>
      <c r="AJ1346">
        <v>2</v>
      </c>
      <c r="AK1346" t="str" cm="1">
        <f t="array" ref="AK1346">_xlfn.IFS(AJ1346&lt;=2,"Poor",AJ1346&lt;=3,"Fair",AJ1346&gt;3,"Good")</f>
        <v>Poor</v>
      </c>
      <c r="AL1346">
        <v>10</v>
      </c>
      <c r="AM1346">
        <v>1</v>
      </c>
      <c r="AN1346">
        <v>0</v>
      </c>
      <c r="AO1346">
        <v>8</v>
      </c>
    </row>
    <row r="1347" spans="1:41" x14ac:dyDescent="0.2">
      <c r="A1347">
        <v>1551391</v>
      </c>
      <c r="B1347">
        <v>40</v>
      </c>
      <c r="C1347" t="str" cm="1">
        <f t="array" ref="C1347">_xlfn.IFS(B1347&lt;=25,"15-25",B1347&lt;=35,"26-35",B1347&lt;=45,"36-45",B1347&lt;=55,"46-55",B1347&lt;=65,"56-65")</f>
        <v>36-45</v>
      </c>
      <c r="D1347" t="s">
        <v>35</v>
      </c>
      <c r="E1347" t="str">
        <f t="shared" ref="E1347:E1410" si="42">IF(D1347="No","Current Employee","Former Employee")</f>
        <v>Current Employee</v>
      </c>
      <c r="F1347" t="s">
        <v>36</v>
      </c>
      <c r="G1347">
        <v>1137</v>
      </c>
      <c r="H1347" t="s">
        <v>54</v>
      </c>
      <c r="I1347">
        <v>1</v>
      </c>
      <c r="J1347">
        <v>4</v>
      </c>
      <c r="K1347" t="s">
        <v>38</v>
      </c>
      <c r="L1347">
        <v>1</v>
      </c>
      <c r="M1347">
        <v>1</v>
      </c>
      <c r="N1347" t="s">
        <v>46</v>
      </c>
      <c r="O1347">
        <v>98</v>
      </c>
      <c r="P1347">
        <v>3</v>
      </c>
      <c r="Q1347">
        <v>4</v>
      </c>
      <c r="R1347" t="s">
        <v>53</v>
      </c>
      <c r="S1347">
        <v>1</v>
      </c>
      <c r="T1347" t="str" cm="1">
        <f t="array" ref="T1347">_xlfn.IFS(S1347&lt;=2,"Poor",S1347&lt;=3,"Fair",S1347&gt;=4,"Good")</f>
        <v>Poor</v>
      </c>
      <c r="U1347" t="s">
        <v>50</v>
      </c>
      <c r="V1347" s="1">
        <v>16823</v>
      </c>
      <c r="W1347" t="str" cm="1">
        <f t="array" ref="W1347">_xlfn.IFS(V1347&lt;=5000,"Low Salary",V1347&lt;=12000,"Good Salary",V1347&gt;12000,"High Salary")</f>
        <v>High Salary</v>
      </c>
      <c r="X1347">
        <v>18991</v>
      </c>
      <c r="Y1347">
        <v>2</v>
      </c>
      <c r="Z1347" t="s">
        <v>42</v>
      </c>
      <c r="AA1347" t="s">
        <v>35</v>
      </c>
      <c r="AB1347">
        <v>11</v>
      </c>
      <c r="AC1347">
        <v>3</v>
      </c>
      <c r="AD1347" t="str">
        <f t="shared" ref="AD1347:AD1410" si="43">IF(AC1347&lt;=3,"Low Performance","High Performance")</f>
        <v>Low Performance</v>
      </c>
      <c r="AE1347">
        <v>1</v>
      </c>
      <c r="AF1347">
        <v>80</v>
      </c>
      <c r="AG1347">
        <v>1</v>
      </c>
      <c r="AH1347">
        <v>22</v>
      </c>
      <c r="AI1347">
        <v>3</v>
      </c>
      <c r="AJ1347">
        <v>3</v>
      </c>
      <c r="AK1347" t="str" cm="1">
        <f t="array" ref="AK1347">_xlfn.IFS(AJ1347&lt;=2,"Poor",AJ1347&lt;=3,"Fair",AJ1347&gt;3,"Good")</f>
        <v>Fair</v>
      </c>
      <c r="AL1347">
        <v>19</v>
      </c>
      <c r="AM1347">
        <v>7</v>
      </c>
      <c r="AN1347">
        <v>11</v>
      </c>
      <c r="AO1347">
        <v>16</v>
      </c>
    </row>
    <row r="1348" spans="1:41" x14ac:dyDescent="0.2">
      <c r="A1348">
        <v>1419575</v>
      </c>
      <c r="B1348">
        <v>26</v>
      </c>
      <c r="C1348" t="str" cm="1">
        <f t="array" ref="C1348">_xlfn.IFS(B1348&lt;=25,"15-25",B1348&lt;=35,"26-35",B1348&lt;=45,"36-45",B1348&lt;=55,"46-55",B1348&lt;=65,"56-65")</f>
        <v>26-35</v>
      </c>
      <c r="D1348" t="s">
        <v>35</v>
      </c>
      <c r="E1348" t="str">
        <f t="shared" si="42"/>
        <v>Current Employee</v>
      </c>
      <c r="F1348" t="s">
        <v>36</v>
      </c>
      <c r="G1348">
        <v>482</v>
      </c>
      <c r="H1348" t="s">
        <v>54</v>
      </c>
      <c r="I1348">
        <v>1</v>
      </c>
      <c r="J1348">
        <v>2</v>
      </c>
      <c r="K1348" t="s">
        <v>38</v>
      </c>
      <c r="L1348">
        <v>1</v>
      </c>
      <c r="M1348">
        <v>2</v>
      </c>
      <c r="N1348" t="s">
        <v>39</v>
      </c>
      <c r="O1348">
        <v>90</v>
      </c>
      <c r="P1348">
        <v>2</v>
      </c>
      <c r="Q1348">
        <v>1</v>
      </c>
      <c r="R1348" t="s">
        <v>47</v>
      </c>
      <c r="S1348">
        <v>3</v>
      </c>
      <c r="T1348" t="str" cm="1">
        <f t="array" ref="T1348">_xlfn.IFS(S1348&lt;=2,"Poor",S1348&lt;=3,"Fair",S1348&gt;=4,"Good")</f>
        <v>Fair</v>
      </c>
      <c r="U1348" t="s">
        <v>48</v>
      </c>
      <c r="V1348" s="1">
        <v>2933</v>
      </c>
      <c r="W1348" t="str" cm="1">
        <f t="array" ref="W1348">_xlfn.IFS(V1348&lt;=5000,"Low Salary",V1348&lt;=12000,"Good Salary",V1348&gt;12000,"High Salary")</f>
        <v>Low Salary</v>
      </c>
      <c r="X1348">
        <v>14908</v>
      </c>
      <c r="Y1348">
        <v>1</v>
      </c>
      <c r="Z1348" t="s">
        <v>42</v>
      </c>
      <c r="AA1348" t="s">
        <v>43</v>
      </c>
      <c r="AB1348">
        <v>13</v>
      </c>
      <c r="AC1348">
        <v>3</v>
      </c>
      <c r="AD1348" t="str">
        <f t="shared" si="43"/>
        <v>Low Performance</v>
      </c>
      <c r="AE1348">
        <v>3</v>
      </c>
      <c r="AF1348">
        <v>80</v>
      </c>
      <c r="AG1348">
        <v>1</v>
      </c>
      <c r="AH1348">
        <v>1</v>
      </c>
      <c r="AI1348">
        <v>3</v>
      </c>
      <c r="AJ1348">
        <v>2</v>
      </c>
      <c r="AK1348" t="str" cm="1">
        <f t="array" ref="AK1348">_xlfn.IFS(AJ1348&lt;=2,"Poor",AJ1348&lt;=3,"Fair",AJ1348&gt;3,"Good")</f>
        <v>Poor</v>
      </c>
      <c r="AL1348">
        <v>1</v>
      </c>
      <c r="AM1348">
        <v>0</v>
      </c>
      <c r="AN1348">
        <v>1</v>
      </c>
      <c r="AO1348">
        <v>0</v>
      </c>
    </row>
    <row r="1349" spans="1:41" x14ac:dyDescent="0.2">
      <c r="A1349">
        <v>1620257</v>
      </c>
      <c r="B1349">
        <v>48</v>
      </c>
      <c r="C1349" t="str" cm="1">
        <f t="array" ref="C1349">_xlfn.IFS(B1349&lt;=25,"15-25",B1349&lt;=35,"26-35",B1349&lt;=45,"36-45",B1349&lt;=55,"46-55",B1349&lt;=65,"56-65")</f>
        <v>46-55</v>
      </c>
      <c r="D1349" t="s">
        <v>35</v>
      </c>
      <c r="E1349" t="str">
        <f t="shared" si="42"/>
        <v>Current Employee</v>
      </c>
      <c r="F1349" t="s">
        <v>44</v>
      </c>
      <c r="G1349">
        <v>117</v>
      </c>
      <c r="H1349" t="s">
        <v>54</v>
      </c>
      <c r="I1349">
        <v>22</v>
      </c>
      <c r="J1349">
        <v>3</v>
      </c>
      <c r="K1349" t="s">
        <v>49</v>
      </c>
      <c r="L1349">
        <v>1</v>
      </c>
      <c r="M1349">
        <v>4</v>
      </c>
      <c r="N1349" t="s">
        <v>39</v>
      </c>
      <c r="O1349">
        <v>58</v>
      </c>
      <c r="P1349">
        <v>3</v>
      </c>
      <c r="Q1349">
        <v>4</v>
      </c>
      <c r="R1349" t="s">
        <v>53</v>
      </c>
      <c r="S1349">
        <v>4</v>
      </c>
      <c r="T1349" t="str" cm="1">
        <f t="array" ref="T1349">_xlfn.IFS(S1349&lt;=2,"Poor",S1349&lt;=3,"Fair",S1349&gt;=4,"Good")</f>
        <v>Good</v>
      </c>
      <c r="U1349" t="s">
        <v>50</v>
      </c>
      <c r="V1349" s="1">
        <v>17174</v>
      </c>
      <c r="W1349" t="str" cm="1">
        <f t="array" ref="W1349">_xlfn.IFS(V1349&lt;=5000,"Low Salary",V1349&lt;=12000,"Good Salary",V1349&gt;12000,"High Salary")</f>
        <v>High Salary</v>
      </c>
      <c r="X1349">
        <v>2437</v>
      </c>
      <c r="Y1349">
        <v>3</v>
      </c>
      <c r="Z1349" t="s">
        <v>42</v>
      </c>
      <c r="AA1349" t="s">
        <v>35</v>
      </c>
      <c r="AB1349">
        <v>11</v>
      </c>
      <c r="AC1349">
        <v>3</v>
      </c>
      <c r="AD1349" t="str">
        <f t="shared" si="43"/>
        <v>Low Performance</v>
      </c>
      <c r="AE1349">
        <v>2</v>
      </c>
      <c r="AF1349">
        <v>80</v>
      </c>
      <c r="AG1349">
        <v>1</v>
      </c>
      <c r="AH1349">
        <v>24</v>
      </c>
      <c r="AI1349">
        <v>3</v>
      </c>
      <c r="AJ1349">
        <v>3</v>
      </c>
      <c r="AK1349" t="str" cm="1">
        <f t="array" ref="AK1349">_xlfn.IFS(AJ1349&lt;=2,"Poor",AJ1349&lt;=3,"Fair",AJ1349&gt;3,"Good")</f>
        <v>Fair</v>
      </c>
      <c r="AL1349">
        <v>22</v>
      </c>
      <c r="AM1349">
        <v>17</v>
      </c>
      <c r="AN1349">
        <v>4</v>
      </c>
      <c r="AO1349">
        <v>7</v>
      </c>
    </row>
    <row r="1350" spans="1:41" x14ac:dyDescent="0.2">
      <c r="A1350">
        <v>1662166</v>
      </c>
      <c r="B1350">
        <v>44</v>
      </c>
      <c r="C1350" t="str" cm="1">
        <f t="array" ref="C1350">_xlfn.IFS(B1350&lt;=25,"15-25",B1350&lt;=35,"26-35",B1350&lt;=45,"36-45",B1350&lt;=55,"46-55",B1350&lt;=65,"56-65")</f>
        <v>36-45</v>
      </c>
      <c r="D1350" t="s">
        <v>35</v>
      </c>
      <c r="E1350" t="str">
        <f t="shared" si="42"/>
        <v>Current Employee</v>
      </c>
      <c r="F1350" t="s">
        <v>36</v>
      </c>
      <c r="G1350">
        <v>170</v>
      </c>
      <c r="H1350" t="s">
        <v>54</v>
      </c>
      <c r="I1350">
        <v>1</v>
      </c>
      <c r="J1350">
        <v>4</v>
      </c>
      <c r="K1350" t="s">
        <v>38</v>
      </c>
      <c r="L1350">
        <v>1</v>
      </c>
      <c r="M1350">
        <v>2</v>
      </c>
      <c r="N1350" t="s">
        <v>46</v>
      </c>
      <c r="O1350">
        <v>78</v>
      </c>
      <c r="P1350">
        <v>4</v>
      </c>
      <c r="Q1350">
        <v>2</v>
      </c>
      <c r="R1350" t="s">
        <v>40</v>
      </c>
      <c r="S1350">
        <v>1</v>
      </c>
      <c r="T1350" t="str" cm="1">
        <f t="array" ref="T1350">_xlfn.IFS(S1350&lt;=2,"Poor",S1350&lt;=3,"Fair",S1350&gt;=4,"Good")</f>
        <v>Poor</v>
      </c>
      <c r="U1350" t="s">
        <v>48</v>
      </c>
      <c r="V1350" s="1">
        <v>5033</v>
      </c>
      <c r="W1350" t="str" cm="1">
        <f t="array" ref="W1350">_xlfn.IFS(V1350&lt;=5000,"Low Salary",V1350&lt;=12000,"Good Salary",V1350&gt;12000,"High Salary")</f>
        <v>Good Salary</v>
      </c>
      <c r="X1350">
        <v>9364</v>
      </c>
      <c r="Y1350">
        <v>2</v>
      </c>
      <c r="Z1350" t="s">
        <v>42</v>
      </c>
      <c r="AA1350" t="s">
        <v>35</v>
      </c>
      <c r="AB1350">
        <v>15</v>
      </c>
      <c r="AC1350">
        <v>3</v>
      </c>
      <c r="AD1350" t="str">
        <f t="shared" si="43"/>
        <v>Low Performance</v>
      </c>
      <c r="AE1350">
        <v>4</v>
      </c>
      <c r="AF1350">
        <v>80</v>
      </c>
      <c r="AG1350">
        <v>1</v>
      </c>
      <c r="AH1350">
        <v>10</v>
      </c>
      <c r="AI1350">
        <v>5</v>
      </c>
      <c r="AJ1350">
        <v>3</v>
      </c>
      <c r="AK1350" t="str" cm="1">
        <f t="array" ref="AK1350">_xlfn.IFS(AJ1350&lt;=2,"Poor",AJ1350&lt;=3,"Fair",AJ1350&gt;3,"Good")</f>
        <v>Fair</v>
      </c>
      <c r="AL1350">
        <v>2</v>
      </c>
      <c r="AM1350">
        <v>0</v>
      </c>
      <c r="AN1350">
        <v>2</v>
      </c>
      <c r="AO1350">
        <v>2</v>
      </c>
    </row>
    <row r="1351" spans="1:41" x14ac:dyDescent="0.2">
      <c r="A1351">
        <v>1738269</v>
      </c>
      <c r="B1351">
        <v>34</v>
      </c>
      <c r="C1351" t="str" cm="1">
        <f t="array" ref="C1351">_xlfn.IFS(B1351&lt;=25,"15-25",B1351&lt;=35,"26-35",B1351&lt;=45,"36-45",B1351&lt;=55,"46-55",B1351&lt;=65,"56-65")</f>
        <v>26-35</v>
      </c>
      <c r="D1351" t="s">
        <v>43</v>
      </c>
      <c r="E1351" t="str">
        <f t="shared" si="42"/>
        <v>Former Employee</v>
      </c>
      <c r="F1351" t="s">
        <v>52</v>
      </c>
      <c r="G1351">
        <v>967</v>
      </c>
      <c r="H1351" t="s">
        <v>54</v>
      </c>
      <c r="I1351">
        <v>16</v>
      </c>
      <c r="J1351">
        <v>4</v>
      </c>
      <c r="K1351" t="s">
        <v>56</v>
      </c>
      <c r="L1351">
        <v>1</v>
      </c>
      <c r="M1351">
        <v>4</v>
      </c>
      <c r="N1351" t="s">
        <v>46</v>
      </c>
      <c r="O1351">
        <v>85</v>
      </c>
      <c r="P1351">
        <v>1</v>
      </c>
      <c r="Q1351">
        <v>1</v>
      </c>
      <c r="R1351" t="s">
        <v>47</v>
      </c>
      <c r="S1351">
        <v>1</v>
      </c>
      <c r="T1351" t="str" cm="1">
        <f t="array" ref="T1351">_xlfn.IFS(S1351&lt;=2,"Poor",S1351&lt;=3,"Fair",S1351&gt;=4,"Good")</f>
        <v>Poor</v>
      </c>
      <c r="U1351" t="s">
        <v>48</v>
      </c>
      <c r="V1351" s="1">
        <v>2307</v>
      </c>
      <c r="W1351" t="str" cm="1">
        <f t="array" ref="W1351">_xlfn.IFS(V1351&lt;=5000,"Low Salary",V1351&lt;=12000,"Good Salary",V1351&gt;12000,"High Salary")</f>
        <v>Low Salary</v>
      </c>
      <c r="X1351">
        <v>14460</v>
      </c>
      <c r="Y1351">
        <v>1</v>
      </c>
      <c r="Z1351" t="s">
        <v>42</v>
      </c>
      <c r="AA1351" t="s">
        <v>43</v>
      </c>
      <c r="AB1351">
        <v>23</v>
      </c>
      <c r="AC1351">
        <v>4</v>
      </c>
      <c r="AD1351" t="str">
        <f t="shared" si="43"/>
        <v>High Performance</v>
      </c>
      <c r="AE1351">
        <v>2</v>
      </c>
      <c r="AF1351">
        <v>80</v>
      </c>
      <c r="AG1351">
        <v>1</v>
      </c>
      <c r="AH1351">
        <v>5</v>
      </c>
      <c r="AI1351">
        <v>2</v>
      </c>
      <c r="AJ1351">
        <v>3</v>
      </c>
      <c r="AK1351" t="str" cm="1">
        <f t="array" ref="AK1351">_xlfn.IFS(AJ1351&lt;=2,"Poor",AJ1351&lt;=3,"Fair",AJ1351&gt;3,"Good")</f>
        <v>Fair</v>
      </c>
      <c r="AL1351">
        <v>5</v>
      </c>
      <c r="AM1351">
        <v>2</v>
      </c>
      <c r="AN1351">
        <v>3</v>
      </c>
      <c r="AO1351">
        <v>0</v>
      </c>
    </row>
    <row r="1352" spans="1:41" x14ac:dyDescent="0.2">
      <c r="A1352">
        <v>1557030</v>
      </c>
      <c r="B1352">
        <v>56</v>
      </c>
      <c r="C1352" t="str" cm="1">
        <f t="array" ref="C1352">_xlfn.IFS(B1352&lt;=25,"15-25",B1352&lt;=35,"26-35",B1352&lt;=45,"36-45",B1352&lt;=55,"46-55",B1352&lt;=65,"56-65")</f>
        <v>56-65</v>
      </c>
      <c r="D1352" t="s">
        <v>43</v>
      </c>
      <c r="E1352" t="str">
        <f t="shared" si="42"/>
        <v>Former Employee</v>
      </c>
      <c r="F1352" t="s">
        <v>36</v>
      </c>
      <c r="G1352">
        <v>1162</v>
      </c>
      <c r="H1352" t="s">
        <v>54</v>
      </c>
      <c r="I1352">
        <v>24</v>
      </c>
      <c r="J1352">
        <v>2</v>
      </c>
      <c r="K1352" t="s">
        <v>38</v>
      </c>
      <c r="L1352">
        <v>1</v>
      </c>
      <c r="M1352">
        <v>1</v>
      </c>
      <c r="N1352" t="s">
        <v>46</v>
      </c>
      <c r="O1352">
        <v>97</v>
      </c>
      <c r="P1352">
        <v>3</v>
      </c>
      <c r="Q1352">
        <v>1</v>
      </c>
      <c r="R1352" t="s">
        <v>40</v>
      </c>
      <c r="S1352">
        <v>4</v>
      </c>
      <c r="T1352" t="str" cm="1">
        <f t="array" ref="T1352">_xlfn.IFS(S1352&lt;=2,"Poor",S1352&lt;=3,"Fair",S1352&gt;=4,"Good")</f>
        <v>Good</v>
      </c>
      <c r="U1352" t="s">
        <v>41</v>
      </c>
      <c r="V1352" s="1">
        <v>2587</v>
      </c>
      <c r="W1352" t="str" cm="1">
        <f t="array" ref="W1352">_xlfn.IFS(V1352&lt;=5000,"Low Salary",V1352&lt;=12000,"Good Salary",V1352&gt;12000,"High Salary")</f>
        <v>Low Salary</v>
      </c>
      <c r="X1352">
        <v>10261</v>
      </c>
      <c r="Y1352">
        <v>1</v>
      </c>
      <c r="Z1352" t="s">
        <v>42</v>
      </c>
      <c r="AA1352" t="s">
        <v>35</v>
      </c>
      <c r="AB1352">
        <v>16</v>
      </c>
      <c r="AC1352">
        <v>3</v>
      </c>
      <c r="AD1352" t="str">
        <f t="shared" si="43"/>
        <v>Low Performance</v>
      </c>
      <c r="AE1352">
        <v>4</v>
      </c>
      <c r="AF1352">
        <v>80</v>
      </c>
      <c r="AG1352">
        <v>0</v>
      </c>
      <c r="AH1352">
        <v>5</v>
      </c>
      <c r="AI1352">
        <v>3</v>
      </c>
      <c r="AJ1352">
        <v>3</v>
      </c>
      <c r="AK1352" t="str" cm="1">
        <f t="array" ref="AK1352">_xlfn.IFS(AJ1352&lt;=2,"Poor",AJ1352&lt;=3,"Fair",AJ1352&gt;3,"Good")</f>
        <v>Fair</v>
      </c>
      <c r="AL1352">
        <v>4</v>
      </c>
      <c r="AM1352">
        <v>2</v>
      </c>
      <c r="AN1352">
        <v>1</v>
      </c>
      <c r="AO1352">
        <v>0</v>
      </c>
    </row>
    <row r="1353" spans="1:41" x14ac:dyDescent="0.2">
      <c r="A1353">
        <v>1153641</v>
      </c>
      <c r="B1353">
        <v>36</v>
      </c>
      <c r="C1353" t="str" cm="1">
        <f t="array" ref="C1353">_xlfn.IFS(B1353&lt;=25,"15-25",B1353&lt;=35,"26-35",B1353&lt;=45,"36-45",B1353&lt;=55,"46-55",B1353&lt;=65,"56-65")</f>
        <v>36-45</v>
      </c>
      <c r="D1353" t="s">
        <v>35</v>
      </c>
      <c r="E1353" t="str">
        <f t="shared" si="42"/>
        <v>Current Employee</v>
      </c>
      <c r="F1353" t="s">
        <v>36</v>
      </c>
      <c r="G1353">
        <v>335</v>
      </c>
      <c r="H1353" t="s">
        <v>37</v>
      </c>
      <c r="I1353">
        <v>17</v>
      </c>
      <c r="J1353">
        <v>2</v>
      </c>
      <c r="K1353" t="s">
        <v>55</v>
      </c>
      <c r="L1353">
        <v>1</v>
      </c>
      <c r="M1353">
        <v>3</v>
      </c>
      <c r="N1353" t="s">
        <v>46</v>
      </c>
      <c r="O1353">
        <v>33</v>
      </c>
      <c r="P1353">
        <v>2</v>
      </c>
      <c r="Q1353">
        <v>2</v>
      </c>
      <c r="R1353" t="s">
        <v>40</v>
      </c>
      <c r="S1353">
        <v>2</v>
      </c>
      <c r="T1353" t="str" cm="1">
        <f t="array" ref="T1353">_xlfn.IFS(S1353&lt;=2,"Poor",S1353&lt;=3,"Fair",S1353&gt;=4,"Good")</f>
        <v>Poor</v>
      </c>
      <c r="U1353" t="s">
        <v>48</v>
      </c>
      <c r="V1353" s="1">
        <v>5507</v>
      </c>
      <c r="W1353" t="str" cm="1">
        <f t="array" ref="W1353">_xlfn.IFS(V1353&lt;=5000,"Low Salary",V1353&lt;=12000,"Good Salary",V1353&gt;12000,"High Salary")</f>
        <v>Good Salary</v>
      </c>
      <c r="X1353">
        <v>16822</v>
      </c>
      <c r="Y1353">
        <v>2</v>
      </c>
      <c r="Z1353" t="s">
        <v>42</v>
      </c>
      <c r="AA1353" t="s">
        <v>35</v>
      </c>
      <c r="AB1353">
        <v>16</v>
      </c>
      <c r="AC1353">
        <v>3</v>
      </c>
      <c r="AD1353" t="str">
        <f t="shared" si="43"/>
        <v>Low Performance</v>
      </c>
      <c r="AE1353">
        <v>3</v>
      </c>
      <c r="AF1353">
        <v>80</v>
      </c>
      <c r="AG1353">
        <v>2</v>
      </c>
      <c r="AH1353">
        <v>12</v>
      </c>
      <c r="AI1353">
        <v>1</v>
      </c>
      <c r="AJ1353">
        <v>1</v>
      </c>
      <c r="AK1353" t="str" cm="1">
        <f t="array" ref="AK1353">_xlfn.IFS(AJ1353&lt;=2,"Poor",AJ1353&lt;=3,"Fair",AJ1353&gt;3,"Good")</f>
        <v>Poor</v>
      </c>
      <c r="AL1353">
        <v>4</v>
      </c>
      <c r="AM1353">
        <v>2</v>
      </c>
      <c r="AN1353">
        <v>1</v>
      </c>
      <c r="AO1353">
        <v>3</v>
      </c>
    </row>
    <row r="1354" spans="1:41" x14ac:dyDescent="0.2">
      <c r="A1354">
        <v>1448030</v>
      </c>
      <c r="B1354">
        <v>41</v>
      </c>
      <c r="C1354" t="str" cm="1">
        <f t="array" ref="C1354">_xlfn.IFS(B1354&lt;=25,"15-25",B1354&lt;=35,"26-35",B1354&lt;=45,"36-45",B1354&lt;=55,"46-55",B1354&lt;=65,"56-65")</f>
        <v>36-45</v>
      </c>
      <c r="D1354" t="s">
        <v>35</v>
      </c>
      <c r="E1354" t="str">
        <f t="shared" si="42"/>
        <v>Current Employee</v>
      </c>
      <c r="F1354" t="s">
        <v>36</v>
      </c>
      <c r="G1354">
        <v>337</v>
      </c>
      <c r="H1354" t="s">
        <v>37</v>
      </c>
      <c r="I1354">
        <v>8</v>
      </c>
      <c r="J1354">
        <v>3</v>
      </c>
      <c r="K1354" t="s">
        <v>55</v>
      </c>
      <c r="L1354">
        <v>1</v>
      </c>
      <c r="M1354">
        <v>3</v>
      </c>
      <c r="N1354" t="s">
        <v>39</v>
      </c>
      <c r="O1354">
        <v>54</v>
      </c>
      <c r="P1354">
        <v>3</v>
      </c>
      <c r="Q1354">
        <v>2</v>
      </c>
      <c r="R1354" t="s">
        <v>40</v>
      </c>
      <c r="S1354">
        <v>2</v>
      </c>
      <c r="T1354" t="str" cm="1">
        <f t="array" ref="T1354">_xlfn.IFS(S1354&lt;=2,"Poor",S1354&lt;=3,"Fair",S1354&gt;=4,"Good")</f>
        <v>Poor</v>
      </c>
      <c r="U1354" t="s">
        <v>48</v>
      </c>
      <c r="V1354" s="1">
        <v>4393</v>
      </c>
      <c r="W1354" t="str" cm="1">
        <f t="array" ref="W1354">_xlfn.IFS(V1354&lt;=5000,"Low Salary",V1354&lt;=12000,"Good Salary",V1354&gt;12000,"High Salary")</f>
        <v>Low Salary</v>
      </c>
      <c r="X1354">
        <v>26841</v>
      </c>
      <c r="Y1354">
        <v>5</v>
      </c>
      <c r="Z1354" t="s">
        <v>42</v>
      </c>
      <c r="AA1354" t="s">
        <v>35</v>
      </c>
      <c r="AB1354">
        <v>21</v>
      </c>
      <c r="AC1354">
        <v>4</v>
      </c>
      <c r="AD1354" t="str">
        <f t="shared" si="43"/>
        <v>High Performance</v>
      </c>
      <c r="AE1354">
        <v>3</v>
      </c>
      <c r="AF1354">
        <v>80</v>
      </c>
      <c r="AG1354">
        <v>1</v>
      </c>
      <c r="AH1354">
        <v>14</v>
      </c>
      <c r="AI1354">
        <v>3</v>
      </c>
      <c r="AJ1354">
        <v>3</v>
      </c>
      <c r="AK1354" t="str" cm="1">
        <f t="array" ref="AK1354">_xlfn.IFS(AJ1354&lt;=2,"Poor",AJ1354&lt;=3,"Fair",AJ1354&gt;3,"Good")</f>
        <v>Fair</v>
      </c>
      <c r="AL1354">
        <v>5</v>
      </c>
      <c r="AM1354">
        <v>4</v>
      </c>
      <c r="AN1354">
        <v>1</v>
      </c>
      <c r="AO1354">
        <v>4</v>
      </c>
    </row>
    <row r="1355" spans="1:41" x14ac:dyDescent="0.2">
      <c r="A1355">
        <v>1804573</v>
      </c>
      <c r="B1355">
        <v>42</v>
      </c>
      <c r="C1355" t="str" cm="1">
        <f t="array" ref="C1355">_xlfn.IFS(B1355&lt;=25,"15-25",B1355&lt;=35,"26-35",B1355&lt;=45,"36-45",B1355&lt;=55,"46-55",B1355&lt;=65,"56-65")</f>
        <v>36-45</v>
      </c>
      <c r="D1355" t="s">
        <v>35</v>
      </c>
      <c r="E1355" t="str">
        <f t="shared" si="42"/>
        <v>Current Employee</v>
      </c>
      <c r="F1355" t="s">
        <v>36</v>
      </c>
      <c r="G1355">
        <v>1396</v>
      </c>
      <c r="H1355" t="s">
        <v>54</v>
      </c>
      <c r="I1355">
        <v>6</v>
      </c>
      <c r="J1355">
        <v>3</v>
      </c>
      <c r="K1355" t="s">
        <v>49</v>
      </c>
      <c r="L1355">
        <v>1</v>
      </c>
      <c r="M1355">
        <v>3</v>
      </c>
      <c r="N1355" t="s">
        <v>46</v>
      </c>
      <c r="O1355">
        <v>83</v>
      </c>
      <c r="P1355">
        <v>3</v>
      </c>
      <c r="Q1355">
        <v>3</v>
      </c>
      <c r="R1355" t="s">
        <v>53</v>
      </c>
      <c r="S1355">
        <v>1</v>
      </c>
      <c r="T1355" t="str" cm="1">
        <f t="array" ref="T1355">_xlfn.IFS(S1355&lt;=2,"Poor",S1355&lt;=3,"Fair",S1355&gt;=4,"Good")</f>
        <v>Poor</v>
      </c>
      <c r="U1355" t="s">
        <v>48</v>
      </c>
      <c r="V1355" s="1">
        <v>13348</v>
      </c>
      <c r="W1355" t="str" cm="1">
        <f t="array" ref="W1355">_xlfn.IFS(V1355&lt;=5000,"Low Salary",V1355&lt;=12000,"Good Salary",V1355&gt;12000,"High Salary")</f>
        <v>High Salary</v>
      </c>
      <c r="X1355">
        <v>14842</v>
      </c>
      <c r="Y1355">
        <v>9</v>
      </c>
      <c r="Z1355" t="s">
        <v>42</v>
      </c>
      <c r="AA1355" t="s">
        <v>35</v>
      </c>
      <c r="AB1355">
        <v>13</v>
      </c>
      <c r="AC1355">
        <v>3</v>
      </c>
      <c r="AD1355" t="str">
        <f t="shared" si="43"/>
        <v>Low Performance</v>
      </c>
      <c r="AE1355">
        <v>2</v>
      </c>
      <c r="AF1355">
        <v>80</v>
      </c>
      <c r="AG1355">
        <v>1</v>
      </c>
      <c r="AH1355">
        <v>18</v>
      </c>
      <c r="AI1355">
        <v>3</v>
      </c>
      <c r="AJ1355">
        <v>4</v>
      </c>
      <c r="AK1355" t="str" cm="1">
        <f t="array" ref="AK1355">_xlfn.IFS(AJ1355&lt;=2,"Poor",AJ1355&lt;=3,"Fair",AJ1355&gt;3,"Good")</f>
        <v>Good</v>
      </c>
      <c r="AL1355">
        <v>13</v>
      </c>
      <c r="AM1355">
        <v>7</v>
      </c>
      <c r="AN1355">
        <v>5</v>
      </c>
      <c r="AO1355">
        <v>7</v>
      </c>
    </row>
    <row r="1356" spans="1:41" x14ac:dyDescent="0.2">
      <c r="A1356">
        <v>1058985</v>
      </c>
      <c r="B1356">
        <v>31</v>
      </c>
      <c r="C1356" t="str" cm="1">
        <f t="array" ref="C1356">_xlfn.IFS(B1356&lt;=25,"15-25",B1356&lt;=35,"26-35",B1356&lt;=45,"36-45",B1356&lt;=55,"46-55",B1356&lt;=65,"56-65")</f>
        <v>26-35</v>
      </c>
      <c r="D1356" t="s">
        <v>35</v>
      </c>
      <c r="E1356" t="str">
        <f t="shared" si="42"/>
        <v>Current Employee</v>
      </c>
      <c r="F1356" t="s">
        <v>36</v>
      </c>
      <c r="G1356">
        <v>1079</v>
      </c>
      <c r="H1356" t="s">
        <v>37</v>
      </c>
      <c r="I1356">
        <v>10</v>
      </c>
      <c r="J1356">
        <v>2</v>
      </c>
      <c r="K1356" t="s">
        <v>49</v>
      </c>
      <c r="L1356">
        <v>1</v>
      </c>
      <c r="M1356">
        <v>3</v>
      </c>
      <c r="N1356" t="s">
        <v>39</v>
      </c>
      <c r="O1356">
        <v>86</v>
      </c>
      <c r="P1356">
        <v>3</v>
      </c>
      <c r="Q1356">
        <v>2</v>
      </c>
      <c r="R1356" t="s">
        <v>40</v>
      </c>
      <c r="S1356">
        <v>4</v>
      </c>
      <c r="T1356" t="str" cm="1">
        <f t="array" ref="T1356">_xlfn.IFS(S1356&lt;=2,"Poor",S1356&lt;=3,"Fair",S1356&gt;=4,"Good")</f>
        <v>Good</v>
      </c>
      <c r="U1356" t="s">
        <v>50</v>
      </c>
      <c r="V1356" s="1">
        <v>6583</v>
      </c>
      <c r="W1356" t="str" cm="1">
        <f t="array" ref="W1356">_xlfn.IFS(V1356&lt;=5000,"Low Salary",V1356&lt;=12000,"Good Salary",V1356&gt;12000,"High Salary")</f>
        <v>Good Salary</v>
      </c>
      <c r="X1356">
        <v>20115</v>
      </c>
      <c r="Y1356">
        <v>2</v>
      </c>
      <c r="Z1356" t="s">
        <v>42</v>
      </c>
      <c r="AA1356" t="s">
        <v>43</v>
      </c>
      <c r="AB1356">
        <v>11</v>
      </c>
      <c r="AC1356">
        <v>3</v>
      </c>
      <c r="AD1356" t="str">
        <f t="shared" si="43"/>
        <v>Low Performance</v>
      </c>
      <c r="AE1356">
        <v>4</v>
      </c>
      <c r="AF1356">
        <v>80</v>
      </c>
      <c r="AG1356">
        <v>1</v>
      </c>
      <c r="AH1356">
        <v>8</v>
      </c>
      <c r="AI1356">
        <v>2</v>
      </c>
      <c r="AJ1356">
        <v>3</v>
      </c>
      <c r="AK1356" t="str" cm="1">
        <f t="array" ref="AK1356">_xlfn.IFS(AJ1356&lt;=2,"Poor",AJ1356&lt;=3,"Fair",AJ1356&gt;3,"Good")</f>
        <v>Fair</v>
      </c>
      <c r="AL1356">
        <v>5</v>
      </c>
      <c r="AM1356">
        <v>2</v>
      </c>
      <c r="AN1356">
        <v>1</v>
      </c>
      <c r="AO1356">
        <v>4</v>
      </c>
    </row>
    <row r="1357" spans="1:41" x14ac:dyDescent="0.2">
      <c r="A1357">
        <v>1674974</v>
      </c>
      <c r="B1357">
        <v>34</v>
      </c>
      <c r="C1357" t="str" cm="1">
        <f t="array" ref="C1357">_xlfn.IFS(B1357&lt;=25,"15-25",B1357&lt;=35,"26-35",B1357&lt;=45,"36-45",B1357&lt;=55,"46-55",B1357&lt;=65,"56-65")</f>
        <v>26-35</v>
      </c>
      <c r="D1357" t="s">
        <v>35</v>
      </c>
      <c r="E1357" t="str">
        <f t="shared" si="42"/>
        <v>Current Employee</v>
      </c>
      <c r="F1357" t="s">
        <v>36</v>
      </c>
      <c r="G1357">
        <v>735</v>
      </c>
      <c r="H1357" t="s">
        <v>37</v>
      </c>
      <c r="I1357">
        <v>3</v>
      </c>
      <c r="J1357">
        <v>1</v>
      </c>
      <c r="K1357" t="s">
        <v>49</v>
      </c>
      <c r="L1357">
        <v>1</v>
      </c>
      <c r="M1357">
        <v>4</v>
      </c>
      <c r="N1357" t="s">
        <v>39</v>
      </c>
      <c r="O1357">
        <v>75</v>
      </c>
      <c r="P1357">
        <v>2</v>
      </c>
      <c r="Q1357">
        <v>2</v>
      </c>
      <c r="R1357" t="s">
        <v>40</v>
      </c>
      <c r="S1357">
        <v>4</v>
      </c>
      <c r="T1357" t="str" cm="1">
        <f t="array" ref="T1357">_xlfn.IFS(S1357&lt;=2,"Poor",S1357&lt;=3,"Fair",S1357&gt;=4,"Good")</f>
        <v>Good</v>
      </c>
      <c r="U1357" t="s">
        <v>48</v>
      </c>
      <c r="V1357" s="1">
        <v>8103</v>
      </c>
      <c r="W1357" t="str" cm="1">
        <f t="array" ref="W1357">_xlfn.IFS(V1357&lt;=5000,"Low Salary",V1357&lt;=12000,"Good Salary",V1357&gt;12000,"High Salary")</f>
        <v>Good Salary</v>
      </c>
      <c r="X1357">
        <v>16495</v>
      </c>
      <c r="Y1357">
        <v>3</v>
      </c>
      <c r="Z1357" t="s">
        <v>42</v>
      </c>
      <c r="AA1357" t="s">
        <v>43</v>
      </c>
      <c r="AB1357">
        <v>12</v>
      </c>
      <c r="AC1357">
        <v>3</v>
      </c>
      <c r="AD1357" t="str">
        <f t="shared" si="43"/>
        <v>Low Performance</v>
      </c>
      <c r="AE1357">
        <v>3</v>
      </c>
      <c r="AF1357">
        <v>80</v>
      </c>
      <c r="AG1357">
        <v>0</v>
      </c>
      <c r="AH1357">
        <v>9</v>
      </c>
      <c r="AI1357">
        <v>3</v>
      </c>
      <c r="AJ1357">
        <v>2</v>
      </c>
      <c r="AK1357" t="str" cm="1">
        <f t="array" ref="AK1357">_xlfn.IFS(AJ1357&lt;=2,"Poor",AJ1357&lt;=3,"Fair",AJ1357&gt;3,"Good")</f>
        <v>Poor</v>
      </c>
      <c r="AL1357">
        <v>4</v>
      </c>
      <c r="AM1357">
        <v>2</v>
      </c>
      <c r="AN1357">
        <v>0</v>
      </c>
      <c r="AO1357">
        <v>1</v>
      </c>
    </row>
    <row r="1358" spans="1:41" x14ac:dyDescent="0.2">
      <c r="A1358">
        <v>1408618</v>
      </c>
      <c r="B1358">
        <v>31</v>
      </c>
      <c r="C1358" t="str" cm="1">
        <f t="array" ref="C1358">_xlfn.IFS(B1358&lt;=25,"15-25",B1358&lt;=35,"26-35",B1358&lt;=45,"36-45",B1358&lt;=55,"46-55",B1358&lt;=65,"56-65")</f>
        <v>26-35</v>
      </c>
      <c r="D1358" t="s">
        <v>35</v>
      </c>
      <c r="E1358" t="str">
        <f t="shared" si="42"/>
        <v>Current Employee</v>
      </c>
      <c r="F1358" t="s">
        <v>36</v>
      </c>
      <c r="G1358">
        <v>471</v>
      </c>
      <c r="H1358" t="s">
        <v>54</v>
      </c>
      <c r="I1358">
        <v>4</v>
      </c>
      <c r="J1358">
        <v>3</v>
      </c>
      <c r="K1358" t="s">
        <v>49</v>
      </c>
      <c r="L1358">
        <v>1</v>
      </c>
      <c r="M1358">
        <v>1</v>
      </c>
      <c r="N1358" t="s">
        <v>39</v>
      </c>
      <c r="O1358">
        <v>62</v>
      </c>
      <c r="P1358">
        <v>4</v>
      </c>
      <c r="Q1358">
        <v>1</v>
      </c>
      <c r="R1358" t="s">
        <v>40</v>
      </c>
      <c r="S1358">
        <v>3</v>
      </c>
      <c r="T1358" t="str" cm="1">
        <f t="array" ref="T1358">_xlfn.IFS(S1358&lt;=2,"Poor",S1358&lt;=3,"Fair",S1358&gt;=4,"Good")</f>
        <v>Fair</v>
      </c>
      <c r="U1358" t="s">
        <v>50</v>
      </c>
      <c r="V1358" s="1">
        <v>3978</v>
      </c>
      <c r="W1358" t="str" cm="1">
        <f t="array" ref="W1358">_xlfn.IFS(V1358&lt;=5000,"Low Salary",V1358&lt;=12000,"Good Salary",V1358&gt;12000,"High Salary")</f>
        <v>Low Salary</v>
      </c>
      <c r="X1358">
        <v>16031</v>
      </c>
      <c r="Y1358">
        <v>8</v>
      </c>
      <c r="Z1358" t="s">
        <v>42</v>
      </c>
      <c r="AA1358" t="s">
        <v>35</v>
      </c>
      <c r="AB1358">
        <v>12</v>
      </c>
      <c r="AC1358">
        <v>3</v>
      </c>
      <c r="AD1358" t="str">
        <f t="shared" si="43"/>
        <v>Low Performance</v>
      </c>
      <c r="AE1358">
        <v>2</v>
      </c>
      <c r="AF1358">
        <v>80</v>
      </c>
      <c r="AG1358">
        <v>1</v>
      </c>
      <c r="AH1358">
        <v>4</v>
      </c>
      <c r="AI1358">
        <v>0</v>
      </c>
      <c r="AJ1358">
        <v>2</v>
      </c>
      <c r="AK1358" t="str" cm="1">
        <f t="array" ref="AK1358">_xlfn.IFS(AJ1358&lt;=2,"Poor",AJ1358&lt;=3,"Fair",AJ1358&gt;3,"Good")</f>
        <v>Poor</v>
      </c>
      <c r="AL1358">
        <v>2</v>
      </c>
      <c r="AM1358">
        <v>2</v>
      </c>
      <c r="AN1358">
        <v>2</v>
      </c>
      <c r="AO1358">
        <v>2</v>
      </c>
    </row>
    <row r="1359" spans="1:41" x14ac:dyDescent="0.2">
      <c r="A1359">
        <v>1670932</v>
      </c>
      <c r="B1359">
        <v>26</v>
      </c>
      <c r="C1359" t="str" cm="1">
        <f t="array" ref="C1359">_xlfn.IFS(B1359&lt;=25,"15-25",B1359&lt;=35,"26-35",B1359&lt;=45,"36-45",B1359&lt;=55,"46-55",B1359&lt;=65,"56-65")</f>
        <v>26-35</v>
      </c>
      <c r="D1359" t="s">
        <v>35</v>
      </c>
      <c r="E1359" t="str">
        <f t="shared" si="42"/>
        <v>Current Employee</v>
      </c>
      <c r="F1359" t="s">
        <v>44</v>
      </c>
      <c r="G1359">
        <v>1096</v>
      </c>
      <c r="H1359" t="s">
        <v>54</v>
      </c>
      <c r="I1359">
        <v>6</v>
      </c>
      <c r="J1359">
        <v>3</v>
      </c>
      <c r="K1359" t="s">
        <v>47</v>
      </c>
      <c r="L1359">
        <v>1</v>
      </c>
      <c r="M1359">
        <v>3</v>
      </c>
      <c r="N1359" t="s">
        <v>46</v>
      </c>
      <c r="O1359">
        <v>61</v>
      </c>
      <c r="P1359">
        <v>4</v>
      </c>
      <c r="Q1359">
        <v>1</v>
      </c>
      <c r="R1359" t="s">
        <v>40</v>
      </c>
      <c r="S1359">
        <v>4</v>
      </c>
      <c r="T1359" t="str" cm="1">
        <f t="array" ref="T1359">_xlfn.IFS(S1359&lt;=2,"Poor",S1359&lt;=3,"Fair",S1359&gt;=4,"Good")</f>
        <v>Good</v>
      </c>
      <c r="U1359" t="s">
        <v>48</v>
      </c>
      <c r="V1359" s="1">
        <v>2544</v>
      </c>
      <c r="W1359" t="str" cm="1">
        <f t="array" ref="W1359">_xlfn.IFS(V1359&lt;=5000,"Low Salary",V1359&lt;=12000,"Good Salary",V1359&gt;12000,"High Salary")</f>
        <v>Low Salary</v>
      </c>
      <c r="X1359">
        <v>7102</v>
      </c>
      <c r="Y1359">
        <v>0</v>
      </c>
      <c r="Z1359" t="s">
        <v>42</v>
      </c>
      <c r="AA1359" t="s">
        <v>35</v>
      </c>
      <c r="AB1359">
        <v>18</v>
      </c>
      <c r="AC1359">
        <v>3</v>
      </c>
      <c r="AD1359" t="str">
        <f t="shared" si="43"/>
        <v>Low Performance</v>
      </c>
      <c r="AE1359">
        <v>1</v>
      </c>
      <c r="AF1359">
        <v>80</v>
      </c>
      <c r="AG1359">
        <v>1</v>
      </c>
      <c r="AH1359">
        <v>8</v>
      </c>
      <c r="AI1359">
        <v>3</v>
      </c>
      <c r="AJ1359">
        <v>3</v>
      </c>
      <c r="AK1359" t="str" cm="1">
        <f t="array" ref="AK1359">_xlfn.IFS(AJ1359&lt;=2,"Poor",AJ1359&lt;=3,"Fair",AJ1359&gt;3,"Good")</f>
        <v>Fair</v>
      </c>
      <c r="AL1359">
        <v>7</v>
      </c>
      <c r="AM1359">
        <v>7</v>
      </c>
      <c r="AN1359">
        <v>7</v>
      </c>
      <c r="AO1359">
        <v>7</v>
      </c>
    </row>
    <row r="1360" spans="1:41" x14ac:dyDescent="0.2">
      <c r="A1360">
        <v>1808720</v>
      </c>
      <c r="B1360">
        <v>45</v>
      </c>
      <c r="C1360" t="str" cm="1">
        <f t="array" ref="C1360">_xlfn.IFS(B1360&lt;=25,"15-25",B1360&lt;=35,"26-35",B1360&lt;=45,"36-45",B1360&lt;=55,"46-55",B1360&lt;=65,"56-65")</f>
        <v>36-45</v>
      </c>
      <c r="D1360" t="s">
        <v>35</v>
      </c>
      <c r="E1360" t="str">
        <f t="shared" si="42"/>
        <v>Current Employee</v>
      </c>
      <c r="F1360" t="s">
        <v>44</v>
      </c>
      <c r="G1360">
        <v>1297</v>
      </c>
      <c r="H1360" t="s">
        <v>54</v>
      </c>
      <c r="I1360">
        <v>1</v>
      </c>
      <c r="J1360">
        <v>4</v>
      </c>
      <c r="K1360" t="s">
        <v>49</v>
      </c>
      <c r="L1360">
        <v>1</v>
      </c>
      <c r="M1360">
        <v>2</v>
      </c>
      <c r="N1360" t="s">
        <v>46</v>
      </c>
      <c r="O1360">
        <v>44</v>
      </c>
      <c r="P1360">
        <v>3</v>
      </c>
      <c r="Q1360">
        <v>2</v>
      </c>
      <c r="R1360" t="s">
        <v>40</v>
      </c>
      <c r="S1360">
        <v>3</v>
      </c>
      <c r="T1360" t="str" cm="1">
        <f t="array" ref="T1360">_xlfn.IFS(S1360&lt;=2,"Poor",S1360&lt;=3,"Fair",S1360&gt;=4,"Good")</f>
        <v>Fair</v>
      </c>
      <c r="U1360" t="s">
        <v>41</v>
      </c>
      <c r="V1360" s="1">
        <v>5399</v>
      </c>
      <c r="W1360" t="str" cm="1">
        <f t="array" ref="W1360">_xlfn.IFS(V1360&lt;=5000,"Low Salary",V1360&lt;=12000,"Good Salary",V1360&gt;12000,"High Salary")</f>
        <v>Good Salary</v>
      </c>
      <c r="X1360">
        <v>14511</v>
      </c>
      <c r="Y1360">
        <v>4</v>
      </c>
      <c r="Z1360" t="s">
        <v>42</v>
      </c>
      <c r="AA1360" t="s">
        <v>35</v>
      </c>
      <c r="AB1360">
        <v>12</v>
      </c>
      <c r="AC1360">
        <v>3</v>
      </c>
      <c r="AD1360" t="str">
        <f t="shared" si="43"/>
        <v>Low Performance</v>
      </c>
      <c r="AE1360">
        <v>3</v>
      </c>
      <c r="AF1360">
        <v>80</v>
      </c>
      <c r="AG1360">
        <v>0</v>
      </c>
      <c r="AH1360">
        <v>12</v>
      </c>
      <c r="AI1360">
        <v>3</v>
      </c>
      <c r="AJ1360">
        <v>3</v>
      </c>
      <c r="AK1360" t="str" cm="1">
        <f t="array" ref="AK1360">_xlfn.IFS(AJ1360&lt;=2,"Poor",AJ1360&lt;=3,"Fair",AJ1360&gt;3,"Good")</f>
        <v>Fair</v>
      </c>
      <c r="AL1360">
        <v>4</v>
      </c>
      <c r="AM1360">
        <v>2</v>
      </c>
      <c r="AN1360">
        <v>0</v>
      </c>
      <c r="AO1360">
        <v>3</v>
      </c>
    </row>
    <row r="1361" spans="1:41" x14ac:dyDescent="0.2">
      <c r="A1361">
        <v>1228157</v>
      </c>
      <c r="B1361">
        <v>33</v>
      </c>
      <c r="C1361" t="str" cm="1">
        <f t="array" ref="C1361">_xlfn.IFS(B1361&lt;=25,"15-25",B1361&lt;=35,"26-35",B1361&lt;=45,"36-45",B1361&lt;=55,"46-55",B1361&lt;=65,"56-65")</f>
        <v>26-35</v>
      </c>
      <c r="D1361" t="s">
        <v>35</v>
      </c>
      <c r="E1361" t="str">
        <f t="shared" si="42"/>
        <v>Current Employee</v>
      </c>
      <c r="F1361" t="s">
        <v>36</v>
      </c>
      <c r="G1361">
        <v>217</v>
      </c>
      <c r="H1361" t="s">
        <v>37</v>
      </c>
      <c r="I1361">
        <v>10</v>
      </c>
      <c r="J1361">
        <v>4</v>
      </c>
      <c r="K1361" t="s">
        <v>55</v>
      </c>
      <c r="L1361">
        <v>1</v>
      </c>
      <c r="M1361">
        <v>2</v>
      </c>
      <c r="N1361" t="s">
        <v>46</v>
      </c>
      <c r="O1361">
        <v>43</v>
      </c>
      <c r="P1361">
        <v>3</v>
      </c>
      <c r="Q1361">
        <v>2</v>
      </c>
      <c r="R1361" t="s">
        <v>40</v>
      </c>
      <c r="S1361">
        <v>3</v>
      </c>
      <c r="T1361" t="str" cm="1">
        <f t="array" ref="T1361">_xlfn.IFS(S1361&lt;=2,"Poor",S1361&lt;=3,"Fair",S1361&gt;=4,"Good")</f>
        <v>Fair</v>
      </c>
      <c r="U1361" t="s">
        <v>41</v>
      </c>
      <c r="V1361" s="1">
        <v>5487</v>
      </c>
      <c r="W1361" t="str" cm="1">
        <f t="array" ref="W1361">_xlfn.IFS(V1361&lt;=5000,"Low Salary",V1361&lt;=12000,"Good Salary",V1361&gt;12000,"High Salary")</f>
        <v>Good Salary</v>
      </c>
      <c r="X1361">
        <v>10410</v>
      </c>
      <c r="Y1361">
        <v>1</v>
      </c>
      <c r="Z1361" t="s">
        <v>42</v>
      </c>
      <c r="AA1361" t="s">
        <v>35</v>
      </c>
      <c r="AB1361">
        <v>14</v>
      </c>
      <c r="AC1361">
        <v>3</v>
      </c>
      <c r="AD1361" t="str">
        <f t="shared" si="43"/>
        <v>Low Performance</v>
      </c>
      <c r="AE1361">
        <v>2</v>
      </c>
      <c r="AF1361">
        <v>80</v>
      </c>
      <c r="AG1361">
        <v>0</v>
      </c>
      <c r="AH1361">
        <v>10</v>
      </c>
      <c r="AI1361">
        <v>2</v>
      </c>
      <c r="AJ1361">
        <v>2</v>
      </c>
      <c r="AK1361" t="str" cm="1">
        <f t="array" ref="AK1361">_xlfn.IFS(AJ1361&lt;=2,"Poor",AJ1361&lt;=3,"Fair",AJ1361&gt;3,"Good")</f>
        <v>Poor</v>
      </c>
      <c r="AL1361">
        <v>10</v>
      </c>
      <c r="AM1361">
        <v>4</v>
      </c>
      <c r="AN1361">
        <v>0</v>
      </c>
      <c r="AO1361">
        <v>9</v>
      </c>
    </row>
    <row r="1362" spans="1:41" x14ac:dyDescent="0.2">
      <c r="A1362">
        <v>1355281</v>
      </c>
      <c r="B1362">
        <v>28</v>
      </c>
      <c r="C1362" t="str" cm="1">
        <f t="array" ref="C1362">_xlfn.IFS(B1362&lt;=25,"15-25",B1362&lt;=35,"26-35",B1362&lt;=45,"36-45",B1362&lt;=55,"46-55",B1362&lt;=65,"56-65")</f>
        <v>26-35</v>
      </c>
      <c r="D1362" t="s">
        <v>35</v>
      </c>
      <c r="E1362" t="str">
        <f t="shared" si="42"/>
        <v>Current Employee</v>
      </c>
      <c r="F1362" t="s">
        <v>44</v>
      </c>
      <c r="G1362">
        <v>783</v>
      </c>
      <c r="H1362" t="s">
        <v>37</v>
      </c>
      <c r="I1362">
        <v>1</v>
      </c>
      <c r="J1362">
        <v>2</v>
      </c>
      <c r="K1362" t="s">
        <v>38</v>
      </c>
      <c r="L1362">
        <v>1</v>
      </c>
      <c r="M1362">
        <v>3</v>
      </c>
      <c r="N1362" t="s">
        <v>46</v>
      </c>
      <c r="O1362">
        <v>42</v>
      </c>
      <c r="P1362">
        <v>2</v>
      </c>
      <c r="Q1362">
        <v>2</v>
      </c>
      <c r="R1362" t="s">
        <v>40</v>
      </c>
      <c r="S1362">
        <v>4</v>
      </c>
      <c r="T1362" t="str" cm="1">
        <f t="array" ref="T1362">_xlfn.IFS(S1362&lt;=2,"Poor",S1362&lt;=3,"Fair",S1362&gt;=4,"Good")</f>
        <v>Good</v>
      </c>
      <c r="U1362" t="s">
        <v>48</v>
      </c>
      <c r="V1362" s="1">
        <v>6834</v>
      </c>
      <c r="W1362" t="str" cm="1">
        <f t="array" ref="W1362">_xlfn.IFS(V1362&lt;=5000,"Low Salary",V1362&lt;=12000,"Good Salary",V1362&gt;12000,"High Salary")</f>
        <v>Good Salary</v>
      </c>
      <c r="X1362">
        <v>19255</v>
      </c>
      <c r="Y1362">
        <v>1</v>
      </c>
      <c r="Z1362" t="s">
        <v>42</v>
      </c>
      <c r="AA1362" t="s">
        <v>43</v>
      </c>
      <c r="AB1362">
        <v>12</v>
      </c>
      <c r="AC1362">
        <v>3</v>
      </c>
      <c r="AD1362" t="str">
        <f t="shared" si="43"/>
        <v>Low Performance</v>
      </c>
      <c r="AE1362">
        <v>3</v>
      </c>
      <c r="AF1362">
        <v>80</v>
      </c>
      <c r="AG1362">
        <v>1</v>
      </c>
      <c r="AH1362">
        <v>7</v>
      </c>
      <c r="AI1362">
        <v>2</v>
      </c>
      <c r="AJ1362">
        <v>3</v>
      </c>
      <c r="AK1362" t="str" cm="1">
        <f t="array" ref="AK1362">_xlfn.IFS(AJ1362&lt;=2,"Poor",AJ1362&lt;=3,"Fair",AJ1362&gt;3,"Good")</f>
        <v>Fair</v>
      </c>
      <c r="AL1362">
        <v>7</v>
      </c>
      <c r="AM1362">
        <v>7</v>
      </c>
      <c r="AN1362">
        <v>0</v>
      </c>
      <c r="AO1362">
        <v>7</v>
      </c>
    </row>
    <row r="1363" spans="1:41" x14ac:dyDescent="0.2">
      <c r="A1363">
        <v>1745305</v>
      </c>
      <c r="B1363">
        <v>29</v>
      </c>
      <c r="C1363" t="str" cm="1">
        <f t="array" ref="C1363">_xlfn.IFS(B1363&lt;=25,"15-25",B1363&lt;=35,"26-35",B1363&lt;=45,"36-45",B1363&lt;=55,"46-55",B1363&lt;=65,"56-65")</f>
        <v>26-35</v>
      </c>
      <c r="D1363" t="s">
        <v>43</v>
      </c>
      <c r="E1363" t="str">
        <f t="shared" si="42"/>
        <v>Former Employee</v>
      </c>
      <c r="F1363" t="s">
        <v>44</v>
      </c>
      <c r="G1363">
        <v>746</v>
      </c>
      <c r="H1363" t="s">
        <v>37</v>
      </c>
      <c r="I1363">
        <v>24</v>
      </c>
      <c r="J1363">
        <v>3</v>
      </c>
      <c r="K1363" t="s">
        <v>56</v>
      </c>
      <c r="L1363">
        <v>1</v>
      </c>
      <c r="M1363">
        <v>3</v>
      </c>
      <c r="N1363" t="s">
        <v>46</v>
      </c>
      <c r="O1363">
        <v>45</v>
      </c>
      <c r="P1363">
        <v>4</v>
      </c>
      <c r="Q1363">
        <v>1</v>
      </c>
      <c r="R1363" t="s">
        <v>47</v>
      </c>
      <c r="S1363">
        <v>1</v>
      </c>
      <c r="T1363" t="str" cm="1">
        <f t="array" ref="T1363">_xlfn.IFS(S1363&lt;=2,"Poor",S1363&lt;=3,"Fair",S1363&gt;=4,"Good")</f>
        <v>Poor</v>
      </c>
      <c r="U1363" t="s">
        <v>41</v>
      </c>
      <c r="V1363" s="1">
        <v>1091</v>
      </c>
      <c r="W1363" t="str" cm="1">
        <f t="array" ref="W1363">_xlfn.IFS(V1363&lt;=5000,"Low Salary",V1363&lt;=12000,"Good Salary",V1363&gt;12000,"High Salary")</f>
        <v>Low Salary</v>
      </c>
      <c r="X1363">
        <v>10642</v>
      </c>
      <c r="Y1363">
        <v>1</v>
      </c>
      <c r="Z1363" t="s">
        <v>42</v>
      </c>
      <c r="AA1363" t="s">
        <v>35</v>
      </c>
      <c r="AB1363">
        <v>17</v>
      </c>
      <c r="AC1363">
        <v>3</v>
      </c>
      <c r="AD1363" t="str">
        <f t="shared" si="43"/>
        <v>Low Performance</v>
      </c>
      <c r="AE1363">
        <v>4</v>
      </c>
      <c r="AF1363">
        <v>80</v>
      </c>
      <c r="AG1363">
        <v>0</v>
      </c>
      <c r="AH1363">
        <v>1</v>
      </c>
      <c r="AI1363">
        <v>3</v>
      </c>
      <c r="AJ1363">
        <v>3</v>
      </c>
      <c r="AK1363" t="str" cm="1">
        <f t="array" ref="AK1363">_xlfn.IFS(AJ1363&lt;=2,"Poor",AJ1363&lt;=3,"Fair",AJ1363&gt;3,"Good")</f>
        <v>Fair</v>
      </c>
      <c r="AL1363">
        <v>1</v>
      </c>
      <c r="AM1363">
        <v>0</v>
      </c>
      <c r="AN1363">
        <v>0</v>
      </c>
      <c r="AO1363">
        <v>0</v>
      </c>
    </row>
    <row r="1364" spans="1:41" x14ac:dyDescent="0.2">
      <c r="A1364">
        <v>1048077</v>
      </c>
      <c r="B1364">
        <v>39</v>
      </c>
      <c r="C1364" t="str" cm="1">
        <f t="array" ref="C1364">_xlfn.IFS(B1364&lt;=25,"15-25",B1364&lt;=35,"26-35",B1364&lt;=45,"36-45",B1364&lt;=55,"46-55",B1364&lt;=65,"56-65")</f>
        <v>36-45</v>
      </c>
      <c r="D1364" t="s">
        <v>35</v>
      </c>
      <c r="E1364" t="str">
        <f t="shared" si="42"/>
        <v>Current Employee</v>
      </c>
      <c r="F1364" t="s">
        <v>52</v>
      </c>
      <c r="G1364">
        <v>1251</v>
      </c>
      <c r="H1364" t="s">
        <v>37</v>
      </c>
      <c r="I1364">
        <v>21</v>
      </c>
      <c r="J1364">
        <v>4</v>
      </c>
      <c r="K1364" t="s">
        <v>38</v>
      </c>
      <c r="L1364">
        <v>1</v>
      </c>
      <c r="M1364">
        <v>1</v>
      </c>
      <c r="N1364" t="s">
        <v>39</v>
      </c>
      <c r="O1364">
        <v>32</v>
      </c>
      <c r="P1364">
        <v>1</v>
      </c>
      <c r="Q1364">
        <v>2</v>
      </c>
      <c r="R1364" t="s">
        <v>40</v>
      </c>
      <c r="S1364">
        <v>3</v>
      </c>
      <c r="T1364" t="str" cm="1">
        <f t="array" ref="T1364">_xlfn.IFS(S1364&lt;=2,"Poor",S1364&lt;=3,"Fair",S1364&gt;=4,"Good")</f>
        <v>Fair</v>
      </c>
      <c r="U1364" t="s">
        <v>48</v>
      </c>
      <c r="V1364" s="1">
        <v>5736</v>
      </c>
      <c r="W1364" t="str" cm="1">
        <f t="array" ref="W1364">_xlfn.IFS(V1364&lt;=5000,"Low Salary",V1364&lt;=12000,"Good Salary",V1364&gt;12000,"High Salary")</f>
        <v>Good Salary</v>
      </c>
      <c r="X1364">
        <v>3987</v>
      </c>
      <c r="Y1364">
        <v>6</v>
      </c>
      <c r="Z1364" t="s">
        <v>42</v>
      </c>
      <c r="AA1364" t="s">
        <v>35</v>
      </c>
      <c r="AB1364">
        <v>19</v>
      </c>
      <c r="AC1364">
        <v>3</v>
      </c>
      <c r="AD1364" t="str">
        <f t="shared" si="43"/>
        <v>Low Performance</v>
      </c>
      <c r="AE1364">
        <v>3</v>
      </c>
      <c r="AF1364">
        <v>80</v>
      </c>
      <c r="AG1364">
        <v>1</v>
      </c>
      <c r="AH1364">
        <v>10</v>
      </c>
      <c r="AI1364">
        <v>1</v>
      </c>
      <c r="AJ1364">
        <v>3</v>
      </c>
      <c r="AK1364" t="str" cm="1">
        <f t="array" ref="AK1364">_xlfn.IFS(AJ1364&lt;=2,"Poor",AJ1364&lt;=3,"Fair",AJ1364&gt;3,"Good")</f>
        <v>Fair</v>
      </c>
      <c r="AL1364">
        <v>3</v>
      </c>
      <c r="AM1364">
        <v>2</v>
      </c>
      <c r="AN1364">
        <v>1</v>
      </c>
      <c r="AO1364">
        <v>2</v>
      </c>
    </row>
    <row r="1365" spans="1:41" x14ac:dyDescent="0.2">
      <c r="A1365">
        <v>1616851</v>
      </c>
      <c r="B1365">
        <v>27</v>
      </c>
      <c r="C1365" t="str" cm="1">
        <f t="array" ref="C1365">_xlfn.IFS(B1365&lt;=25,"15-25",B1365&lt;=35,"26-35",B1365&lt;=45,"36-45",B1365&lt;=55,"46-55",B1365&lt;=65,"56-65")</f>
        <v>26-35</v>
      </c>
      <c r="D1365" t="s">
        <v>35</v>
      </c>
      <c r="E1365" t="str">
        <f t="shared" si="42"/>
        <v>Current Employee</v>
      </c>
      <c r="F1365" t="s">
        <v>36</v>
      </c>
      <c r="G1365">
        <v>1354</v>
      </c>
      <c r="H1365" t="s">
        <v>54</v>
      </c>
      <c r="I1365">
        <v>2</v>
      </c>
      <c r="J1365">
        <v>4</v>
      </c>
      <c r="K1365" t="s">
        <v>56</v>
      </c>
      <c r="L1365">
        <v>1</v>
      </c>
      <c r="M1365">
        <v>2</v>
      </c>
      <c r="N1365" t="s">
        <v>46</v>
      </c>
      <c r="O1365">
        <v>41</v>
      </c>
      <c r="P1365">
        <v>3</v>
      </c>
      <c r="Q1365">
        <v>1</v>
      </c>
      <c r="R1365" t="s">
        <v>47</v>
      </c>
      <c r="S1365">
        <v>2</v>
      </c>
      <c r="T1365" t="str" cm="1">
        <f t="array" ref="T1365">_xlfn.IFS(S1365&lt;=2,"Poor",S1365&lt;=3,"Fair",S1365&gt;=4,"Good")</f>
        <v>Poor</v>
      </c>
      <c r="U1365" t="s">
        <v>48</v>
      </c>
      <c r="V1365" s="1">
        <v>2226</v>
      </c>
      <c r="W1365" t="str" cm="1">
        <f t="array" ref="W1365">_xlfn.IFS(V1365&lt;=5000,"Low Salary",V1365&lt;=12000,"Good Salary",V1365&gt;12000,"High Salary")</f>
        <v>Low Salary</v>
      </c>
      <c r="X1365">
        <v>6073</v>
      </c>
      <c r="Y1365">
        <v>1</v>
      </c>
      <c r="Z1365" t="s">
        <v>42</v>
      </c>
      <c r="AA1365" t="s">
        <v>35</v>
      </c>
      <c r="AB1365">
        <v>11</v>
      </c>
      <c r="AC1365">
        <v>3</v>
      </c>
      <c r="AD1365" t="str">
        <f t="shared" si="43"/>
        <v>Low Performance</v>
      </c>
      <c r="AE1365">
        <v>3</v>
      </c>
      <c r="AF1365">
        <v>80</v>
      </c>
      <c r="AG1365">
        <v>1</v>
      </c>
      <c r="AH1365">
        <v>6</v>
      </c>
      <c r="AI1365">
        <v>3</v>
      </c>
      <c r="AJ1365">
        <v>2</v>
      </c>
      <c r="AK1365" t="str" cm="1">
        <f t="array" ref="AK1365">_xlfn.IFS(AJ1365&lt;=2,"Poor",AJ1365&lt;=3,"Fair",AJ1365&gt;3,"Good")</f>
        <v>Poor</v>
      </c>
      <c r="AL1365">
        <v>5</v>
      </c>
      <c r="AM1365">
        <v>3</v>
      </c>
      <c r="AN1365">
        <v>1</v>
      </c>
      <c r="AO1365">
        <v>2</v>
      </c>
    </row>
    <row r="1366" spans="1:41" x14ac:dyDescent="0.2">
      <c r="A1366">
        <v>1700476</v>
      </c>
      <c r="B1366">
        <v>34</v>
      </c>
      <c r="C1366" t="str" cm="1">
        <f t="array" ref="C1366">_xlfn.IFS(B1366&lt;=25,"15-25",B1366&lt;=35,"26-35",B1366&lt;=45,"36-45",B1366&lt;=55,"46-55",B1366&lt;=65,"56-65")</f>
        <v>26-35</v>
      </c>
      <c r="D1366" t="s">
        <v>35</v>
      </c>
      <c r="E1366" t="str">
        <f t="shared" si="42"/>
        <v>Current Employee</v>
      </c>
      <c r="F1366" t="s">
        <v>44</v>
      </c>
      <c r="G1366">
        <v>735</v>
      </c>
      <c r="H1366" t="s">
        <v>54</v>
      </c>
      <c r="I1366">
        <v>22</v>
      </c>
      <c r="J1366">
        <v>4</v>
      </c>
      <c r="K1366" t="s">
        <v>47</v>
      </c>
      <c r="L1366">
        <v>1</v>
      </c>
      <c r="M1366">
        <v>3</v>
      </c>
      <c r="N1366" t="s">
        <v>46</v>
      </c>
      <c r="O1366">
        <v>86</v>
      </c>
      <c r="P1366">
        <v>2</v>
      </c>
      <c r="Q1366">
        <v>2</v>
      </c>
      <c r="R1366" t="s">
        <v>47</v>
      </c>
      <c r="S1366">
        <v>4</v>
      </c>
      <c r="T1366" t="str" cm="1">
        <f t="array" ref="T1366">_xlfn.IFS(S1366&lt;=2,"Poor",S1366&lt;=3,"Fair",S1366&gt;=4,"Good")</f>
        <v>Good</v>
      </c>
      <c r="U1366" t="s">
        <v>48</v>
      </c>
      <c r="V1366" s="1">
        <v>5747</v>
      </c>
      <c r="W1366" t="str" cm="1">
        <f t="array" ref="W1366">_xlfn.IFS(V1366&lt;=5000,"Low Salary",V1366&lt;=12000,"Good Salary",V1366&gt;12000,"High Salary")</f>
        <v>Good Salary</v>
      </c>
      <c r="X1366">
        <v>26496</v>
      </c>
      <c r="Y1366">
        <v>1</v>
      </c>
      <c r="Z1366" t="s">
        <v>42</v>
      </c>
      <c r="AA1366" t="s">
        <v>43</v>
      </c>
      <c r="AB1366">
        <v>15</v>
      </c>
      <c r="AC1366">
        <v>3</v>
      </c>
      <c r="AD1366" t="str">
        <f t="shared" si="43"/>
        <v>Low Performance</v>
      </c>
      <c r="AE1366">
        <v>2</v>
      </c>
      <c r="AF1366">
        <v>80</v>
      </c>
      <c r="AG1366">
        <v>0</v>
      </c>
      <c r="AH1366">
        <v>16</v>
      </c>
      <c r="AI1366">
        <v>3</v>
      </c>
      <c r="AJ1366">
        <v>3</v>
      </c>
      <c r="AK1366" t="str" cm="1">
        <f t="array" ref="AK1366">_xlfn.IFS(AJ1366&lt;=2,"Poor",AJ1366&lt;=3,"Fair",AJ1366&gt;3,"Good")</f>
        <v>Fair</v>
      </c>
      <c r="AL1366">
        <v>15</v>
      </c>
      <c r="AM1366">
        <v>10</v>
      </c>
      <c r="AN1366">
        <v>6</v>
      </c>
      <c r="AO1366">
        <v>11</v>
      </c>
    </row>
    <row r="1367" spans="1:41" x14ac:dyDescent="0.2">
      <c r="A1367">
        <v>1603368</v>
      </c>
      <c r="B1367">
        <v>28</v>
      </c>
      <c r="C1367" t="str" cm="1">
        <f t="array" ref="C1367">_xlfn.IFS(B1367&lt;=25,"15-25",B1367&lt;=35,"26-35",B1367&lt;=45,"36-45",B1367&lt;=55,"46-55",B1367&lt;=65,"56-65")</f>
        <v>26-35</v>
      </c>
      <c r="D1367" t="s">
        <v>43</v>
      </c>
      <c r="E1367" t="str">
        <f t="shared" si="42"/>
        <v>Former Employee</v>
      </c>
      <c r="F1367" t="s">
        <v>36</v>
      </c>
      <c r="G1367">
        <v>1475</v>
      </c>
      <c r="H1367" t="s">
        <v>37</v>
      </c>
      <c r="I1367">
        <v>13</v>
      </c>
      <c r="J1367">
        <v>2</v>
      </c>
      <c r="K1367" t="s">
        <v>55</v>
      </c>
      <c r="L1367">
        <v>1</v>
      </c>
      <c r="M1367">
        <v>4</v>
      </c>
      <c r="N1367" t="s">
        <v>39</v>
      </c>
      <c r="O1367">
        <v>84</v>
      </c>
      <c r="P1367">
        <v>3</v>
      </c>
      <c r="Q1367">
        <v>2</v>
      </c>
      <c r="R1367" t="s">
        <v>40</v>
      </c>
      <c r="S1367">
        <v>3</v>
      </c>
      <c r="T1367" t="str" cm="1">
        <f t="array" ref="T1367">_xlfn.IFS(S1367&lt;=2,"Poor",S1367&lt;=3,"Fair",S1367&gt;=4,"Good")</f>
        <v>Fair</v>
      </c>
      <c r="U1367" t="s">
        <v>41</v>
      </c>
      <c r="V1367" s="1">
        <v>9854</v>
      </c>
      <c r="W1367" t="str" cm="1">
        <f t="array" ref="W1367">_xlfn.IFS(V1367&lt;=5000,"Low Salary",V1367&lt;=12000,"Good Salary",V1367&gt;12000,"High Salary")</f>
        <v>Good Salary</v>
      </c>
      <c r="X1367">
        <v>23352</v>
      </c>
      <c r="Y1367">
        <v>3</v>
      </c>
      <c r="Z1367" t="s">
        <v>42</v>
      </c>
      <c r="AA1367" t="s">
        <v>43</v>
      </c>
      <c r="AB1367">
        <v>11</v>
      </c>
      <c r="AC1367">
        <v>3</v>
      </c>
      <c r="AD1367" t="str">
        <f t="shared" si="43"/>
        <v>Low Performance</v>
      </c>
      <c r="AE1367">
        <v>4</v>
      </c>
      <c r="AF1367">
        <v>80</v>
      </c>
      <c r="AG1367">
        <v>0</v>
      </c>
      <c r="AH1367">
        <v>6</v>
      </c>
      <c r="AI1367">
        <v>0</v>
      </c>
      <c r="AJ1367">
        <v>3</v>
      </c>
      <c r="AK1367" t="str" cm="1">
        <f t="array" ref="AK1367">_xlfn.IFS(AJ1367&lt;=2,"Poor",AJ1367&lt;=3,"Fair",AJ1367&gt;3,"Good")</f>
        <v>Fair</v>
      </c>
      <c r="AL1367">
        <v>2</v>
      </c>
      <c r="AM1367">
        <v>0</v>
      </c>
      <c r="AN1367">
        <v>2</v>
      </c>
      <c r="AO1367">
        <v>2</v>
      </c>
    </row>
    <row r="1368" spans="1:41" x14ac:dyDescent="0.2">
      <c r="A1368">
        <v>1775902</v>
      </c>
      <c r="B1368">
        <v>47</v>
      </c>
      <c r="C1368" t="str" cm="1">
        <f t="array" ref="C1368">_xlfn.IFS(B1368&lt;=25,"15-25",B1368&lt;=35,"26-35",B1368&lt;=45,"36-45",B1368&lt;=55,"46-55",B1368&lt;=65,"56-65")</f>
        <v>46-55</v>
      </c>
      <c r="D1368" t="s">
        <v>35</v>
      </c>
      <c r="E1368" t="str">
        <f t="shared" si="42"/>
        <v>Current Employee</v>
      </c>
      <c r="F1368" t="s">
        <v>52</v>
      </c>
      <c r="G1368">
        <v>1169</v>
      </c>
      <c r="H1368" t="s">
        <v>54</v>
      </c>
      <c r="I1368">
        <v>14</v>
      </c>
      <c r="J1368">
        <v>4</v>
      </c>
      <c r="K1368" t="s">
        <v>56</v>
      </c>
      <c r="L1368">
        <v>1</v>
      </c>
      <c r="M1368">
        <v>3</v>
      </c>
      <c r="N1368" t="s">
        <v>46</v>
      </c>
      <c r="O1368">
        <v>64</v>
      </c>
      <c r="P1368">
        <v>3</v>
      </c>
      <c r="Q1368">
        <v>2</v>
      </c>
      <c r="R1368" t="s">
        <v>47</v>
      </c>
      <c r="S1368">
        <v>2</v>
      </c>
      <c r="T1368" t="str" cm="1">
        <f t="array" ref="T1368">_xlfn.IFS(S1368&lt;=2,"Poor",S1368&lt;=3,"Fair",S1368&gt;=4,"Good")</f>
        <v>Poor</v>
      </c>
      <c r="U1368" t="s">
        <v>48</v>
      </c>
      <c r="V1368" s="1">
        <v>5467</v>
      </c>
      <c r="W1368" t="str" cm="1">
        <f t="array" ref="W1368">_xlfn.IFS(V1368&lt;=5000,"Low Salary",V1368&lt;=12000,"Good Salary",V1368&gt;12000,"High Salary")</f>
        <v>Good Salary</v>
      </c>
      <c r="X1368">
        <v>2125</v>
      </c>
      <c r="Y1368">
        <v>8</v>
      </c>
      <c r="Z1368" t="s">
        <v>42</v>
      </c>
      <c r="AA1368" t="s">
        <v>35</v>
      </c>
      <c r="AB1368">
        <v>18</v>
      </c>
      <c r="AC1368">
        <v>3</v>
      </c>
      <c r="AD1368" t="str">
        <f t="shared" si="43"/>
        <v>Low Performance</v>
      </c>
      <c r="AE1368">
        <v>3</v>
      </c>
      <c r="AF1368">
        <v>80</v>
      </c>
      <c r="AG1368">
        <v>1</v>
      </c>
      <c r="AH1368">
        <v>16</v>
      </c>
      <c r="AI1368">
        <v>4</v>
      </c>
      <c r="AJ1368">
        <v>4</v>
      </c>
      <c r="AK1368" t="str" cm="1">
        <f t="array" ref="AK1368">_xlfn.IFS(AJ1368&lt;=2,"Poor",AJ1368&lt;=3,"Fair",AJ1368&gt;3,"Good")</f>
        <v>Good</v>
      </c>
      <c r="AL1368">
        <v>8</v>
      </c>
      <c r="AM1368">
        <v>7</v>
      </c>
      <c r="AN1368">
        <v>1</v>
      </c>
      <c r="AO1368">
        <v>7</v>
      </c>
    </row>
    <row r="1369" spans="1:41" x14ac:dyDescent="0.2">
      <c r="A1369">
        <v>1871585</v>
      </c>
      <c r="B1369">
        <v>56</v>
      </c>
      <c r="C1369" t="str" cm="1">
        <f t="array" ref="C1369">_xlfn.IFS(B1369&lt;=25,"15-25",B1369&lt;=35,"26-35",B1369&lt;=45,"36-45",B1369&lt;=55,"46-55",B1369&lt;=65,"56-65")</f>
        <v>56-65</v>
      </c>
      <c r="D1369" t="s">
        <v>35</v>
      </c>
      <c r="E1369" t="str">
        <f t="shared" si="42"/>
        <v>Current Employee</v>
      </c>
      <c r="F1369" t="s">
        <v>36</v>
      </c>
      <c r="G1369">
        <v>1443</v>
      </c>
      <c r="H1369" t="s">
        <v>37</v>
      </c>
      <c r="I1369">
        <v>11</v>
      </c>
      <c r="J1369">
        <v>5</v>
      </c>
      <c r="K1369" t="s">
        <v>55</v>
      </c>
      <c r="L1369">
        <v>1</v>
      </c>
      <c r="M1369">
        <v>4</v>
      </c>
      <c r="N1369" t="s">
        <v>39</v>
      </c>
      <c r="O1369">
        <v>89</v>
      </c>
      <c r="P1369">
        <v>2</v>
      </c>
      <c r="Q1369">
        <v>2</v>
      </c>
      <c r="R1369" t="s">
        <v>40</v>
      </c>
      <c r="S1369">
        <v>1</v>
      </c>
      <c r="T1369" t="str" cm="1">
        <f t="array" ref="T1369">_xlfn.IFS(S1369&lt;=2,"Poor",S1369&lt;=3,"Fair",S1369&gt;=4,"Good")</f>
        <v>Poor</v>
      </c>
      <c r="U1369" t="s">
        <v>48</v>
      </c>
      <c r="V1369" s="1">
        <v>5380</v>
      </c>
      <c r="W1369" t="str" cm="1">
        <f t="array" ref="W1369">_xlfn.IFS(V1369&lt;=5000,"Low Salary",V1369&lt;=12000,"Good Salary",V1369&gt;12000,"High Salary")</f>
        <v>Good Salary</v>
      </c>
      <c r="X1369">
        <v>20328</v>
      </c>
      <c r="Y1369">
        <v>4</v>
      </c>
      <c r="Z1369" t="s">
        <v>42</v>
      </c>
      <c r="AA1369" t="s">
        <v>35</v>
      </c>
      <c r="AB1369">
        <v>16</v>
      </c>
      <c r="AC1369">
        <v>3</v>
      </c>
      <c r="AD1369" t="str">
        <f t="shared" si="43"/>
        <v>Low Performance</v>
      </c>
      <c r="AE1369">
        <v>3</v>
      </c>
      <c r="AF1369">
        <v>80</v>
      </c>
      <c r="AG1369">
        <v>1</v>
      </c>
      <c r="AH1369">
        <v>6</v>
      </c>
      <c r="AI1369">
        <v>3</v>
      </c>
      <c r="AJ1369">
        <v>3</v>
      </c>
      <c r="AK1369" t="str" cm="1">
        <f t="array" ref="AK1369">_xlfn.IFS(AJ1369&lt;=2,"Poor",AJ1369&lt;=3,"Fair",AJ1369&gt;3,"Good")</f>
        <v>Fair</v>
      </c>
      <c r="AL1369">
        <v>0</v>
      </c>
      <c r="AM1369">
        <v>0</v>
      </c>
      <c r="AN1369">
        <v>0</v>
      </c>
      <c r="AO1369">
        <v>0</v>
      </c>
    </row>
    <row r="1370" spans="1:41" x14ac:dyDescent="0.2">
      <c r="A1370">
        <v>1606461</v>
      </c>
      <c r="B1370">
        <v>39</v>
      </c>
      <c r="C1370" t="str" cm="1">
        <f t="array" ref="C1370">_xlfn.IFS(B1370&lt;=25,"15-25",B1370&lt;=35,"26-35",B1370&lt;=45,"36-45",B1370&lt;=55,"46-55",B1370&lt;=65,"56-65")</f>
        <v>36-45</v>
      </c>
      <c r="D1370" t="s">
        <v>35</v>
      </c>
      <c r="E1370" t="str">
        <f t="shared" si="42"/>
        <v>Current Employee</v>
      </c>
      <c r="F1370" t="s">
        <v>36</v>
      </c>
      <c r="G1370">
        <v>867</v>
      </c>
      <c r="H1370" t="s">
        <v>37</v>
      </c>
      <c r="I1370">
        <v>9</v>
      </c>
      <c r="J1370">
        <v>2</v>
      </c>
      <c r="K1370" t="s">
        <v>49</v>
      </c>
      <c r="L1370">
        <v>1</v>
      </c>
      <c r="M1370">
        <v>1</v>
      </c>
      <c r="N1370" t="s">
        <v>46</v>
      </c>
      <c r="O1370">
        <v>87</v>
      </c>
      <c r="P1370">
        <v>3</v>
      </c>
      <c r="Q1370">
        <v>2</v>
      </c>
      <c r="R1370" t="s">
        <v>51</v>
      </c>
      <c r="S1370">
        <v>1</v>
      </c>
      <c r="T1370" t="str" cm="1">
        <f t="array" ref="T1370">_xlfn.IFS(S1370&lt;=2,"Poor",S1370&lt;=3,"Fair",S1370&gt;=4,"Good")</f>
        <v>Poor</v>
      </c>
      <c r="U1370" t="s">
        <v>48</v>
      </c>
      <c r="V1370" s="1">
        <v>5151</v>
      </c>
      <c r="W1370" t="str" cm="1">
        <f t="array" ref="W1370">_xlfn.IFS(V1370&lt;=5000,"Low Salary",V1370&lt;=12000,"Good Salary",V1370&gt;12000,"High Salary")</f>
        <v>Good Salary</v>
      </c>
      <c r="X1370">
        <v>12315</v>
      </c>
      <c r="Y1370">
        <v>1</v>
      </c>
      <c r="Z1370" t="s">
        <v>42</v>
      </c>
      <c r="AA1370" t="s">
        <v>35</v>
      </c>
      <c r="AB1370">
        <v>25</v>
      </c>
      <c r="AC1370">
        <v>4</v>
      </c>
      <c r="AD1370" t="str">
        <f t="shared" si="43"/>
        <v>High Performance</v>
      </c>
      <c r="AE1370">
        <v>4</v>
      </c>
      <c r="AF1370">
        <v>80</v>
      </c>
      <c r="AG1370">
        <v>1</v>
      </c>
      <c r="AH1370">
        <v>10</v>
      </c>
      <c r="AI1370">
        <v>3</v>
      </c>
      <c r="AJ1370">
        <v>3</v>
      </c>
      <c r="AK1370" t="str" cm="1">
        <f t="array" ref="AK1370">_xlfn.IFS(AJ1370&lt;=2,"Poor",AJ1370&lt;=3,"Fair",AJ1370&gt;3,"Good")</f>
        <v>Fair</v>
      </c>
      <c r="AL1370">
        <v>10</v>
      </c>
      <c r="AM1370">
        <v>0</v>
      </c>
      <c r="AN1370">
        <v>7</v>
      </c>
      <c r="AO1370">
        <v>9</v>
      </c>
    </row>
    <row r="1371" spans="1:41" x14ac:dyDescent="0.2">
      <c r="A1371">
        <v>1236472</v>
      </c>
      <c r="B1371">
        <v>38</v>
      </c>
      <c r="C1371" t="str" cm="1">
        <f t="array" ref="C1371">_xlfn.IFS(B1371&lt;=25,"15-25",B1371&lt;=35,"26-35",B1371&lt;=45,"36-45",B1371&lt;=55,"46-55",B1371&lt;=65,"56-65")</f>
        <v>36-45</v>
      </c>
      <c r="D1371" t="s">
        <v>35</v>
      </c>
      <c r="E1371" t="str">
        <f t="shared" si="42"/>
        <v>Current Employee</v>
      </c>
      <c r="F1371" t="s">
        <v>44</v>
      </c>
      <c r="G1371">
        <v>1394</v>
      </c>
      <c r="H1371" t="s">
        <v>54</v>
      </c>
      <c r="I1371">
        <v>8</v>
      </c>
      <c r="J1371">
        <v>3</v>
      </c>
      <c r="K1371" t="s">
        <v>49</v>
      </c>
      <c r="L1371">
        <v>1</v>
      </c>
      <c r="M1371">
        <v>4</v>
      </c>
      <c r="N1371" t="s">
        <v>39</v>
      </c>
      <c r="O1371">
        <v>58</v>
      </c>
      <c r="P1371">
        <v>2</v>
      </c>
      <c r="Q1371">
        <v>2</v>
      </c>
      <c r="R1371" t="s">
        <v>47</v>
      </c>
      <c r="S1371">
        <v>2</v>
      </c>
      <c r="T1371" t="str" cm="1">
        <f t="array" ref="T1371">_xlfn.IFS(S1371&lt;=2,"Poor",S1371&lt;=3,"Fair",S1371&gt;=4,"Good")</f>
        <v>Poor</v>
      </c>
      <c r="U1371" t="s">
        <v>50</v>
      </c>
      <c r="V1371" s="1">
        <v>2133</v>
      </c>
      <c r="W1371" t="str" cm="1">
        <f t="array" ref="W1371">_xlfn.IFS(V1371&lt;=5000,"Low Salary",V1371&lt;=12000,"Good Salary",V1371&gt;12000,"High Salary")</f>
        <v>Low Salary</v>
      </c>
      <c r="X1371">
        <v>18115</v>
      </c>
      <c r="Y1371">
        <v>1</v>
      </c>
      <c r="Z1371" t="s">
        <v>42</v>
      </c>
      <c r="AA1371" t="s">
        <v>43</v>
      </c>
      <c r="AB1371">
        <v>16</v>
      </c>
      <c r="AC1371">
        <v>3</v>
      </c>
      <c r="AD1371" t="str">
        <f t="shared" si="43"/>
        <v>Low Performance</v>
      </c>
      <c r="AE1371">
        <v>3</v>
      </c>
      <c r="AF1371">
        <v>80</v>
      </c>
      <c r="AG1371">
        <v>1</v>
      </c>
      <c r="AH1371">
        <v>20</v>
      </c>
      <c r="AI1371">
        <v>3</v>
      </c>
      <c r="AJ1371">
        <v>3</v>
      </c>
      <c r="AK1371" t="str" cm="1">
        <f t="array" ref="AK1371">_xlfn.IFS(AJ1371&lt;=2,"Poor",AJ1371&lt;=3,"Fair",AJ1371&gt;3,"Good")</f>
        <v>Fair</v>
      </c>
      <c r="AL1371">
        <v>20</v>
      </c>
      <c r="AM1371">
        <v>11</v>
      </c>
      <c r="AN1371">
        <v>0</v>
      </c>
      <c r="AO1371">
        <v>7</v>
      </c>
    </row>
    <row r="1372" spans="1:41" x14ac:dyDescent="0.2">
      <c r="A1372">
        <v>1058946</v>
      </c>
      <c r="B1372">
        <v>58</v>
      </c>
      <c r="C1372" t="str" cm="1">
        <f t="array" ref="C1372">_xlfn.IFS(B1372&lt;=25,"15-25",B1372&lt;=35,"26-35",B1372&lt;=45,"36-45",B1372&lt;=55,"46-55",B1372&lt;=65,"56-65")</f>
        <v>56-65</v>
      </c>
      <c r="D1372" t="s">
        <v>35</v>
      </c>
      <c r="E1372" t="str">
        <f t="shared" si="42"/>
        <v>Current Employee</v>
      </c>
      <c r="F1372" t="s">
        <v>36</v>
      </c>
      <c r="G1372">
        <v>605</v>
      </c>
      <c r="H1372" t="s">
        <v>37</v>
      </c>
      <c r="I1372">
        <v>21</v>
      </c>
      <c r="J1372">
        <v>3</v>
      </c>
      <c r="K1372" t="s">
        <v>38</v>
      </c>
      <c r="L1372">
        <v>1</v>
      </c>
      <c r="M1372">
        <v>4</v>
      </c>
      <c r="N1372" t="s">
        <v>39</v>
      </c>
      <c r="O1372">
        <v>72</v>
      </c>
      <c r="P1372">
        <v>3</v>
      </c>
      <c r="Q1372">
        <v>4</v>
      </c>
      <c r="R1372" t="s">
        <v>53</v>
      </c>
      <c r="S1372">
        <v>4</v>
      </c>
      <c r="T1372" t="str" cm="1">
        <f t="array" ref="T1372">_xlfn.IFS(S1372&lt;=2,"Poor",S1372&lt;=3,"Fair",S1372&gt;=4,"Good")</f>
        <v>Good</v>
      </c>
      <c r="U1372" t="s">
        <v>48</v>
      </c>
      <c r="V1372" s="1">
        <v>17875</v>
      </c>
      <c r="W1372" t="str" cm="1">
        <f t="array" ref="W1372">_xlfn.IFS(V1372&lt;=5000,"Low Salary",V1372&lt;=12000,"Good Salary",V1372&gt;12000,"High Salary")</f>
        <v>High Salary</v>
      </c>
      <c r="X1372">
        <v>11761</v>
      </c>
      <c r="Y1372">
        <v>4</v>
      </c>
      <c r="Z1372" t="s">
        <v>42</v>
      </c>
      <c r="AA1372" t="s">
        <v>43</v>
      </c>
      <c r="AB1372">
        <v>13</v>
      </c>
      <c r="AC1372">
        <v>3</v>
      </c>
      <c r="AD1372" t="str">
        <f t="shared" si="43"/>
        <v>Low Performance</v>
      </c>
      <c r="AE1372">
        <v>3</v>
      </c>
      <c r="AF1372">
        <v>80</v>
      </c>
      <c r="AG1372">
        <v>1</v>
      </c>
      <c r="AH1372">
        <v>29</v>
      </c>
      <c r="AI1372">
        <v>2</v>
      </c>
      <c r="AJ1372">
        <v>2</v>
      </c>
      <c r="AK1372" t="str" cm="1">
        <f t="array" ref="AK1372">_xlfn.IFS(AJ1372&lt;=2,"Poor",AJ1372&lt;=3,"Fair",AJ1372&gt;3,"Good")</f>
        <v>Poor</v>
      </c>
      <c r="AL1372">
        <v>1</v>
      </c>
      <c r="AM1372">
        <v>0</v>
      </c>
      <c r="AN1372">
        <v>0</v>
      </c>
      <c r="AO1372">
        <v>0</v>
      </c>
    </row>
    <row r="1373" spans="1:41" x14ac:dyDescent="0.2">
      <c r="A1373">
        <v>1683886</v>
      </c>
      <c r="B1373">
        <v>32</v>
      </c>
      <c r="C1373" t="str" cm="1">
        <f t="array" ref="C1373">_xlfn.IFS(B1373&lt;=25,"15-25",B1373&lt;=35,"26-35",B1373&lt;=45,"36-45",B1373&lt;=55,"46-55",B1373&lt;=65,"56-65")</f>
        <v>26-35</v>
      </c>
      <c r="D1373" t="s">
        <v>43</v>
      </c>
      <c r="E1373" t="str">
        <f t="shared" si="42"/>
        <v>Former Employee</v>
      </c>
      <c r="F1373" t="s">
        <v>44</v>
      </c>
      <c r="G1373">
        <v>238</v>
      </c>
      <c r="H1373" t="s">
        <v>54</v>
      </c>
      <c r="I1373">
        <v>5</v>
      </c>
      <c r="J1373">
        <v>2</v>
      </c>
      <c r="K1373" t="s">
        <v>38</v>
      </c>
      <c r="L1373">
        <v>1</v>
      </c>
      <c r="M1373">
        <v>1</v>
      </c>
      <c r="N1373" t="s">
        <v>39</v>
      </c>
      <c r="O1373">
        <v>47</v>
      </c>
      <c r="P1373">
        <v>4</v>
      </c>
      <c r="Q1373">
        <v>1</v>
      </c>
      <c r="R1373" t="s">
        <v>47</v>
      </c>
      <c r="S1373">
        <v>3</v>
      </c>
      <c r="T1373" t="str" cm="1">
        <f t="array" ref="T1373">_xlfn.IFS(S1373&lt;=2,"Poor",S1373&lt;=3,"Fair",S1373&gt;=4,"Good")</f>
        <v>Fair</v>
      </c>
      <c r="U1373" t="s">
        <v>41</v>
      </c>
      <c r="V1373" s="1">
        <v>2432</v>
      </c>
      <c r="W1373" t="str" cm="1">
        <f t="array" ref="W1373">_xlfn.IFS(V1373&lt;=5000,"Low Salary",V1373&lt;=12000,"Good Salary",V1373&gt;12000,"High Salary")</f>
        <v>Low Salary</v>
      </c>
      <c r="X1373">
        <v>15318</v>
      </c>
      <c r="Y1373">
        <v>3</v>
      </c>
      <c r="Z1373" t="s">
        <v>42</v>
      </c>
      <c r="AA1373" t="s">
        <v>43</v>
      </c>
      <c r="AB1373">
        <v>14</v>
      </c>
      <c r="AC1373">
        <v>3</v>
      </c>
      <c r="AD1373" t="str">
        <f t="shared" si="43"/>
        <v>Low Performance</v>
      </c>
      <c r="AE1373">
        <v>1</v>
      </c>
      <c r="AF1373">
        <v>80</v>
      </c>
      <c r="AG1373">
        <v>0</v>
      </c>
      <c r="AH1373">
        <v>8</v>
      </c>
      <c r="AI1373">
        <v>2</v>
      </c>
      <c r="AJ1373">
        <v>3</v>
      </c>
      <c r="AK1373" t="str" cm="1">
        <f t="array" ref="AK1373">_xlfn.IFS(AJ1373&lt;=2,"Poor",AJ1373&lt;=3,"Fair",AJ1373&gt;3,"Good")</f>
        <v>Fair</v>
      </c>
      <c r="AL1373">
        <v>4</v>
      </c>
      <c r="AM1373">
        <v>1</v>
      </c>
      <c r="AN1373">
        <v>0</v>
      </c>
      <c r="AO1373">
        <v>3</v>
      </c>
    </row>
    <row r="1374" spans="1:41" x14ac:dyDescent="0.2">
      <c r="A1374">
        <v>1211751</v>
      </c>
      <c r="B1374">
        <v>38</v>
      </c>
      <c r="C1374" t="str" cm="1">
        <f t="array" ref="C1374">_xlfn.IFS(B1374&lt;=25,"15-25",B1374&lt;=35,"26-35",B1374&lt;=45,"36-45",B1374&lt;=55,"46-55",B1374&lt;=65,"56-65")</f>
        <v>36-45</v>
      </c>
      <c r="D1374" t="s">
        <v>35</v>
      </c>
      <c r="E1374" t="str">
        <f t="shared" si="42"/>
        <v>Current Employee</v>
      </c>
      <c r="F1374" t="s">
        <v>36</v>
      </c>
      <c r="G1374">
        <v>1206</v>
      </c>
      <c r="H1374" t="s">
        <v>54</v>
      </c>
      <c r="I1374">
        <v>9</v>
      </c>
      <c r="J1374">
        <v>2</v>
      </c>
      <c r="K1374" t="s">
        <v>38</v>
      </c>
      <c r="L1374">
        <v>1</v>
      </c>
      <c r="M1374">
        <v>2</v>
      </c>
      <c r="N1374" t="s">
        <v>46</v>
      </c>
      <c r="O1374">
        <v>71</v>
      </c>
      <c r="P1374">
        <v>3</v>
      </c>
      <c r="Q1374">
        <v>1</v>
      </c>
      <c r="R1374" t="s">
        <v>47</v>
      </c>
      <c r="S1374">
        <v>4</v>
      </c>
      <c r="T1374" t="str" cm="1">
        <f t="array" ref="T1374">_xlfn.IFS(S1374&lt;=2,"Poor",S1374&lt;=3,"Fair",S1374&gt;=4,"Good")</f>
        <v>Good</v>
      </c>
      <c r="U1374" t="s">
        <v>50</v>
      </c>
      <c r="V1374" s="1">
        <v>4771</v>
      </c>
      <c r="W1374" t="str" cm="1">
        <f t="array" ref="W1374">_xlfn.IFS(V1374&lt;=5000,"Low Salary",V1374&lt;=12000,"Good Salary",V1374&gt;12000,"High Salary")</f>
        <v>Low Salary</v>
      </c>
      <c r="X1374">
        <v>14293</v>
      </c>
      <c r="Y1374">
        <v>2</v>
      </c>
      <c r="Z1374" t="s">
        <v>42</v>
      </c>
      <c r="AA1374" t="s">
        <v>35</v>
      </c>
      <c r="AB1374">
        <v>19</v>
      </c>
      <c r="AC1374">
        <v>3</v>
      </c>
      <c r="AD1374" t="str">
        <f t="shared" si="43"/>
        <v>Low Performance</v>
      </c>
      <c r="AE1374">
        <v>4</v>
      </c>
      <c r="AF1374">
        <v>80</v>
      </c>
      <c r="AG1374">
        <v>2</v>
      </c>
      <c r="AH1374">
        <v>10</v>
      </c>
      <c r="AI1374">
        <v>0</v>
      </c>
      <c r="AJ1374">
        <v>4</v>
      </c>
      <c r="AK1374" t="str" cm="1">
        <f t="array" ref="AK1374">_xlfn.IFS(AJ1374&lt;=2,"Poor",AJ1374&lt;=3,"Fair",AJ1374&gt;3,"Good")</f>
        <v>Good</v>
      </c>
      <c r="AL1374">
        <v>5</v>
      </c>
      <c r="AM1374">
        <v>2</v>
      </c>
      <c r="AN1374">
        <v>0</v>
      </c>
      <c r="AO1374">
        <v>3</v>
      </c>
    </row>
    <row r="1375" spans="1:41" x14ac:dyDescent="0.2">
      <c r="A1375">
        <v>1445440</v>
      </c>
      <c r="B1375">
        <v>49</v>
      </c>
      <c r="C1375" t="str" cm="1">
        <f t="array" ref="C1375">_xlfn.IFS(B1375&lt;=25,"15-25",B1375&lt;=35,"26-35",B1375&lt;=45,"36-45",B1375&lt;=55,"46-55",B1375&lt;=65,"56-65")</f>
        <v>46-55</v>
      </c>
      <c r="D1375" t="s">
        <v>35</v>
      </c>
      <c r="E1375" t="str">
        <f t="shared" si="42"/>
        <v>Current Employee</v>
      </c>
      <c r="F1375" t="s">
        <v>44</v>
      </c>
      <c r="G1375">
        <v>1064</v>
      </c>
      <c r="H1375" t="s">
        <v>54</v>
      </c>
      <c r="I1375">
        <v>2</v>
      </c>
      <c r="J1375">
        <v>1</v>
      </c>
      <c r="K1375" t="s">
        <v>38</v>
      </c>
      <c r="L1375">
        <v>1</v>
      </c>
      <c r="M1375">
        <v>2</v>
      </c>
      <c r="N1375" t="s">
        <v>46</v>
      </c>
      <c r="O1375">
        <v>42</v>
      </c>
      <c r="P1375">
        <v>3</v>
      </c>
      <c r="Q1375">
        <v>5</v>
      </c>
      <c r="R1375" t="s">
        <v>53</v>
      </c>
      <c r="S1375">
        <v>4</v>
      </c>
      <c r="T1375" t="str" cm="1">
        <f t="array" ref="T1375">_xlfn.IFS(S1375&lt;=2,"Poor",S1375&lt;=3,"Fair",S1375&gt;=4,"Good")</f>
        <v>Good</v>
      </c>
      <c r="U1375" t="s">
        <v>48</v>
      </c>
      <c r="V1375" s="1">
        <v>19161</v>
      </c>
      <c r="W1375" t="str" cm="1">
        <f t="array" ref="W1375">_xlfn.IFS(V1375&lt;=5000,"Low Salary",V1375&lt;=12000,"Good Salary",V1375&gt;12000,"High Salary")</f>
        <v>High Salary</v>
      </c>
      <c r="X1375">
        <v>13738</v>
      </c>
      <c r="Y1375">
        <v>3</v>
      </c>
      <c r="Z1375" t="s">
        <v>42</v>
      </c>
      <c r="AA1375" t="s">
        <v>35</v>
      </c>
      <c r="AB1375">
        <v>15</v>
      </c>
      <c r="AC1375">
        <v>3</v>
      </c>
      <c r="AD1375" t="str">
        <f t="shared" si="43"/>
        <v>Low Performance</v>
      </c>
      <c r="AE1375">
        <v>4</v>
      </c>
      <c r="AF1375">
        <v>80</v>
      </c>
      <c r="AG1375">
        <v>0</v>
      </c>
      <c r="AH1375">
        <v>28</v>
      </c>
      <c r="AI1375">
        <v>3</v>
      </c>
      <c r="AJ1375">
        <v>3</v>
      </c>
      <c r="AK1375" t="str" cm="1">
        <f t="array" ref="AK1375">_xlfn.IFS(AJ1375&lt;=2,"Poor",AJ1375&lt;=3,"Fair",AJ1375&gt;3,"Good")</f>
        <v>Fair</v>
      </c>
      <c r="AL1375">
        <v>5</v>
      </c>
      <c r="AM1375">
        <v>4</v>
      </c>
      <c r="AN1375">
        <v>4</v>
      </c>
      <c r="AO1375">
        <v>3</v>
      </c>
    </row>
    <row r="1376" spans="1:41" x14ac:dyDescent="0.2">
      <c r="A1376">
        <v>1654667</v>
      </c>
      <c r="B1376">
        <v>42</v>
      </c>
      <c r="C1376" t="str" cm="1">
        <f t="array" ref="C1376">_xlfn.IFS(B1376&lt;=25,"15-25",B1376&lt;=35,"26-35",B1376&lt;=45,"36-45",B1376&lt;=55,"46-55",B1376&lt;=65,"56-65")</f>
        <v>36-45</v>
      </c>
      <c r="D1376" t="s">
        <v>35</v>
      </c>
      <c r="E1376" t="str">
        <f t="shared" si="42"/>
        <v>Current Employee</v>
      </c>
      <c r="F1376" t="s">
        <v>36</v>
      </c>
      <c r="G1376">
        <v>419</v>
      </c>
      <c r="H1376" t="s">
        <v>37</v>
      </c>
      <c r="I1376">
        <v>12</v>
      </c>
      <c r="J1376">
        <v>4</v>
      </c>
      <c r="K1376" t="s">
        <v>55</v>
      </c>
      <c r="L1376">
        <v>1</v>
      </c>
      <c r="M1376">
        <v>2</v>
      </c>
      <c r="N1376" t="s">
        <v>46</v>
      </c>
      <c r="O1376">
        <v>77</v>
      </c>
      <c r="P1376">
        <v>3</v>
      </c>
      <c r="Q1376">
        <v>2</v>
      </c>
      <c r="R1376" t="s">
        <v>40</v>
      </c>
      <c r="S1376">
        <v>4</v>
      </c>
      <c r="T1376" t="str" cm="1">
        <f t="array" ref="T1376">_xlfn.IFS(S1376&lt;=2,"Poor",S1376&lt;=3,"Fair",S1376&gt;=4,"Good")</f>
        <v>Good</v>
      </c>
      <c r="U1376" t="s">
        <v>50</v>
      </c>
      <c r="V1376" s="1">
        <v>5087</v>
      </c>
      <c r="W1376" t="str" cm="1">
        <f t="array" ref="W1376">_xlfn.IFS(V1376&lt;=5000,"Low Salary",V1376&lt;=12000,"Good Salary",V1376&gt;12000,"High Salary")</f>
        <v>Good Salary</v>
      </c>
      <c r="X1376">
        <v>2900</v>
      </c>
      <c r="Y1376">
        <v>3</v>
      </c>
      <c r="Z1376" t="s">
        <v>42</v>
      </c>
      <c r="AA1376" t="s">
        <v>43</v>
      </c>
      <c r="AB1376">
        <v>12</v>
      </c>
      <c r="AC1376">
        <v>3</v>
      </c>
      <c r="AD1376" t="str">
        <f t="shared" si="43"/>
        <v>Low Performance</v>
      </c>
      <c r="AE1376">
        <v>3</v>
      </c>
      <c r="AF1376">
        <v>80</v>
      </c>
      <c r="AG1376">
        <v>2</v>
      </c>
      <c r="AH1376">
        <v>14</v>
      </c>
      <c r="AI1376">
        <v>4</v>
      </c>
      <c r="AJ1376">
        <v>3</v>
      </c>
      <c r="AK1376" t="str" cm="1">
        <f t="array" ref="AK1376">_xlfn.IFS(AJ1376&lt;=2,"Poor",AJ1376&lt;=3,"Fair",AJ1376&gt;3,"Good")</f>
        <v>Fair</v>
      </c>
      <c r="AL1376">
        <v>0</v>
      </c>
      <c r="AM1376">
        <v>0</v>
      </c>
      <c r="AN1376">
        <v>0</v>
      </c>
      <c r="AO1376">
        <v>0</v>
      </c>
    </row>
    <row r="1377" spans="1:41" x14ac:dyDescent="0.2">
      <c r="A1377">
        <v>1265759</v>
      </c>
      <c r="B1377">
        <v>27</v>
      </c>
      <c r="C1377" t="str" cm="1">
        <f t="array" ref="C1377">_xlfn.IFS(B1377&lt;=25,"15-25",B1377&lt;=35,"26-35",B1377&lt;=45,"36-45",B1377&lt;=55,"46-55",B1377&lt;=65,"56-65")</f>
        <v>26-35</v>
      </c>
      <c r="D1377" t="s">
        <v>43</v>
      </c>
      <c r="E1377" t="str">
        <f t="shared" si="42"/>
        <v>Former Employee</v>
      </c>
      <c r="F1377" t="s">
        <v>44</v>
      </c>
      <c r="G1377">
        <v>1337</v>
      </c>
      <c r="H1377" t="s">
        <v>54</v>
      </c>
      <c r="I1377">
        <v>22</v>
      </c>
      <c r="J1377">
        <v>3</v>
      </c>
      <c r="K1377" t="s">
        <v>57</v>
      </c>
      <c r="L1377">
        <v>1</v>
      </c>
      <c r="M1377">
        <v>1</v>
      </c>
      <c r="N1377" t="s">
        <v>39</v>
      </c>
      <c r="O1377">
        <v>58</v>
      </c>
      <c r="P1377">
        <v>2</v>
      </c>
      <c r="Q1377">
        <v>1</v>
      </c>
      <c r="R1377" t="s">
        <v>47</v>
      </c>
      <c r="S1377">
        <v>2</v>
      </c>
      <c r="T1377" t="str" cm="1">
        <f t="array" ref="T1377">_xlfn.IFS(S1377&lt;=2,"Poor",S1377&lt;=3,"Fair",S1377&gt;=4,"Good")</f>
        <v>Poor</v>
      </c>
      <c r="U1377" t="s">
        <v>48</v>
      </c>
      <c r="V1377" s="1">
        <v>2863</v>
      </c>
      <c r="W1377" t="str" cm="1">
        <f t="array" ref="W1377">_xlfn.IFS(V1377&lt;=5000,"Low Salary",V1377&lt;=12000,"Good Salary",V1377&gt;12000,"High Salary")</f>
        <v>Low Salary</v>
      </c>
      <c r="X1377">
        <v>19555</v>
      </c>
      <c r="Y1377">
        <v>1</v>
      </c>
      <c r="Z1377" t="s">
        <v>42</v>
      </c>
      <c r="AA1377" t="s">
        <v>35</v>
      </c>
      <c r="AB1377">
        <v>12</v>
      </c>
      <c r="AC1377">
        <v>3</v>
      </c>
      <c r="AD1377" t="str">
        <f t="shared" si="43"/>
        <v>Low Performance</v>
      </c>
      <c r="AE1377">
        <v>1</v>
      </c>
      <c r="AF1377">
        <v>80</v>
      </c>
      <c r="AG1377">
        <v>0</v>
      </c>
      <c r="AH1377">
        <v>1</v>
      </c>
      <c r="AI1377">
        <v>2</v>
      </c>
      <c r="AJ1377">
        <v>3</v>
      </c>
      <c r="AK1377" t="str" cm="1">
        <f t="array" ref="AK1377">_xlfn.IFS(AJ1377&lt;=2,"Poor",AJ1377&lt;=3,"Fair",AJ1377&gt;3,"Good")</f>
        <v>Fair</v>
      </c>
      <c r="AL1377">
        <v>1</v>
      </c>
      <c r="AM1377">
        <v>0</v>
      </c>
      <c r="AN1377">
        <v>0</v>
      </c>
      <c r="AO1377">
        <v>0</v>
      </c>
    </row>
    <row r="1378" spans="1:41" x14ac:dyDescent="0.2">
      <c r="A1378">
        <v>1842922</v>
      </c>
      <c r="B1378">
        <v>35</v>
      </c>
      <c r="C1378" t="str" cm="1">
        <f t="array" ref="C1378">_xlfn.IFS(B1378&lt;=25,"15-25",B1378&lt;=35,"26-35",B1378&lt;=45,"36-45",B1378&lt;=55,"46-55",B1378&lt;=65,"56-65")</f>
        <v>26-35</v>
      </c>
      <c r="D1378" t="s">
        <v>35</v>
      </c>
      <c r="E1378" t="str">
        <f t="shared" si="42"/>
        <v>Current Employee</v>
      </c>
      <c r="F1378" t="s">
        <v>36</v>
      </c>
      <c r="G1378">
        <v>682</v>
      </c>
      <c r="H1378" t="s">
        <v>37</v>
      </c>
      <c r="I1378">
        <v>18</v>
      </c>
      <c r="J1378">
        <v>4</v>
      </c>
      <c r="K1378" t="s">
        <v>49</v>
      </c>
      <c r="L1378">
        <v>1</v>
      </c>
      <c r="M1378">
        <v>2</v>
      </c>
      <c r="N1378" t="s">
        <v>46</v>
      </c>
      <c r="O1378">
        <v>71</v>
      </c>
      <c r="P1378">
        <v>3</v>
      </c>
      <c r="Q1378">
        <v>2</v>
      </c>
      <c r="R1378" t="s">
        <v>40</v>
      </c>
      <c r="S1378">
        <v>1</v>
      </c>
      <c r="T1378" t="str" cm="1">
        <f t="array" ref="T1378">_xlfn.IFS(S1378&lt;=2,"Poor",S1378&lt;=3,"Fair",S1378&gt;=4,"Good")</f>
        <v>Poor</v>
      </c>
      <c r="U1378" t="s">
        <v>48</v>
      </c>
      <c r="V1378" s="1">
        <v>5561</v>
      </c>
      <c r="W1378" t="str" cm="1">
        <f t="array" ref="W1378">_xlfn.IFS(V1378&lt;=5000,"Low Salary",V1378&lt;=12000,"Good Salary",V1378&gt;12000,"High Salary")</f>
        <v>Good Salary</v>
      </c>
      <c r="X1378">
        <v>15975</v>
      </c>
      <c r="Y1378">
        <v>0</v>
      </c>
      <c r="Z1378" t="s">
        <v>42</v>
      </c>
      <c r="AA1378" t="s">
        <v>35</v>
      </c>
      <c r="AB1378">
        <v>16</v>
      </c>
      <c r="AC1378">
        <v>3</v>
      </c>
      <c r="AD1378" t="str">
        <f t="shared" si="43"/>
        <v>Low Performance</v>
      </c>
      <c r="AE1378">
        <v>4</v>
      </c>
      <c r="AF1378">
        <v>80</v>
      </c>
      <c r="AG1378">
        <v>1</v>
      </c>
      <c r="AH1378">
        <v>6</v>
      </c>
      <c r="AI1378">
        <v>2</v>
      </c>
      <c r="AJ1378">
        <v>1</v>
      </c>
      <c r="AK1378" t="str" cm="1">
        <f t="array" ref="AK1378">_xlfn.IFS(AJ1378&lt;=2,"Poor",AJ1378&lt;=3,"Fair",AJ1378&gt;3,"Good")</f>
        <v>Poor</v>
      </c>
      <c r="AL1378">
        <v>5</v>
      </c>
      <c r="AM1378">
        <v>3</v>
      </c>
      <c r="AN1378">
        <v>0</v>
      </c>
      <c r="AO1378">
        <v>4</v>
      </c>
    </row>
    <row r="1379" spans="1:41" x14ac:dyDescent="0.2">
      <c r="A1379">
        <v>1884938</v>
      </c>
      <c r="B1379">
        <v>28</v>
      </c>
      <c r="C1379" t="str" cm="1">
        <f t="array" ref="C1379">_xlfn.IFS(B1379&lt;=25,"15-25",B1379&lt;=35,"26-35",B1379&lt;=45,"36-45",B1379&lt;=55,"46-55",B1379&lt;=65,"56-65")</f>
        <v>26-35</v>
      </c>
      <c r="D1379" t="s">
        <v>35</v>
      </c>
      <c r="E1379" t="str">
        <f t="shared" si="42"/>
        <v>Current Employee</v>
      </c>
      <c r="F1379" t="s">
        <v>52</v>
      </c>
      <c r="G1379">
        <v>1103</v>
      </c>
      <c r="H1379" t="s">
        <v>54</v>
      </c>
      <c r="I1379">
        <v>16</v>
      </c>
      <c r="J1379">
        <v>3</v>
      </c>
      <c r="K1379" t="s">
        <v>49</v>
      </c>
      <c r="L1379">
        <v>1</v>
      </c>
      <c r="M1379">
        <v>3</v>
      </c>
      <c r="N1379" t="s">
        <v>46</v>
      </c>
      <c r="O1379">
        <v>49</v>
      </c>
      <c r="P1379">
        <v>3</v>
      </c>
      <c r="Q1379">
        <v>1</v>
      </c>
      <c r="R1379" t="s">
        <v>47</v>
      </c>
      <c r="S1379">
        <v>3</v>
      </c>
      <c r="T1379" t="str" cm="1">
        <f t="array" ref="T1379">_xlfn.IFS(S1379&lt;=2,"Poor",S1379&lt;=3,"Fair",S1379&gt;=4,"Good")</f>
        <v>Fair</v>
      </c>
      <c r="U1379" t="s">
        <v>41</v>
      </c>
      <c r="V1379" s="1">
        <v>2144</v>
      </c>
      <c r="W1379" t="str" cm="1">
        <f t="array" ref="W1379">_xlfn.IFS(V1379&lt;=5000,"Low Salary",V1379&lt;=12000,"Good Salary",V1379&gt;12000,"High Salary")</f>
        <v>Low Salary</v>
      </c>
      <c r="X1379">
        <v>2122</v>
      </c>
      <c r="Y1379">
        <v>1</v>
      </c>
      <c r="Z1379" t="s">
        <v>42</v>
      </c>
      <c r="AA1379" t="s">
        <v>35</v>
      </c>
      <c r="AB1379">
        <v>14</v>
      </c>
      <c r="AC1379">
        <v>3</v>
      </c>
      <c r="AD1379" t="str">
        <f t="shared" si="43"/>
        <v>Low Performance</v>
      </c>
      <c r="AE1379">
        <v>3</v>
      </c>
      <c r="AF1379">
        <v>80</v>
      </c>
      <c r="AG1379">
        <v>0</v>
      </c>
      <c r="AH1379">
        <v>5</v>
      </c>
      <c r="AI1379">
        <v>3</v>
      </c>
      <c r="AJ1379">
        <v>2</v>
      </c>
      <c r="AK1379" t="str" cm="1">
        <f t="array" ref="AK1379">_xlfn.IFS(AJ1379&lt;=2,"Poor",AJ1379&lt;=3,"Fair",AJ1379&gt;3,"Good")</f>
        <v>Poor</v>
      </c>
      <c r="AL1379">
        <v>5</v>
      </c>
      <c r="AM1379">
        <v>3</v>
      </c>
      <c r="AN1379">
        <v>1</v>
      </c>
      <c r="AO1379">
        <v>4</v>
      </c>
    </row>
    <row r="1380" spans="1:41" x14ac:dyDescent="0.2">
      <c r="A1380">
        <v>1252735</v>
      </c>
      <c r="B1380">
        <v>31</v>
      </c>
      <c r="C1380" t="str" cm="1">
        <f t="array" ref="C1380">_xlfn.IFS(B1380&lt;=25,"15-25",B1380&lt;=35,"26-35",B1380&lt;=45,"36-45",B1380&lt;=55,"46-55",B1380&lt;=65,"56-65")</f>
        <v>26-35</v>
      </c>
      <c r="D1380" t="s">
        <v>35</v>
      </c>
      <c r="E1380" t="str">
        <f t="shared" si="42"/>
        <v>Current Employee</v>
      </c>
      <c r="F1380" t="s">
        <v>52</v>
      </c>
      <c r="G1380">
        <v>976</v>
      </c>
      <c r="H1380" t="s">
        <v>54</v>
      </c>
      <c r="I1380">
        <v>3</v>
      </c>
      <c r="J1380">
        <v>2</v>
      </c>
      <c r="K1380" t="s">
        <v>49</v>
      </c>
      <c r="L1380">
        <v>1</v>
      </c>
      <c r="M1380">
        <v>3</v>
      </c>
      <c r="N1380" t="s">
        <v>46</v>
      </c>
      <c r="O1380">
        <v>48</v>
      </c>
      <c r="P1380">
        <v>3</v>
      </c>
      <c r="Q1380">
        <v>1</v>
      </c>
      <c r="R1380" t="s">
        <v>47</v>
      </c>
      <c r="S1380">
        <v>1</v>
      </c>
      <c r="T1380" t="str" cm="1">
        <f t="array" ref="T1380">_xlfn.IFS(S1380&lt;=2,"Poor",S1380&lt;=3,"Fair",S1380&gt;=4,"Good")</f>
        <v>Poor</v>
      </c>
      <c r="U1380" t="s">
        <v>50</v>
      </c>
      <c r="V1380" s="1">
        <v>3065</v>
      </c>
      <c r="W1380" t="str" cm="1">
        <f t="array" ref="W1380">_xlfn.IFS(V1380&lt;=5000,"Low Salary",V1380&lt;=12000,"Good Salary",V1380&gt;12000,"High Salary")</f>
        <v>Low Salary</v>
      </c>
      <c r="X1380">
        <v>3995</v>
      </c>
      <c r="Y1380">
        <v>1</v>
      </c>
      <c r="Z1380" t="s">
        <v>42</v>
      </c>
      <c r="AA1380" t="s">
        <v>43</v>
      </c>
      <c r="AB1380">
        <v>13</v>
      </c>
      <c r="AC1380">
        <v>3</v>
      </c>
      <c r="AD1380" t="str">
        <f t="shared" si="43"/>
        <v>Low Performance</v>
      </c>
      <c r="AE1380">
        <v>4</v>
      </c>
      <c r="AF1380">
        <v>80</v>
      </c>
      <c r="AG1380">
        <v>1</v>
      </c>
      <c r="AH1380">
        <v>4</v>
      </c>
      <c r="AI1380">
        <v>3</v>
      </c>
      <c r="AJ1380">
        <v>4</v>
      </c>
      <c r="AK1380" t="str" cm="1">
        <f t="array" ref="AK1380">_xlfn.IFS(AJ1380&lt;=2,"Poor",AJ1380&lt;=3,"Fair",AJ1380&gt;3,"Good")</f>
        <v>Good</v>
      </c>
      <c r="AL1380">
        <v>4</v>
      </c>
      <c r="AM1380">
        <v>2</v>
      </c>
      <c r="AN1380">
        <v>2</v>
      </c>
      <c r="AO1380">
        <v>3</v>
      </c>
    </row>
    <row r="1381" spans="1:41" x14ac:dyDescent="0.2">
      <c r="A1381">
        <v>1201616</v>
      </c>
      <c r="B1381">
        <v>36</v>
      </c>
      <c r="C1381" t="str" cm="1">
        <f t="array" ref="C1381">_xlfn.IFS(B1381&lt;=25,"15-25",B1381&lt;=35,"26-35",B1381&lt;=45,"36-45",B1381&lt;=55,"46-55",B1381&lt;=65,"56-65")</f>
        <v>36-45</v>
      </c>
      <c r="D1381" t="s">
        <v>35</v>
      </c>
      <c r="E1381" t="str">
        <f t="shared" si="42"/>
        <v>Current Employee</v>
      </c>
      <c r="F1381" t="s">
        <v>52</v>
      </c>
      <c r="G1381">
        <v>1351</v>
      </c>
      <c r="H1381" t="s">
        <v>54</v>
      </c>
      <c r="I1381">
        <v>9</v>
      </c>
      <c r="J1381">
        <v>4</v>
      </c>
      <c r="K1381" t="s">
        <v>38</v>
      </c>
      <c r="L1381">
        <v>1</v>
      </c>
      <c r="M1381">
        <v>1</v>
      </c>
      <c r="N1381" t="s">
        <v>46</v>
      </c>
      <c r="O1381">
        <v>66</v>
      </c>
      <c r="P1381">
        <v>4</v>
      </c>
      <c r="Q1381">
        <v>1</v>
      </c>
      <c r="R1381" t="s">
        <v>40</v>
      </c>
      <c r="S1381">
        <v>2</v>
      </c>
      <c r="T1381" t="str" cm="1">
        <f t="array" ref="T1381">_xlfn.IFS(S1381&lt;=2,"Poor",S1381&lt;=3,"Fair",S1381&gt;=4,"Good")</f>
        <v>Poor</v>
      </c>
      <c r="U1381" t="s">
        <v>48</v>
      </c>
      <c r="V1381" s="1">
        <v>2810</v>
      </c>
      <c r="W1381" t="str" cm="1">
        <f t="array" ref="W1381">_xlfn.IFS(V1381&lt;=5000,"Low Salary",V1381&lt;=12000,"Good Salary",V1381&gt;12000,"High Salary")</f>
        <v>Low Salary</v>
      </c>
      <c r="X1381">
        <v>9238</v>
      </c>
      <c r="Y1381">
        <v>1</v>
      </c>
      <c r="Z1381" t="s">
        <v>42</v>
      </c>
      <c r="AA1381" t="s">
        <v>35</v>
      </c>
      <c r="AB1381">
        <v>22</v>
      </c>
      <c r="AC1381">
        <v>4</v>
      </c>
      <c r="AD1381" t="str">
        <f t="shared" si="43"/>
        <v>High Performance</v>
      </c>
      <c r="AE1381">
        <v>2</v>
      </c>
      <c r="AF1381">
        <v>80</v>
      </c>
      <c r="AG1381">
        <v>0</v>
      </c>
      <c r="AH1381">
        <v>5</v>
      </c>
      <c r="AI1381">
        <v>3</v>
      </c>
      <c r="AJ1381">
        <v>3</v>
      </c>
      <c r="AK1381" t="str" cm="1">
        <f t="array" ref="AK1381">_xlfn.IFS(AJ1381&lt;=2,"Poor",AJ1381&lt;=3,"Fair",AJ1381&gt;3,"Good")</f>
        <v>Fair</v>
      </c>
      <c r="AL1381">
        <v>5</v>
      </c>
      <c r="AM1381">
        <v>4</v>
      </c>
      <c r="AN1381">
        <v>0</v>
      </c>
      <c r="AO1381">
        <v>2</v>
      </c>
    </row>
    <row r="1382" spans="1:41" x14ac:dyDescent="0.2">
      <c r="A1382">
        <v>1050457</v>
      </c>
      <c r="B1382">
        <v>34</v>
      </c>
      <c r="C1382" t="str" cm="1">
        <f t="array" ref="C1382">_xlfn.IFS(B1382&lt;=25,"15-25",B1382&lt;=35,"26-35",B1382&lt;=45,"36-45",B1382&lt;=55,"46-55",B1382&lt;=65,"56-65")</f>
        <v>26-35</v>
      </c>
      <c r="D1382" t="s">
        <v>35</v>
      </c>
      <c r="E1382" t="str">
        <f t="shared" si="42"/>
        <v>Current Employee</v>
      </c>
      <c r="F1382" t="s">
        <v>36</v>
      </c>
      <c r="G1382">
        <v>937</v>
      </c>
      <c r="H1382" t="s">
        <v>37</v>
      </c>
      <c r="I1382">
        <v>1</v>
      </c>
      <c r="J1382">
        <v>3</v>
      </c>
      <c r="K1382" t="s">
        <v>55</v>
      </c>
      <c r="L1382">
        <v>1</v>
      </c>
      <c r="M1382">
        <v>1</v>
      </c>
      <c r="N1382" t="s">
        <v>46</v>
      </c>
      <c r="O1382">
        <v>32</v>
      </c>
      <c r="P1382">
        <v>3</v>
      </c>
      <c r="Q1382">
        <v>3</v>
      </c>
      <c r="R1382" t="s">
        <v>40</v>
      </c>
      <c r="S1382">
        <v>4</v>
      </c>
      <c r="T1382" t="str" cm="1">
        <f t="array" ref="T1382">_xlfn.IFS(S1382&lt;=2,"Poor",S1382&lt;=3,"Fair",S1382&gt;=4,"Good")</f>
        <v>Good</v>
      </c>
      <c r="U1382" t="s">
        <v>41</v>
      </c>
      <c r="V1382" s="1">
        <v>9888</v>
      </c>
      <c r="W1382" t="str" cm="1">
        <f t="array" ref="W1382">_xlfn.IFS(V1382&lt;=5000,"Low Salary",V1382&lt;=12000,"Good Salary",V1382&gt;12000,"High Salary")</f>
        <v>Good Salary</v>
      </c>
      <c r="X1382">
        <v>6770</v>
      </c>
      <c r="Y1382">
        <v>1</v>
      </c>
      <c r="Z1382" t="s">
        <v>42</v>
      </c>
      <c r="AA1382" t="s">
        <v>35</v>
      </c>
      <c r="AB1382">
        <v>21</v>
      </c>
      <c r="AC1382">
        <v>4</v>
      </c>
      <c r="AD1382" t="str">
        <f t="shared" si="43"/>
        <v>High Performance</v>
      </c>
      <c r="AE1382">
        <v>1</v>
      </c>
      <c r="AF1382">
        <v>80</v>
      </c>
      <c r="AG1382">
        <v>0</v>
      </c>
      <c r="AH1382">
        <v>14</v>
      </c>
      <c r="AI1382">
        <v>3</v>
      </c>
      <c r="AJ1382">
        <v>2</v>
      </c>
      <c r="AK1382" t="str" cm="1">
        <f t="array" ref="AK1382">_xlfn.IFS(AJ1382&lt;=2,"Poor",AJ1382&lt;=3,"Fair",AJ1382&gt;3,"Good")</f>
        <v>Poor</v>
      </c>
      <c r="AL1382">
        <v>14</v>
      </c>
      <c r="AM1382">
        <v>8</v>
      </c>
      <c r="AN1382">
        <v>2</v>
      </c>
      <c r="AO1382">
        <v>1</v>
      </c>
    </row>
    <row r="1383" spans="1:41" x14ac:dyDescent="0.2">
      <c r="A1383">
        <v>1637651</v>
      </c>
      <c r="B1383">
        <v>34</v>
      </c>
      <c r="C1383" t="str" cm="1">
        <f t="array" ref="C1383">_xlfn.IFS(B1383&lt;=25,"15-25",B1383&lt;=35,"26-35",B1383&lt;=45,"36-45",B1383&lt;=55,"46-55",B1383&lt;=65,"56-65")</f>
        <v>26-35</v>
      </c>
      <c r="D1383" t="s">
        <v>35</v>
      </c>
      <c r="E1383" t="str">
        <f t="shared" si="42"/>
        <v>Current Employee</v>
      </c>
      <c r="F1383" t="s">
        <v>36</v>
      </c>
      <c r="G1383">
        <v>1239</v>
      </c>
      <c r="H1383" t="s">
        <v>37</v>
      </c>
      <c r="I1383">
        <v>13</v>
      </c>
      <c r="J1383">
        <v>4</v>
      </c>
      <c r="K1383" t="s">
        <v>49</v>
      </c>
      <c r="L1383">
        <v>1</v>
      </c>
      <c r="M1383">
        <v>4</v>
      </c>
      <c r="N1383" t="s">
        <v>46</v>
      </c>
      <c r="O1383">
        <v>39</v>
      </c>
      <c r="P1383">
        <v>3</v>
      </c>
      <c r="Q1383">
        <v>3</v>
      </c>
      <c r="R1383" t="s">
        <v>40</v>
      </c>
      <c r="S1383">
        <v>3</v>
      </c>
      <c r="T1383" t="str" cm="1">
        <f t="array" ref="T1383">_xlfn.IFS(S1383&lt;=2,"Poor",S1383&lt;=3,"Fair",S1383&gt;=4,"Good")</f>
        <v>Fair</v>
      </c>
      <c r="U1383" t="s">
        <v>50</v>
      </c>
      <c r="V1383" s="1">
        <v>8628</v>
      </c>
      <c r="W1383" t="str" cm="1">
        <f t="array" ref="W1383">_xlfn.IFS(V1383&lt;=5000,"Low Salary",V1383&lt;=12000,"Good Salary",V1383&gt;12000,"High Salary")</f>
        <v>Good Salary</v>
      </c>
      <c r="X1383">
        <v>22914</v>
      </c>
      <c r="Y1383">
        <v>1</v>
      </c>
      <c r="Z1383" t="s">
        <v>42</v>
      </c>
      <c r="AA1383" t="s">
        <v>35</v>
      </c>
      <c r="AB1383">
        <v>18</v>
      </c>
      <c r="AC1383">
        <v>3</v>
      </c>
      <c r="AD1383" t="str">
        <f t="shared" si="43"/>
        <v>Low Performance</v>
      </c>
      <c r="AE1383">
        <v>3</v>
      </c>
      <c r="AF1383">
        <v>80</v>
      </c>
      <c r="AG1383">
        <v>1</v>
      </c>
      <c r="AH1383">
        <v>9</v>
      </c>
      <c r="AI1383">
        <v>2</v>
      </c>
      <c r="AJ1383">
        <v>2</v>
      </c>
      <c r="AK1383" t="str" cm="1">
        <f t="array" ref="AK1383">_xlfn.IFS(AJ1383&lt;=2,"Poor",AJ1383&lt;=3,"Fair",AJ1383&gt;3,"Good")</f>
        <v>Poor</v>
      </c>
      <c r="AL1383">
        <v>8</v>
      </c>
      <c r="AM1383">
        <v>7</v>
      </c>
      <c r="AN1383">
        <v>1</v>
      </c>
      <c r="AO1383">
        <v>1</v>
      </c>
    </row>
    <row r="1384" spans="1:41" x14ac:dyDescent="0.2">
      <c r="A1384">
        <v>1079566</v>
      </c>
      <c r="B1384">
        <v>26</v>
      </c>
      <c r="C1384" t="str" cm="1">
        <f t="array" ref="C1384">_xlfn.IFS(B1384&lt;=25,"15-25",B1384&lt;=35,"26-35",B1384&lt;=45,"36-45",B1384&lt;=55,"46-55",B1384&lt;=65,"56-65")</f>
        <v>26-35</v>
      </c>
      <c r="D1384" t="s">
        <v>35</v>
      </c>
      <c r="E1384" t="str">
        <f t="shared" si="42"/>
        <v>Current Employee</v>
      </c>
      <c r="F1384" t="s">
        <v>36</v>
      </c>
      <c r="G1384">
        <v>157</v>
      </c>
      <c r="H1384" t="s">
        <v>54</v>
      </c>
      <c r="I1384">
        <v>1</v>
      </c>
      <c r="J1384">
        <v>3</v>
      </c>
      <c r="K1384" t="s">
        <v>49</v>
      </c>
      <c r="L1384">
        <v>1</v>
      </c>
      <c r="M1384">
        <v>3</v>
      </c>
      <c r="N1384" t="s">
        <v>46</v>
      </c>
      <c r="O1384">
        <v>95</v>
      </c>
      <c r="P1384">
        <v>3</v>
      </c>
      <c r="Q1384">
        <v>1</v>
      </c>
      <c r="R1384" t="s">
        <v>40</v>
      </c>
      <c r="S1384">
        <v>1</v>
      </c>
      <c r="T1384" t="str" cm="1">
        <f t="array" ref="T1384">_xlfn.IFS(S1384&lt;=2,"Poor",S1384&lt;=3,"Fair",S1384&gt;=4,"Good")</f>
        <v>Poor</v>
      </c>
      <c r="U1384" t="s">
        <v>41</v>
      </c>
      <c r="V1384" s="1">
        <v>2867</v>
      </c>
      <c r="W1384" t="str" cm="1">
        <f t="array" ref="W1384">_xlfn.IFS(V1384&lt;=5000,"Low Salary",V1384&lt;=12000,"Good Salary",V1384&gt;12000,"High Salary")</f>
        <v>Low Salary</v>
      </c>
      <c r="X1384">
        <v>20006</v>
      </c>
      <c r="Y1384">
        <v>0</v>
      </c>
      <c r="Z1384" t="s">
        <v>42</v>
      </c>
      <c r="AA1384" t="s">
        <v>35</v>
      </c>
      <c r="AB1384">
        <v>13</v>
      </c>
      <c r="AC1384">
        <v>3</v>
      </c>
      <c r="AD1384" t="str">
        <f t="shared" si="43"/>
        <v>Low Performance</v>
      </c>
      <c r="AE1384">
        <v>4</v>
      </c>
      <c r="AF1384">
        <v>80</v>
      </c>
      <c r="AG1384">
        <v>0</v>
      </c>
      <c r="AH1384">
        <v>8</v>
      </c>
      <c r="AI1384">
        <v>6</v>
      </c>
      <c r="AJ1384">
        <v>2</v>
      </c>
      <c r="AK1384" t="str" cm="1">
        <f t="array" ref="AK1384">_xlfn.IFS(AJ1384&lt;=2,"Poor",AJ1384&lt;=3,"Fair",AJ1384&gt;3,"Good")</f>
        <v>Poor</v>
      </c>
      <c r="AL1384">
        <v>7</v>
      </c>
      <c r="AM1384">
        <v>7</v>
      </c>
      <c r="AN1384">
        <v>7</v>
      </c>
      <c r="AO1384">
        <v>6</v>
      </c>
    </row>
    <row r="1385" spans="1:41" x14ac:dyDescent="0.2">
      <c r="A1385">
        <v>1332348</v>
      </c>
      <c r="B1385">
        <v>29</v>
      </c>
      <c r="C1385" t="str" cm="1">
        <f t="array" ref="C1385">_xlfn.IFS(B1385&lt;=25,"15-25",B1385&lt;=35,"26-35",B1385&lt;=45,"36-45",B1385&lt;=55,"46-55",B1385&lt;=65,"56-65")</f>
        <v>26-35</v>
      </c>
      <c r="D1385" t="s">
        <v>35</v>
      </c>
      <c r="E1385" t="str">
        <f t="shared" si="42"/>
        <v>Current Employee</v>
      </c>
      <c r="F1385" t="s">
        <v>36</v>
      </c>
      <c r="G1385">
        <v>136</v>
      </c>
      <c r="H1385" t="s">
        <v>54</v>
      </c>
      <c r="I1385">
        <v>1</v>
      </c>
      <c r="J1385">
        <v>3</v>
      </c>
      <c r="K1385" t="s">
        <v>38</v>
      </c>
      <c r="L1385">
        <v>1</v>
      </c>
      <c r="M1385">
        <v>1</v>
      </c>
      <c r="N1385" t="s">
        <v>46</v>
      </c>
      <c r="O1385">
        <v>89</v>
      </c>
      <c r="P1385">
        <v>3</v>
      </c>
      <c r="Q1385">
        <v>2</v>
      </c>
      <c r="R1385" t="s">
        <v>40</v>
      </c>
      <c r="S1385">
        <v>1</v>
      </c>
      <c r="T1385" t="str" cm="1">
        <f t="array" ref="T1385">_xlfn.IFS(S1385&lt;=2,"Poor",S1385&lt;=3,"Fair",S1385&gt;=4,"Good")</f>
        <v>Poor</v>
      </c>
      <c r="U1385" t="s">
        <v>48</v>
      </c>
      <c r="V1385" s="1">
        <v>5373</v>
      </c>
      <c r="W1385" t="str" cm="1">
        <f t="array" ref="W1385">_xlfn.IFS(V1385&lt;=5000,"Low Salary",V1385&lt;=12000,"Good Salary",V1385&gt;12000,"High Salary")</f>
        <v>Good Salary</v>
      </c>
      <c r="X1385">
        <v>6225</v>
      </c>
      <c r="Y1385">
        <v>0</v>
      </c>
      <c r="Z1385" t="s">
        <v>42</v>
      </c>
      <c r="AA1385" t="s">
        <v>35</v>
      </c>
      <c r="AB1385">
        <v>12</v>
      </c>
      <c r="AC1385">
        <v>3</v>
      </c>
      <c r="AD1385" t="str">
        <f t="shared" si="43"/>
        <v>Low Performance</v>
      </c>
      <c r="AE1385">
        <v>1</v>
      </c>
      <c r="AF1385">
        <v>80</v>
      </c>
      <c r="AG1385">
        <v>1</v>
      </c>
      <c r="AH1385">
        <v>6</v>
      </c>
      <c r="AI1385">
        <v>5</v>
      </c>
      <c r="AJ1385">
        <v>2</v>
      </c>
      <c r="AK1385" t="str" cm="1">
        <f t="array" ref="AK1385">_xlfn.IFS(AJ1385&lt;=2,"Poor",AJ1385&lt;=3,"Fair",AJ1385&gt;3,"Good")</f>
        <v>Poor</v>
      </c>
      <c r="AL1385">
        <v>5</v>
      </c>
      <c r="AM1385">
        <v>3</v>
      </c>
      <c r="AN1385">
        <v>0</v>
      </c>
      <c r="AO1385">
        <v>2</v>
      </c>
    </row>
    <row r="1386" spans="1:41" x14ac:dyDescent="0.2">
      <c r="A1386">
        <v>1051695</v>
      </c>
      <c r="B1386">
        <v>32</v>
      </c>
      <c r="C1386" t="str" cm="1">
        <f t="array" ref="C1386">_xlfn.IFS(B1386&lt;=25,"15-25",B1386&lt;=35,"26-35",B1386&lt;=45,"36-45",B1386&lt;=55,"46-55",B1386&lt;=65,"56-65")</f>
        <v>26-35</v>
      </c>
      <c r="D1386" t="s">
        <v>35</v>
      </c>
      <c r="E1386" t="str">
        <f t="shared" si="42"/>
        <v>Current Employee</v>
      </c>
      <c r="F1386" t="s">
        <v>52</v>
      </c>
      <c r="G1386">
        <v>1146</v>
      </c>
      <c r="H1386" t="s">
        <v>54</v>
      </c>
      <c r="I1386">
        <v>15</v>
      </c>
      <c r="J1386">
        <v>4</v>
      </c>
      <c r="K1386" t="s">
        <v>49</v>
      </c>
      <c r="L1386">
        <v>1</v>
      </c>
      <c r="M1386">
        <v>3</v>
      </c>
      <c r="N1386" t="s">
        <v>39</v>
      </c>
      <c r="O1386">
        <v>34</v>
      </c>
      <c r="P1386">
        <v>3</v>
      </c>
      <c r="Q1386">
        <v>2</v>
      </c>
      <c r="R1386" t="s">
        <v>40</v>
      </c>
      <c r="S1386">
        <v>4</v>
      </c>
      <c r="T1386" t="str" cm="1">
        <f t="array" ref="T1386">_xlfn.IFS(S1386&lt;=2,"Poor",S1386&lt;=3,"Fair",S1386&gt;=4,"Good")</f>
        <v>Good</v>
      </c>
      <c r="U1386" t="s">
        <v>50</v>
      </c>
      <c r="V1386" s="1">
        <v>6667</v>
      </c>
      <c r="W1386" t="str" cm="1">
        <f t="array" ref="W1386">_xlfn.IFS(V1386&lt;=5000,"Low Salary",V1386&lt;=12000,"Good Salary",V1386&gt;12000,"High Salary")</f>
        <v>Good Salary</v>
      </c>
      <c r="X1386">
        <v>16542</v>
      </c>
      <c r="Y1386">
        <v>5</v>
      </c>
      <c r="Z1386" t="s">
        <v>42</v>
      </c>
      <c r="AA1386" t="s">
        <v>35</v>
      </c>
      <c r="AB1386">
        <v>18</v>
      </c>
      <c r="AC1386">
        <v>3</v>
      </c>
      <c r="AD1386" t="str">
        <f t="shared" si="43"/>
        <v>Low Performance</v>
      </c>
      <c r="AE1386">
        <v>2</v>
      </c>
      <c r="AF1386">
        <v>80</v>
      </c>
      <c r="AG1386">
        <v>1</v>
      </c>
      <c r="AH1386">
        <v>9</v>
      </c>
      <c r="AI1386">
        <v>6</v>
      </c>
      <c r="AJ1386">
        <v>3</v>
      </c>
      <c r="AK1386" t="str" cm="1">
        <f t="array" ref="AK1386">_xlfn.IFS(AJ1386&lt;=2,"Poor",AJ1386&lt;=3,"Fair",AJ1386&gt;3,"Good")</f>
        <v>Fair</v>
      </c>
      <c r="AL1386">
        <v>5</v>
      </c>
      <c r="AM1386">
        <v>1</v>
      </c>
      <c r="AN1386">
        <v>1</v>
      </c>
      <c r="AO1386">
        <v>2</v>
      </c>
    </row>
    <row r="1387" spans="1:41" x14ac:dyDescent="0.2">
      <c r="A1387">
        <v>1154444</v>
      </c>
      <c r="B1387">
        <v>31</v>
      </c>
      <c r="C1387" t="str" cm="1">
        <f t="array" ref="C1387">_xlfn.IFS(B1387&lt;=25,"15-25",B1387&lt;=35,"26-35",B1387&lt;=45,"36-45",B1387&lt;=55,"46-55",B1387&lt;=65,"56-65")</f>
        <v>26-35</v>
      </c>
      <c r="D1387" t="s">
        <v>35</v>
      </c>
      <c r="E1387" t="str">
        <f t="shared" si="42"/>
        <v>Current Employee</v>
      </c>
      <c r="F1387" t="s">
        <v>44</v>
      </c>
      <c r="G1387">
        <v>1125</v>
      </c>
      <c r="H1387" t="s">
        <v>54</v>
      </c>
      <c r="I1387">
        <v>1</v>
      </c>
      <c r="J1387">
        <v>3</v>
      </c>
      <c r="K1387" t="s">
        <v>38</v>
      </c>
      <c r="L1387">
        <v>1</v>
      </c>
      <c r="M1387">
        <v>4</v>
      </c>
      <c r="N1387" t="s">
        <v>46</v>
      </c>
      <c r="O1387">
        <v>48</v>
      </c>
      <c r="P1387">
        <v>1</v>
      </c>
      <c r="Q1387">
        <v>2</v>
      </c>
      <c r="R1387" t="s">
        <v>47</v>
      </c>
      <c r="S1387">
        <v>1</v>
      </c>
      <c r="T1387" t="str" cm="1">
        <f t="array" ref="T1387">_xlfn.IFS(S1387&lt;=2,"Poor",S1387&lt;=3,"Fair",S1387&gt;=4,"Good")</f>
        <v>Poor</v>
      </c>
      <c r="U1387" t="s">
        <v>48</v>
      </c>
      <c r="V1387" s="1">
        <v>5003</v>
      </c>
      <c r="W1387" t="str" cm="1">
        <f t="array" ref="W1387">_xlfn.IFS(V1387&lt;=5000,"Low Salary",V1387&lt;=12000,"Good Salary",V1387&gt;12000,"High Salary")</f>
        <v>Good Salary</v>
      </c>
      <c r="X1387">
        <v>5771</v>
      </c>
      <c r="Y1387">
        <v>1</v>
      </c>
      <c r="Z1387" t="s">
        <v>42</v>
      </c>
      <c r="AA1387" t="s">
        <v>35</v>
      </c>
      <c r="AB1387">
        <v>21</v>
      </c>
      <c r="AC1387">
        <v>4</v>
      </c>
      <c r="AD1387" t="str">
        <f t="shared" si="43"/>
        <v>High Performance</v>
      </c>
      <c r="AE1387">
        <v>2</v>
      </c>
      <c r="AF1387">
        <v>80</v>
      </c>
      <c r="AG1387">
        <v>0</v>
      </c>
      <c r="AH1387">
        <v>10</v>
      </c>
      <c r="AI1387">
        <v>6</v>
      </c>
      <c r="AJ1387">
        <v>3</v>
      </c>
      <c r="AK1387" t="str" cm="1">
        <f t="array" ref="AK1387">_xlfn.IFS(AJ1387&lt;=2,"Poor",AJ1387&lt;=3,"Fair",AJ1387&gt;3,"Good")</f>
        <v>Fair</v>
      </c>
      <c r="AL1387">
        <v>10</v>
      </c>
      <c r="AM1387">
        <v>8</v>
      </c>
      <c r="AN1387">
        <v>8</v>
      </c>
      <c r="AO1387">
        <v>7</v>
      </c>
    </row>
    <row r="1388" spans="1:41" x14ac:dyDescent="0.2">
      <c r="A1388">
        <v>1650983</v>
      </c>
      <c r="B1388">
        <v>28</v>
      </c>
      <c r="C1388" t="str" cm="1">
        <f t="array" ref="C1388">_xlfn.IFS(B1388&lt;=25,"15-25",B1388&lt;=35,"26-35",B1388&lt;=45,"36-45",B1388&lt;=55,"46-55",B1388&lt;=65,"56-65")</f>
        <v>26-35</v>
      </c>
      <c r="D1388" t="s">
        <v>35</v>
      </c>
      <c r="E1388" t="str">
        <f t="shared" si="42"/>
        <v>Current Employee</v>
      </c>
      <c r="F1388" t="s">
        <v>36</v>
      </c>
      <c r="G1388">
        <v>1404</v>
      </c>
      <c r="H1388" t="s">
        <v>54</v>
      </c>
      <c r="I1388">
        <v>17</v>
      </c>
      <c r="J1388">
        <v>3</v>
      </c>
      <c r="K1388" t="s">
        <v>56</v>
      </c>
      <c r="L1388">
        <v>1</v>
      </c>
      <c r="M1388">
        <v>3</v>
      </c>
      <c r="N1388" t="s">
        <v>46</v>
      </c>
      <c r="O1388">
        <v>32</v>
      </c>
      <c r="P1388">
        <v>2</v>
      </c>
      <c r="Q1388">
        <v>1</v>
      </c>
      <c r="R1388" t="s">
        <v>40</v>
      </c>
      <c r="S1388">
        <v>4</v>
      </c>
      <c r="T1388" t="str" cm="1">
        <f t="array" ref="T1388">_xlfn.IFS(S1388&lt;=2,"Poor",S1388&lt;=3,"Fair",S1388&gt;=4,"Good")</f>
        <v>Good</v>
      </c>
      <c r="U1388" t="s">
        <v>50</v>
      </c>
      <c r="V1388" s="1">
        <v>2367</v>
      </c>
      <c r="W1388" t="str" cm="1">
        <f t="array" ref="W1388">_xlfn.IFS(V1388&lt;=5000,"Low Salary",V1388&lt;=12000,"Good Salary",V1388&gt;12000,"High Salary")</f>
        <v>Low Salary</v>
      </c>
      <c r="X1388">
        <v>18779</v>
      </c>
      <c r="Y1388">
        <v>5</v>
      </c>
      <c r="Z1388" t="s">
        <v>42</v>
      </c>
      <c r="AA1388" t="s">
        <v>35</v>
      </c>
      <c r="AB1388">
        <v>12</v>
      </c>
      <c r="AC1388">
        <v>3</v>
      </c>
      <c r="AD1388" t="str">
        <f t="shared" si="43"/>
        <v>Low Performance</v>
      </c>
      <c r="AE1388">
        <v>1</v>
      </c>
      <c r="AF1388">
        <v>80</v>
      </c>
      <c r="AG1388">
        <v>1</v>
      </c>
      <c r="AH1388">
        <v>6</v>
      </c>
      <c r="AI1388">
        <v>2</v>
      </c>
      <c r="AJ1388">
        <v>2</v>
      </c>
      <c r="AK1388" t="str" cm="1">
        <f t="array" ref="AK1388">_xlfn.IFS(AJ1388&lt;=2,"Poor",AJ1388&lt;=3,"Fair",AJ1388&gt;3,"Good")</f>
        <v>Poor</v>
      </c>
      <c r="AL1388">
        <v>4</v>
      </c>
      <c r="AM1388">
        <v>1</v>
      </c>
      <c r="AN1388">
        <v>0</v>
      </c>
      <c r="AO1388">
        <v>3</v>
      </c>
    </row>
    <row r="1389" spans="1:41" x14ac:dyDescent="0.2">
      <c r="A1389">
        <v>1130703</v>
      </c>
      <c r="B1389">
        <v>38</v>
      </c>
      <c r="C1389" t="str" cm="1">
        <f t="array" ref="C1389">_xlfn.IFS(B1389&lt;=25,"15-25",B1389&lt;=35,"26-35",B1389&lt;=45,"36-45",B1389&lt;=55,"46-55",B1389&lt;=65,"56-65")</f>
        <v>36-45</v>
      </c>
      <c r="D1389" t="s">
        <v>35</v>
      </c>
      <c r="E1389" t="str">
        <f t="shared" si="42"/>
        <v>Current Employee</v>
      </c>
      <c r="F1389" t="s">
        <v>36</v>
      </c>
      <c r="G1389">
        <v>1404</v>
      </c>
      <c r="H1389" t="s">
        <v>37</v>
      </c>
      <c r="I1389">
        <v>1</v>
      </c>
      <c r="J1389">
        <v>3</v>
      </c>
      <c r="K1389" t="s">
        <v>38</v>
      </c>
      <c r="L1389">
        <v>1</v>
      </c>
      <c r="M1389">
        <v>1</v>
      </c>
      <c r="N1389" t="s">
        <v>46</v>
      </c>
      <c r="O1389">
        <v>59</v>
      </c>
      <c r="P1389">
        <v>2</v>
      </c>
      <c r="Q1389">
        <v>1</v>
      </c>
      <c r="R1389" t="s">
        <v>47</v>
      </c>
      <c r="S1389">
        <v>1</v>
      </c>
      <c r="T1389" t="str" cm="1">
        <f t="array" ref="T1389">_xlfn.IFS(S1389&lt;=2,"Poor",S1389&lt;=3,"Fair",S1389&gt;=4,"Good")</f>
        <v>Poor</v>
      </c>
      <c r="U1389" t="s">
        <v>41</v>
      </c>
      <c r="V1389" s="1">
        <v>2858</v>
      </c>
      <c r="W1389" t="str" cm="1">
        <f t="array" ref="W1389">_xlfn.IFS(V1389&lt;=5000,"Low Salary",V1389&lt;=12000,"Good Salary",V1389&gt;12000,"High Salary")</f>
        <v>Low Salary</v>
      </c>
      <c r="X1389">
        <v>11473</v>
      </c>
      <c r="Y1389">
        <v>4</v>
      </c>
      <c r="Z1389" t="s">
        <v>42</v>
      </c>
      <c r="AA1389" t="s">
        <v>35</v>
      </c>
      <c r="AB1389">
        <v>14</v>
      </c>
      <c r="AC1389">
        <v>3</v>
      </c>
      <c r="AD1389" t="str">
        <f t="shared" si="43"/>
        <v>Low Performance</v>
      </c>
      <c r="AE1389">
        <v>1</v>
      </c>
      <c r="AF1389">
        <v>80</v>
      </c>
      <c r="AG1389">
        <v>0</v>
      </c>
      <c r="AH1389">
        <v>20</v>
      </c>
      <c r="AI1389">
        <v>3</v>
      </c>
      <c r="AJ1389">
        <v>2</v>
      </c>
      <c r="AK1389" t="str" cm="1">
        <f t="array" ref="AK1389">_xlfn.IFS(AJ1389&lt;=2,"Poor",AJ1389&lt;=3,"Fair",AJ1389&gt;3,"Good")</f>
        <v>Poor</v>
      </c>
      <c r="AL1389">
        <v>1</v>
      </c>
      <c r="AM1389">
        <v>0</v>
      </c>
      <c r="AN1389">
        <v>0</v>
      </c>
      <c r="AO1389">
        <v>0</v>
      </c>
    </row>
    <row r="1390" spans="1:41" x14ac:dyDescent="0.2">
      <c r="A1390">
        <v>1817679</v>
      </c>
      <c r="B1390">
        <v>35</v>
      </c>
      <c r="C1390" t="str" cm="1">
        <f t="array" ref="C1390">_xlfn.IFS(B1390&lt;=25,"15-25",B1390&lt;=35,"26-35",B1390&lt;=45,"36-45",B1390&lt;=55,"46-55",B1390&lt;=65,"56-65")</f>
        <v>26-35</v>
      </c>
      <c r="D1390" t="s">
        <v>35</v>
      </c>
      <c r="E1390" t="str">
        <f t="shared" si="42"/>
        <v>Current Employee</v>
      </c>
      <c r="F1390" t="s">
        <v>36</v>
      </c>
      <c r="G1390">
        <v>1224</v>
      </c>
      <c r="H1390" t="s">
        <v>37</v>
      </c>
      <c r="I1390">
        <v>7</v>
      </c>
      <c r="J1390">
        <v>4</v>
      </c>
      <c r="K1390" t="s">
        <v>38</v>
      </c>
      <c r="L1390">
        <v>1</v>
      </c>
      <c r="M1390">
        <v>3</v>
      </c>
      <c r="N1390" t="s">
        <v>39</v>
      </c>
      <c r="O1390">
        <v>55</v>
      </c>
      <c r="P1390">
        <v>3</v>
      </c>
      <c r="Q1390">
        <v>2</v>
      </c>
      <c r="R1390" t="s">
        <v>40</v>
      </c>
      <c r="S1390">
        <v>4</v>
      </c>
      <c r="T1390" t="str" cm="1">
        <f t="array" ref="T1390">_xlfn.IFS(S1390&lt;=2,"Poor",S1390&lt;=3,"Fair",S1390&gt;=4,"Good")</f>
        <v>Good</v>
      </c>
      <c r="U1390" t="s">
        <v>48</v>
      </c>
      <c r="V1390" s="1">
        <v>5204</v>
      </c>
      <c r="W1390" t="str" cm="1">
        <f t="array" ref="W1390">_xlfn.IFS(V1390&lt;=5000,"Low Salary",V1390&lt;=12000,"Good Salary",V1390&gt;12000,"High Salary")</f>
        <v>Good Salary</v>
      </c>
      <c r="X1390">
        <v>13586</v>
      </c>
      <c r="Y1390">
        <v>1</v>
      </c>
      <c r="Z1390" t="s">
        <v>42</v>
      </c>
      <c r="AA1390" t="s">
        <v>43</v>
      </c>
      <c r="AB1390">
        <v>11</v>
      </c>
      <c r="AC1390">
        <v>3</v>
      </c>
      <c r="AD1390" t="str">
        <f t="shared" si="43"/>
        <v>Low Performance</v>
      </c>
      <c r="AE1390">
        <v>4</v>
      </c>
      <c r="AF1390">
        <v>80</v>
      </c>
      <c r="AG1390">
        <v>0</v>
      </c>
      <c r="AH1390">
        <v>10</v>
      </c>
      <c r="AI1390">
        <v>2</v>
      </c>
      <c r="AJ1390">
        <v>3</v>
      </c>
      <c r="AK1390" t="str" cm="1">
        <f t="array" ref="AK1390">_xlfn.IFS(AJ1390&lt;=2,"Poor",AJ1390&lt;=3,"Fair",AJ1390&gt;3,"Good")</f>
        <v>Fair</v>
      </c>
      <c r="AL1390">
        <v>10</v>
      </c>
      <c r="AM1390">
        <v>8</v>
      </c>
      <c r="AN1390">
        <v>0</v>
      </c>
      <c r="AO1390">
        <v>9</v>
      </c>
    </row>
    <row r="1391" spans="1:41" x14ac:dyDescent="0.2">
      <c r="A1391">
        <v>1092771</v>
      </c>
      <c r="B1391">
        <v>27</v>
      </c>
      <c r="C1391" t="str" cm="1">
        <f t="array" ref="C1391">_xlfn.IFS(B1391&lt;=25,"15-25",B1391&lt;=35,"26-35",B1391&lt;=45,"36-45",B1391&lt;=55,"46-55",B1391&lt;=65,"56-65")</f>
        <v>26-35</v>
      </c>
      <c r="D1391" t="s">
        <v>35</v>
      </c>
      <c r="E1391" t="str">
        <f t="shared" si="42"/>
        <v>Current Employee</v>
      </c>
      <c r="F1391" t="s">
        <v>36</v>
      </c>
      <c r="G1391">
        <v>954</v>
      </c>
      <c r="H1391" t="s">
        <v>37</v>
      </c>
      <c r="I1391">
        <v>9</v>
      </c>
      <c r="J1391">
        <v>3</v>
      </c>
      <c r="K1391" t="s">
        <v>55</v>
      </c>
      <c r="L1391">
        <v>1</v>
      </c>
      <c r="M1391">
        <v>4</v>
      </c>
      <c r="N1391" t="s">
        <v>46</v>
      </c>
      <c r="O1391">
        <v>44</v>
      </c>
      <c r="P1391">
        <v>3</v>
      </c>
      <c r="Q1391">
        <v>2</v>
      </c>
      <c r="R1391" t="s">
        <v>40</v>
      </c>
      <c r="S1391">
        <v>4</v>
      </c>
      <c r="T1391" t="str" cm="1">
        <f t="array" ref="T1391">_xlfn.IFS(S1391&lt;=2,"Poor",S1391&lt;=3,"Fair",S1391&gt;=4,"Good")</f>
        <v>Good</v>
      </c>
      <c r="U1391" t="s">
        <v>41</v>
      </c>
      <c r="V1391" s="1">
        <v>4105</v>
      </c>
      <c r="W1391" t="str" cm="1">
        <f t="array" ref="W1391">_xlfn.IFS(V1391&lt;=5000,"Low Salary",V1391&lt;=12000,"Good Salary",V1391&gt;12000,"High Salary")</f>
        <v>Low Salary</v>
      </c>
      <c r="X1391">
        <v>5099</v>
      </c>
      <c r="Y1391">
        <v>1</v>
      </c>
      <c r="Z1391" t="s">
        <v>42</v>
      </c>
      <c r="AA1391" t="s">
        <v>35</v>
      </c>
      <c r="AB1391">
        <v>14</v>
      </c>
      <c r="AC1391">
        <v>3</v>
      </c>
      <c r="AD1391" t="str">
        <f t="shared" si="43"/>
        <v>Low Performance</v>
      </c>
      <c r="AE1391">
        <v>1</v>
      </c>
      <c r="AF1391">
        <v>80</v>
      </c>
      <c r="AG1391">
        <v>0</v>
      </c>
      <c r="AH1391">
        <v>7</v>
      </c>
      <c r="AI1391">
        <v>5</v>
      </c>
      <c r="AJ1391">
        <v>3</v>
      </c>
      <c r="AK1391" t="str" cm="1">
        <f t="array" ref="AK1391">_xlfn.IFS(AJ1391&lt;=2,"Poor",AJ1391&lt;=3,"Fair",AJ1391&gt;3,"Good")</f>
        <v>Fair</v>
      </c>
      <c r="AL1391">
        <v>7</v>
      </c>
      <c r="AM1391">
        <v>7</v>
      </c>
      <c r="AN1391">
        <v>0</v>
      </c>
      <c r="AO1391">
        <v>7</v>
      </c>
    </row>
    <row r="1392" spans="1:41" x14ac:dyDescent="0.2">
      <c r="A1392">
        <v>1356134</v>
      </c>
      <c r="B1392">
        <v>32</v>
      </c>
      <c r="C1392" t="str" cm="1">
        <f t="array" ref="C1392">_xlfn.IFS(B1392&lt;=25,"15-25",B1392&lt;=35,"26-35",B1392&lt;=45,"36-45",B1392&lt;=55,"46-55",B1392&lt;=65,"56-65")</f>
        <v>26-35</v>
      </c>
      <c r="D1392" t="s">
        <v>35</v>
      </c>
      <c r="E1392" t="str">
        <f t="shared" si="42"/>
        <v>Current Employee</v>
      </c>
      <c r="F1392" t="s">
        <v>36</v>
      </c>
      <c r="G1392">
        <v>1373</v>
      </c>
      <c r="H1392" t="s">
        <v>37</v>
      </c>
      <c r="I1392">
        <v>5</v>
      </c>
      <c r="J1392">
        <v>4</v>
      </c>
      <c r="K1392" t="s">
        <v>38</v>
      </c>
      <c r="L1392">
        <v>1</v>
      </c>
      <c r="M1392">
        <v>4</v>
      </c>
      <c r="N1392" t="s">
        <v>46</v>
      </c>
      <c r="O1392">
        <v>56</v>
      </c>
      <c r="P1392">
        <v>2</v>
      </c>
      <c r="Q1392">
        <v>2</v>
      </c>
      <c r="R1392" t="s">
        <v>51</v>
      </c>
      <c r="S1392">
        <v>4</v>
      </c>
      <c r="T1392" t="str" cm="1">
        <f t="array" ref="T1392">_xlfn.IFS(S1392&lt;=2,"Poor",S1392&lt;=3,"Fair",S1392&gt;=4,"Good")</f>
        <v>Good</v>
      </c>
      <c r="U1392" t="s">
        <v>41</v>
      </c>
      <c r="V1392" s="1">
        <v>9679</v>
      </c>
      <c r="W1392" t="str" cm="1">
        <f t="array" ref="W1392">_xlfn.IFS(V1392&lt;=5000,"Low Salary",V1392&lt;=12000,"Good Salary",V1392&gt;12000,"High Salary")</f>
        <v>Good Salary</v>
      </c>
      <c r="X1392">
        <v>10138</v>
      </c>
      <c r="Y1392">
        <v>8</v>
      </c>
      <c r="Z1392" t="s">
        <v>42</v>
      </c>
      <c r="AA1392" t="s">
        <v>35</v>
      </c>
      <c r="AB1392">
        <v>24</v>
      </c>
      <c r="AC1392">
        <v>4</v>
      </c>
      <c r="AD1392" t="str">
        <f t="shared" si="43"/>
        <v>High Performance</v>
      </c>
      <c r="AE1392">
        <v>2</v>
      </c>
      <c r="AF1392">
        <v>80</v>
      </c>
      <c r="AG1392">
        <v>0</v>
      </c>
      <c r="AH1392">
        <v>8</v>
      </c>
      <c r="AI1392">
        <v>1</v>
      </c>
      <c r="AJ1392">
        <v>3</v>
      </c>
      <c r="AK1392" t="str" cm="1">
        <f t="array" ref="AK1392">_xlfn.IFS(AJ1392&lt;=2,"Poor",AJ1392&lt;=3,"Fair",AJ1392&gt;3,"Good")</f>
        <v>Fair</v>
      </c>
      <c r="AL1392">
        <v>1</v>
      </c>
      <c r="AM1392">
        <v>0</v>
      </c>
      <c r="AN1392">
        <v>0</v>
      </c>
      <c r="AO1392">
        <v>0</v>
      </c>
    </row>
    <row r="1393" spans="1:41" x14ac:dyDescent="0.2">
      <c r="A1393">
        <v>1370524</v>
      </c>
      <c r="B1393">
        <v>31</v>
      </c>
      <c r="C1393" t="str" cm="1">
        <f t="array" ref="C1393">_xlfn.IFS(B1393&lt;=25,"15-25",B1393&lt;=35,"26-35",B1393&lt;=45,"36-45",B1393&lt;=55,"46-55",B1393&lt;=65,"56-65")</f>
        <v>26-35</v>
      </c>
      <c r="D1393" t="s">
        <v>43</v>
      </c>
      <c r="E1393" t="str">
        <f t="shared" si="42"/>
        <v>Former Employee</v>
      </c>
      <c r="F1393" t="s">
        <v>44</v>
      </c>
      <c r="G1393">
        <v>754</v>
      </c>
      <c r="H1393" t="s">
        <v>37</v>
      </c>
      <c r="I1393">
        <v>26</v>
      </c>
      <c r="J1393">
        <v>4</v>
      </c>
      <c r="K1393" t="s">
        <v>55</v>
      </c>
      <c r="L1393">
        <v>1</v>
      </c>
      <c r="M1393">
        <v>1</v>
      </c>
      <c r="N1393" t="s">
        <v>46</v>
      </c>
      <c r="O1393">
        <v>63</v>
      </c>
      <c r="P1393">
        <v>3</v>
      </c>
      <c r="Q1393">
        <v>2</v>
      </c>
      <c r="R1393" t="s">
        <v>40</v>
      </c>
      <c r="S1393">
        <v>4</v>
      </c>
      <c r="T1393" t="str" cm="1">
        <f t="array" ref="T1393">_xlfn.IFS(S1393&lt;=2,"Poor",S1393&lt;=3,"Fair",S1393&gt;=4,"Good")</f>
        <v>Good</v>
      </c>
      <c r="U1393" t="s">
        <v>48</v>
      </c>
      <c r="V1393" s="1">
        <v>5617</v>
      </c>
      <c r="W1393" t="str" cm="1">
        <f t="array" ref="W1393">_xlfn.IFS(V1393&lt;=5000,"Low Salary",V1393&lt;=12000,"Good Salary",V1393&gt;12000,"High Salary")</f>
        <v>Good Salary</v>
      </c>
      <c r="X1393">
        <v>21075</v>
      </c>
      <c r="Y1393">
        <v>1</v>
      </c>
      <c r="Z1393" t="s">
        <v>42</v>
      </c>
      <c r="AA1393" t="s">
        <v>43</v>
      </c>
      <c r="AB1393">
        <v>11</v>
      </c>
      <c r="AC1393">
        <v>3</v>
      </c>
      <c r="AD1393" t="str">
        <f t="shared" si="43"/>
        <v>Low Performance</v>
      </c>
      <c r="AE1393">
        <v>3</v>
      </c>
      <c r="AF1393">
        <v>80</v>
      </c>
      <c r="AG1393">
        <v>0</v>
      </c>
      <c r="AH1393">
        <v>10</v>
      </c>
      <c r="AI1393">
        <v>4</v>
      </c>
      <c r="AJ1393">
        <v>3</v>
      </c>
      <c r="AK1393" t="str" cm="1">
        <f t="array" ref="AK1393">_xlfn.IFS(AJ1393&lt;=2,"Poor",AJ1393&lt;=3,"Fair",AJ1393&gt;3,"Good")</f>
        <v>Fair</v>
      </c>
      <c r="AL1393">
        <v>10</v>
      </c>
      <c r="AM1393">
        <v>7</v>
      </c>
      <c r="AN1393">
        <v>0</v>
      </c>
      <c r="AO1393">
        <v>8</v>
      </c>
    </row>
    <row r="1394" spans="1:41" x14ac:dyDescent="0.2">
      <c r="A1394">
        <v>1232169</v>
      </c>
      <c r="B1394">
        <v>53</v>
      </c>
      <c r="C1394" t="str" cm="1">
        <f t="array" ref="C1394">_xlfn.IFS(B1394&lt;=25,"15-25",B1394&lt;=35,"26-35",B1394&lt;=45,"36-45",B1394&lt;=55,"46-55",B1394&lt;=65,"56-65")</f>
        <v>46-55</v>
      </c>
      <c r="D1394" t="s">
        <v>43</v>
      </c>
      <c r="E1394" t="str">
        <f t="shared" si="42"/>
        <v>Former Employee</v>
      </c>
      <c r="F1394" t="s">
        <v>36</v>
      </c>
      <c r="G1394">
        <v>1168</v>
      </c>
      <c r="H1394" t="s">
        <v>37</v>
      </c>
      <c r="I1394">
        <v>24</v>
      </c>
      <c r="J1394">
        <v>4</v>
      </c>
      <c r="K1394" t="s">
        <v>38</v>
      </c>
      <c r="L1394">
        <v>1</v>
      </c>
      <c r="M1394">
        <v>1</v>
      </c>
      <c r="N1394" t="s">
        <v>46</v>
      </c>
      <c r="O1394">
        <v>66</v>
      </c>
      <c r="P1394">
        <v>3</v>
      </c>
      <c r="Q1394">
        <v>3</v>
      </c>
      <c r="R1394" t="s">
        <v>40</v>
      </c>
      <c r="S1394">
        <v>1</v>
      </c>
      <c r="T1394" t="str" cm="1">
        <f t="array" ref="T1394">_xlfn.IFS(S1394&lt;=2,"Poor",S1394&lt;=3,"Fair",S1394&gt;=4,"Good")</f>
        <v>Poor</v>
      </c>
      <c r="U1394" t="s">
        <v>41</v>
      </c>
      <c r="V1394" s="1">
        <v>10448</v>
      </c>
      <c r="W1394" t="str" cm="1">
        <f t="array" ref="W1394">_xlfn.IFS(V1394&lt;=5000,"Low Salary",V1394&lt;=12000,"Good Salary",V1394&gt;12000,"High Salary")</f>
        <v>Good Salary</v>
      </c>
      <c r="X1394">
        <v>5843</v>
      </c>
      <c r="Y1394">
        <v>6</v>
      </c>
      <c r="Z1394" t="s">
        <v>42</v>
      </c>
      <c r="AA1394" t="s">
        <v>43</v>
      </c>
      <c r="AB1394">
        <v>13</v>
      </c>
      <c r="AC1394">
        <v>3</v>
      </c>
      <c r="AD1394" t="str">
        <f t="shared" si="43"/>
        <v>Low Performance</v>
      </c>
      <c r="AE1394">
        <v>2</v>
      </c>
      <c r="AF1394">
        <v>80</v>
      </c>
      <c r="AG1394">
        <v>0</v>
      </c>
      <c r="AH1394">
        <v>15</v>
      </c>
      <c r="AI1394">
        <v>2</v>
      </c>
      <c r="AJ1394">
        <v>2</v>
      </c>
      <c r="AK1394" t="str" cm="1">
        <f t="array" ref="AK1394">_xlfn.IFS(AJ1394&lt;=2,"Poor",AJ1394&lt;=3,"Fair",AJ1394&gt;3,"Good")</f>
        <v>Poor</v>
      </c>
      <c r="AL1394">
        <v>2</v>
      </c>
      <c r="AM1394">
        <v>2</v>
      </c>
      <c r="AN1394">
        <v>2</v>
      </c>
      <c r="AO1394">
        <v>2</v>
      </c>
    </row>
    <row r="1395" spans="1:41" x14ac:dyDescent="0.2">
      <c r="A1395">
        <v>1392392</v>
      </c>
      <c r="B1395">
        <v>54</v>
      </c>
      <c r="C1395" t="str" cm="1">
        <f t="array" ref="C1395">_xlfn.IFS(B1395&lt;=25,"15-25",B1395&lt;=35,"26-35",B1395&lt;=45,"36-45",B1395&lt;=55,"46-55",B1395&lt;=65,"56-65")</f>
        <v>46-55</v>
      </c>
      <c r="D1395" t="s">
        <v>35</v>
      </c>
      <c r="E1395" t="str">
        <f t="shared" si="42"/>
        <v>Current Employee</v>
      </c>
      <c r="F1395" t="s">
        <v>36</v>
      </c>
      <c r="G1395">
        <v>155</v>
      </c>
      <c r="H1395" t="s">
        <v>54</v>
      </c>
      <c r="I1395">
        <v>9</v>
      </c>
      <c r="J1395">
        <v>2</v>
      </c>
      <c r="K1395" t="s">
        <v>38</v>
      </c>
      <c r="L1395">
        <v>1</v>
      </c>
      <c r="M1395">
        <v>1</v>
      </c>
      <c r="N1395" t="s">
        <v>39</v>
      </c>
      <c r="O1395">
        <v>67</v>
      </c>
      <c r="P1395">
        <v>3</v>
      </c>
      <c r="Q1395">
        <v>2</v>
      </c>
      <c r="R1395" t="s">
        <v>47</v>
      </c>
      <c r="S1395">
        <v>3</v>
      </c>
      <c r="T1395" t="str" cm="1">
        <f t="array" ref="T1395">_xlfn.IFS(S1395&lt;=2,"Poor",S1395&lt;=3,"Fair",S1395&gt;=4,"Good")</f>
        <v>Fair</v>
      </c>
      <c r="U1395" t="s">
        <v>48</v>
      </c>
      <c r="V1395" s="1">
        <v>2897</v>
      </c>
      <c r="W1395" t="str" cm="1">
        <f t="array" ref="W1395">_xlfn.IFS(V1395&lt;=5000,"Low Salary",V1395&lt;=12000,"Good Salary",V1395&gt;12000,"High Salary")</f>
        <v>Low Salary</v>
      </c>
      <c r="X1395">
        <v>22474</v>
      </c>
      <c r="Y1395">
        <v>3</v>
      </c>
      <c r="Z1395" t="s">
        <v>42</v>
      </c>
      <c r="AA1395" t="s">
        <v>35</v>
      </c>
      <c r="AB1395">
        <v>11</v>
      </c>
      <c r="AC1395">
        <v>3</v>
      </c>
      <c r="AD1395" t="str">
        <f t="shared" si="43"/>
        <v>Low Performance</v>
      </c>
      <c r="AE1395">
        <v>3</v>
      </c>
      <c r="AF1395">
        <v>80</v>
      </c>
      <c r="AG1395">
        <v>2</v>
      </c>
      <c r="AH1395">
        <v>9</v>
      </c>
      <c r="AI1395">
        <v>6</v>
      </c>
      <c r="AJ1395">
        <v>2</v>
      </c>
      <c r="AK1395" t="str" cm="1">
        <f t="array" ref="AK1395">_xlfn.IFS(AJ1395&lt;=2,"Poor",AJ1395&lt;=3,"Fair",AJ1395&gt;3,"Good")</f>
        <v>Poor</v>
      </c>
      <c r="AL1395">
        <v>4</v>
      </c>
      <c r="AM1395">
        <v>3</v>
      </c>
      <c r="AN1395">
        <v>2</v>
      </c>
      <c r="AO1395">
        <v>3</v>
      </c>
    </row>
    <row r="1396" spans="1:41" x14ac:dyDescent="0.2">
      <c r="A1396">
        <v>1309342</v>
      </c>
      <c r="B1396">
        <v>33</v>
      </c>
      <c r="C1396" t="str" cm="1">
        <f t="array" ref="C1396">_xlfn.IFS(B1396&lt;=25,"15-25",B1396&lt;=35,"26-35",B1396&lt;=45,"36-45",B1396&lt;=55,"46-55",B1396&lt;=65,"56-65")</f>
        <v>26-35</v>
      </c>
      <c r="D1396" t="s">
        <v>35</v>
      </c>
      <c r="E1396" t="str">
        <f t="shared" si="42"/>
        <v>Current Employee</v>
      </c>
      <c r="F1396" t="s">
        <v>44</v>
      </c>
      <c r="G1396">
        <v>1303</v>
      </c>
      <c r="H1396" t="s">
        <v>54</v>
      </c>
      <c r="I1396">
        <v>7</v>
      </c>
      <c r="J1396">
        <v>2</v>
      </c>
      <c r="K1396" t="s">
        <v>38</v>
      </c>
      <c r="L1396">
        <v>1</v>
      </c>
      <c r="M1396">
        <v>4</v>
      </c>
      <c r="N1396" t="s">
        <v>46</v>
      </c>
      <c r="O1396">
        <v>36</v>
      </c>
      <c r="P1396">
        <v>3</v>
      </c>
      <c r="Q1396">
        <v>2</v>
      </c>
      <c r="R1396" t="s">
        <v>40</v>
      </c>
      <c r="S1396">
        <v>3</v>
      </c>
      <c r="T1396" t="str" cm="1">
        <f t="array" ref="T1396">_xlfn.IFS(S1396&lt;=2,"Poor",S1396&lt;=3,"Fair",S1396&gt;=4,"Good")</f>
        <v>Fair</v>
      </c>
      <c r="U1396" t="s">
        <v>50</v>
      </c>
      <c r="V1396" s="1">
        <v>5968</v>
      </c>
      <c r="W1396" t="str" cm="1">
        <f t="array" ref="W1396">_xlfn.IFS(V1396&lt;=5000,"Low Salary",V1396&lt;=12000,"Good Salary",V1396&gt;12000,"High Salary")</f>
        <v>Good Salary</v>
      </c>
      <c r="X1396">
        <v>18079</v>
      </c>
      <c r="Y1396">
        <v>1</v>
      </c>
      <c r="Z1396" t="s">
        <v>42</v>
      </c>
      <c r="AA1396" t="s">
        <v>35</v>
      </c>
      <c r="AB1396">
        <v>20</v>
      </c>
      <c r="AC1396">
        <v>4</v>
      </c>
      <c r="AD1396" t="str">
        <f t="shared" si="43"/>
        <v>High Performance</v>
      </c>
      <c r="AE1396">
        <v>3</v>
      </c>
      <c r="AF1396">
        <v>80</v>
      </c>
      <c r="AG1396">
        <v>3</v>
      </c>
      <c r="AH1396">
        <v>9</v>
      </c>
      <c r="AI1396">
        <v>2</v>
      </c>
      <c r="AJ1396">
        <v>3</v>
      </c>
      <c r="AK1396" t="str" cm="1">
        <f t="array" ref="AK1396">_xlfn.IFS(AJ1396&lt;=2,"Poor",AJ1396&lt;=3,"Fair",AJ1396&gt;3,"Good")</f>
        <v>Fair</v>
      </c>
      <c r="AL1396">
        <v>9</v>
      </c>
      <c r="AM1396">
        <v>7</v>
      </c>
      <c r="AN1396">
        <v>2</v>
      </c>
      <c r="AO1396">
        <v>8</v>
      </c>
    </row>
    <row r="1397" spans="1:41" x14ac:dyDescent="0.2">
      <c r="A1397">
        <v>1531422</v>
      </c>
      <c r="B1397">
        <v>43</v>
      </c>
      <c r="C1397" t="str" cm="1">
        <f t="array" ref="C1397">_xlfn.IFS(B1397&lt;=25,"15-25",B1397&lt;=35,"26-35",B1397&lt;=45,"36-45",B1397&lt;=55,"46-55",B1397&lt;=65,"56-65")</f>
        <v>36-45</v>
      </c>
      <c r="D1397" t="s">
        <v>35</v>
      </c>
      <c r="E1397" t="str">
        <f t="shared" si="42"/>
        <v>Current Employee</v>
      </c>
      <c r="F1397" t="s">
        <v>36</v>
      </c>
      <c r="G1397">
        <v>574</v>
      </c>
      <c r="H1397" t="s">
        <v>54</v>
      </c>
      <c r="I1397">
        <v>11</v>
      </c>
      <c r="J1397">
        <v>3</v>
      </c>
      <c r="K1397" t="s">
        <v>38</v>
      </c>
      <c r="L1397">
        <v>1</v>
      </c>
      <c r="M1397">
        <v>1</v>
      </c>
      <c r="N1397" t="s">
        <v>46</v>
      </c>
      <c r="O1397">
        <v>30</v>
      </c>
      <c r="P1397">
        <v>3</v>
      </c>
      <c r="Q1397">
        <v>3</v>
      </c>
      <c r="R1397" t="s">
        <v>40</v>
      </c>
      <c r="S1397">
        <v>3</v>
      </c>
      <c r="T1397" t="str" cm="1">
        <f t="array" ref="T1397">_xlfn.IFS(S1397&lt;=2,"Poor",S1397&lt;=3,"Fair",S1397&gt;=4,"Good")</f>
        <v>Fair</v>
      </c>
      <c r="U1397" t="s">
        <v>48</v>
      </c>
      <c r="V1397" s="1">
        <v>7510</v>
      </c>
      <c r="W1397" t="str" cm="1">
        <f t="array" ref="W1397">_xlfn.IFS(V1397&lt;=5000,"Low Salary",V1397&lt;=12000,"Good Salary",V1397&gt;12000,"High Salary")</f>
        <v>Good Salary</v>
      </c>
      <c r="X1397">
        <v>16873</v>
      </c>
      <c r="Y1397">
        <v>1</v>
      </c>
      <c r="Z1397" t="s">
        <v>42</v>
      </c>
      <c r="AA1397" t="s">
        <v>35</v>
      </c>
      <c r="AB1397">
        <v>17</v>
      </c>
      <c r="AC1397">
        <v>3</v>
      </c>
      <c r="AD1397" t="str">
        <f t="shared" si="43"/>
        <v>Low Performance</v>
      </c>
      <c r="AE1397">
        <v>2</v>
      </c>
      <c r="AF1397">
        <v>80</v>
      </c>
      <c r="AG1397">
        <v>1</v>
      </c>
      <c r="AH1397">
        <v>10</v>
      </c>
      <c r="AI1397">
        <v>1</v>
      </c>
      <c r="AJ1397">
        <v>3</v>
      </c>
      <c r="AK1397" t="str" cm="1">
        <f t="array" ref="AK1397">_xlfn.IFS(AJ1397&lt;=2,"Poor",AJ1397&lt;=3,"Fair",AJ1397&gt;3,"Good")</f>
        <v>Fair</v>
      </c>
      <c r="AL1397">
        <v>10</v>
      </c>
      <c r="AM1397">
        <v>9</v>
      </c>
      <c r="AN1397">
        <v>0</v>
      </c>
      <c r="AO1397">
        <v>9</v>
      </c>
    </row>
    <row r="1398" spans="1:41" x14ac:dyDescent="0.2">
      <c r="A1398">
        <v>1126582</v>
      </c>
      <c r="B1398">
        <v>38</v>
      </c>
      <c r="C1398" t="str" cm="1">
        <f t="array" ref="C1398">_xlfn.IFS(B1398&lt;=25,"15-25",B1398&lt;=35,"26-35",B1398&lt;=45,"36-45",B1398&lt;=55,"46-55",B1398&lt;=65,"56-65")</f>
        <v>36-45</v>
      </c>
      <c r="D1398" t="s">
        <v>35</v>
      </c>
      <c r="E1398" t="str">
        <f t="shared" si="42"/>
        <v>Current Employee</v>
      </c>
      <c r="F1398" t="s">
        <v>44</v>
      </c>
      <c r="G1398">
        <v>1444</v>
      </c>
      <c r="H1398" t="s">
        <v>54</v>
      </c>
      <c r="I1398">
        <v>1</v>
      </c>
      <c r="J1398">
        <v>4</v>
      </c>
      <c r="K1398" t="s">
        <v>47</v>
      </c>
      <c r="L1398">
        <v>1</v>
      </c>
      <c r="M1398">
        <v>4</v>
      </c>
      <c r="N1398" t="s">
        <v>46</v>
      </c>
      <c r="O1398">
        <v>88</v>
      </c>
      <c r="P1398">
        <v>3</v>
      </c>
      <c r="Q1398">
        <v>1</v>
      </c>
      <c r="R1398" t="s">
        <v>47</v>
      </c>
      <c r="S1398">
        <v>2</v>
      </c>
      <c r="T1398" t="str" cm="1">
        <f t="array" ref="T1398">_xlfn.IFS(S1398&lt;=2,"Poor",S1398&lt;=3,"Fair",S1398&gt;=4,"Good")</f>
        <v>Poor</v>
      </c>
      <c r="U1398" t="s">
        <v>48</v>
      </c>
      <c r="V1398" s="1">
        <v>2991</v>
      </c>
      <c r="W1398" t="str" cm="1">
        <f t="array" ref="W1398">_xlfn.IFS(V1398&lt;=5000,"Low Salary",V1398&lt;=12000,"Good Salary",V1398&gt;12000,"High Salary")</f>
        <v>Low Salary</v>
      </c>
      <c r="X1398">
        <v>5224</v>
      </c>
      <c r="Y1398">
        <v>0</v>
      </c>
      <c r="Z1398" t="s">
        <v>42</v>
      </c>
      <c r="AA1398" t="s">
        <v>43</v>
      </c>
      <c r="AB1398">
        <v>11</v>
      </c>
      <c r="AC1398">
        <v>3</v>
      </c>
      <c r="AD1398" t="str">
        <f t="shared" si="43"/>
        <v>Low Performance</v>
      </c>
      <c r="AE1398">
        <v>2</v>
      </c>
      <c r="AF1398">
        <v>80</v>
      </c>
      <c r="AG1398">
        <v>1</v>
      </c>
      <c r="AH1398">
        <v>7</v>
      </c>
      <c r="AI1398">
        <v>2</v>
      </c>
      <c r="AJ1398">
        <v>3</v>
      </c>
      <c r="AK1398" t="str" cm="1">
        <f t="array" ref="AK1398">_xlfn.IFS(AJ1398&lt;=2,"Poor",AJ1398&lt;=3,"Fair",AJ1398&gt;3,"Good")</f>
        <v>Fair</v>
      </c>
      <c r="AL1398">
        <v>6</v>
      </c>
      <c r="AM1398">
        <v>2</v>
      </c>
      <c r="AN1398">
        <v>1</v>
      </c>
      <c r="AO1398">
        <v>2</v>
      </c>
    </row>
    <row r="1399" spans="1:41" x14ac:dyDescent="0.2">
      <c r="A1399">
        <v>1316742</v>
      </c>
      <c r="B1399">
        <v>55</v>
      </c>
      <c r="C1399" t="str" cm="1">
        <f t="array" ref="C1399">_xlfn.IFS(B1399&lt;=25,"15-25",B1399&lt;=35,"26-35",B1399&lt;=45,"36-45",B1399&lt;=55,"46-55",B1399&lt;=65,"56-65")</f>
        <v>46-55</v>
      </c>
      <c r="D1399" t="s">
        <v>35</v>
      </c>
      <c r="E1399" t="str">
        <f t="shared" si="42"/>
        <v>Current Employee</v>
      </c>
      <c r="F1399" t="s">
        <v>36</v>
      </c>
      <c r="G1399">
        <v>189</v>
      </c>
      <c r="H1399" t="s">
        <v>54</v>
      </c>
      <c r="I1399">
        <v>26</v>
      </c>
      <c r="J1399">
        <v>4</v>
      </c>
      <c r="K1399" t="s">
        <v>57</v>
      </c>
      <c r="L1399">
        <v>1</v>
      </c>
      <c r="M1399">
        <v>3</v>
      </c>
      <c r="N1399" t="s">
        <v>46</v>
      </c>
      <c r="O1399">
        <v>71</v>
      </c>
      <c r="P1399">
        <v>4</v>
      </c>
      <c r="Q1399">
        <v>5</v>
      </c>
      <c r="R1399" t="s">
        <v>53</v>
      </c>
      <c r="S1399">
        <v>2</v>
      </c>
      <c r="T1399" t="str" cm="1">
        <f t="array" ref="T1399">_xlfn.IFS(S1399&lt;=2,"Poor",S1399&lt;=3,"Fair",S1399&gt;=4,"Good")</f>
        <v>Poor</v>
      </c>
      <c r="U1399" t="s">
        <v>48</v>
      </c>
      <c r="V1399" s="1">
        <v>19636</v>
      </c>
      <c r="W1399" t="str" cm="1">
        <f t="array" ref="W1399">_xlfn.IFS(V1399&lt;=5000,"Low Salary",V1399&lt;=12000,"Good Salary",V1399&gt;12000,"High Salary")</f>
        <v>High Salary</v>
      </c>
      <c r="X1399">
        <v>25811</v>
      </c>
      <c r="Y1399">
        <v>4</v>
      </c>
      <c r="Z1399" t="s">
        <v>42</v>
      </c>
      <c r="AA1399" t="s">
        <v>43</v>
      </c>
      <c r="AB1399">
        <v>18</v>
      </c>
      <c r="AC1399">
        <v>3</v>
      </c>
      <c r="AD1399" t="str">
        <f t="shared" si="43"/>
        <v>Low Performance</v>
      </c>
      <c r="AE1399">
        <v>1</v>
      </c>
      <c r="AF1399">
        <v>80</v>
      </c>
      <c r="AG1399">
        <v>1</v>
      </c>
      <c r="AH1399">
        <v>35</v>
      </c>
      <c r="AI1399">
        <v>0</v>
      </c>
      <c r="AJ1399">
        <v>3</v>
      </c>
      <c r="AK1399" t="str" cm="1">
        <f t="array" ref="AK1399">_xlfn.IFS(AJ1399&lt;=2,"Poor",AJ1399&lt;=3,"Fair",AJ1399&gt;3,"Good")</f>
        <v>Fair</v>
      </c>
      <c r="AL1399">
        <v>10</v>
      </c>
      <c r="AM1399">
        <v>9</v>
      </c>
      <c r="AN1399">
        <v>1</v>
      </c>
      <c r="AO1399">
        <v>4</v>
      </c>
    </row>
    <row r="1400" spans="1:41" x14ac:dyDescent="0.2">
      <c r="A1400">
        <v>1789942</v>
      </c>
      <c r="B1400">
        <v>31</v>
      </c>
      <c r="C1400" t="str" cm="1">
        <f t="array" ref="C1400">_xlfn.IFS(B1400&lt;=25,"15-25",B1400&lt;=35,"26-35",B1400&lt;=45,"36-45",B1400&lt;=55,"46-55",B1400&lt;=65,"56-65")</f>
        <v>26-35</v>
      </c>
      <c r="D1400" t="s">
        <v>35</v>
      </c>
      <c r="E1400" t="str">
        <f t="shared" si="42"/>
        <v>Current Employee</v>
      </c>
      <c r="F1400" t="s">
        <v>36</v>
      </c>
      <c r="G1400">
        <v>1276</v>
      </c>
      <c r="H1400" t="s">
        <v>54</v>
      </c>
      <c r="I1400">
        <v>2</v>
      </c>
      <c r="J1400">
        <v>1</v>
      </c>
      <c r="K1400" t="s">
        <v>49</v>
      </c>
      <c r="L1400">
        <v>1</v>
      </c>
      <c r="M1400">
        <v>4</v>
      </c>
      <c r="N1400" t="s">
        <v>39</v>
      </c>
      <c r="O1400">
        <v>59</v>
      </c>
      <c r="P1400">
        <v>1</v>
      </c>
      <c r="Q1400">
        <v>1</v>
      </c>
      <c r="R1400" t="s">
        <v>40</v>
      </c>
      <c r="S1400">
        <v>4</v>
      </c>
      <c r="T1400" t="str" cm="1">
        <f t="array" ref="T1400">_xlfn.IFS(S1400&lt;=2,"Poor",S1400&lt;=3,"Fair",S1400&gt;=4,"Good")</f>
        <v>Good</v>
      </c>
      <c r="U1400" t="s">
        <v>50</v>
      </c>
      <c r="V1400" s="1">
        <v>1129</v>
      </c>
      <c r="W1400" t="str" cm="1">
        <f t="array" ref="W1400">_xlfn.IFS(V1400&lt;=5000,"Low Salary",V1400&lt;=12000,"Good Salary",V1400&gt;12000,"High Salary")</f>
        <v>Low Salary</v>
      </c>
      <c r="X1400">
        <v>17536</v>
      </c>
      <c r="Y1400">
        <v>1</v>
      </c>
      <c r="Z1400" t="s">
        <v>42</v>
      </c>
      <c r="AA1400" t="s">
        <v>43</v>
      </c>
      <c r="AB1400">
        <v>11</v>
      </c>
      <c r="AC1400">
        <v>3</v>
      </c>
      <c r="AD1400" t="str">
        <f t="shared" si="43"/>
        <v>Low Performance</v>
      </c>
      <c r="AE1400">
        <v>3</v>
      </c>
      <c r="AF1400">
        <v>80</v>
      </c>
      <c r="AG1400">
        <v>3</v>
      </c>
      <c r="AH1400">
        <v>1</v>
      </c>
      <c r="AI1400">
        <v>4</v>
      </c>
      <c r="AJ1400">
        <v>3</v>
      </c>
      <c r="AK1400" t="str" cm="1">
        <f t="array" ref="AK1400">_xlfn.IFS(AJ1400&lt;=2,"Poor",AJ1400&lt;=3,"Fair",AJ1400&gt;3,"Good")</f>
        <v>Fair</v>
      </c>
      <c r="AL1400">
        <v>1</v>
      </c>
      <c r="AM1400">
        <v>0</v>
      </c>
      <c r="AN1400">
        <v>0</v>
      </c>
      <c r="AO1400">
        <v>0</v>
      </c>
    </row>
    <row r="1401" spans="1:41" x14ac:dyDescent="0.2">
      <c r="A1401">
        <v>1583381</v>
      </c>
      <c r="B1401">
        <v>39</v>
      </c>
      <c r="C1401" t="str" cm="1">
        <f t="array" ref="C1401">_xlfn.IFS(B1401&lt;=25,"15-25",B1401&lt;=35,"26-35",B1401&lt;=45,"36-45",B1401&lt;=55,"46-55",B1401&lt;=65,"56-65")</f>
        <v>36-45</v>
      </c>
      <c r="D1401" t="s">
        <v>35</v>
      </c>
      <c r="E1401" t="str">
        <f t="shared" si="42"/>
        <v>Current Employee</v>
      </c>
      <c r="F1401" t="s">
        <v>36</v>
      </c>
      <c r="G1401">
        <v>119</v>
      </c>
      <c r="H1401" t="s">
        <v>37</v>
      </c>
      <c r="I1401">
        <v>15</v>
      </c>
      <c r="J1401">
        <v>4</v>
      </c>
      <c r="K1401" t="s">
        <v>55</v>
      </c>
      <c r="L1401">
        <v>1</v>
      </c>
      <c r="M1401">
        <v>2</v>
      </c>
      <c r="N1401" t="s">
        <v>46</v>
      </c>
      <c r="O1401">
        <v>77</v>
      </c>
      <c r="P1401">
        <v>3</v>
      </c>
      <c r="Q1401">
        <v>4</v>
      </c>
      <c r="R1401" t="s">
        <v>40</v>
      </c>
      <c r="S1401">
        <v>1</v>
      </c>
      <c r="T1401" t="str" cm="1">
        <f t="array" ref="T1401">_xlfn.IFS(S1401&lt;=2,"Poor",S1401&lt;=3,"Fair",S1401&gt;=4,"Good")</f>
        <v>Poor</v>
      </c>
      <c r="U1401" t="s">
        <v>41</v>
      </c>
      <c r="V1401" s="1">
        <v>13341</v>
      </c>
      <c r="W1401" t="str" cm="1">
        <f t="array" ref="W1401">_xlfn.IFS(V1401&lt;=5000,"Low Salary",V1401&lt;=12000,"Good Salary",V1401&gt;12000,"High Salary")</f>
        <v>High Salary</v>
      </c>
      <c r="X1401">
        <v>25098</v>
      </c>
      <c r="Y1401">
        <v>0</v>
      </c>
      <c r="Z1401" t="s">
        <v>42</v>
      </c>
      <c r="AA1401" t="s">
        <v>35</v>
      </c>
      <c r="AB1401">
        <v>12</v>
      </c>
      <c r="AC1401">
        <v>3</v>
      </c>
      <c r="AD1401" t="str">
        <f t="shared" si="43"/>
        <v>Low Performance</v>
      </c>
      <c r="AE1401">
        <v>1</v>
      </c>
      <c r="AF1401">
        <v>80</v>
      </c>
      <c r="AG1401">
        <v>0</v>
      </c>
      <c r="AH1401">
        <v>21</v>
      </c>
      <c r="AI1401">
        <v>3</v>
      </c>
      <c r="AJ1401">
        <v>3</v>
      </c>
      <c r="AK1401" t="str" cm="1">
        <f t="array" ref="AK1401">_xlfn.IFS(AJ1401&lt;=2,"Poor",AJ1401&lt;=3,"Fair",AJ1401&gt;3,"Good")</f>
        <v>Fair</v>
      </c>
      <c r="AL1401">
        <v>20</v>
      </c>
      <c r="AM1401">
        <v>8</v>
      </c>
      <c r="AN1401">
        <v>11</v>
      </c>
      <c r="AO1401">
        <v>10</v>
      </c>
    </row>
    <row r="1402" spans="1:41" x14ac:dyDescent="0.2">
      <c r="A1402">
        <v>1275198</v>
      </c>
      <c r="B1402">
        <v>42</v>
      </c>
      <c r="C1402" t="str" cm="1">
        <f t="array" ref="C1402">_xlfn.IFS(B1402&lt;=25,"15-25",B1402&lt;=35,"26-35",B1402&lt;=45,"36-45",B1402&lt;=55,"46-55",B1402&lt;=65,"56-65")</f>
        <v>36-45</v>
      </c>
      <c r="D1402" t="s">
        <v>35</v>
      </c>
      <c r="E1402" t="str">
        <f t="shared" si="42"/>
        <v>Current Employee</v>
      </c>
      <c r="F1402" t="s">
        <v>52</v>
      </c>
      <c r="G1402">
        <v>335</v>
      </c>
      <c r="H1402" t="s">
        <v>54</v>
      </c>
      <c r="I1402">
        <v>23</v>
      </c>
      <c r="J1402">
        <v>2</v>
      </c>
      <c r="K1402" t="s">
        <v>38</v>
      </c>
      <c r="L1402">
        <v>1</v>
      </c>
      <c r="M1402">
        <v>4</v>
      </c>
      <c r="N1402" t="s">
        <v>46</v>
      </c>
      <c r="O1402">
        <v>37</v>
      </c>
      <c r="P1402">
        <v>2</v>
      </c>
      <c r="Q1402">
        <v>2</v>
      </c>
      <c r="R1402" t="s">
        <v>47</v>
      </c>
      <c r="S1402">
        <v>3</v>
      </c>
      <c r="T1402" t="str" cm="1">
        <f t="array" ref="T1402">_xlfn.IFS(S1402&lt;=2,"Poor",S1402&lt;=3,"Fair",S1402&gt;=4,"Good")</f>
        <v>Fair</v>
      </c>
      <c r="U1402" t="s">
        <v>41</v>
      </c>
      <c r="V1402" s="1">
        <v>4332</v>
      </c>
      <c r="W1402" t="str" cm="1">
        <f t="array" ref="W1402">_xlfn.IFS(V1402&lt;=5000,"Low Salary",V1402&lt;=12000,"Good Salary",V1402&gt;12000,"High Salary")</f>
        <v>Low Salary</v>
      </c>
      <c r="X1402">
        <v>14811</v>
      </c>
      <c r="Y1402">
        <v>1</v>
      </c>
      <c r="Z1402" t="s">
        <v>42</v>
      </c>
      <c r="AA1402" t="s">
        <v>35</v>
      </c>
      <c r="AB1402">
        <v>12</v>
      </c>
      <c r="AC1402">
        <v>3</v>
      </c>
      <c r="AD1402" t="str">
        <f t="shared" si="43"/>
        <v>Low Performance</v>
      </c>
      <c r="AE1402">
        <v>4</v>
      </c>
      <c r="AF1402">
        <v>80</v>
      </c>
      <c r="AG1402">
        <v>0</v>
      </c>
      <c r="AH1402">
        <v>20</v>
      </c>
      <c r="AI1402">
        <v>2</v>
      </c>
      <c r="AJ1402">
        <v>3</v>
      </c>
      <c r="AK1402" t="str" cm="1">
        <f t="array" ref="AK1402">_xlfn.IFS(AJ1402&lt;=2,"Poor",AJ1402&lt;=3,"Fair",AJ1402&gt;3,"Good")</f>
        <v>Fair</v>
      </c>
      <c r="AL1402">
        <v>20</v>
      </c>
      <c r="AM1402">
        <v>9</v>
      </c>
      <c r="AN1402">
        <v>3</v>
      </c>
      <c r="AO1402">
        <v>7</v>
      </c>
    </row>
    <row r="1403" spans="1:41" x14ac:dyDescent="0.2">
      <c r="A1403">
        <v>1378502</v>
      </c>
      <c r="B1403">
        <v>31</v>
      </c>
      <c r="C1403" t="str" cm="1">
        <f t="array" ref="C1403">_xlfn.IFS(B1403&lt;=25,"15-25",B1403&lt;=35,"26-35",B1403&lt;=45,"36-45",B1403&lt;=55,"46-55",B1403&lt;=65,"56-65")</f>
        <v>26-35</v>
      </c>
      <c r="D1403" t="s">
        <v>35</v>
      </c>
      <c r="E1403" t="str">
        <f t="shared" si="42"/>
        <v>Current Employee</v>
      </c>
      <c r="F1403" t="s">
        <v>52</v>
      </c>
      <c r="G1403">
        <v>697</v>
      </c>
      <c r="H1403" t="s">
        <v>54</v>
      </c>
      <c r="I1403">
        <v>10</v>
      </c>
      <c r="J1403">
        <v>3</v>
      </c>
      <c r="K1403" t="s">
        <v>49</v>
      </c>
      <c r="L1403">
        <v>1</v>
      </c>
      <c r="M1403">
        <v>3</v>
      </c>
      <c r="N1403" t="s">
        <v>39</v>
      </c>
      <c r="O1403">
        <v>40</v>
      </c>
      <c r="P1403">
        <v>3</v>
      </c>
      <c r="Q1403">
        <v>3</v>
      </c>
      <c r="R1403" t="s">
        <v>53</v>
      </c>
      <c r="S1403">
        <v>3</v>
      </c>
      <c r="T1403" t="str" cm="1">
        <f t="array" ref="T1403">_xlfn.IFS(S1403&lt;=2,"Poor",S1403&lt;=3,"Fair",S1403&gt;=4,"Good")</f>
        <v>Fair</v>
      </c>
      <c r="U1403" t="s">
        <v>48</v>
      </c>
      <c r="V1403" s="1">
        <v>11031</v>
      </c>
      <c r="W1403" t="str" cm="1">
        <f t="array" ref="W1403">_xlfn.IFS(V1403&lt;=5000,"Low Salary",V1403&lt;=12000,"Good Salary",V1403&gt;12000,"High Salary")</f>
        <v>Good Salary</v>
      </c>
      <c r="X1403">
        <v>26862</v>
      </c>
      <c r="Y1403">
        <v>4</v>
      </c>
      <c r="Z1403" t="s">
        <v>42</v>
      </c>
      <c r="AA1403" t="s">
        <v>35</v>
      </c>
      <c r="AB1403">
        <v>20</v>
      </c>
      <c r="AC1403">
        <v>4</v>
      </c>
      <c r="AD1403" t="str">
        <f t="shared" si="43"/>
        <v>High Performance</v>
      </c>
      <c r="AE1403">
        <v>3</v>
      </c>
      <c r="AF1403">
        <v>80</v>
      </c>
      <c r="AG1403">
        <v>1</v>
      </c>
      <c r="AH1403">
        <v>13</v>
      </c>
      <c r="AI1403">
        <v>2</v>
      </c>
      <c r="AJ1403">
        <v>4</v>
      </c>
      <c r="AK1403" t="str" cm="1">
        <f t="array" ref="AK1403">_xlfn.IFS(AJ1403&lt;=2,"Poor",AJ1403&lt;=3,"Fair",AJ1403&gt;3,"Good")</f>
        <v>Good</v>
      </c>
      <c r="AL1403">
        <v>11</v>
      </c>
      <c r="AM1403">
        <v>7</v>
      </c>
      <c r="AN1403">
        <v>4</v>
      </c>
      <c r="AO1403">
        <v>8</v>
      </c>
    </row>
    <row r="1404" spans="1:41" x14ac:dyDescent="0.2">
      <c r="A1404">
        <v>1553116</v>
      </c>
      <c r="B1404">
        <v>54</v>
      </c>
      <c r="C1404" t="str" cm="1">
        <f t="array" ref="C1404">_xlfn.IFS(B1404&lt;=25,"15-25",B1404&lt;=35,"26-35",B1404&lt;=45,"36-45",B1404&lt;=55,"46-55",B1404&lt;=65,"56-65")</f>
        <v>46-55</v>
      </c>
      <c r="D1404" t="s">
        <v>35</v>
      </c>
      <c r="E1404" t="str">
        <f t="shared" si="42"/>
        <v>Current Employee</v>
      </c>
      <c r="F1404" t="s">
        <v>36</v>
      </c>
      <c r="G1404">
        <v>157</v>
      </c>
      <c r="H1404" t="s">
        <v>37</v>
      </c>
      <c r="I1404">
        <v>10</v>
      </c>
      <c r="J1404">
        <v>3</v>
      </c>
      <c r="K1404" t="s">
        <v>49</v>
      </c>
      <c r="L1404">
        <v>1</v>
      </c>
      <c r="M1404">
        <v>3</v>
      </c>
      <c r="N1404" t="s">
        <v>39</v>
      </c>
      <c r="O1404">
        <v>77</v>
      </c>
      <c r="P1404">
        <v>3</v>
      </c>
      <c r="Q1404">
        <v>2</v>
      </c>
      <c r="R1404" t="s">
        <v>51</v>
      </c>
      <c r="S1404">
        <v>1</v>
      </c>
      <c r="T1404" t="str" cm="1">
        <f t="array" ref="T1404">_xlfn.IFS(S1404&lt;=2,"Poor",S1404&lt;=3,"Fair",S1404&gt;=4,"Good")</f>
        <v>Poor</v>
      </c>
      <c r="U1404" t="s">
        <v>41</v>
      </c>
      <c r="V1404" s="1">
        <v>4440</v>
      </c>
      <c r="W1404" t="str" cm="1">
        <f t="array" ref="W1404">_xlfn.IFS(V1404&lt;=5000,"Low Salary",V1404&lt;=12000,"Good Salary",V1404&gt;12000,"High Salary")</f>
        <v>Low Salary</v>
      </c>
      <c r="X1404">
        <v>25198</v>
      </c>
      <c r="Y1404">
        <v>6</v>
      </c>
      <c r="Z1404" t="s">
        <v>42</v>
      </c>
      <c r="AA1404" t="s">
        <v>43</v>
      </c>
      <c r="AB1404">
        <v>19</v>
      </c>
      <c r="AC1404">
        <v>3</v>
      </c>
      <c r="AD1404" t="str">
        <f t="shared" si="43"/>
        <v>Low Performance</v>
      </c>
      <c r="AE1404">
        <v>4</v>
      </c>
      <c r="AF1404">
        <v>80</v>
      </c>
      <c r="AG1404">
        <v>0</v>
      </c>
      <c r="AH1404">
        <v>9</v>
      </c>
      <c r="AI1404">
        <v>3</v>
      </c>
      <c r="AJ1404">
        <v>3</v>
      </c>
      <c r="AK1404" t="str" cm="1">
        <f t="array" ref="AK1404">_xlfn.IFS(AJ1404&lt;=2,"Poor",AJ1404&lt;=3,"Fair",AJ1404&gt;3,"Good")</f>
        <v>Fair</v>
      </c>
      <c r="AL1404">
        <v>5</v>
      </c>
      <c r="AM1404">
        <v>2</v>
      </c>
      <c r="AN1404">
        <v>1</v>
      </c>
      <c r="AO1404">
        <v>4</v>
      </c>
    </row>
    <row r="1405" spans="1:41" x14ac:dyDescent="0.2">
      <c r="A1405">
        <v>1150538</v>
      </c>
      <c r="B1405">
        <v>24</v>
      </c>
      <c r="C1405" t="str" cm="1">
        <f t="array" ref="C1405">_xlfn.IFS(B1405&lt;=25,"15-25",B1405&lt;=35,"26-35",B1405&lt;=45,"36-45",B1405&lt;=55,"46-55",B1405&lt;=65,"56-65")</f>
        <v>15-25</v>
      </c>
      <c r="D1405" t="s">
        <v>35</v>
      </c>
      <c r="E1405" t="str">
        <f t="shared" si="42"/>
        <v>Current Employee</v>
      </c>
      <c r="F1405" t="s">
        <v>36</v>
      </c>
      <c r="G1405">
        <v>771</v>
      </c>
      <c r="H1405" t="s">
        <v>54</v>
      </c>
      <c r="I1405">
        <v>1</v>
      </c>
      <c r="J1405">
        <v>2</v>
      </c>
      <c r="K1405" t="s">
        <v>38</v>
      </c>
      <c r="L1405">
        <v>1</v>
      </c>
      <c r="M1405">
        <v>2</v>
      </c>
      <c r="N1405" t="s">
        <v>46</v>
      </c>
      <c r="O1405">
        <v>45</v>
      </c>
      <c r="P1405">
        <v>2</v>
      </c>
      <c r="Q1405">
        <v>2</v>
      </c>
      <c r="R1405" t="s">
        <v>40</v>
      </c>
      <c r="S1405">
        <v>3</v>
      </c>
      <c r="T1405" t="str" cm="1">
        <f t="array" ref="T1405">_xlfn.IFS(S1405&lt;=2,"Poor",S1405&lt;=3,"Fair",S1405&gt;=4,"Good")</f>
        <v>Fair</v>
      </c>
      <c r="U1405" t="s">
        <v>41</v>
      </c>
      <c r="V1405" s="1">
        <v>4617</v>
      </c>
      <c r="W1405" t="str" cm="1">
        <f t="array" ref="W1405">_xlfn.IFS(V1405&lt;=5000,"Low Salary",V1405&lt;=12000,"Good Salary",V1405&gt;12000,"High Salary")</f>
        <v>Low Salary</v>
      </c>
      <c r="X1405">
        <v>14120</v>
      </c>
      <c r="Y1405">
        <v>1</v>
      </c>
      <c r="Z1405" t="s">
        <v>42</v>
      </c>
      <c r="AA1405" t="s">
        <v>35</v>
      </c>
      <c r="AB1405">
        <v>12</v>
      </c>
      <c r="AC1405">
        <v>3</v>
      </c>
      <c r="AD1405" t="str">
        <f t="shared" si="43"/>
        <v>Low Performance</v>
      </c>
      <c r="AE1405">
        <v>2</v>
      </c>
      <c r="AF1405">
        <v>80</v>
      </c>
      <c r="AG1405">
        <v>0</v>
      </c>
      <c r="AH1405">
        <v>4</v>
      </c>
      <c r="AI1405">
        <v>2</v>
      </c>
      <c r="AJ1405">
        <v>2</v>
      </c>
      <c r="AK1405" t="str" cm="1">
        <f t="array" ref="AK1405">_xlfn.IFS(AJ1405&lt;=2,"Poor",AJ1405&lt;=3,"Fair",AJ1405&gt;3,"Good")</f>
        <v>Poor</v>
      </c>
      <c r="AL1405">
        <v>4</v>
      </c>
      <c r="AM1405">
        <v>3</v>
      </c>
      <c r="AN1405">
        <v>1</v>
      </c>
      <c r="AO1405">
        <v>2</v>
      </c>
    </row>
    <row r="1406" spans="1:41" x14ac:dyDescent="0.2">
      <c r="A1406">
        <v>1553133</v>
      </c>
      <c r="B1406">
        <v>23</v>
      </c>
      <c r="C1406" t="str" cm="1">
        <f t="array" ref="C1406">_xlfn.IFS(B1406&lt;=25,"15-25",B1406&lt;=35,"26-35",B1406&lt;=45,"36-45",B1406&lt;=55,"46-55",B1406&lt;=65,"56-65")</f>
        <v>15-25</v>
      </c>
      <c r="D1406" t="s">
        <v>35</v>
      </c>
      <c r="E1406" t="str">
        <f t="shared" si="42"/>
        <v>Current Employee</v>
      </c>
      <c r="F1406" t="s">
        <v>36</v>
      </c>
      <c r="G1406">
        <v>571</v>
      </c>
      <c r="H1406" t="s">
        <v>54</v>
      </c>
      <c r="I1406">
        <v>12</v>
      </c>
      <c r="J1406">
        <v>2</v>
      </c>
      <c r="K1406" t="s">
        <v>47</v>
      </c>
      <c r="L1406">
        <v>1</v>
      </c>
      <c r="M1406">
        <v>4</v>
      </c>
      <c r="N1406" t="s">
        <v>46</v>
      </c>
      <c r="O1406">
        <v>78</v>
      </c>
      <c r="P1406">
        <v>3</v>
      </c>
      <c r="Q1406">
        <v>1</v>
      </c>
      <c r="R1406" t="s">
        <v>40</v>
      </c>
      <c r="S1406">
        <v>4</v>
      </c>
      <c r="T1406" t="str" cm="1">
        <f t="array" ref="T1406">_xlfn.IFS(S1406&lt;=2,"Poor",S1406&lt;=3,"Fair",S1406&gt;=4,"Good")</f>
        <v>Good</v>
      </c>
      <c r="U1406" t="s">
        <v>41</v>
      </c>
      <c r="V1406" s="1">
        <v>2647</v>
      </c>
      <c r="W1406" t="str" cm="1">
        <f t="array" ref="W1406">_xlfn.IFS(V1406&lt;=5000,"Low Salary",V1406&lt;=12000,"Good Salary",V1406&gt;12000,"High Salary")</f>
        <v>Low Salary</v>
      </c>
      <c r="X1406">
        <v>13672</v>
      </c>
      <c r="Y1406">
        <v>1</v>
      </c>
      <c r="Z1406" t="s">
        <v>42</v>
      </c>
      <c r="AA1406" t="s">
        <v>35</v>
      </c>
      <c r="AB1406">
        <v>13</v>
      </c>
      <c r="AC1406">
        <v>3</v>
      </c>
      <c r="AD1406" t="str">
        <f t="shared" si="43"/>
        <v>Low Performance</v>
      </c>
      <c r="AE1406">
        <v>3</v>
      </c>
      <c r="AF1406">
        <v>80</v>
      </c>
      <c r="AG1406">
        <v>0</v>
      </c>
      <c r="AH1406">
        <v>5</v>
      </c>
      <c r="AI1406">
        <v>6</v>
      </c>
      <c r="AJ1406">
        <v>4</v>
      </c>
      <c r="AK1406" t="str" cm="1">
        <f t="array" ref="AK1406">_xlfn.IFS(AJ1406&lt;=2,"Poor",AJ1406&lt;=3,"Fair",AJ1406&gt;3,"Good")</f>
        <v>Good</v>
      </c>
      <c r="AL1406">
        <v>5</v>
      </c>
      <c r="AM1406">
        <v>2</v>
      </c>
      <c r="AN1406">
        <v>1</v>
      </c>
      <c r="AO1406">
        <v>4</v>
      </c>
    </row>
    <row r="1407" spans="1:41" x14ac:dyDescent="0.2">
      <c r="A1407">
        <v>1113801</v>
      </c>
      <c r="B1407">
        <v>40</v>
      </c>
      <c r="C1407" t="str" cm="1">
        <f t="array" ref="C1407">_xlfn.IFS(B1407&lt;=25,"15-25",B1407&lt;=35,"26-35",B1407&lt;=45,"36-45",B1407&lt;=55,"46-55",B1407&lt;=65,"56-65")</f>
        <v>36-45</v>
      </c>
      <c r="D1407" t="s">
        <v>35</v>
      </c>
      <c r="E1407" t="str">
        <f t="shared" si="42"/>
        <v>Current Employee</v>
      </c>
      <c r="F1407" t="s">
        <v>44</v>
      </c>
      <c r="G1407">
        <v>692</v>
      </c>
      <c r="H1407" t="s">
        <v>54</v>
      </c>
      <c r="I1407">
        <v>11</v>
      </c>
      <c r="J1407">
        <v>3</v>
      </c>
      <c r="K1407" t="s">
        <v>56</v>
      </c>
      <c r="L1407">
        <v>1</v>
      </c>
      <c r="M1407">
        <v>4</v>
      </c>
      <c r="N1407" t="s">
        <v>39</v>
      </c>
      <c r="O1407">
        <v>73</v>
      </c>
      <c r="P1407">
        <v>3</v>
      </c>
      <c r="Q1407">
        <v>2</v>
      </c>
      <c r="R1407" t="s">
        <v>40</v>
      </c>
      <c r="S1407">
        <v>3</v>
      </c>
      <c r="T1407" t="str" cm="1">
        <f t="array" ref="T1407">_xlfn.IFS(S1407&lt;=2,"Poor",S1407&lt;=3,"Fair",S1407&gt;=4,"Good")</f>
        <v>Fair</v>
      </c>
      <c r="U1407" t="s">
        <v>48</v>
      </c>
      <c r="V1407" s="1">
        <v>6323</v>
      </c>
      <c r="W1407" t="str" cm="1">
        <f t="array" ref="W1407">_xlfn.IFS(V1407&lt;=5000,"Low Salary",V1407&lt;=12000,"Good Salary",V1407&gt;12000,"High Salary")</f>
        <v>Good Salary</v>
      </c>
      <c r="X1407">
        <v>26849</v>
      </c>
      <c r="Y1407">
        <v>1</v>
      </c>
      <c r="Z1407" t="s">
        <v>42</v>
      </c>
      <c r="AA1407" t="s">
        <v>35</v>
      </c>
      <c r="AB1407">
        <v>11</v>
      </c>
      <c r="AC1407">
        <v>3</v>
      </c>
      <c r="AD1407" t="str">
        <f t="shared" si="43"/>
        <v>Low Performance</v>
      </c>
      <c r="AE1407">
        <v>1</v>
      </c>
      <c r="AF1407">
        <v>80</v>
      </c>
      <c r="AG1407">
        <v>1</v>
      </c>
      <c r="AH1407">
        <v>10</v>
      </c>
      <c r="AI1407">
        <v>2</v>
      </c>
      <c r="AJ1407">
        <v>4</v>
      </c>
      <c r="AK1407" t="str" cm="1">
        <f t="array" ref="AK1407">_xlfn.IFS(AJ1407&lt;=2,"Poor",AJ1407&lt;=3,"Fair",AJ1407&gt;3,"Good")</f>
        <v>Good</v>
      </c>
      <c r="AL1407">
        <v>10</v>
      </c>
      <c r="AM1407">
        <v>9</v>
      </c>
      <c r="AN1407">
        <v>9</v>
      </c>
      <c r="AO1407">
        <v>4</v>
      </c>
    </row>
    <row r="1408" spans="1:41" x14ac:dyDescent="0.2">
      <c r="A1408">
        <v>1365691</v>
      </c>
      <c r="B1408">
        <v>40</v>
      </c>
      <c r="C1408" t="str" cm="1">
        <f t="array" ref="C1408">_xlfn.IFS(B1408&lt;=25,"15-25",B1408&lt;=35,"26-35",B1408&lt;=45,"36-45",B1408&lt;=55,"46-55",B1408&lt;=65,"56-65")</f>
        <v>36-45</v>
      </c>
      <c r="D1408" t="s">
        <v>35</v>
      </c>
      <c r="E1408" t="str">
        <f t="shared" si="42"/>
        <v>Current Employee</v>
      </c>
      <c r="F1408" t="s">
        <v>36</v>
      </c>
      <c r="G1408">
        <v>444</v>
      </c>
      <c r="H1408" t="s">
        <v>37</v>
      </c>
      <c r="I1408">
        <v>2</v>
      </c>
      <c r="J1408">
        <v>2</v>
      </c>
      <c r="K1408" t="s">
        <v>55</v>
      </c>
      <c r="L1408">
        <v>1</v>
      </c>
      <c r="M1408">
        <v>2</v>
      </c>
      <c r="N1408" t="s">
        <v>39</v>
      </c>
      <c r="O1408">
        <v>92</v>
      </c>
      <c r="P1408">
        <v>3</v>
      </c>
      <c r="Q1408">
        <v>2</v>
      </c>
      <c r="R1408" t="s">
        <v>40</v>
      </c>
      <c r="S1408">
        <v>2</v>
      </c>
      <c r="T1408" t="str" cm="1">
        <f t="array" ref="T1408">_xlfn.IFS(S1408&lt;=2,"Poor",S1408&lt;=3,"Fair",S1408&gt;=4,"Good")</f>
        <v>Poor</v>
      </c>
      <c r="U1408" t="s">
        <v>48</v>
      </c>
      <c r="V1408" s="1">
        <v>5677</v>
      </c>
      <c r="W1408" t="str" cm="1">
        <f t="array" ref="W1408">_xlfn.IFS(V1408&lt;=5000,"Low Salary",V1408&lt;=12000,"Good Salary",V1408&gt;12000,"High Salary")</f>
        <v>Good Salary</v>
      </c>
      <c r="X1408">
        <v>4258</v>
      </c>
      <c r="Y1408">
        <v>3</v>
      </c>
      <c r="Z1408" t="s">
        <v>42</v>
      </c>
      <c r="AA1408" t="s">
        <v>35</v>
      </c>
      <c r="AB1408">
        <v>14</v>
      </c>
      <c r="AC1408">
        <v>3</v>
      </c>
      <c r="AD1408" t="str">
        <f t="shared" si="43"/>
        <v>Low Performance</v>
      </c>
      <c r="AE1408">
        <v>3</v>
      </c>
      <c r="AF1408">
        <v>80</v>
      </c>
      <c r="AG1408">
        <v>1</v>
      </c>
      <c r="AH1408">
        <v>15</v>
      </c>
      <c r="AI1408">
        <v>4</v>
      </c>
      <c r="AJ1408">
        <v>3</v>
      </c>
      <c r="AK1408" t="str" cm="1">
        <f t="array" ref="AK1408">_xlfn.IFS(AJ1408&lt;=2,"Poor",AJ1408&lt;=3,"Fair",AJ1408&gt;3,"Good")</f>
        <v>Fair</v>
      </c>
      <c r="AL1408">
        <v>11</v>
      </c>
      <c r="AM1408">
        <v>8</v>
      </c>
      <c r="AN1408">
        <v>5</v>
      </c>
      <c r="AO1408">
        <v>10</v>
      </c>
    </row>
    <row r="1409" spans="1:41" x14ac:dyDescent="0.2">
      <c r="A1409">
        <v>1825860</v>
      </c>
      <c r="B1409">
        <v>25</v>
      </c>
      <c r="C1409" t="str" cm="1">
        <f t="array" ref="C1409">_xlfn.IFS(B1409&lt;=25,"15-25",B1409&lt;=35,"26-35",B1409&lt;=45,"36-45",B1409&lt;=55,"46-55",B1409&lt;=65,"56-65")</f>
        <v>15-25</v>
      </c>
      <c r="D1409" t="s">
        <v>35</v>
      </c>
      <c r="E1409" t="str">
        <f t="shared" si="42"/>
        <v>Current Employee</v>
      </c>
      <c r="F1409" t="s">
        <v>36</v>
      </c>
      <c r="G1409">
        <v>309</v>
      </c>
      <c r="H1409" t="s">
        <v>54</v>
      </c>
      <c r="I1409">
        <v>2</v>
      </c>
      <c r="J1409">
        <v>3</v>
      </c>
      <c r="K1409" t="s">
        <v>57</v>
      </c>
      <c r="L1409">
        <v>1</v>
      </c>
      <c r="M1409">
        <v>3</v>
      </c>
      <c r="N1409" t="s">
        <v>39</v>
      </c>
      <c r="O1409">
        <v>82</v>
      </c>
      <c r="P1409">
        <v>3</v>
      </c>
      <c r="Q1409">
        <v>1</v>
      </c>
      <c r="R1409" t="s">
        <v>47</v>
      </c>
      <c r="S1409">
        <v>2</v>
      </c>
      <c r="T1409" t="str" cm="1">
        <f t="array" ref="T1409">_xlfn.IFS(S1409&lt;=2,"Poor",S1409&lt;=3,"Fair",S1409&gt;=4,"Good")</f>
        <v>Poor</v>
      </c>
      <c r="U1409" t="s">
        <v>48</v>
      </c>
      <c r="V1409" s="1">
        <v>2187</v>
      </c>
      <c r="W1409" t="str" cm="1">
        <f t="array" ref="W1409">_xlfn.IFS(V1409&lt;=5000,"Low Salary",V1409&lt;=12000,"Good Salary",V1409&gt;12000,"High Salary")</f>
        <v>Low Salary</v>
      </c>
      <c r="X1409">
        <v>19655</v>
      </c>
      <c r="Y1409">
        <v>4</v>
      </c>
      <c r="Z1409" t="s">
        <v>42</v>
      </c>
      <c r="AA1409" t="s">
        <v>35</v>
      </c>
      <c r="AB1409">
        <v>14</v>
      </c>
      <c r="AC1409">
        <v>3</v>
      </c>
      <c r="AD1409" t="str">
        <f t="shared" si="43"/>
        <v>Low Performance</v>
      </c>
      <c r="AE1409">
        <v>3</v>
      </c>
      <c r="AF1409">
        <v>80</v>
      </c>
      <c r="AG1409">
        <v>0</v>
      </c>
      <c r="AH1409">
        <v>6</v>
      </c>
      <c r="AI1409">
        <v>3</v>
      </c>
      <c r="AJ1409">
        <v>3</v>
      </c>
      <c r="AK1409" t="str" cm="1">
        <f t="array" ref="AK1409">_xlfn.IFS(AJ1409&lt;=2,"Poor",AJ1409&lt;=3,"Fair",AJ1409&gt;3,"Good")</f>
        <v>Fair</v>
      </c>
      <c r="AL1409">
        <v>2</v>
      </c>
      <c r="AM1409">
        <v>0</v>
      </c>
      <c r="AN1409">
        <v>1</v>
      </c>
      <c r="AO1409">
        <v>2</v>
      </c>
    </row>
    <row r="1410" spans="1:41" x14ac:dyDescent="0.2">
      <c r="A1410">
        <v>1820725</v>
      </c>
      <c r="B1410">
        <v>30</v>
      </c>
      <c r="C1410" t="str" cm="1">
        <f t="array" ref="C1410">_xlfn.IFS(B1410&lt;=25,"15-25",B1410&lt;=35,"26-35",B1410&lt;=45,"36-45",B1410&lt;=55,"46-55",B1410&lt;=65,"56-65")</f>
        <v>26-35</v>
      </c>
      <c r="D1410" t="s">
        <v>35</v>
      </c>
      <c r="E1410" t="str">
        <f t="shared" si="42"/>
        <v>Current Employee</v>
      </c>
      <c r="F1410" t="s">
        <v>36</v>
      </c>
      <c r="G1410">
        <v>911</v>
      </c>
      <c r="H1410" t="s">
        <v>54</v>
      </c>
      <c r="I1410">
        <v>1</v>
      </c>
      <c r="J1410">
        <v>2</v>
      </c>
      <c r="K1410" t="s">
        <v>49</v>
      </c>
      <c r="L1410">
        <v>1</v>
      </c>
      <c r="M1410">
        <v>4</v>
      </c>
      <c r="N1410" t="s">
        <v>46</v>
      </c>
      <c r="O1410">
        <v>76</v>
      </c>
      <c r="P1410">
        <v>3</v>
      </c>
      <c r="Q1410">
        <v>1</v>
      </c>
      <c r="R1410" t="s">
        <v>40</v>
      </c>
      <c r="S1410">
        <v>2</v>
      </c>
      <c r="T1410" t="str" cm="1">
        <f t="array" ref="T1410">_xlfn.IFS(S1410&lt;=2,"Poor",S1410&lt;=3,"Fair",S1410&gt;=4,"Good")</f>
        <v>Poor</v>
      </c>
      <c r="U1410" t="s">
        <v>48</v>
      </c>
      <c r="V1410" s="1">
        <v>3748</v>
      </c>
      <c r="W1410" t="str" cm="1">
        <f t="array" ref="W1410">_xlfn.IFS(V1410&lt;=5000,"Low Salary",V1410&lt;=12000,"Good Salary",V1410&gt;12000,"High Salary")</f>
        <v>Low Salary</v>
      </c>
      <c r="X1410">
        <v>4077</v>
      </c>
      <c r="Y1410">
        <v>1</v>
      </c>
      <c r="Z1410" t="s">
        <v>42</v>
      </c>
      <c r="AA1410" t="s">
        <v>35</v>
      </c>
      <c r="AB1410">
        <v>13</v>
      </c>
      <c r="AC1410">
        <v>3</v>
      </c>
      <c r="AD1410" t="str">
        <f t="shared" si="43"/>
        <v>Low Performance</v>
      </c>
      <c r="AE1410">
        <v>3</v>
      </c>
      <c r="AF1410">
        <v>80</v>
      </c>
      <c r="AG1410">
        <v>0</v>
      </c>
      <c r="AH1410">
        <v>12</v>
      </c>
      <c r="AI1410">
        <v>6</v>
      </c>
      <c r="AJ1410">
        <v>2</v>
      </c>
      <c r="AK1410" t="str" cm="1">
        <f t="array" ref="AK1410">_xlfn.IFS(AJ1410&lt;=2,"Poor",AJ1410&lt;=3,"Fair",AJ1410&gt;3,"Good")</f>
        <v>Poor</v>
      </c>
      <c r="AL1410">
        <v>12</v>
      </c>
      <c r="AM1410">
        <v>8</v>
      </c>
      <c r="AN1410">
        <v>1</v>
      </c>
      <c r="AO1410">
        <v>7</v>
      </c>
    </row>
    <row r="1411" spans="1:41" x14ac:dyDescent="0.2">
      <c r="A1411">
        <v>1515102</v>
      </c>
      <c r="B1411">
        <v>25</v>
      </c>
      <c r="C1411" t="str" cm="1">
        <f t="array" ref="C1411">_xlfn.IFS(B1411&lt;=25,"15-25",B1411&lt;=35,"26-35",B1411&lt;=45,"36-45",B1411&lt;=55,"46-55",B1411&lt;=65,"56-65")</f>
        <v>15-25</v>
      </c>
      <c r="D1411" t="s">
        <v>35</v>
      </c>
      <c r="E1411" t="str">
        <f t="shared" ref="E1411:E1474" si="44">IF(D1411="No","Current Employee","Former Employee")</f>
        <v>Current Employee</v>
      </c>
      <c r="F1411" t="s">
        <v>36</v>
      </c>
      <c r="G1411">
        <v>977</v>
      </c>
      <c r="H1411" t="s">
        <v>54</v>
      </c>
      <c r="I1411">
        <v>2</v>
      </c>
      <c r="J1411">
        <v>1</v>
      </c>
      <c r="K1411" t="s">
        <v>47</v>
      </c>
      <c r="L1411">
        <v>1</v>
      </c>
      <c r="M1411">
        <v>4</v>
      </c>
      <c r="N1411" t="s">
        <v>46</v>
      </c>
      <c r="O1411">
        <v>57</v>
      </c>
      <c r="P1411">
        <v>3</v>
      </c>
      <c r="Q1411">
        <v>1</v>
      </c>
      <c r="R1411" t="s">
        <v>40</v>
      </c>
      <c r="S1411">
        <v>3</v>
      </c>
      <c r="T1411" t="str" cm="1">
        <f t="array" ref="T1411">_xlfn.IFS(S1411&lt;=2,"Poor",S1411&lt;=3,"Fair",S1411&gt;=4,"Good")</f>
        <v>Fair</v>
      </c>
      <c r="U1411" t="s">
        <v>50</v>
      </c>
      <c r="V1411" s="1">
        <v>3977</v>
      </c>
      <c r="W1411" t="str" cm="1">
        <f t="array" ref="W1411">_xlfn.IFS(V1411&lt;=5000,"Low Salary",V1411&lt;=12000,"Good Salary",V1411&gt;12000,"High Salary")</f>
        <v>Low Salary</v>
      </c>
      <c r="X1411">
        <v>7298</v>
      </c>
      <c r="Y1411">
        <v>6</v>
      </c>
      <c r="Z1411" t="s">
        <v>42</v>
      </c>
      <c r="AA1411" t="s">
        <v>43</v>
      </c>
      <c r="AB1411">
        <v>19</v>
      </c>
      <c r="AC1411">
        <v>3</v>
      </c>
      <c r="AD1411" t="str">
        <f t="shared" ref="AD1411:AD1474" si="45">IF(AC1411&lt;=3,"Low Performance","High Performance")</f>
        <v>Low Performance</v>
      </c>
      <c r="AE1411">
        <v>3</v>
      </c>
      <c r="AF1411">
        <v>80</v>
      </c>
      <c r="AG1411">
        <v>1</v>
      </c>
      <c r="AH1411">
        <v>7</v>
      </c>
      <c r="AI1411">
        <v>2</v>
      </c>
      <c r="AJ1411">
        <v>2</v>
      </c>
      <c r="AK1411" t="str" cm="1">
        <f t="array" ref="AK1411">_xlfn.IFS(AJ1411&lt;=2,"Poor",AJ1411&lt;=3,"Fair",AJ1411&gt;3,"Good")</f>
        <v>Poor</v>
      </c>
      <c r="AL1411">
        <v>2</v>
      </c>
      <c r="AM1411">
        <v>2</v>
      </c>
      <c r="AN1411">
        <v>0</v>
      </c>
      <c r="AO1411">
        <v>2</v>
      </c>
    </row>
    <row r="1412" spans="1:41" x14ac:dyDescent="0.2">
      <c r="A1412">
        <v>1811717</v>
      </c>
      <c r="B1412">
        <v>47</v>
      </c>
      <c r="C1412" t="str" cm="1">
        <f t="array" ref="C1412">_xlfn.IFS(B1412&lt;=25,"15-25",B1412&lt;=35,"26-35",B1412&lt;=45,"36-45",B1412&lt;=55,"46-55",B1412&lt;=65,"56-65")</f>
        <v>46-55</v>
      </c>
      <c r="D1412" t="s">
        <v>35</v>
      </c>
      <c r="E1412" t="str">
        <f t="shared" si="44"/>
        <v>Current Employee</v>
      </c>
      <c r="F1412" t="s">
        <v>36</v>
      </c>
      <c r="G1412">
        <v>1180</v>
      </c>
      <c r="H1412" t="s">
        <v>54</v>
      </c>
      <c r="I1412">
        <v>25</v>
      </c>
      <c r="J1412">
        <v>3</v>
      </c>
      <c r="K1412" t="s">
        <v>49</v>
      </c>
      <c r="L1412">
        <v>1</v>
      </c>
      <c r="M1412">
        <v>1</v>
      </c>
      <c r="N1412" t="s">
        <v>46</v>
      </c>
      <c r="O1412">
        <v>84</v>
      </c>
      <c r="P1412">
        <v>3</v>
      </c>
      <c r="Q1412">
        <v>3</v>
      </c>
      <c r="R1412" t="s">
        <v>40</v>
      </c>
      <c r="S1412">
        <v>3</v>
      </c>
      <c r="T1412" t="str" cm="1">
        <f t="array" ref="T1412">_xlfn.IFS(S1412&lt;=2,"Poor",S1412&lt;=3,"Fair",S1412&gt;=4,"Good")</f>
        <v>Fair</v>
      </c>
      <c r="U1412" t="s">
        <v>41</v>
      </c>
      <c r="V1412" s="1">
        <v>8633</v>
      </c>
      <c r="W1412" t="str" cm="1">
        <f t="array" ref="W1412">_xlfn.IFS(V1412&lt;=5000,"Low Salary",V1412&lt;=12000,"Good Salary",V1412&gt;12000,"High Salary")</f>
        <v>Good Salary</v>
      </c>
      <c r="X1412">
        <v>13084</v>
      </c>
      <c r="Y1412">
        <v>2</v>
      </c>
      <c r="Z1412" t="s">
        <v>42</v>
      </c>
      <c r="AA1412" t="s">
        <v>35</v>
      </c>
      <c r="AB1412">
        <v>23</v>
      </c>
      <c r="AC1412">
        <v>4</v>
      </c>
      <c r="AD1412" t="str">
        <f t="shared" si="45"/>
        <v>High Performance</v>
      </c>
      <c r="AE1412">
        <v>2</v>
      </c>
      <c r="AF1412">
        <v>80</v>
      </c>
      <c r="AG1412">
        <v>0</v>
      </c>
      <c r="AH1412">
        <v>25</v>
      </c>
      <c r="AI1412">
        <v>3</v>
      </c>
      <c r="AJ1412">
        <v>3</v>
      </c>
      <c r="AK1412" t="str" cm="1">
        <f t="array" ref="AK1412">_xlfn.IFS(AJ1412&lt;=2,"Poor",AJ1412&lt;=3,"Fair",AJ1412&gt;3,"Good")</f>
        <v>Fair</v>
      </c>
      <c r="AL1412">
        <v>17</v>
      </c>
      <c r="AM1412">
        <v>14</v>
      </c>
      <c r="AN1412">
        <v>12</v>
      </c>
      <c r="AO1412">
        <v>11</v>
      </c>
    </row>
    <row r="1413" spans="1:41" x14ac:dyDescent="0.2">
      <c r="A1413">
        <v>1863212</v>
      </c>
      <c r="B1413">
        <v>33</v>
      </c>
      <c r="C1413" t="str" cm="1">
        <f t="array" ref="C1413">_xlfn.IFS(B1413&lt;=25,"15-25",B1413&lt;=35,"26-35",B1413&lt;=45,"36-45",B1413&lt;=55,"46-55",B1413&lt;=65,"56-65")</f>
        <v>26-35</v>
      </c>
      <c r="D1413" t="s">
        <v>35</v>
      </c>
      <c r="E1413" t="str">
        <f t="shared" si="44"/>
        <v>Current Employee</v>
      </c>
      <c r="F1413" t="s">
        <v>52</v>
      </c>
      <c r="G1413">
        <v>1313</v>
      </c>
      <c r="H1413" t="s">
        <v>54</v>
      </c>
      <c r="I1413">
        <v>1</v>
      </c>
      <c r="J1413">
        <v>2</v>
      </c>
      <c r="K1413" t="s">
        <v>49</v>
      </c>
      <c r="L1413">
        <v>1</v>
      </c>
      <c r="M1413">
        <v>2</v>
      </c>
      <c r="N1413" t="s">
        <v>46</v>
      </c>
      <c r="O1413">
        <v>59</v>
      </c>
      <c r="P1413">
        <v>2</v>
      </c>
      <c r="Q1413">
        <v>1</v>
      </c>
      <c r="R1413" t="s">
        <v>40</v>
      </c>
      <c r="S1413">
        <v>3</v>
      </c>
      <c r="T1413" t="str" cm="1">
        <f t="array" ref="T1413">_xlfn.IFS(S1413&lt;=2,"Poor",S1413&lt;=3,"Fair",S1413&gt;=4,"Good")</f>
        <v>Fair</v>
      </c>
      <c r="U1413" t="s">
        <v>50</v>
      </c>
      <c r="V1413" s="1">
        <v>2008</v>
      </c>
      <c r="W1413" t="str" cm="1">
        <f t="array" ref="W1413">_xlfn.IFS(V1413&lt;=5000,"Low Salary",V1413&lt;=12000,"Good Salary",V1413&gt;12000,"High Salary")</f>
        <v>Low Salary</v>
      </c>
      <c r="X1413">
        <v>20439</v>
      </c>
      <c r="Y1413">
        <v>1</v>
      </c>
      <c r="Z1413" t="s">
        <v>42</v>
      </c>
      <c r="AA1413" t="s">
        <v>35</v>
      </c>
      <c r="AB1413">
        <v>12</v>
      </c>
      <c r="AC1413">
        <v>3</v>
      </c>
      <c r="AD1413" t="str">
        <f t="shared" si="45"/>
        <v>Low Performance</v>
      </c>
      <c r="AE1413">
        <v>3</v>
      </c>
      <c r="AF1413">
        <v>80</v>
      </c>
      <c r="AG1413">
        <v>3</v>
      </c>
      <c r="AH1413">
        <v>1</v>
      </c>
      <c r="AI1413">
        <v>2</v>
      </c>
      <c r="AJ1413">
        <v>2</v>
      </c>
      <c r="AK1413" t="str" cm="1">
        <f t="array" ref="AK1413">_xlfn.IFS(AJ1413&lt;=2,"Poor",AJ1413&lt;=3,"Fair",AJ1413&gt;3,"Good")</f>
        <v>Poor</v>
      </c>
      <c r="AL1413">
        <v>1</v>
      </c>
      <c r="AM1413">
        <v>1</v>
      </c>
      <c r="AN1413">
        <v>0</v>
      </c>
      <c r="AO1413">
        <v>0</v>
      </c>
    </row>
    <row r="1414" spans="1:41" x14ac:dyDescent="0.2">
      <c r="A1414">
        <v>1677775</v>
      </c>
      <c r="B1414">
        <v>38</v>
      </c>
      <c r="C1414" t="str" cm="1">
        <f t="array" ref="C1414">_xlfn.IFS(B1414&lt;=25,"15-25",B1414&lt;=35,"26-35",B1414&lt;=45,"36-45",B1414&lt;=55,"46-55",B1414&lt;=65,"56-65")</f>
        <v>36-45</v>
      </c>
      <c r="D1414" t="s">
        <v>35</v>
      </c>
      <c r="E1414" t="str">
        <f t="shared" si="44"/>
        <v>Current Employee</v>
      </c>
      <c r="F1414" t="s">
        <v>36</v>
      </c>
      <c r="G1414">
        <v>1321</v>
      </c>
      <c r="H1414" t="s">
        <v>37</v>
      </c>
      <c r="I1414">
        <v>1</v>
      </c>
      <c r="J1414">
        <v>4</v>
      </c>
      <c r="K1414" t="s">
        <v>38</v>
      </c>
      <c r="L1414">
        <v>1</v>
      </c>
      <c r="M1414">
        <v>4</v>
      </c>
      <c r="N1414" t="s">
        <v>46</v>
      </c>
      <c r="O1414">
        <v>86</v>
      </c>
      <c r="P1414">
        <v>3</v>
      </c>
      <c r="Q1414">
        <v>2</v>
      </c>
      <c r="R1414" t="s">
        <v>40</v>
      </c>
      <c r="S1414">
        <v>2</v>
      </c>
      <c r="T1414" t="str" cm="1">
        <f t="array" ref="T1414">_xlfn.IFS(S1414&lt;=2,"Poor",S1414&lt;=3,"Fair",S1414&gt;=4,"Good")</f>
        <v>Poor</v>
      </c>
      <c r="U1414" t="s">
        <v>48</v>
      </c>
      <c r="V1414" s="1">
        <v>4440</v>
      </c>
      <c r="W1414" t="str" cm="1">
        <f t="array" ref="W1414">_xlfn.IFS(V1414&lt;=5000,"Low Salary",V1414&lt;=12000,"Good Salary",V1414&gt;12000,"High Salary")</f>
        <v>Low Salary</v>
      </c>
      <c r="X1414">
        <v>7636</v>
      </c>
      <c r="Y1414">
        <v>0</v>
      </c>
      <c r="Z1414" t="s">
        <v>42</v>
      </c>
      <c r="AA1414" t="s">
        <v>35</v>
      </c>
      <c r="AB1414">
        <v>15</v>
      </c>
      <c r="AC1414">
        <v>3</v>
      </c>
      <c r="AD1414" t="str">
        <f t="shared" si="45"/>
        <v>Low Performance</v>
      </c>
      <c r="AE1414">
        <v>1</v>
      </c>
      <c r="AF1414">
        <v>80</v>
      </c>
      <c r="AG1414">
        <v>2</v>
      </c>
      <c r="AH1414">
        <v>16</v>
      </c>
      <c r="AI1414">
        <v>3</v>
      </c>
      <c r="AJ1414">
        <v>3</v>
      </c>
      <c r="AK1414" t="str" cm="1">
        <f t="array" ref="AK1414">_xlfn.IFS(AJ1414&lt;=2,"Poor",AJ1414&lt;=3,"Fair",AJ1414&gt;3,"Good")</f>
        <v>Fair</v>
      </c>
      <c r="AL1414">
        <v>15</v>
      </c>
      <c r="AM1414">
        <v>13</v>
      </c>
      <c r="AN1414">
        <v>5</v>
      </c>
      <c r="AO1414">
        <v>8</v>
      </c>
    </row>
    <row r="1415" spans="1:41" x14ac:dyDescent="0.2">
      <c r="A1415">
        <v>1593793</v>
      </c>
      <c r="B1415">
        <v>31</v>
      </c>
      <c r="C1415" t="str" cm="1">
        <f t="array" ref="C1415">_xlfn.IFS(B1415&lt;=25,"15-25",B1415&lt;=35,"26-35",B1415&lt;=45,"36-45",B1415&lt;=55,"46-55",B1415&lt;=65,"56-65")</f>
        <v>26-35</v>
      </c>
      <c r="D1415" t="s">
        <v>35</v>
      </c>
      <c r="E1415" t="str">
        <f t="shared" si="44"/>
        <v>Current Employee</v>
      </c>
      <c r="F1415" t="s">
        <v>36</v>
      </c>
      <c r="G1415">
        <v>1154</v>
      </c>
      <c r="H1415" t="s">
        <v>37</v>
      </c>
      <c r="I1415">
        <v>2</v>
      </c>
      <c r="J1415">
        <v>2</v>
      </c>
      <c r="K1415" t="s">
        <v>38</v>
      </c>
      <c r="L1415">
        <v>1</v>
      </c>
      <c r="M1415">
        <v>1</v>
      </c>
      <c r="N1415" t="s">
        <v>46</v>
      </c>
      <c r="O1415">
        <v>54</v>
      </c>
      <c r="P1415">
        <v>3</v>
      </c>
      <c r="Q1415">
        <v>1</v>
      </c>
      <c r="R1415" t="s">
        <v>47</v>
      </c>
      <c r="S1415">
        <v>3</v>
      </c>
      <c r="T1415" t="str" cm="1">
        <f t="array" ref="T1415">_xlfn.IFS(S1415&lt;=2,"Poor",S1415&lt;=3,"Fair",S1415&gt;=4,"Good")</f>
        <v>Fair</v>
      </c>
      <c r="U1415" t="s">
        <v>48</v>
      </c>
      <c r="V1415" s="1">
        <v>3067</v>
      </c>
      <c r="W1415" t="str" cm="1">
        <f t="array" ref="W1415">_xlfn.IFS(V1415&lt;=5000,"Low Salary",V1415&lt;=12000,"Good Salary",V1415&gt;12000,"High Salary")</f>
        <v>Low Salary</v>
      </c>
      <c r="X1415">
        <v>6393</v>
      </c>
      <c r="Y1415">
        <v>0</v>
      </c>
      <c r="Z1415" t="s">
        <v>42</v>
      </c>
      <c r="AA1415" t="s">
        <v>35</v>
      </c>
      <c r="AB1415">
        <v>19</v>
      </c>
      <c r="AC1415">
        <v>3</v>
      </c>
      <c r="AD1415" t="str">
        <f t="shared" si="45"/>
        <v>Low Performance</v>
      </c>
      <c r="AE1415">
        <v>3</v>
      </c>
      <c r="AF1415">
        <v>80</v>
      </c>
      <c r="AG1415">
        <v>1</v>
      </c>
      <c r="AH1415">
        <v>3</v>
      </c>
      <c r="AI1415">
        <v>1</v>
      </c>
      <c r="AJ1415">
        <v>3</v>
      </c>
      <c r="AK1415" t="str" cm="1">
        <f t="array" ref="AK1415">_xlfn.IFS(AJ1415&lt;=2,"Poor",AJ1415&lt;=3,"Fair",AJ1415&gt;3,"Good")</f>
        <v>Fair</v>
      </c>
      <c r="AL1415">
        <v>2</v>
      </c>
      <c r="AM1415">
        <v>2</v>
      </c>
      <c r="AN1415">
        <v>1</v>
      </c>
      <c r="AO1415">
        <v>2</v>
      </c>
    </row>
    <row r="1416" spans="1:41" x14ac:dyDescent="0.2">
      <c r="A1416">
        <v>1373830</v>
      </c>
      <c r="B1416">
        <v>38</v>
      </c>
      <c r="C1416" t="str" cm="1">
        <f t="array" ref="C1416">_xlfn.IFS(B1416&lt;=25,"15-25",B1416&lt;=35,"26-35",B1416&lt;=45,"36-45",B1416&lt;=55,"46-55",B1416&lt;=65,"56-65")</f>
        <v>36-45</v>
      </c>
      <c r="D1416" t="s">
        <v>35</v>
      </c>
      <c r="E1416" t="str">
        <f t="shared" si="44"/>
        <v>Current Employee</v>
      </c>
      <c r="F1416" t="s">
        <v>44</v>
      </c>
      <c r="G1416">
        <v>508</v>
      </c>
      <c r="H1416" t="s">
        <v>37</v>
      </c>
      <c r="I1416">
        <v>6</v>
      </c>
      <c r="J1416">
        <v>4</v>
      </c>
      <c r="K1416" t="s">
        <v>38</v>
      </c>
      <c r="L1416">
        <v>1</v>
      </c>
      <c r="M1416">
        <v>1</v>
      </c>
      <c r="N1416" t="s">
        <v>46</v>
      </c>
      <c r="O1416">
        <v>72</v>
      </c>
      <c r="P1416">
        <v>2</v>
      </c>
      <c r="Q1416">
        <v>2</v>
      </c>
      <c r="R1416" t="s">
        <v>51</v>
      </c>
      <c r="S1416">
        <v>3</v>
      </c>
      <c r="T1416" t="str" cm="1">
        <f t="array" ref="T1416">_xlfn.IFS(S1416&lt;=2,"Poor",S1416&lt;=3,"Fair",S1416&gt;=4,"Good")</f>
        <v>Fair</v>
      </c>
      <c r="U1416" t="s">
        <v>48</v>
      </c>
      <c r="V1416" s="1">
        <v>5321</v>
      </c>
      <c r="W1416" t="str" cm="1">
        <f t="array" ref="W1416">_xlfn.IFS(V1416&lt;=5000,"Low Salary",V1416&lt;=12000,"Good Salary",V1416&gt;12000,"High Salary")</f>
        <v>Good Salary</v>
      </c>
      <c r="X1416">
        <v>14284</v>
      </c>
      <c r="Y1416">
        <v>2</v>
      </c>
      <c r="Z1416" t="s">
        <v>42</v>
      </c>
      <c r="AA1416" t="s">
        <v>35</v>
      </c>
      <c r="AB1416">
        <v>11</v>
      </c>
      <c r="AC1416">
        <v>3</v>
      </c>
      <c r="AD1416" t="str">
        <f t="shared" si="45"/>
        <v>Low Performance</v>
      </c>
      <c r="AE1416">
        <v>4</v>
      </c>
      <c r="AF1416">
        <v>80</v>
      </c>
      <c r="AG1416">
        <v>1</v>
      </c>
      <c r="AH1416">
        <v>10</v>
      </c>
      <c r="AI1416">
        <v>1</v>
      </c>
      <c r="AJ1416">
        <v>3</v>
      </c>
      <c r="AK1416" t="str" cm="1">
        <f t="array" ref="AK1416">_xlfn.IFS(AJ1416&lt;=2,"Poor",AJ1416&lt;=3,"Fair",AJ1416&gt;3,"Good")</f>
        <v>Fair</v>
      </c>
      <c r="AL1416">
        <v>8</v>
      </c>
      <c r="AM1416">
        <v>3</v>
      </c>
      <c r="AN1416">
        <v>7</v>
      </c>
      <c r="AO1416">
        <v>7</v>
      </c>
    </row>
    <row r="1417" spans="1:41" x14ac:dyDescent="0.2">
      <c r="A1417">
        <v>1125914</v>
      </c>
      <c r="B1417">
        <v>42</v>
      </c>
      <c r="C1417" t="str" cm="1">
        <f t="array" ref="C1417">_xlfn.IFS(B1417&lt;=25,"15-25",B1417&lt;=35,"26-35",B1417&lt;=45,"36-45",B1417&lt;=55,"46-55",B1417&lt;=65,"56-65")</f>
        <v>36-45</v>
      </c>
      <c r="D1417" t="s">
        <v>35</v>
      </c>
      <c r="E1417" t="str">
        <f t="shared" si="44"/>
        <v>Current Employee</v>
      </c>
      <c r="F1417" t="s">
        <v>36</v>
      </c>
      <c r="G1417">
        <v>557</v>
      </c>
      <c r="H1417" t="s">
        <v>54</v>
      </c>
      <c r="I1417">
        <v>18</v>
      </c>
      <c r="J1417">
        <v>4</v>
      </c>
      <c r="K1417" t="s">
        <v>38</v>
      </c>
      <c r="L1417">
        <v>1</v>
      </c>
      <c r="M1417">
        <v>4</v>
      </c>
      <c r="N1417" t="s">
        <v>46</v>
      </c>
      <c r="O1417">
        <v>35</v>
      </c>
      <c r="P1417">
        <v>3</v>
      </c>
      <c r="Q1417">
        <v>2</v>
      </c>
      <c r="R1417" t="s">
        <v>47</v>
      </c>
      <c r="S1417">
        <v>1</v>
      </c>
      <c r="T1417" t="str" cm="1">
        <f t="array" ref="T1417">_xlfn.IFS(S1417&lt;=2,"Poor",S1417&lt;=3,"Fair",S1417&gt;=4,"Good")</f>
        <v>Poor</v>
      </c>
      <c r="U1417" t="s">
        <v>50</v>
      </c>
      <c r="V1417" s="1">
        <v>5410</v>
      </c>
      <c r="W1417" t="str" cm="1">
        <f t="array" ref="W1417">_xlfn.IFS(V1417&lt;=5000,"Low Salary",V1417&lt;=12000,"Good Salary",V1417&gt;12000,"High Salary")</f>
        <v>Good Salary</v>
      </c>
      <c r="X1417">
        <v>11189</v>
      </c>
      <c r="Y1417">
        <v>6</v>
      </c>
      <c r="Z1417" t="s">
        <v>42</v>
      </c>
      <c r="AA1417" t="s">
        <v>43</v>
      </c>
      <c r="AB1417">
        <v>17</v>
      </c>
      <c r="AC1417">
        <v>3</v>
      </c>
      <c r="AD1417" t="str">
        <f t="shared" si="45"/>
        <v>Low Performance</v>
      </c>
      <c r="AE1417">
        <v>3</v>
      </c>
      <c r="AF1417">
        <v>80</v>
      </c>
      <c r="AG1417">
        <v>1</v>
      </c>
      <c r="AH1417">
        <v>9</v>
      </c>
      <c r="AI1417">
        <v>3</v>
      </c>
      <c r="AJ1417">
        <v>2</v>
      </c>
      <c r="AK1417" t="str" cm="1">
        <f t="array" ref="AK1417">_xlfn.IFS(AJ1417&lt;=2,"Poor",AJ1417&lt;=3,"Fair",AJ1417&gt;3,"Good")</f>
        <v>Poor</v>
      </c>
      <c r="AL1417">
        <v>4</v>
      </c>
      <c r="AM1417">
        <v>3</v>
      </c>
      <c r="AN1417">
        <v>1</v>
      </c>
      <c r="AO1417">
        <v>2</v>
      </c>
    </row>
    <row r="1418" spans="1:41" x14ac:dyDescent="0.2">
      <c r="A1418">
        <v>1519296</v>
      </c>
      <c r="B1418">
        <v>41</v>
      </c>
      <c r="C1418" t="str" cm="1">
        <f t="array" ref="C1418">_xlfn.IFS(B1418&lt;=25,"15-25",B1418&lt;=35,"26-35",B1418&lt;=45,"36-45",B1418&lt;=55,"46-55",B1418&lt;=65,"56-65")</f>
        <v>36-45</v>
      </c>
      <c r="D1418" t="s">
        <v>35</v>
      </c>
      <c r="E1418" t="str">
        <f t="shared" si="44"/>
        <v>Current Employee</v>
      </c>
      <c r="F1418" t="s">
        <v>36</v>
      </c>
      <c r="G1418">
        <v>642</v>
      </c>
      <c r="H1418" t="s">
        <v>54</v>
      </c>
      <c r="I1418">
        <v>1</v>
      </c>
      <c r="J1418">
        <v>3</v>
      </c>
      <c r="K1418" t="s">
        <v>38</v>
      </c>
      <c r="L1418">
        <v>1</v>
      </c>
      <c r="M1418">
        <v>4</v>
      </c>
      <c r="N1418" t="s">
        <v>46</v>
      </c>
      <c r="O1418">
        <v>76</v>
      </c>
      <c r="P1418">
        <v>3</v>
      </c>
      <c r="Q1418">
        <v>1</v>
      </c>
      <c r="R1418" t="s">
        <v>47</v>
      </c>
      <c r="S1418">
        <v>4</v>
      </c>
      <c r="T1418" t="str" cm="1">
        <f t="array" ref="T1418">_xlfn.IFS(S1418&lt;=2,"Poor",S1418&lt;=3,"Fair",S1418&gt;=4,"Good")</f>
        <v>Good</v>
      </c>
      <c r="U1418" t="s">
        <v>48</v>
      </c>
      <c r="V1418" s="1">
        <v>2782</v>
      </c>
      <c r="W1418" t="str" cm="1">
        <f t="array" ref="W1418">_xlfn.IFS(V1418&lt;=5000,"Low Salary",V1418&lt;=12000,"Good Salary",V1418&gt;12000,"High Salary")</f>
        <v>Low Salary</v>
      </c>
      <c r="X1418">
        <v>21412</v>
      </c>
      <c r="Y1418">
        <v>3</v>
      </c>
      <c r="Z1418" t="s">
        <v>42</v>
      </c>
      <c r="AA1418" t="s">
        <v>35</v>
      </c>
      <c r="AB1418">
        <v>22</v>
      </c>
      <c r="AC1418">
        <v>4</v>
      </c>
      <c r="AD1418" t="str">
        <f t="shared" si="45"/>
        <v>High Performance</v>
      </c>
      <c r="AE1418">
        <v>1</v>
      </c>
      <c r="AF1418">
        <v>80</v>
      </c>
      <c r="AG1418">
        <v>1</v>
      </c>
      <c r="AH1418">
        <v>12</v>
      </c>
      <c r="AI1418">
        <v>3</v>
      </c>
      <c r="AJ1418">
        <v>3</v>
      </c>
      <c r="AK1418" t="str" cm="1">
        <f t="array" ref="AK1418">_xlfn.IFS(AJ1418&lt;=2,"Poor",AJ1418&lt;=3,"Fair",AJ1418&gt;3,"Good")</f>
        <v>Fair</v>
      </c>
      <c r="AL1418">
        <v>5</v>
      </c>
      <c r="AM1418">
        <v>3</v>
      </c>
      <c r="AN1418">
        <v>1</v>
      </c>
      <c r="AO1418">
        <v>0</v>
      </c>
    </row>
    <row r="1419" spans="1:41" x14ac:dyDescent="0.2">
      <c r="A1419">
        <v>1491934</v>
      </c>
      <c r="B1419">
        <v>47</v>
      </c>
      <c r="C1419" t="str" cm="1">
        <f t="array" ref="C1419">_xlfn.IFS(B1419&lt;=25,"15-25",B1419&lt;=35,"26-35",B1419&lt;=45,"36-45",B1419&lt;=55,"46-55",B1419&lt;=65,"56-65")</f>
        <v>46-55</v>
      </c>
      <c r="D1419" t="s">
        <v>35</v>
      </c>
      <c r="E1419" t="str">
        <f t="shared" si="44"/>
        <v>Current Employee</v>
      </c>
      <c r="F1419" t="s">
        <v>52</v>
      </c>
      <c r="G1419">
        <v>1162</v>
      </c>
      <c r="H1419" t="s">
        <v>54</v>
      </c>
      <c r="I1419">
        <v>1</v>
      </c>
      <c r="J1419">
        <v>1</v>
      </c>
      <c r="K1419" t="s">
        <v>49</v>
      </c>
      <c r="L1419">
        <v>1</v>
      </c>
      <c r="M1419">
        <v>3</v>
      </c>
      <c r="N1419" t="s">
        <v>39</v>
      </c>
      <c r="O1419">
        <v>98</v>
      </c>
      <c r="P1419">
        <v>3</v>
      </c>
      <c r="Q1419">
        <v>3</v>
      </c>
      <c r="R1419" t="s">
        <v>53</v>
      </c>
      <c r="S1419">
        <v>2</v>
      </c>
      <c r="T1419" t="str" cm="1">
        <f t="array" ref="T1419">_xlfn.IFS(S1419&lt;=2,"Poor",S1419&lt;=3,"Fair",S1419&gt;=4,"Good")</f>
        <v>Poor</v>
      </c>
      <c r="U1419" t="s">
        <v>48</v>
      </c>
      <c r="V1419" s="1">
        <v>11957</v>
      </c>
      <c r="W1419" t="str" cm="1">
        <f t="array" ref="W1419">_xlfn.IFS(V1419&lt;=5000,"Low Salary",V1419&lt;=12000,"Good Salary",V1419&gt;12000,"High Salary")</f>
        <v>Good Salary</v>
      </c>
      <c r="X1419">
        <v>17231</v>
      </c>
      <c r="Y1419">
        <v>0</v>
      </c>
      <c r="Z1419" t="s">
        <v>42</v>
      </c>
      <c r="AA1419" t="s">
        <v>35</v>
      </c>
      <c r="AB1419">
        <v>18</v>
      </c>
      <c r="AC1419">
        <v>3</v>
      </c>
      <c r="AD1419" t="str">
        <f t="shared" si="45"/>
        <v>Low Performance</v>
      </c>
      <c r="AE1419">
        <v>1</v>
      </c>
      <c r="AF1419">
        <v>80</v>
      </c>
      <c r="AG1419">
        <v>2</v>
      </c>
      <c r="AH1419">
        <v>14</v>
      </c>
      <c r="AI1419">
        <v>3</v>
      </c>
      <c r="AJ1419">
        <v>1</v>
      </c>
      <c r="AK1419" t="str" cm="1">
        <f t="array" ref="AK1419">_xlfn.IFS(AJ1419&lt;=2,"Poor",AJ1419&lt;=3,"Fair",AJ1419&gt;3,"Good")</f>
        <v>Poor</v>
      </c>
      <c r="AL1419">
        <v>13</v>
      </c>
      <c r="AM1419">
        <v>8</v>
      </c>
      <c r="AN1419">
        <v>5</v>
      </c>
      <c r="AO1419">
        <v>12</v>
      </c>
    </row>
    <row r="1420" spans="1:41" x14ac:dyDescent="0.2">
      <c r="A1420">
        <v>1181842</v>
      </c>
      <c r="B1420">
        <v>35</v>
      </c>
      <c r="C1420" t="str" cm="1">
        <f t="array" ref="C1420">_xlfn.IFS(B1420&lt;=25,"15-25",B1420&lt;=35,"26-35",B1420&lt;=45,"36-45",B1420&lt;=55,"46-55",B1420&lt;=65,"56-65")</f>
        <v>26-35</v>
      </c>
      <c r="D1420" t="s">
        <v>35</v>
      </c>
      <c r="E1420" t="str">
        <f t="shared" si="44"/>
        <v>Current Employee</v>
      </c>
      <c r="F1420" t="s">
        <v>36</v>
      </c>
      <c r="G1420">
        <v>1490</v>
      </c>
      <c r="H1420" t="s">
        <v>54</v>
      </c>
      <c r="I1420">
        <v>11</v>
      </c>
      <c r="J1420">
        <v>4</v>
      </c>
      <c r="K1420" t="s">
        <v>49</v>
      </c>
      <c r="L1420">
        <v>1</v>
      </c>
      <c r="M1420">
        <v>4</v>
      </c>
      <c r="N1420" t="s">
        <v>46</v>
      </c>
      <c r="O1420">
        <v>43</v>
      </c>
      <c r="P1420">
        <v>3</v>
      </c>
      <c r="Q1420">
        <v>1</v>
      </c>
      <c r="R1420" t="s">
        <v>40</v>
      </c>
      <c r="S1420">
        <v>3</v>
      </c>
      <c r="T1420" t="str" cm="1">
        <f t="array" ref="T1420">_xlfn.IFS(S1420&lt;=2,"Poor",S1420&lt;=3,"Fair",S1420&gt;=4,"Good")</f>
        <v>Fair</v>
      </c>
      <c r="U1420" t="s">
        <v>48</v>
      </c>
      <c r="V1420" s="1">
        <v>2660</v>
      </c>
      <c r="W1420" t="str" cm="1">
        <f t="array" ref="W1420">_xlfn.IFS(V1420&lt;=5000,"Low Salary",V1420&lt;=12000,"Good Salary",V1420&gt;12000,"High Salary")</f>
        <v>Low Salary</v>
      </c>
      <c r="X1420">
        <v>20232</v>
      </c>
      <c r="Y1420">
        <v>7</v>
      </c>
      <c r="Z1420" t="s">
        <v>42</v>
      </c>
      <c r="AA1420" t="s">
        <v>43</v>
      </c>
      <c r="AB1420">
        <v>11</v>
      </c>
      <c r="AC1420">
        <v>3</v>
      </c>
      <c r="AD1420" t="str">
        <f t="shared" si="45"/>
        <v>Low Performance</v>
      </c>
      <c r="AE1420">
        <v>3</v>
      </c>
      <c r="AF1420">
        <v>80</v>
      </c>
      <c r="AG1420">
        <v>1</v>
      </c>
      <c r="AH1420">
        <v>5</v>
      </c>
      <c r="AI1420">
        <v>3</v>
      </c>
      <c r="AJ1420">
        <v>3</v>
      </c>
      <c r="AK1420" t="str" cm="1">
        <f t="array" ref="AK1420">_xlfn.IFS(AJ1420&lt;=2,"Poor",AJ1420&lt;=3,"Fair",AJ1420&gt;3,"Good")</f>
        <v>Fair</v>
      </c>
      <c r="AL1420">
        <v>2</v>
      </c>
      <c r="AM1420">
        <v>2</v>
      </c>
      <c r="AN1420">
        <v>2</v>
      </c>
      <c r="AO1420">
        <v>2</v>
      </c>
    </row>
    <row r="1421" spans="1:41" x14ac:dyDescent="0.2">
      <c r="A1421">
        <v>1221662</v>
      </c>
      <c r="B1421">
        <v>22</v>
      </c>
      <c r="C1421" t="str" cm="1">
        <f t="array" ref="C1421">_xlfn.IFS(B1421&lt;=25,"15-25",B1421&lt;=35,"26-35",B1421&lt;=45,"36-45",B1421&lt;=55,"46-55",B1421&lt;=65,"56-65")</f>
        <v>15-25</v>
      </c>
      <c r="D1421" t="s">
        <v>35</v>
      </c>
      <c r="E1421" t="str">
        <f t="shared" si="44"/>
        <v>Current Employee</v>
      </c>
      <c r="F1421" t="s">
        <v>36</v>
      </c>
      <c r="G1421">
        <v>581</v>
      </c>
      <c r="H1421" t="s">
        <v>54</v>
      </c>
      <c r="I1421">
        <v>1</v>
      </c>
      <c r="J1421">
        <v>2</v>
      </c>
      <c r="K1421" t="s">
        <v>38</v>
      </c>
      <c r="L1421">
        <v>1</v>
      </c>
      <c r="M1421">
        <v>4</v>
      </c>
      <c r="N1421" t="s">
        <v>46</v>
      </c>
      <c r="O1421">
        <v>63</v>
      </c>
      <c r="P1421">
        <v>3</v>
      </c>
      <c r="Q1421">
        <v>1</v>
      </c>
      <c r="R1421" t="s">
        <v>47</v>
      </c>
      <c r="S1421">
        <v>3</v>
      </c>
      <c r="T1421" t="str" cm="1">
        <f t="array" ref="T1421">_xlfn.IFS(S1421&lt;=2,"Poor",S1421&lt;=3,"Fair",S1421&gt;=4,"Good")</f>
        <v>Fair</v>
      </c>
      <c r="U1421" t="s">
        <v>41</v>
      </c>
      <c r="V1421" s="1">
        <v>3375</v>
      </c>
      <c r="W1421" t="str" cm="1">
        <f t="array" ref="W1421">_xlfn.IFS(V1421&lt;=5000,"Low Salary",V1421&lt;=12000,"Good Salary",V1421&gt;12000,"High Salary")</f>
        <v>Low Salary</v>
      </c>
      <c r="X1421">
        <v>17624</v>
      </c>
      <c r="Y1421">
        <v>0</v>
      </c>
      <c r="Z1421" t="s">
        <v>42</v>
      </c>
      <c r="AA1421" t="s">
        <v>35</v>
      </c>
      <c r="AB1421">
        <v>12</v>
      </c>
      <c r="AC1421">
        <v>3</v>
      </c>
      <c r="AD1421" t="str">
        <f t="shared" si="45"/>
        <v>Low Performance</v>
      </c>
      <c r="AE1421">
        <v>4</v>
      </c>
      <c r="AF1421">
        <v>80</v>
      </c>
      <c r="AG1421">
        <v>0</v>
      </c>
      <c r="AH1421">
        <v>4</v>
      </c>
      <c r="AI1421">
        <v>2</v>
      </c>
      <c r="AJ1421">
        <v>4</v>
      </c>
      <c r="AK1421" t="str" cm="1">
        <f t="array" ref="AK1421">_xlfn.IFS(AJ1421&lt;=2,"Poor",AJ1421&lt;=3,"Fair",AJ1421&gt;3,"Good")</f>
        <v>Good</v>
      </c>
      <c r="AL1421">
        <v>3</v>
      </c>
      <c r="AM1421">
        <v>2</v>
      </c>
      <c r="AN1421">
        <v>1</v>
      </c>
      <c r="AO1421">
        <v>2</v>
      </c>
    </row>
    <row r="1422" spans="1:41" x14ac:dyDescent="0.2">
      <c r="A1422">
        <v>1725778</v>
      </c>
      <c r="B1422">
        <v>35</v>
      </c>
      <c r="C1422" t="str" cm="1">
        <f t="array" ref="C1422">_xlfn.IFS(B1422&lt;=25,"15-25",B1422&lt;=35,"26-35",B1422&lt;=45,"36-45",B1422&lt;=55,"46-55",B1422&lt;=65,"56-65")</f>
        <v>26-35</v>
      </c>
      <c r="D1422" t="s">
        <v>35</v>
      </c>
      <c r="E1422" t="str">
        <f t="shared" si="44"/>
        <v>Current Employee</v>
      </c>
      <c r="F1422" t="s">
        <v>36</v>
      </c>
      <c r="G1422">
        <v>1395</v>
      </c>
      <c r="H1422" t="s">
        <v>54</v>
      </c>
      <c r="I1422">
        <v>9</v>
      </c>
      <c r="J1422">
        <v>4</v>
      </c>
      <c r="K1422" t="s">
        <v>49</v>
      </c>
      <c r="L1422">
        <v>1</v>
      </c>
      <c r="M1422">
        <v>2</v>
      </c>
      <c r="N1422" t="s">
        <v>46</v>
      </c>
      <c r="O1422">
        <v>48</v>
      </c>
      <c r="P1422">
        <v>3</v>
      </c>
      <c r="Q1422">
        <v>2</v>
      </c>
      <c r="R1422" t="s">
        <v>47</v>
      </c>
      <c r="S1422">
        <v>3</v>
      </c>
      <c r="T1422" t="str" cm="1">
        <f t="array" ref="T1422">_xlfn.IFS(S1422&lt;=2,"Poor",S1422&lt;=3,"Fair",S1422&gt;=4,"Good")</f>
        <v>Fair</v>
      </c>
      <c r="U1422" t="s">
        <v>41</v>
      </c>
      <c r="V1422" s="1">
        <v>5098</v>
      </c>
      <c r="W1422" t="str" cm="1">
        <f t="array" ref="W1422">_xlfn.IFS(V1422&lt;=5000,"Low Salary",V1422&lt;=12000,"Good Salary",V1422&gt;12000,"High Salary")</f>
        <v>Good Salary</v>
      </c>
      <c r="X1422">
        <v>18698</v>
      </c>
      <c r="Y1422">
        <v>1</v>
      </c>
      <c r="Z1422" t="s">
        <v>42</v>
      </c>
      <c r="AA1422" t="s">
        <v>35</v>
      </c>
      <c r="AB1422">
        <v>19</v>
      </c>
      <c r="AC1422">
        <v>3</v>
      </c>
      <c r="AD1422" t="str">
        <f t="shared" si="45"/>
        <v>Low Performance</v>
      </c>
      <c r="AE1422">
        <v>2</v>
      </c>
      <c r="AF1422">
        <v>80</v>
      </c>
      <c r="AG1422">
        <v>0</v>
      </c>
      <c r="AH1422">
        <v>10</v>
      </c>
      <c r="AI1422">
        <v>5</v>
      </c>
      <c r="AJ1422">
        <v>3</v>
      </c>
      <c r="AK1422" t="str" cm="1">
        <f t="array" ref="AK1422">_xlfn.IFS(AJ1422&lt;=2,"Poor",AJ1422&lt;=3,"Fair",AJ1422&gt;3,"Good")</f>
        <v>Fair</v>
      </c>
      <c r="AL1422">
        <v>10</v>
      </c>
      <c r="AM1422">
        <v>7</v>
      </c>
      <c r="AN1422">
        <v>0</v>
      </c>
      <c r="AO1422">
        <v>8</v>
      </c>
    </row>
    <row r="1423" spans="1:41" x14ac:dyDescent="0.2">
      <c r="A1423">
        <v>1301790</v>
      </c>
      <c r="B1423">
        <v>33</v>
      </c>
      <c r="C1423" t="str" cm="1">
        <f t="array" ref="C1423">_xlfn.IFS(B1423&lt;=25,"15-25",B1423&lt;=35,"26-35",B1423&lt;=45,"36-45",B1423&lt;=55,"46-55",B1423&lt;=65,"56-65")</f>
        <v>26-35</v>
      </c>
      <c r="D1423" t="s">
        <v>35</v>
      </c>
      <c r="E1423" t="str">
        <f t="shared" si="44"/>
        <v>Current Employee</v>
      </c>
      <c r="F1423" t="s">
        <v>36</v>
      </c>
      <c r="G1423">
        <v>501</v>
      </c>
      <c r="H1423" t="s">
        <v>54</v>
      </c>
      <c r="I1423">
        <v>15</v>
      </c>
      <c r="J1423">
        <v>2</v>
      </c>
      <c r="K1423" t="s">
        <v>49</v>
      </c>
      <c r="L1423">
        <v>1</v>
      </c>
      <c r="M1423">
        <v>2</v>
      </c>
      <c r="N1423" t="s">
        <v>39</v>
      </c>
      <c r="O1423">
        <v>95</v>
      </c>
      <c r="P1423">
        <v>3</v>
      </c>
      <c r="Q1423">
        <v>2</v>
      </c>
      <c r="R1423" t="s">
        <v>40</v>
      </c>
      <c r="S1423">
        <v>4</v>
      </c>
      <c r="T1423" t="str" cm="1">
        <f t="array" ref="T1423">_xlfn.IFS(S1423&lt;=2,"Poor",S1423&lt;=3,"Fair",S1423&gt;=4,"Good")</f>
        <v>Good</v>
      </c>
      <c r="U1423" t="s">
        <v>48</v>
      </c>
      <c r="V1423" s="1">
        <v>4878</v>
      </c>
      <c r="W1423" t="str" cm="1">
        <f t="array" ref="W1423">_xlfn.IFS(V1423&lt;=5000,"Low Salary",V1423&lt;=12000,"Good Salary",V1423&gt;12000,"High Salary")</f>
        <v>Low Salary</v>
      </c>
      <c r="X1423">
        <v>21653</v>
      </c>
      <c r="Y1423">
        <v>0</v>
      </c>
      <c r="Z1423" t="s">
        <v>42</v>
      </c>
      <c r="AA1423" t="s">
        <v>43</v>
      </c>
      <c r="AB1423">
        <v>13</v>
      </c>
      <c r="AC1423">
        <v>3</v>
      </c>
      <c r="AD1423" t="str">
        <f t="shared" si="45"/>
        <v>Low Performance</v>
      </c>
      <c r="AE1423">
        <v>1</v>
      </c>
      <c r="AF1423">
        <v>80</v>
      </c>
      <c r="AG1423">
        <v>1</v>
      </c>
      <c r="AH1423">
        <v>10</v>
      </c>
      <c r="AI1423">
        <v>6</v>
      </c>
      <c r="AJ1423">
        <v>3</v>
      </c>
      <c r="AK1423" t="str" cm="1">
        <f t="array" ref="AK1423">_xlfn.IFS(AJ1423&lt;=2,"Poor",AJ1423&lt;=3,"Fair",AJ1423&gt;3,"Good")</f>
        <v>Fair</v>
      </c>
      <c r="AL1423">
        <v>9</v>
      </c>
      <c r="AM1423">
        <v>7</v>
      </c>
      <c r="AN1423">
        <v>8</v>
      </c>
      <c r="AO1423">
        <v>1</v>
      </c>
    </row>
    <row r="1424" spans="1:41" x14ac:dyDescent="0.2">
      <c r="A1424">
        <v>1399338</v>
      </c>
      <c r="B1424">
        <v>32</v>
      </c>
      <c r="C1424" t="str" cm="1">
        <f t="array" ref="C1424">_xlfn.IFS(B1424&lt;=25,"15-25",B1424&lt;=35,"26-35",B1424&lt;=45,"36-45",B1424&lt;=55,"46-55",B1424&lt;=65,"56-65")</f>
        <v>26-35</v>
      </c>
      <c r="D1424" t="s">
        <v>35</v>
      </c>
      <c r="E1424" t="str">
        <f t="shared" si="44"/>
        <v>Current Employee</v>
      </c>
      <c r="F1424" t="s">
        <v>36</v>
      </c>
      <c r="G1424">
        <v>267</v>
      </c>
      <c r="H1424" t="s">
        <v>54</v>
      </c>
      <c r="I1424">
        <v>29</v>
      </c>
      <c r="J1424">
        <v>4</v>
      </c>
      <c r="K1424" t="s">
        <v>38</v>
      </c>
      <c r="L1424">
        <v>1</v>
      </c>
      <c r="M1424">
        <v>3</v>
      </c>
      <c r="N1424" t="s">
        <v>39</v>
      </c>
      <c r="O1424">
        <v>49</v>
      </c>
      <c r="P1424">
        <v>2</v>
      </c>
      <c r="Q1424">
        <v>1</v>
      </c>
      <c r="R1424" t="s">
        <v>40</v>
      </c>
      <c r="S1424">
        <v>2</v>
      </c>
      <c r="T1424" t="str" cm="1">
        <f t="array" ref="T1424">_xlfn.IFS(S1424&lt;=2,"Poor",S1424&lt;=3,"Fair",S1424&gt;=4,"Good")</f>
        <v>Poor</v>
      </c>
      <c r="U1424" t="s">
        <v>41</v>
      </c>
      <c r="V1424" s="1">
        <v>2837</v>
      </c>
      <c r="W1424" t="str" cm="1">
        <f t="array" ref="W1424">_xlfn.IFS(V1424&lt;=5000,"Low Salary",V1424&lt;=12000,"Good Salary",V1424&gt;12000,"High Salary")</f>
        <v>Low Salary</v>
      </c>
      <c r="X1424">
        <v>15919</v>
      </c>
      <c r="Y1424">
        <v>1</v>
      </c>
      <c r="Z1424" t="s">
        <v>42</v>
      </c>
      <c r="AA1424" t="s">
        <v>35</v>
      </c>
      <c r="AB1424">
        <v>13</v>
      </c>
      <c r="AC1424">
        <v>3</v>
      </c>
      <c r="AD1424" t="str">
        <f t="shared" si="45"/>
        <v>Low Performance</v>
      </c>
      <c r="AE1424">
        <v>3</v>
      </c>
      <c r="AF1424">
        <v>80</v>
      </c>
      <c r="AG1424">
        <v>0</v>
      </c>
      <c r="AH1424">
        <v>6</v>
      </c>
      <c r="AI1424">
        <v>3</v>
      </c>
      <c r="AJ1424">
        <v>3</v>
      </c>
      <c r="AK1424" t="str" cm="1">
        <f t="array" ref="AK1424">_xlfn.IFS(AJ1424&lt;=2,"Poor",AJ1424&lt;=3,"Fair",AJ1424&gt;3,"Good")</f>
        <v>Fair</v>
      </c>
      <c r="AL1424">
        <v>6</v>
      </c>
      <c r="AM1424">
        <v>2</v>
      </c>
      <c r="AN1424">
        <v>4</v>
      </c>
      <c r="AO1424">
        <v>1</v>
      </c>
    </row>
    <row r="1425" spans="1:41" x14ac:dyDescent="0.2">
      <c r="A1425">
        <v>1789008</v>
      </c>
      <c r="B1425">
        <v>40</v>
      </c>
      <c r="C1425" t="str" cm="1">
        <f t="array" ref="C1425">_xlfn.IFS(B1425&lt;=25,"15-25",B1425&lt;=35,"26-35",B1425&lt;=45,"36-45",B1425&lt;=55,"46-55",B1425&lt;=65,"56-65")</f>
        <v>36-45</v>
      </c>
      <c r="D1425" t="s">
        <v>35</v>
      </c>
      <c r="E1425" t="str">
        <f t="shared" si="44"/>
        <v>Current Employee</v>
      </c>
      <c r="F1425" t="s">
        <v>36</v>
      </c>
      <c r="G1425">
        <v>543</v>
      </c>
      <c r="H1425" t="s">
        <v>54</v>
      </c>
      <c r="I1425">
        <v>1</v>
      </c>
      <c r="J1425">
        <v>4</v>
      </c>
      <c r="K1425" t="s">
        <v>38</v>
      </c>
      <c r="L1425">
        <v>1</v>
      </c>
      <c r="M1425">
        <v>1</v>
      </c>
      <c r="N1425" t="s">
        <v>46</v>
      </c>
      <c r="O1425">
        <v>83</v>
      </c>
      <c r="P1425">
        <v>3</v>
      </c>
      <c r="Q1425">
        <v>1</v>
      </c>
      <c r="R1425" t="s">
        <v>40</v>
      </c>
      <c r="S1425">
        <v>4</v>
      </c>
      <c r="T1425" t="str" cm="1">
        <f t="array" ref="T1425">_xlfn.IFS(S1425&lt;=2,"Poor",S1425&lt;=3,"Fair",S1425&gt;=4,"Good")</f>
        <v>Good</v>
      </c>
      <c r="U1425" t="s">
        <v>48</v>
      </c>
      <c r="V1425" s="1">
        <v>2406</v>
      </c>
      <c r="W1425" t="str" cm="1">
        <f t="array" ref="W1425">_xlfn.IFS(V1425&lt;=5000,"Low Salary",V1425&lt;=12000,"Good Salary",V1425&gt;12000,"High Salary")</f>
        <v>Low Salary</v>
      </c>
      <c r="X1425">
        <v>4060</v>
      </c>
      <c r="Y1425">
        <v>8</v>
      </c>
      <c r="Z1425" t="s">
        <v>42</v>
      </c>
      <c r="AA1425" t="s">
        <v>35</v>
      </c>
      <c r="AB1425">
        <v>19</v>
      </c>
      <c r="AC1425">
        <v>3</v>
      </c>
      <c r="AD1425" t="str">
        <f t="shared" si="45"/>
        <v>Low Performance</v>
      </c>
      <c r="AE1425">
        <v>3</v>
      </c>
      <c r="AF1425">
        <v>80</v>
      </c>
      <c r="AG1425">
        <v>2</v>
      </c>
      <c r="AH1425">
        <v>8</v>
      </c>
      <c r="AI1425">
        <v>3</v>
      </c>
      <c r="AJ1425">
        <v>2</v>
      </c>
      <c r="AK1425" t="str" cm="1">
        <f t="array" ref="AK1425">_xlfn.IFS(AJ1425&lt;=2,"Poor",AJ1425&lt;=3,"Fair",AJ1425&gt;3,"Good")</f>
        <v>Poor</v>
      </c>
      <c r="AL1425">
        <v>1</v>
      </c>
      <c r="AM1425">
        <v>0</v>
      </c>
      <c r="AN1425">
        <v>0</v>
      </c>
      <c r="AO1425">
        <v>0</v>
      </c>
    </row>
    <row r="1426" spans="1:41" x14ac:dyDescent="0.2">
      <c r="A1426">
        <v>1190766</v>
      </c>
      <c r="B1426">
        <v>32</v>
      </c>
      <c r="C1426" t="str" cm="1">
        <f t="array" ref="C1426">_xlfn.IFS(B1426&lt;=25,"15-25",B1426&lt;=35,"26-35",B1426&lt;=45,"36-45",B1426&lt;=55,"46-55",B1426&lt;=65,"56-65")</f>
        <v>26-35</v>
      </c>
      <c r="D1426" t="s">
        <v>35</v>
      </c>
      <c r="E1426" t="str">
        <f t="shared" si="44"/>
        <v>Current Employee</v>
      </c>
      <c r="F1426" t="s">
        <v>36</v>
      </c>
      <c r="G1426">
        <v>234</v>
      </c>
      <c r="H1426" t="s">
        <v>37</v>
      </c>
      <c r="I1426">
        <v>1</v>
      </c>
      <c r="J1426">
        <v>4</v>
      </c>
      <c r="K1426" t="s">
        <v>49</v>
      </c>
      <c r="L1426">
        <v>1</v>
      </c>
      <c r="M1426">
        <v>2</v>
      </c>
      <c r="N1426" t="s">
        <v>46</v>
      </c>
      <c r="O1426">
        <v>68</v>
      </c>
      <c r="P1426">
        <v>2</v>
      </c>
      <c r="Q1426">
        <v>1</v>
      </c>
      <c r="R1426" t="s">
        <v>47</v>
      </c>
      <c r="S1426">
        <v>2</v>
      </c>
      <c r="T1426" t="str" cm="1">
        <f t="array" ref="T1426">_xlfn.IFS(S1426&lt;=2,"Poor",S1426&lt;=3,"Fair",S1426&gt;=4,"Good")</f>
        <v>Poor</v>
      </c>
      <c r="U1426" t="s">
        <v>48</v>
      </c>
      <c r="V1426" s="1">
        <v>2269</v>
      </c>
      <c r="W1426" t="str" cm="1">
        <f t="array" ref="W1426">_xlfn.IFS(V1426&lt;=5000,"Low Salary",V1426&lt;=12000,"Good Salary",V1426&gt;12000,"High Salary")</f>
        <v>Low Salary</v>
      </c>
      <c r="X1426">
        <v>18024</v>
      </c>
      <c r="Y1426">
        <v>0</v>
      </c>
      <c r="Z1426" t="s">
        <v>42</v>
      </c>
      <c r="AA1426" t="s">
        <v>35</v>
      </c>
      <c r="AB1426">
        <v>14</v>
      </c>
      <c r="AC1426">
        <v>3</v>
      </c>
      <c r="AD1426" t="str">
        <f t="shared" si="45"/>
        <v>Low Performance</v>
      </c>
      <c r="AE1426">
        <v>2</v>
      </c>
      <c r="AF1426">
        <v>80</v>
      </c>
      <c r="AG1426">
        <v>1</v>
      </c>
      <c r="AH1426">
        <v>3</v>
      </c>
      <c r="AI1426">
        <v>2</v>
      </c>
      <c r="AJ1426">
        <v>3</v>
      </c>
      <c r="AK1426" t="str" cm="1">
        <f t="array" ref="AK1426">_xlfn.IFS(AJ1426&lt;=2,"Poor",AJ1426&lt;=3,"Fair",AJ1426&gt;3,"Good")</f>
        <v>Fair</v>
      </c>
      <c r="AL1426">
        <v>2</v>
      </c>
      <c r="AM1426">
        <v>2</v>
      </c>
      <c r="AN1426">
        <v>2</v>
      </c>
      <c r="AO1426">
        <v>2</v>
      </c>
    </row>
    <row r="1427" spans="1:41" x14ac:dyDescent="0.2">
      <c r="A1427">
        <v>1491312</v>
      </c>
      <c r="B1427">
        <v>39</v>
      </c>
      <c r="C1427" t="str" cm="1">
        <f t="array" ref="C1427">_xlfn.IFS(B1427&lt;=25,"15-25",B1427&lt;=35,"26-35",B1427&lt;=45,"36-45",B1427&lt;=55,"46-55",B1427&lt;=65,"56-65")</f>
        <v>36-45</v>
      </c>
      <c r="D1427" t="s">
        <v>35</v>
      </c>
      <c r="E1427" t="str">
        <f t="shared" si="44"/>
        <v>Current Employee</v>
      </c>
      <c r="F1427" t="s">
        <v>36</v>
      </c>
      <c r="G1427">
        <v>116</v>
      </c>
      <c r="H1427" t="s">
        <v>54</v>
      </c>
      <c r="I1427">
        <v>24</v>
      </c>
      <c r="J1427">
        <v>1</v>
      </c>
      <c r="K1427" t="s">
        <v>38</v>
      </c>
      <c r="L1427">
        <v>1</v>
      </c>
      <c r="M1427">
        <v>1</v>
      </c>
      <c r="N1427" t="s">
        <v>46</v>
      </c>
      <c r="O1427">
        <v>52</v>
      </c>
      <c r="P1427">
        <v>3</v>
      </c>
      <c r="Q1427">
        <v>2</v>
      </c>
      <c r="R1427" t="s">
        <v>47</v>
      </c>
      <c r="S1427">
        <v>4</v>
      </c>
      <c r="T1427" t="str" cm="1">
        <f t="array" ref="T1427">_xlfn.IFS(S1427&lt;=2,"Poor",S1427&lt;=3,"Fair",S1427&gt;=4,"Good")</f>
        <v>Good</v>
      </c>
      <c r="U1427" t="s">
        <v>41</v>
      </c>
      <c r="V1427" s="1">
        <v>4108</v>
      </c>
      <c r="W1427" t="str" cm="1">
        <f t="array" ref="W1427">_xlfn.IFS(V1427&lt;=5000,"Low Salary",V1427&lt;=12000,"Good Salary",V1427&gt;12000,"High Salary")</f>
        <v>Low Salary</v>
      </c>
      <c r="X1427">
        <v>5340</v>
      </c>
      <c r="Y1427">
        <v>7</v>
      </c>
      <c r="Z1427" t="s">
        <v>42</v>
      </c>
      <c r="AA1427" t="s">
        <v>35</v>
      </c>
      <c r="AB1427">
        <v>13</v>
      </c>
      <c r="AC1427">
        <v>3</v>
      </c>
      <c r="AD1427" t="str">
        <f t="shared" si="45"/>
        <v>Low Performance</v>
      </c>
      <c r="AE1427">
        <v>1</v>
      </c>
      <c r="AF1427">
        <v>80</v>
      </c>
      <c r="AG1427">
        <v>0</v>
      </c>
      <c r="AH1427">
        <v>18</v>
      </c>
      <c r="AI1427">
        <v>2</v>
      </c>
      <c r="AJ1427">
        <v>3</v>
      </c>
      <c r="AK1427" t="str" cm="1">
        <f t="array" ref="AK1427">_xlfn.IFS(AJ1427&lt;=2,"Poor",AJ1427&lt;=3,"Fair",AJ1427&gt;3,"Good")</f>
        <v>Fair</v>
      </c>
      <c r="AL1427">
        <v>7</v>
      </c>
      <c r="AM1427">
        <v>7</v>
      </c>
      <c r="AN1427">
        <v>1</v>
      </c>
      <c r="AO1427">
        <v>7</v>
      </c>
    </row>
    <row r="1428" spans="1:41" x14ac:dyDescent="0.2">
      <c r="A1428">
        <v>1708743</v>
      </c>
      <c r="B1428">
        <v>38</v>
      </c>
      <c r="C1428" t="str" cm="1">
        <f t="array" ref="C1428">_xlfn.IFS(B1428&lt;=25,"15-25",B1428&lt;=35,"26-35",B1428&lt;=45,"36-45",B1428&lt;=55,"46-55",B1428&lt;=65,"56-65")</f>
        <v>36-45</v>
      </c>
      <c r="D1428" t="s">
        <v>35</v>
      </c>
      <c r="E1428" t="str">
        <f t="shared" si="44"/>
        <v>Current Employee</v>
      </c>
      <c r="F1428" t="s">
        <v>36</v>
      </c>
      <c r="G1428">
        <v>201</v>
      </c>
      <c r="H1428" t="s">
        <v>54</v>
      </c>
      <c r="I1428">
        <v>10</v>
      </c>
      <c r="J1428">
        <v>3</v>
      </c>
      <c r="K1428" t="s">
        <v>49</v>
      </c>
      <c r="L1428">
        <v>1</v>
      </c>
      <c r="M1428">
        <v>2</v>
      </c>
      <c r="N1428" t="s">
        <v>39</v>
      </c>
      <c r="O1428">
        <v>99</v>
      </c>
      <c r="P1428">
        <v>1</v>
      </c>
      <c r="Q1428">
        <v>3</v>
      </c>
      <c r="R1428" t="s">
        <v>53</v>
      </c>
      <c r="S1428">
        <v>3</v>
      </c>
      <c r="T1428" t="str" cm="1">
        <f t="array" ref="T1428">_xlfn.IFS(S1428&lt;=2,"Poor",S1428&lt;=3,"Fair",S1428&gt;=4,"Good")</f>
        <v>Fair</v>
      </c>
      <c r="U1428" t="s">
        <v>48</v>
      </c>
      <c r="V1428" s="1">
        <v>13206</v>
      </c>
      <c r="W1428" t="str" cm="1">
        <f t="array" ref="W1428">_xlfn.IFS(V1428&lt;=5000,"Low Salary",V1428&lt;=12000,"Good Salary",V1428&gt;12000,"High Salary")</f>
        <v>High Salary</v>
      </c>
      <c r="X1428">
        <v>3376</v>
      </c>
      <c r="Y1428">
        <v>3</v>
      </c>
      <c r="Z1428" t="s">
        <v>42</v>
      </c>
      <c r="AA1428" t="s">
        <v>35</v>
      </c>
      <c r="AB1428">
        <v>12</v>
      </c>
      <c r="AC1428">
        <v>3</v>
      </c>
      <c r="AD1428" t="str">
        <f t="shared" si="45"/>
        <v>Low Performance</v>
      </c>
      <c r="AE1428">
        <v>1</v>
      </c>
      <c r="AF1428">
        <v>80</v>
      </c>
      <c r="AG1428">
        <v>1</v>
      </c>
      <c r="AH1428">
        <v>20</v>
      </c>
      <c r="AI1428">
        <v>3</v>
      </c>
      <c r="AJ1428">
        <v>3</v>
      </c>
      <c r="AK1428" t="str" cm="1">
        <f t="array" ref="AK1428">_xlfn.IFS(AJ1428&lt;=2,"Poor",AJ1428&lt;=3,"Fair",AJ1428&gt;3,"Good")</f>
        <v>Fair</v>
      </c>
      <c r="AL1428">
        <v>18</v>
      </c>
      <c r="AM1428">
        <v>16</v>
      </c>
      <c r="AN1428">
        <v>1</v>
      </c>
      <c r="AO1428">
        <v>11</v>
      </c>
    </row>
    <row r="1429" spans="1:41" x14ac:dyDescent="0.2">
      <c r="A1429">
        <v>1435710</v>
      </c>
      <c r="B1429">
        <v>32</v>
      </c>
      <c r="C1429" t="str" cm="1">
        <f t="array" ref="C1429">_xlfn.IFS(B1429&lt;=25,"15-25",B1429&lt;=35,"26-35",B1429&lt;=45,"36-45",B1429&lt;=55,"46-55",B1429&lt;=65,"56-65")</f>
        <v>26-35</v>
      </c>
      <c r="D1429" t="s">
        <v>35</v>
      </c>
      <c r="E1429" t="str">
        <f t="shared" si="44"/>
        <v>Current Employee</v>
      </c>
      <c r="F1429" t="s">
        <v>36</v>
      </c>
      <c r="G1429">
        <v>801</v>
      </c>
      <c r="H1429" t="s">
        <v>37</v>
      </c>
      <c r="I1429">
        <v>1</v>
      </c>
      <c r="J1429">
        <v>4</v>
      </c>
      <c r="K1429" t="s">
        <v>55</v>
      </c>
      <c r="L1429">
        <v>1</v>
      </c>
      <c r="M1429">
        <v>3</v>
      </c>
      <c r="N1429" t="s">
        <v>39</v>
      </c>
      <c r="O1429">
        <v>48</v>
      </c>
      <c r="P1429">
        <v>3</v>
      </c>
      <c r="Q1429">
        <v>3</v>
      </c>
      <c r="R1429" t="s">
        <v>40</v>
      </c>
      <c r="S1429">
        <v>4</v>
      </c>
      <c r="T1429" t="str" cm="1">
        <f t="array" ref="T1429">_xlfn.IFS(S1429&lt;=2,"Poor",S1429&lt;=3,"Fair",S1429&gt;=4,"Good")</f>
        <v>Good</v>
      </c>
      <c r="U1429" t="s">
        <v>48</v>
      </c>
      <c r="V1429" s="1">
        <v>10422</v>
      </c>
      <c r="W1429" t="str" cm="1">
        <f t="array" ref="W1429">_xlfn.IFS(V1429&lt;=5000,"Low Salary",V1429&lt;=12000,"Good Salary",V1429&gt;12000,"High Salary")</f>
        <v>Good Salary</v>
      </c>
      <c r="X1429">
        <v>24032</v>
      </c>
      <c r="Y1429">
        <v>1</v>
      </c>
      <c r="Z1429" t="s">
        <v>42</v>
      </c>
      <c r="AA1429" t="s">
        <v>35</v>
      </c>
      <c r="AB1429">
        <v>19</v>
      </c>
      <c r="AC1429">
        <v>3</v>
      </c>
      <c r="AD1429" t="str">
        <f t="shared" si="45"/>
        <v>Low Performance</v>
      </c>
      <c r="AE1429">
        <v>3</v>
      </c>
      <c r="AF1429">
        <v>80</v>
      </c>
      <c r="AG1429">
        <v>2</v>
      </c>
      <c r="AH1429">
        <v>14</v>
      </c>
      <c r="AI1429">
        <v>3</v>
      </c>
      <c r="AJ1429">
        <v>3</v>
      </c>
      <c r="AK1429" t="str" cm="1">
        <f t="array" ref="AK1429">_xlfn.IFS(AJ1429&lt;=2,"Poor",AJ1429&lt;=3,"Fair",AJ1429&gt;3,"Good")</f>
        <v>Fair</v>
      </c>
      <c r="AL1429">
        <v>14</v>
      </c>
      <c r="AM1429">
        <v>10</v>
      </c>
      <c r="AN1429">
        <v>5</v>
      </c>
      <c r="AO1429">
        <v>7</v>
      </c>
    </row>
    <row r="1430" spans="1:41" x14ac:dyDescent="0.2">
      <c r="A1430">
        <v>1332625</v>
      </c>
      <c r="B1430">
        <v>37</v>
      </c>
      <c r="C1430" t="str" cm="1">
        <f t="array" ref="C1430">_xlfn.IFS(B1430&lt;=25,"15-25",B1430&lt;=35,"26-35",B1430&lt;=45,"36-45",B1430&lt;=55,"46-55",B1430&lt;=65,"56-65")</f>
        <v>36-45</v>
      </c>
      <c r="D1430" t="s">
        <v>35</v>
      </c>
      <c r="E1430" t="str">
        <f t="shared" si="44"/>
        <v>Current Employee</v>
      </c>
      <c r="F1430" t="s">
        <v>36</v>
      </c>
      <c r="G1430">
        <v>161</v>
      </c>
      <c r="H1430" t="s">
        <v>54</v>
      </c>
      <c r="I1430">
        <v>10</v>
      </c>
      <c r="J1430">
        <v>3</v>
      </c>
      <c r="K1430" t="s">
        <v>38</v>
      </c>
      <c r="L1430">
        <v>1</v>
      </c>
      <c r="M1430">
        <v>3</v>
      </c>
      <c r="N1430" t="s">
        <v>39</v>
      </c>
      <c r="O1430">
        <v>42</v>
      </c>
      <c r="P1430">
        <v>4</v>
      </c>
      <c r="Q1430">
        <v>3</v>
      </c>
      <c r="R1430" t="s">
        <v>53</v>
      </c>
      <c r="S1430">
        <v>4</v>
      </c>
      <c r="T1430" t="str" cm="1">
        <f t="array" ref="T1430">_xlfn.IFS(S1430&lt;=2,"Poor",S1430&lt;=3,"Fair",S1430&gt;=4,"Good")</f>
        <v>Good</v>
      </c>
      <c r="U1430" t="s">
        <v>48</v>
      </c>
      <c r="V1430" s="1">
        <v>13744</v>
      </c>
      <c r="W1430" t="str" cm="1">
        <f t="array" ref="W1430">_xlfn.IFS(V1430&lt;=5000,"Low Salary",V1430&lt;=12000,"Good Salary",V1430&gt;12000,"High Salary")</f>
        <v>High Salary</v>
      </c>
      <c r="X1430">
        <v>15471</v>
      </c>
      <c r="Y1430">
        <v>1</v>
      </c>
      <c r="Z1430" t="s">
        <v>42</v>
      </c>
      <c r="AA1430" t="s">
        <v>43</v>
      </c>
      <c r="AB1430">
        <v>25</v>
      </c>
      <c r="AC1430">
        <v>4</v>
      </c>
      <c r="AD1430" t="str">
        <f t="shared" si="45"/>
        <v>High Performance</v>
      </c>
      <c r="AE1430">
        <v>1</v>
      </c>
      <c r="AF1430">
        <v>80</v>
      </c>
      <c r="AG1430">
        <v>1</v>
      </c>
      <c r="AH1430">
        <v>16</v>
      </c>
      <c r="AI1430">
        <v>2</v>
      </c>
      <c r="AJ1430">
        <v>3</v>
      </c>
      <c r="AK1430" t="str" cm="1">
        <f t="array" ref="AK1430">_xlfn.IFS(AJ1430&lt;=2,"Poor",AJ1430&lt;=3,"Fair",AJ1430&gt;3,"Good")</f>
        <v>Fair</v>
      </c>
      <c r="AL1430">
        <v>16</v>
      </c>
      <c r="AM1430">
        <v>11</v>
      </c>
      <c r="AN1430">
        <v>6</v>
      </c>
      <c r="AO1430">
        <v>8</v>
      </c>
    </row>
    <row r="1431" spans="1:41" x14ac:dyDescent="0.2">
      <c r="A1431">
        <v>1818407</v>
      </c>
      <c r="B1431">
        <v>25</v>
      </c>
      <c r="C1431" t="str" cm="1">
        <f t="array" ref="C1431">_xlfn.IFS(B1431&lt;=25,"15-25",B1431&lt;=35,"26-35",B1431&lt;=45,"36-45",B1431&lt;=55,"46-55",B1431&lt;=65,"56-65")</f>
        <v>15-25</v>
      </c>
      <c r="D1431" t="s">
        <v>35</v>
      </c>
      <c r="E1431" t="str">
        <f t="shared" si="44"/>
        <v>Current Employee</v>
      </c>
      <c r="F1431" t="s">
        <v>36</v>
      </c>
      <c r="G1431">
        <v>1382</v>
      </c>
      <c r="H1431" t="s">
        <v>37</v>
      </c>
      <c r="I1431">
        <v>8</v>
      </c>
      <c r="J1431">
        <v>2</v>
      </c>
      <c r="K1431" t="s">
        <v>47</v>
      </c>
      <c r="L1431">
        <v>1</v>
      </c>
      <c r="M1431">
        <v>1</v>
      </c>
      <c r="N1431" t="s">
        <v>39</v>
      </c>
      <c r="O1431">
        <v>85</v>
      </c>
      <c r="P1431">
        <v>3</v>
      </c>
      <c r="Q1431">
        <v>2</v>
      </c>
      <c r="R1431" t="s">
        <v>40</v>
      </c>
      <c r="S1431">
        <v>3</v>
      </c>
      <c r="T1431" t="str" cm="1">
        <f t="array" ref="T1431">_xlfn.IFS(S1431&lt;=2,"Poor",S1431&lt;=3,"Fair",S1431&gt;=4,"Good")</f>
        <v>Fair</v>
      </c>
      <c r="U1431" t="s">
        <v>50</v>
      </c>
      <c r="V1431" s="1">
        <v>4907</v>
      </c>
      <c r="W1431" t="str" cm="1">
        <f t="array" ref="W1431">_xlfn.IFS(V1431&lt;=5000,"Low Salary",V1431&lt;=12000,"Good Salary",V1431&gt;12000,"High Salary")</f>
        <v>Low Salary</v>
      </c>
      <c r="X1431">
        <v>13684</v>
      </c>
      <c r="Y1431">
        <v>0</v>
      </c>
      <c r="Z1431" t="s">
        <v>42</v>
      </c>
      <c r="AA1431" t="s">
        <v>43</v>
      </c>
      <c r="AB1431">
        <v>22</v>
      </c>
      <c r="AC1431">
        <v>4</v>
      </c>
      <c r="AD1431" t="str">
        <f t="shared" si="45"/>
        <v>High Performance</v>
      </c>
      <c r="AE1431">
        <v>2</v>
      </c>
      <c r="AF1431">
        <v>80</v>
      </c>
      <c r="AG1431">
        <v>1</v>
      </c>
      <c r="AH1431">
        <v>6</v>
      </c>
      <c r="AI1431">
        <v>3</v>
      </c>
      <c r="AJ1431">
        <v>2</v>
      </c>
      <c r="AK1431" t="str" cm="1">
        <f t="array" ref="AK1431">_xlfn.IFS(AJ1431&lt;=2,"Poor",AJ1431&lt;=3,"Fair",AJ1431&gt;3,"Good")</f>
        <v>Poor</v>
      </c>
      <c r="AL1431">
        <v>5</v>
      </c>
      <c r="AM1431">
        <v>3</v>
      </c>
      <c r="AN1431">
        <v>0</v>
      </c>
      <c r="AO1431">
        <v>4</v>
      </c>
    </row>
    <row r="1432" spans="1:41" x14ac:dyDescent="0.2">
      <c r="A1432">
        <v>1251101</v>
      </c>
      <c r="B1432">
        <v>52</v>
      </c>
      <c r="C1432" t="str" cm="1">
        <f t="array" ref="C1432">_xlfn.IFS(B1432&lt;=25,"15-25",B1432&lt;=35,"26-35",B1432&lt;=45,"36-45",B1432&lt;=55,"46-55",B1432&lt;=65,"56-65")</f>
        <v>46-55</v>
      </c>
      <c r="D1432" t="s">
        <v>35</v>
      </c>
      <c r="E1432" t="str">
        <f t="shared" si="44"/>
        <v>Current Employee</v>
      </c>
      <c r="F1432" t="s">
        <v>52</v>
      </c>
      <c r="G1432">
        <v>585</v>
      </c>
      <c r="H1432" t="s">
        <v>37</v>
      </c>
      <c r="I1432">
        <v>29</v>
      </c>
      <c r="J1432">
        <v>4</v>
      </c>
      <c r="K1432" t="s">
        <v>38</v>
      </c>
      <c r="L1432">
        <v>1</v>
      </c>
      <c r="M1432">
        <v>1</v>
      </c>
      <c r="N1432" t="s">
        <v>46</v>
      </c>
      <c r="O1432">
        <v>40</v>
      </c>
      <c r="P1432">
        <v>3</v>
      </c>
      <c r="Q1432">
        <v>1</v>
      </c>
      <c r="R1432" t="s">
        <v>47</v>
      </c>
      <c r="S1432">
        <v>4</v>
      </c>
      <c r="T1432" t="str" cm="1">
        <f t="array" ref="T1432">_xlfn.IFS(S1432&lt;=2,"Poor",S1432&lt;=3,"Fair",S1432&gt;=4,"Good")</f>
        <v>Good</v>
      </c>
      <c r="U1432" t="s">
        <v>50</v>
      </c>
      <c r="V1432" s="1">
        <v>3482</v>
      </c>
      <c r="W1432" t="str" cm="1">
        <f t="array" ref="W1432">_xlfn.IFS(V1432&lt;=5000,"Low Salary",V1432&lt;=12000,"Good Salary",V1432&gt;12000,"High Salary")</f>
        <v>Low Salary</v>
      </c>
      <c r="X1432">
        <v>19788</v>
      </c>
      <c r="Y1432">
        <v>2</v>
      </c>
      <c r="Z1432" t="s">
        <v>42</v>
      </c>
      <c r="AA1432" t="s">
        <v>35</v>
      </c>
      <c r="AB1432">
        <v>15</v>
      </c>
      <c r="AC1432">
        <v>3</v>
      </c>
      <c r="AD1432" t="str">
        <f t="shared" si="45"/>
        <v>Low Performance</v>
      </c>
      <c r="AE1432">
        <v>2</v>
      </c>
      <c r="AF1432">
        <v>80</v>
      </c>
      <c r="AG1432">
        <v>2</v>
      </c>
      <c r="AH1432">
        <v>16</v>
      </c>
      <c r="AI1432">
        <v>3</v>
      </c>
      <c r="AJ1432">
        <v>2</v>
      </c>
      <c r="AK1432" t="str" cm="1">
        <f t="array" ref="AK1432">_xlfn.IFS(AJ1432&lt;=2,"Poor",AJ1432&lt;=3,"Fair",AJ1432&gt;3,"Good")</f>
        <v>Poor</v>
      </c>
      <c r="AL1432">
        <v>9</v>
      </c>
      <c r="AM1432">
        <v>8</v>
      </c>
      <c r="AN1432">
        <v>0</v>
      </c>
      <c r="AO1432">
        <v>0</v>
      </c>
    </row>
    <row r="1433" spans="1:41" x14ac:dyDescent="0.2">
      <c r="A1433">
        <v>1433529</v>
      </c>
      <c r="B1433">
        <v>44</v>
      </c>
      <c r="C1433" t="str" cm="1">
        <f t="array" ref="C1433">_xlfn.IFS(B1433&lt;=25,"15-25",B1433&lt;=35,"26-35",B1433&lt;=45,"36-45",B1433&lt;=55,"46-55",B1433&lt;=65,"56-65")</f>
        <v>36-45</v>
      </c>
      <c r="D1433" t="s">
        <v>35</v>
      </c>
      <c r="E1433" t="str">
        <f t="shared" si="44"/>
        <v>Current Employee</v>
      </c>
      <c r="F1433" t="s">
        <v>36</v>
      </c>
      <c r="G1433">
        <v>1037</v>
      </c>
      <c r="H1433" t="s">
        <v>54</v>
      </c>
      <c r="I1433">
        <v>1</v>
      </c>
      <c r="J1433">
        <v>3</v>
      </c>
      <c r="K1433" t="s">
        <v>49</v>
      </c>
      <c r="L1433">
        <v>1</v>
      </c>
      <c r="M1433">
        <v>2</v>
      </c>
      <c r="N1433" t="s">
        <v>46</v>
      </c>
      <c r="O1433">
        <v>42</v>
      </c>
      <c r="P1433">
        <v>3</v>
      </c>
      <c r="Q1433">
        <v>1</v>
      </c>
      <c r="R1433" t="s">
        <v>47</v>
      </c>
      <c r="S1433">
        <v>4</v>
      </c>
      <c r="T1433" t="str" cm="1">
        <f t="array" ref="T1433">_xlfn.IFS(S1433&lt;=2,"Poor",S1433&lt;=3,"Fair",S1433&gt;=4,"Good")</f>
        <v>Good</v>
      </c>
      <c r="U1433" t="s">
        <v>41</v>
      </c>
      <c r="V1433" s="1">
        <v>2436</v>
      </c>
      <c r="W1433" t="str" cm="1">
        <f t="array" ref="W1433">_xlfn.IFS(V1433&lt;=5000,"Low Salary",V1433&lt;=12000,"Good Salary",V1433&gt;12000,"High Salary")</f>
        <v>Low Salary</v>
      </c>
      <c r="X1433">
        <v>13422</v>
      </c>
      <c r="Y1433">
        <v>6</v>
      </c>
      <c r="Z1433" t="s">
        <v>42</v>
      </c>
      <c r="AA1433" t="s">
        <v>43</v>
      </c>
      <c r="AB1433">
        <v>12</v>
      </c>
      <c r="AC1433">
        <v>3</v>
      </c>
      <c r="AD1433" t="str">
        <f t="shared" si="45"/>
        <v>Low Performance</v>
      </c>
      <c r="AE1433">
        <v>3</v>
      </c>
      <c r="AF1433">
        <v>80</v>
      </c>
      <c r="AG1433">
        <v>0</v>
      </c>
      <c r="AH1433">
        <v>6</v>
      </c>
      <c r="AI1433">
        <v>2</v>
      </c>
      <c r="AJ1433">
        <v>3</v>
      </c>
      <c r="AK1433" t="str" cm="1">
        <f t="array" ref="AK1433">_xlfn.IFS(AJ1433&lt;=2,"Poor",AJ1433&lt;=3,"Fair",AJ1433&gt;3,"Good")</f>
        <v>Fair</v>
      </c>
      <c r="AL1433">
        <v>4</v>
      </c>
      <c r="AM1433">
        <v>3</v>
      </c>
      <c r="AN1433">
        <v>1</v>
      </c>
      <c r="AO1433">
        <v>2</v>
      </c>
    </row>
    <row r="1434" spans="1:41" x14ac:dyDescent="0.2">
      <c r="A1434">
        <v>1859445</v>
      </c>
      <c r="B1434">
        <v>21</v>
      </c>
      <c r="C1434" t="str" cm="1">
        <f t="array" ref="C1434">_xlfn.IFS(B1434&lt;=25,"15-25",B1434&lt;=35,"26-35",B1434&lt;=45,"36-45",B1434&lt;=55,"46-55",B1434&lt;=65,"56-65")</f>
        <v>15-25</v>
      </c>
      <c r="D1434" t="s">
        <v>43</v>
      </c>
      <c r="E1434" t="str">
        <f t="shared" si="44"/>
        <v>Former Employee</v>
      </c>
      <c r="F1434" t="s">
        <v>36</v>
      </c>
      <c r="G1434">
        <v>501</v>
      </c>
      <c r="H1434" t="s">
        <v>37</v>
      </c>
      <c r="I1434">
        <v>5</v>
      </c>
      <c r="J1434">
        <v>1</v>
      </c>
      <c r="K1434" t="s">
        <v>49</v>
      </c>
      <c r="L1434">
        <v>1</v>
      </c>
      <c r="M1434">
        <v>3</v>
      </c>
      <c r="N1434" t="s">
        <v>46</v>
      </c>
      <c r="O1434">
        <v>58</v>
      </c>
      <c r="P1434">
        <v>3</v>
      </c>
      <c r="Q1434">
        <v>1</v>
      </c>
      <c r="R1434" t="s">
        <v>47</v>
      </c>
      <c r="S1434">
        <v>1</v>
      </c>
      <c r="T1434" t="str" cm="1">
        <f t="array" ref="T1434">_xlfn.IFS(S1434&lt;=2,"Poor",S1434&lt;=3,"Fair",S1434&gt;=4,"Good")</f>
        <v>Poor</v>
      </c>
      <c r="U1434" t="s">
        <v>41</v>
      </c>
      <c r="V1434" s="1">
        <v>2380</v>
      </c>
      <c r="W1434" t="str" cm="1">
        <f t="array" ref="W1434">_xlfn.IFS(V1434&lt;=5000,"Low Salary",V1434&lt;=12000,"Good Salary",V1434&gt;12000,"High Salary")</f>
        <v>Low Salary</v>
      </c>
      <c r="X1434">
        <v>25479</v>
      </c>
      <c r="Y1434">
        <v>1</v>
      </c>
      <c r="Z1434" t="s">
        <v>42</v>
      </c>
      <c r="AA1434" t="s">
        <v>43</v>
      </c>
      <c r="AB1434">
        <v>11</v>
      </c>
      <c r="AC1434">
        <v>3</v>
      </c>
      <c r="AD1434" t="str">
        <f t="shared" si="45"/>
        <v>Low Performance</v>
      </c>
      <c r="AE1434">
        <v>4</v>
      </c>
      <c r="AF1434">
        <v>80</v>
      </c>
      <c r="AG1434">
        <v>0</v>
      </c>
      <c r="AH1434">
        <v>2</v>
      </c>
      <c r="AI1434">
        <v>6</v>
      </c>
      <c r="AJ1434">
        <v>3</v>
      </c>
      <c r="AK1434" t="str" cm="1">
        <f t="array" ref="AK1434">_xlfn.IFS(AJ1434&lt;=2,"Poor",AJ1434&lt;=3,"Fair",AJ1434&gt;3,"Good")</f>
        <v>Fair</v>
      </c>
      <c r="AL1434">
        <v>2</v>
      </c>
      <c r="AM1434">
        <v>2</v>
      </c>
      <c r="AN1434">
        <v>1</v>
      </c>
      <c r="AO1434">
        <v>2</v>
      </c>
    </row>
    <row r="1435" spans="1:41" x14ac:dyDescent="0.2">
      <c r="A1435">
        <v>1104512</v>
      </c>
      <c r="B1435">
        <v>39</v>
      </c>
      <c r="C1435" t="str" cm="1">
        <f t="array" ref="C1435">_xlfn.IFS(B1435&lt;=25,"15-25",B1435&lt;=35,"26-35",B1435&lt;=45,"36-45",B1435&lt;=55,"46-55",B1435&lt;=65,"56-65")</f>
        <v>36-45</v>
      </c>
      <c r="D1435" t="s">
        <v>35</v>
      </c>
      <c r="E1435" t="str">
        <f t="shared" si="44"/>
        <v>Current Employee</v>
      </c>
      <c r="F1435" t="s">
        <v>52</v>
      </c>
      <c r="G1435">
        <v>105</v>
      </c>
      <c r="H1435" t="s">
        <v>54</v>
      </c>
      <c r="I1435">
        <v>9</v>
      </c>
      <c r="J1435">
        <v>3</v>
      </c>
      <c r="K1435" t="s">
        <v>38</v>
      </c>
      <c r="L1435">
        <v>1</v>
      </c>
      <c r="M1435">
        <v>4</v>
      </c>
      <c r="N1435" t="s">
        <v>46</v>
      </c>
      <c r="O1435">
        <v>87</v>
      </c>
      <c r="P1435">
        <v>3</v>
      </c>
      <c r="Q1435">
        <v>5</v>
      </c>
      <c r="R1435" t="s">
        <v>53</v>
      </c>
      <c r="S1435">
        <v>4</v>
      </c>
      <c r="T1435" t="str" cm="1">
        <f t="array" ref="T1435">_xlfn.IFS(S1435&lt;=2,"Poor",S1435&lt;=3,"Fair",S1435&gt;=4,"Good")</f>
        <v>Good</v>
      </c>
      <c r="U1435" t="s">
        <v>41</v>
      </c>
      <c r="V1435" s="1">
        <v>19431</v>
      </c>
      <c r="W1435" t="str" cm="1">
        <f t="array" ref="W1435">_xlfn.IFS(V1435&lt;=5000,"Low Salary",V1435&lt;=12000,"Good Salary",V1435&gt;12000,"High Salary")</f>
        <v>High Salary</v>
      </c>
      <c r="X1435">
        <v>15302</v>
      </c>
      <c r="Y1435">
        <v>2</v>
      </c>
      <c r="Z1435" t="s">
        <v>42</v>
      </c>
      <c r="AA1435" t="s">
        <v>35</v>
      </c>
      <c r="AB1435">
        <v>13</v>
      </c>
      <c r="AC1435">
        <v>3</v>
      </c>
      <c r="AD1435" t="str">
        <f t="shared" si="45"/>
        <v>Low Performance</v>
      </c>
      <c r="AE1435">
        <v>3</v>
      </c>
      <c r="AF1435">
        <v>80</v>
      </c>
      <c r="AG1435">
        <v>0</v>
      </c>
      <c r="AH1435">
        <v>21</v>
      </c>
      <c r="AI1435">
        <v>3</v>
      </c>
      <c r="AJ1435">
        <v>2</v>
      </c>
      <c r="AK1435" t="str" cm="1">
        <f t="array" ref="AK1435">_xlfn.IFS(AJ1435&lt;=2,"Poor",AJ1435&lt;=3,"Fair",AJ1435&gt;3,"Good")</f>
        <v>Poor</v>
      </c>
      <c r="AL1435">
        <v>6</v>
      </c>
      <c r="AM1435">
        <v>0</v>
      </c>
      <c r="AN1435">
        <v>1</v>
      </c>
      <c r="AO1435">
        <v>3</v>
      </c>
    </row>
    <row r="1436" spans="1:41" x14ac:dyDescent="0.2">
      <c r="A1436">
        <v>1782969</v>
      </c>
      <c r="B1436">
        <v>23</v>
      </c>
      <c r="C1436" t="str" cm="1">
        <f t="array" ref="C1436">_xlfn.IFS(B1436&lt;=25,"15-25",B1436&lt;=35,"26-35",B1436&lt;=45,"36-45",B1436&lt;=55,"46-55",B1436&lt;=65,"56-65")</f>
        <v>15-25</v>
      </c>
      <c r="D1436" t="s">
        <v>43</v>
      </c>
      <c r="E1436" t="str">
        <f t="shared" si="44"/>
        <v>Former Employee</v>
      </c>
      <c r="F1436" t="s">
        <v>44</v>
      </c>
      <c r="G1436">
        <v>638</v>
      </c>
      <c r="H1436" t="s">
        <v>37</v>
      </c>
      <c r="I1436">
        <v>9</v>
      </c>
      <c r="J1436">
        <v>3</v>
      </c>
      <c r="K1436" t="s">
        <v>55</v>
      </c>
      <c r="L1436">
        <v>1</v>
      </c>
      <c r="M1436">
        <v>4</v>
      </c>
      <c r="N1436" t="s">
        <v>46</v>
      </c>
      <c r="O1436">
        <v>33</v>
      </c>
      <c r="P1436">
        <v>3</v>
      </c>
      <c r="Q1436">
        <v>1</v>
      </c>
      <c r="R1436" t="s">
        <v>47</v>
      </c>
      <c r="S1436">
        <v>1</v>
      </c>
      <c r="T1436" t="str" cm="1">
        <f t="array" ref="T1436">_xlfn.IFS(S1436&lt;=2,"Poor",S1436&lt;=3,"Fair",S1436&gt;=4,"Good")</f>
        <v>Poor</v>
      </c>
      <c r="U1436" t="s">
        <v>48</v>
      </c>
      <c r="V1436" s="1">
        <v>1790</v>
      </c>
      <c r="W1436" t="str" cm="1">
        <f t="array" ref="W1436">_xlfn.IFS(V1436&lt;=5000,"Low Salary",V1436&lt;=12000,"Good Salary",V1436&gt;12000,"High Salary")</f>
        <v>Low Salary</v>
      </c>
      <c r="X1436">
        <v>26956</v>
      </c>
      <c r="Y1436">
        <v>1</v>
      </c>
      <c r="Z1436" t="s">
        <v>42</v>
      </c>
      <c r="AA1436" t="s">
        <v>35</v>
      </c>
      <c r="AB1436">
        <v>19</v>
      </c>
      <c r="AC1436">
        <v>3</v>
      </c>
      <c r="AD1436" t="str">
        <f t="shared" si="45"/>
        <v>Low Performance</v>
      </c>
      <c r="AE1436">
        <v>1</v>
      </c>
      <c r="AF1436">
        <v>80</v>
      </c>
      <c r="AG1436">
        <v>1</v>
      </c>
      <c r="AH1436">
        <v>1</v>
      </c>
      <c r="AI1436">
        <v>3</v>
      </c>
      <c r="AJ1436">
        <v>2</v>
      </c>
      <c r="AK1436" t="str" cm="1">
        <f t="array" ref="AK1436">_xlfn.IFS(AJ1436&lt;=2,"Poor",AJ1436&lt;=3,"Fair",AJ1436&gt;3,"Good")</f>
        <v>Poor</v>
      </c>
      <c r="AL1436">
        <v>1</v>
      </c>
      <c r="AM1436">
        <v>0</v>
      </c>
      <c r="AN1436">
        <v>1</v>
      </c>
      <c r="AO1436">
        <v>0</v>
      </c>
    </row>
    <row r="1437" spans="1:41" x14ac:dyDescent="0.2">
      <c r="A1437">
        <v>1628827</v>
      </c>
      <c r="B1437">
        <v>36</v>
      </c>
      <c r="C1437" t="str" cm="1">
        <f t="array" ref="C1437">_xlfn.IFS(B1437&lt;=25,"15-25",B1437&lt;=35,"26-35",B1437&lt;=45,"36-45",B1437&lt;=55,"46-55",B1437&lt;=65,"56-65")</f>
        <v>36-45</v>
      </c>
      <c r="D1437" t="s">
        <v>35</v>
      </c>
      <c r="E1437" t="str">
        <f t="shared" si="44"/>
        <v>Current Employee</v>
      </c>
      <c r="F1437" t="s">
        <v>36</v>
      </c>
      <c r="G1437">
        <v>557</v>
      </c>
      <c r="H1437" t="s">
        <v>37</v>
      </c>
      <c r="I1437">
        <v>3</v>
      </c>
      <c r="J1437">
        <v>3</v>
      </c>
      <c r="K1437" t="s">
        <v>49</v>
      </c>
      <c r="L1437">
        <v>1</v>
      </c>
      <c r="M1437">
        <v>1</v>
      </c>
      <c r="N1437" t="s">
        <v>39</v>
      </c>
      <c r="O1437">
        <v>94</v>
      </c>
      <c r="P1437">
        <v>2</v>
      </c>
      <c r="Q1437">
        <v>3</v>
      </c>
      <c r="R1437" t="s">
        <v>40</v>
      </c>
      <c r="S1437">
        <v>4</v>
      </c>
      <c r="T1437" t="str" cm="1">
        <f t="array" ref="T1437">_xlfn.IFS(S1437&lt;=2,"Poor",S1437&lt;=3,"Fair",S1437&gt;=4,"Good")</f>
        <v>Good</v>
      </c>
      <c r="U1437" t="s">
        <v>48</v>
      </c>
      <c r="V1437" s="1">
        <v>7644</v>
      </c>
      <c r="W1437" t="str" cm="1">
        <f t="array" ref="W1437">_xlfn.IFS(V1437&lt;=5000,"Low Salary",V1437&lt;=12000,"Good Salary",V1437&gt;12000,"High Salary")</f>
        <v>Good Salary</v>
      </c>
      <c r="X1437">
        <v>12695</v>
      </c>
      <c r="Y1437">
        <v>0</v>
      </c>
      <c r="Z1437" t="s">
        <v>42</v>
      </c>
      <c r="AA1437" t="s">
        <v>35</v>
      </c>
      <c r="AB1437">
        <v>19</v>
      </c>
      <c r="AC1437">
        <v>3</v>
      </c>
      <c r="AD1437" t="str">
        <f t="shared" si="45"/>
        <v>Low Performance</v>
      </c>
      <c r="AE1437">
        <v>3</v>
      </c>
      <c r="AF1437">
        <v>80</v>
      </c>
      <c r="AG1437">
        <v>2</v>
      </c>
      <c r="AH1437">
        <v>10</v>
      </c>
      <c r="AI1437">
        <v>2</v>
      </c>
      <c r="AJ1437">
        <v>3</v>
      </c>
      <c r="AK1437" t="str" cm="1">
        <f t="array" ref="AK1437">_xlfn.IFS(AJ1437&lt;=2,"Poor",AJ1437&lt;=3,"Fair",AJ1437&gt;3,"Good")</f>
        <v>Fair</v>
      </c>
      <c r="AL1437">
        <v>9</v>
      </c>
      <c r="AM1437">
        <v>7</v>
      </c>
      <c r="AN1437">
        <v>3</v>
      </c>
      <c r="AO1437">
        <v>4</v>
      </c>
    </row>
    <row r="1438" spans="1:41" x14ac:dyDescent="0.2">
      <c r="A1438">
        <v>1224144</v>
      </c>
      <c r="B1438">
        <v>36</v>
      </c>
      <c r="C1438" t="str" cm="1">
        <f t="array" ref="C1438">_xlfn.IFS(B1438&lt;=25,"15-25",B1438&lt;=35,"26-35",B1438&lt;=45,"36-45",B1438&lt;=55,"46-55",B1438&lt;=65,"56-65")</f>
        <v>36-45</v>
      </c>
      <c r="D1438" t="s">
        <v>35</v>
      </c>
      <c r="E1438" t="str">
        <f t="shared" si="44"/>
        <v>Current Employee</v>
      </c>
      <c r="F1438" t="s">
        <v>44</v>
      </c>
      <c r="G1438">
        <v>688</v>
      </c>
      <c r="H1438" t="s">
        <v>37</v>
      </c>
      <c r="I1438">
        <v>4</v>
      </c>
      <c r="J1438">
        <v>2</v>
      </c>
      <c r="K1438" t="s">
        <v>38</v>
      </c>
      <c r="L1438">
        <v>1</v>
      </c>
      <c r="M1438">
        <v>4</v>
      </c>
      <c r="N1438" t="s">
        <v>39</v>
      </c>
      <c r="O1438">
        <v>97</v>
      </c>
      <c r="P1438">
        <v>3</v>
      </c>
      <c r="Q1438">
        <v>2</v>
      </c>
      <c r="R1438" t="s">
        <v>51</v>
      </c>
      <c r="S1438">
        <v>2</v>
      </c>
      <c r="T1438" t="str" cm="1">
        <f t="array" ref="T1438">_xlfn.IFS(S1438&lt;=2,"Poor",S1438&lt;=3,"Fair",S1438&gt;=4,"Good")</f>
        <v>Poor</v>
      </c>
      <c r="U1438" t="s">
        <v>50</v>
      </c>
      <c r="V1438" s="1">
        <v>5131</v>
      </c>
      <c r="W1438" t="str" cm="1">
        <f t="array" ref="W1438">_xlfn.IFS(V1438&lt;=5000,"Low Salary",V1438&lt;=12000,"Good Salary",V1438&gt;12000,"High Salary")</f>
        <v>Good Salary</v>
      </c>
      <c r="X1438">
        <v>9192</v>
      </c>
      <c r="Y1438">
        <v>7</v>
      </c>
      <c r="Z1438" t="s">
        <v>42</v>
      </c>
      <c r="AA1438" t="s">
        <v>35</v>
      </c>
      <c r="AB1438">
        <v>13</v>
      </c>
      <c r="AC1438">
        <v>3</v>
      </c>
      <c r="AD1438" t="str">
        <f t="shared" si="45"/>
        <v>Low Performance</v>
      </c>
      <c r="AE1438">
        <v>2</v>
      </c>
      <c r="AF1438">
        <v>80</v>
      </c>
      <c r="AG1438">
        <v>3</v>
      </c>
      <c r="AH1438">
        <v>18</v>
      </c>
      <c r="AI1438">
        <v>3</v>
      </c>
      <c r="AJ1438">
        <v>3</v>
      </c>
      <c r="AK1438" t="str" cm="1">
        <f t="array" ref="AK1438">_xlfn.IFS(AJ1438&lt;=2,"Poor",AJ1438&lt;=3,"Fair",AJ1438&gt;3,"Good")</f>
        <v>Fair</v>
      </c>
      <c r="AL1438">
        <v>4</v>
      </c>
      <c r="AM1438">
        <v>2</v>
      </c>
      <c r="AN1438">
        <v>0</v>
      </c>
      <c r="AO1438">
        <v>2</v>
      </c>
    </row>
    <row r="1439" spans="1:41" x14ac:dyDescent="0.2">
      <c r="A1439">
        <v>1284416</v>
      </c>
      <c r="B1439">
        <v>56</v>
      </c>
      <c r="C1439" t="str" cm="1">
        <f t="array" ref="C1439">_xlfn.IFS(B1439&lt;=25,"15-25",B1439&lt;=35,"26-35",B1439&lt;=45,"36-45",B1439&lt;=55,"46-55",B1439&lt;=65,"56-65")</f>
        <v>56-65</v>
      </c>
      <c r="D1439" t="s">
        <v>35</v>
      </c>
      <c r="E1439" t="str">
        <f t="shared" si="44"/>
        <v>Current Employee</v>
      </c>
      <c r="F1439" t="s">
        <v>52</v>
      </c>
      <c r="G1439">
        <v>667</v>
      </c>
      <c r="H1439" t="s">
        <v>54</v>
      </c>
      <c r="I1439">
        <v>1</v>
      </c>
      <c r="J1439">
        <v>4</v>
      </c>
      <c r="K1439" t="s">
        <v>38</v>
      </c>
      <c r="L1439">
        <v>1</v>
      </c>
      <c r="M1439">
        <v>3</v>
      </c>
      <c r="N1439" t="s">
        <v>46</v>
      </c>
      <c r="O1439">
        <v>57</v>
      </c>
      <c r="P1439">
        <v>3</v>
      </c>
      <c r="Q1439">
        <v>2</v>
      </c>
      <c r="R1439" t="s">
        <v>40</v>
      </c>
      <c r="S1439">
        <v>3</v>
      </c>
      <c r="T1439" t="str" cm="1">
        <f t="array" ref="T1439">_xlfn.IFS(S1439&lt;=2,"Poor",S1439&lt;=3,"Fair",S1439&gt;=4,"Good")</f>
        <v>Fair</v>
      </c>
      <c r="U1439" t="s">
        <v>50</v>
      </c>
      <c r="V1439" s="1">
        <v>6306</v>
      </c>
      <c r="W1439" t="str" cm="1">
        <f t="array" ref="W1439">_xlfn.IFS(V1439&lt;=5000,"Low Salary",V1439&lt;=12000,"Good Salary",V1439&gt;12000,"High Salary")</f>
        <v>Good Salary</v>
      </c>
      <c r="X1439">
        <v>26236</v>
      </c>
      <c r="Y1439">
        <v>1</v>
      </c>
      <c r="Z1439" t="s">
        <v>42</v>
      </c>
      <c r="AA1439" t="s">
        <v>35</v>
      </c>
      <c r="AB1439">
        <v>21</v>
      </c>
      <c r="AC1439">
        <v>4</v>
      </c>
      <c r="AD1439" t="str">
        <f t="shared" si="45"/>
        <v>High Performance</v>
      </c>
      <c r="AE1439">
        <v>1</v>
      </c>
      <c r="AF1439">
        <v>80</v>
      </c>
      <c r="AG1439">
        <v>1</v>
      </c>
      <c r="AH1439">
        <v>13</v>
      </c>
      <c r="AI1439">
        <v>2</v>
      </c>
      <c r="AJ1439">
        <v>2</v>
      </c>
      <c r="AK1439" t="str" cm="1">
        <f t="array" ref="AK1439">_xlfn.IFS(AJ1439&lt;=2,"Poor",AJ1439&lt;=3,"Fair",AJ1439&gt;3,"Good")</f>
        <v>Poor</v>
      </c>
      <c r="AL1439">
        <v>13</v>
      </c>
      <c r="AM1439">
        <v>12</v>
      </c>
      <c r="AN1439">
        <v>1</v>
      </c>
      <c r="AO1439">
        <v>9</v>
      </c>
    </row>
    <row r="1440" spans="1:41" x14ac:dyDescent="0.2">
      <c r="A1440">
        <v>1191013</v>
      </c>
      <c r="B1440">
        <v>29</v>
      </c>
      <c r="C1440" t="str" cm="1">
        <f t="array" ref="C1440">_xlfn.IFS(B1440&lt;=25,"15-25",B1440&lt;=35,"26-35",B1440&lt;=45,"36-45",B1440&lt;=55,"46-55",B1440&lt;=65,"56-65")</f>
        <v>26-35</v>
      </c>
      <c r="D1440" t="s">
        <v>43</v>
      </c>
      <c r="E1440" t="str">
        <f t="shared" si="44"/>
        <v>Former Employee</v>
      </c>
      <c r="F1440" t="s">
        <v>36</v>
      </c>
      <c r="G1440">
        <v>1092</v>
      </c>
      <c r="H1440" t="s">
        <v>54</v>
      </c>
      <c r="I1440">
        <v>1</v>
      </c>
      <c r="J1440">
        <v>4</v>
      </c>
      <c r="K1440" t="s">
        <v>49</v>
      </c>
      <c r="L1440">
        <v>1</v>
      </c>
      <c r="M1440">
        <v>1</v>
      </c>
      <c r="N1440" t="s">
        <v>46</v>
      </c>
      <c r="O1440">
        <v>36</v>
      </c>
      <c r="P1440">
        <v>3</v>
      </c>
      <c r="Q1440">
        <v>1</v>
      </c>
      <c r="R1440" t="s">
        <v>47</v>
      </c>
      <c r="S1440">
        <v>4</v>
      </c>
      <c r="T1440" t="str" cm="1">
        <f t="array" ref="T1440">_xlfn.IFS(S1440&lt;=2,"Poor",S1440&lt;=3,"Fair",S1440&gt;=4,"Good")</f>
        <v>Good</v>
      </c>
      <c r="U1440" t="s">
        <v>48</v>
      </c>
      <c r="V1440" s="1">
        <v>4787</v>
      </c>
      <c r="W1440" t="str" cm="1">
        <f t="array" ref="W1440">_xlfn.IFS(V1440&lt;=5000,"Low Salary",V1440&lt;=12000,"Good Salary",V1440&gt;12000,"High Salary")</f>
        <v>Low Salary</v>
      </c>
      <c r="X1440">
        <v>26124</v>
      </c>
      <c r="Y1440">
        <v>9</v>
      </c>
      <c r="Z1440" t="s">
        <v>42</v>
      </c>
      <c r="AA1440" t="s">
        <v>43</v>
      </c>
      <c r="AB1440">
        <v>14</v>
      </c>
      <c r="AC1440">
        <v>3</v>
      </c>
      <c r="AD1440" t="str">
        <f t="shared" si="45"/>
        <v>Low Performance</v>
      </c>
      <c r="AE1440">
        <v>2</v>
      </c>
      <c r="AF1440">
        <v>80</v>
      </c>
      <c r="AG1440">
        <v>3</v>
      </c>
      <c r="AH1440">
        <v>4</v>
      </c>
      <c r="AI1440">
        <v>3</v>
      </c>
      <c r="AJ1440">
        <v>4</v>
      </c>
      <c r="AK1440" t="str" cm="1">
        <f t="array" ref="AK1440">_xlfn.IFS(AJ1440&lt;=2,"Poor",AJ1440&lt;=3,"Fair",AJ1440&gt;3,"Good")</f>
        <v>Good</v>
      </c>
      <c r="AL1440">
        <v>2</v>
      </c>
      <c r="AM1440">
        <v>2</v>
      </c>
      <c r="AN1440">
        <v>2</v>
      </c>
      <c r="AO1440">
        <v>2</v>
      </c>
    </row>
    <row r="1441" spans="1:41" x14ac:dyDescent="0.2">
      <c r="A1441">
        <v>1061493</v>
      </c>
      <c r="B1441">
        <v>42</v>
      </c>
      <c r="C1441" t="str" cm="1">
        <f t="array" ref="C1441">_xlfn.IFS(B1441&lt;=25,"15-25",B1441&lt;=35,"26-35",B1441&lt;=45,"36-45",B1441&lt;=55,"46-55",B1441&lt;=65,"56-65")</f>
        <v>36-45</v>
      </c>
      <c r="D1441" t="s">
        <v>35</v>
      </c>
      <c r="E1441" t="str">
        <f t="shared" si="44"/>
        <v>Current Employee</v>
      </c>
      <c r="F1441" t="s">
        <v>36</v>
      </c>
      <c r="G1441">
        <v>300</v>
      </c>
      <c r="H1441" t="s">
        <v>54</v>
      </c>
      <c r="I1441">
        <v>2</v>
      </c>
      <c r="J1441">
        <v>3</v>
      </c>
      <c r="K1441" t="s">
        <v>38</v>
      </c>
      <c r="L1441">
        <v>1</v>
      </c>
      <c r="M1441">
        <v>1</v>
      </c>
      <c r="N1441" t="s">
        <v>46</v>
      </c>
      <c r="O1441">
        <v>56</v>
      </c>
      <c r="P1441">
        <v>3</v>
      </c>
      <c r="Q1441">
        <v>5</v>
      </c>
      <c r="R1441" t="s">
        <v>53</v>
      </c>
      <c r="S1441">
        <v>3</v>
      </c>
      <c r="T1441" t="str" cm="1">
        <f t="array" ref="T1441">_xlfn.IFS(S1441&lt;=2,"Poor",S1441&lt;=3,"Fair",S1441&gt;=4,"Good")</f>
        <v>Fair</v>
      </c>
      <c r="U1441" t="s">
        <v>48</v>
      </c>
      <c r="V1441" s="1">
        <v>18880</v>
      </c>
      <c r="W1441" t="str" cm="1">
        <f t="array" ref="W1441">_xlfn.IFS(V1441&lt;=5000,"Low Salary",V1441&lt;=12000,"Good Salary",V1441&gt;12000,"High Salary")</f>
        <v>High Salary</v>
      </c>
      <c r="X1441">
        <v>17312</v>
      </c>
      <c r="Y1441">
        <v>5</v>
      </c>
      <c r="Z1441" t="s">
        <v>42</v>
      </c>
      <c r="AA1441" t="s">
        <v>35</v>
      </c>
      <c r="AB1441">
        <v>11</v>
      </c>
      <c r="AC1441">
        <v>3</v>
      </c>
      <c r="AD1441" t="str">
        <f t="shared" si="45"/>
        <v>Low Performance</v>
      </c>
      <c r="AE1441">
        <v>1</v>
      </c>
      <c r="AF1441">
        <v>80</v>
      </c>
      <c r="AG1441">
        <v>0</v>
      </c>
      <c r="AH1441">
        <v>24</v>
      </c>
      <c r="AI1441">
        <v>2</v>
      </c>
      <c r="AJ1441">
        <v>2</v>
      </c>
      <c r="AK1441" t="str" cm="1">
        <f t="array" ref="AK1441">_xlfn.IFS(AJ1441&lt;=2,"Poor",AJ1441&lt;=3,"Fair",AJ1441&gt;3,"Good")</f>
        <v>Poor</v>
      </c>
      <c r="AL1441">
        <v>22</v>
      </c>
      <c r="AM1441">
        <v>6</v>
      </c>
      <c r="AN1441">
        <v>4</v>
      </c>
      <c r="AO1441">
        <v>14</v>
      </c>
    </row>
    <row r="1442" spans="1:41" x14ac:dyDescent="0.2">
      <c r="A1442">
        <v>1197297</v>
      </c>
      <c r="B1442">
        <v>56</v>
      </c>
      <c r="C1442" t="str" cm="1">
        <f t="array" ref="C1442">_xlfn.IFS(B1442&lt;=25,"15-25",B1442&lt;=35,"26-35",B1442&lt;=45,"36-45",B1442&lt;=55,"46-55",B1442&lt;=65,"56-65")</f>
        <v>56-65</v>
      </c>
      <c r="D1442" t="s">
        <v>35</v>
      </c>
      <c r="E1442" t="str">
        <f t="shared" si="44"/>
        <v>Current Employee</v>
      </c>
      <c r="F1442" t="s">
        <v>36</v>
      </c>
      <c r="G1442">
        <v>310</v>
      </c>
      <c r="H1442" t="s">
        <v>54</v>
      </c>
      <c r="I1442">
        <v>7</v>
      </c>
      <c r="J1442">
        <v>2</v>
      </c>
      <c r="K1442" t="s">
        <v>56</v>
      </c>
      <c r="L1442">
        <v>1</v>
      </c>
      <c r="M1442">
        <v>4</v>
      </c>
      <c r="N1442" t="s">
        <v>46</v>
      </c>
      <c r="O1442">
        <v>72</v>
      </c>
      <c r="P1442">
        <v>3</v>
      </c>
      <c r="Q1442">
        <v>1</v>
      </c>
      <c r="R1442" t="s">
        <v>40</v>
      </c>
      <c r="S1442">
        <v>3</v>
      </c>
      <c r="T1442" t="str" cm="1">
        <f t="array" ref="T1442">_xlfn.IFS(S1442&lt;=2,"Poor",S1442&lt;=3,"Fair",S1442&gt;=4,"Good")</f>
        <v>Fair</v>
      </c>
      <c r="U1442" t="s">
        <v>48</v>
      </c>
      <c r="V1442" s="1">
        <v>2339</v>
      </c>
      <c r="W1442" t="str" cm="1">
        <f t="array" ref="W1442">_xlfn.IFS(V1442&lt;=5000,"Low Salary",V1442&lt;=12000,"Good Salary",V1442&gt;12000,"High Salary")</f>
        <v>Low Salary</v>
      </c>
      <c r="X1442">
        <v>3666</v>
      </c>
      <c r="Y1442">
        <v>8</v>
      </c>
      <c r="Z1442" t="s">
        <v>42</v>
      </c>
      <c r="AA1442" t="s">
        <v>35</v>
      </c>
      <c r="AB1442">
        <v>11</v>
      </c>
      <c r="AC1442">
        <v>3</v>
      </c>
      <c r="AD1442" t="str">
        <f t="shared" si="45"/>
        <v>Low Performance</v>
      </c>
      <c r="AE1442">
        <v>4</v>
      </c>
      <c r="AF1442">
        <v>80</v>
      </c>
      <c r="AG1442">
        <v>1</v>
      </c>
      <c r="AH1442">
        <v>14</v>
      </c>
      <c r="AI1442">
        <v>4</v>
      </c>
      <c r="AJ1442">
        <v>1</v>
      </c>
      <c r="AK1442" t="str" cm="1">
        <f t="array" ref="AK1442">_xlfn.IFS(AJ1442&lt;=2,"Poor",AJ1442&lt;=3,"Fair",AJ1442&gt;3,"Good")</f>
        <v>Poor</v>
      </c>
      <c r="AL1442">
        <v>10</v>
      </c>
      <c r="AM1442">
        <v>9</v>
      </c>
      <c r="AN1442">
        <v>9</v>
      </c>
      <c r="AO1442">
        <v>8</v>
      </c>
    </row>
    <row r="1443" spans="1:41" x14ac:dyDescent="0.2">
      <c r="A1443">
        <v>1065630</v>
      </c>
      <c r="B1443">
        <v>41</v>
      </c>
      <c r="C1443" t="str" cm="1">
        <f t="array" ref="C1443">_xlfn.IFS(B1443&lt;=25,"15-25",B1443&lt;=35,"26-35",B1443&lt;=45,"36-45",B1443&lt;=55,"46-55",B1443&lt;=65,"56-65")</f>
        <v>36-45</v>
      </c>
      <c r="D1443" t="s">
        <v>35</v>
      </c>
      <c r="E1443" t="str">
        <f t="shared" si="44"/>
        <v>Current Employee</v>
      </c>
      <c r="F1443" t="s">
        <v>36</v>
      </c>
      <c r="G1443">
        <v>582</v>
      </c>
      <c r="H1443" t="s">
        <v>37</v>
      </c>
      <c r="I1443">
        <v>28</v>
      </c>
      <c r="J1443">
        <v>4</v>
      </c>
      <c r="K1443" t="s">
        <v>38</v>
      </c>
      <c r="L1443">
        <v>1</v>
      </c>
      <c r="M1443">
        <v>1</v>
      </c>
      <c r="N1443" t="s">
        <v>39</v>
      </c>
      <c r="O1443">
        <v>60</v>
      </c>
      <c r="P1443">
        <v>2</v>
      </c>
      <c r="Q1443">
        <v>4</v>
      </c>
      <c r="R1443" t="s">
        <v>51</v>
      </c>
      <c r="S1443">
        <v>2</v>
      </c>
      <c r="T1443" t="str" cm="1">
        <f t="array" ref="T1443">_xlfn.IFS(S1443&lt;=2,"Poor",S1443&lt;=3,"Fair",S1443&gt;=4,"Good")</f>
        <v>Poor</v>
      </c>
      <c r="U1443" t="s">
        <v>48</v>
      </c>
      <c r="V1443" s="1">
        <v>13570</v>
      </c>
      <c r="W1443" t="str" cm="1">
        <f t="array" ref="W1443">_xlfn.IFS(V1443&lt;=5000,"Low Salary",V1443&lt;=12000,"Good Salary",V1443&gt;12000,"High Salary")</f>
        <v>High Salary</v>
      </c>
      <c r="X1443">
        <v>5640</v>
      </c>
      <c r="Y1443">
        <v>0</v>
      </c>
      <c r="Z1443" t="s">
        <v>42</v>
      </c>
      <c r="AA1443" t="s">
        <v>35</v>
      </c>
      <c r="AB1443">
        <v>23</v>
      </c>
      <c r="AC1443">
        <v>4</v>
      </c>
      <c r="AD1443" t="str">
        <f t="shared" si="45"/>
        <v>High Performance</v>
      </c>
      <c r="AE1443">
        <v>3</v>
      </c>
      <c r="AF1443">
        <v>80</v>
      </c>
      <c r="AG1443">
        <v>1</v>
      </c>
      <c r="AH1443">
        <v>21</v>
      </c>
      <c r="AI1443">
        <v>3</v>
      </c>
      <c r="AJ1443">
        <v>3</v>
      </c>
      <c r="AK1443" t="str" cm="1">
        <f t="array" ref="AK1443">_xlfn.IFS(AJ1443&lt;=2,"Poor",AJ1443&lt;=3,"Fair",AJ1443&gt;3,"Good")</f>
        <v>Fair</v>
      </c>
      <c r="AL1443">
        <v>20</v>
      </c>
      <c r="AM1443">
        <v>7</v>
      </c>
      <c r="AN1443">
        <v>0</v>
      </c>
      <c r="AO1443">
        <v>10</v>
      </c>
    </row>
    <row r="1444" spans="1:41" x14ac:dyDescent="0.2">
      <c r="A1444">
        <v>1173552</v>
      </c>
      <c r="B1444">
        <v>34</v>
      </c>
      <c r="C1444" t="str" cm="1">
        <f t="array" ref="C1444">_xlfn.IFS(B1444&lt;=25,"15-25",B1444&lt;=35,"26-35",B1444&lt;=45,"36-45",B1444&lt;=55,"46-55",B1444&lt;=65,"56-65")</f>
        <v>26-35</v>
      </c>
      <c r="D1444" t="s">
        <v>35</v>
      </c>
      <c r="E1444" t="str">
        <f t="shared" si="44"/>
        <v>Current Employee</v>
      </c>
      <c r="F1444" t="s">
        <v>36</v>
      </c>
      <c r="G1444">
        <v>704</v>
      </c>
      <c r="H1444" t="s">
        <v>37</v>
      </c>
      <c r="I1444">
        <v>28</v>
      </c>
      <c r="J1444">
        <v>3</v>
      </c>
      <c r="K1444" t="s">
        <v>55</v>
      </c>
      <c r="L1444">
        <v>1</v>
      </c>
      <c r="M1444">
        <v>4</v>
      </c>
      <c r="N1444" t="s">
        <v>39</v>
      </c>
      <c r="O1444">
        <v>95</v>
      </c>
      <c r="P1444">
        <v>2</v>
      </c>
      <c r="Q1444">
        <v>2</v>
      </c>
      <c r="R1444" t="s">
        <v>40</v>
      </c>
      <c r="S1444">
        <v>3</v>
      </c>
      <c r="T1444" t="str" cm="1">
        <f t="array" ref="T1444">_xlfn.IFS(S1444&lt;=2,"Poor",S1444&lt;=3,"Fair",S1444&gt;=4,"Good")</f>
        <v>Fair</v>
      </c>
      <c r="U1444" t="s">
        <v>48</v>
      </c>
      <c r="V1444" s="1">
        <v>6712</v>
      </c>
      <c r="W1444" t="str" cm="1">
        <f t="array" ref="W1444">_xlfn.IFS(V1444&lt;=5000,"Low Salary",V1444&lt;=12000,"Good Salary",V1444&gt;12000,"High Salary")</f>
        <v>Good Salary</v>
      </c>
      <c r="X1444">
        <v>8978</v>
      </c>
      <c r="Y1444">
        <v>1</v>
      </c>
      <c r="Z1444" t="s">
        <v>42</v>
      </c>
      <c r="AA1444" t="s">
        <v>35</v>
      </c>
      <c r="AB1444">
        <v>21</v>
      </c>
      <c r="AC1444">
        <v>4</v>
      </c>
      <c r="AD1444" t="str">
        <f t="shared" si="45"/>
        <v>High Performance</v>
      </c>
      <c r="AE1444">
        <v>4</v>
      </c>
      <c r="AF1444">
        <v>80</v>
      </c>
      <c r="AG1444">
        <v>2</v>
      </c>
      <c r="AH1444">
        <v>8</v>
      </c>
      <c r="AI1444">
        <v>2</v>
      </c>
      <c r="AJ1444">
        <v>3</v>
      </c>
      <c r="AK1444" t="str" cm="1">
        <f t="array" ref="AK1444">_xlfn.IFS(AJ1444&lt;=2,"Poor",AJ1444&lt;=3,"Fair",AJ1444&gt;3,"Good")</f>
        <v>Fair</v>
      </c>
      <c r="AL1444">
        <v>8</v>
      </c>
      <c r="AM1444">
        <v>7</v>
      </c>
      <c r="AN1444">
        <v>1</v>
      </c>
      <c r="AO1444">
        <v>7</v>
      </c>
    </row>
    <row r="1445" spans="1:41" x14ac:dyDescent="0.2">
      <c r="A1445">
        <v>1277240</v>
      </c>
      <c r="B1445">
        <v>36</v>
      </c>
      <c r="C1445" t="str" cm="1">
        <f t="array" ref="C1445">_xlfn.IFS(B1445&lt;=25,"15-25",B1445&lt;=35,"26-35",B1445&lt;=45,"36-45",B1445&lt;=55,"46-55",B1445&lt;=65,"56-65")</f>
        <v>36-45</v>
      </c>
      <c r="D1445" t="s">
        <v>35</v>
      </c>
      <c r="E1445" t="str">
        <f t="shared" si="44"/>
        <v>Current Employee</v>
      </c>
      <c r="F1445" t="s">
        <v>52</v>
      </c>
      <c r="G1445">
        <v>301</v>
      </c>
      <c r="H1445" t="s">
        <v>37</v>
      </c>
      <c r="I1445">
        <v>15</v>
      </c>
      <c r="J1445">
        <v>4</v>
      </c>
      <c r="K1445" t="s">
        <v>55</v>
      </c>
      <c r="L1445">
        <v>1</v>
      </c>
      <c r="M1445">
        <v>4</v>
      </c>
      <c r="N1445" t="s">
        <v>46</v>
      </c>
      <c r="O1445">
        <v>88</v>
      </c>
      <c r="P1445">
        <v>1</v>
      </c>
      <c r="Q1445">
        <v>2</v>
      </c>
      <c r="R1445" t="s">
        <v>40</v>
      </c>
      <c r="S1445">
        <v>4</v>
      </c>
      <c r="T1445" t="str" cm="1">
        <f t="array" ref="T1445">_xlfn.IFS(S1445&lt;=2,"Poor",S1445&lt;=3,"Fair",S1445&gt;=4,"Good")</f>
        <v>Good</v>
      </c>
      <c r="U1445" t="s">
        <v>50</v>
      </c>
      <c r="V1445" s="1">
        <v>5406</v>
      </c>
      <c r="W1445" t="str" cm="1">
        <f t="array" ref="W1445">_xlfn.IFS(V1445&lt;=5000,"Low Salary",V1445&lt;=12000,"Good Salary",V1445&gt;12000,"High Salary")</f>
        <v>Good Salary</v>
      </c>
      <c r="X1445">
        <v>10436</v>
      </c>
      <c r="Y1445">
        <v>1</v>
      </c>
      <c r="Z1445" t="s">
        <v>42</v>
      </c>
      <c r="AA1445" t="s">
        <v>35</v>
      </c>
      <c r="AB1445">
        <v>24</v>
      </c>
      <c r="AC1445">
        <v>4</v>
      </c>
      <c r="AD1445" t="str">
        <f t="shared" si="45"/>
        <v>High Performance</v>
      </c>
      <c r="AE1445">
        <v>1</v>
      </c>
      <c r="AF1445">
        <v>80</v>
      </c>
      <c r="AG1445">
        <v>1</v>
      </c>
      <c r="AH1445">
        <v>15</v>
      </c>
      <c r="AI1445">
        <v>4</v>
      </c>
      <c r="AJ1445">
        <v>2</v>
      </c>
      <c r="AK1445" t="str" cm="1">
        <f t="array" ref="AK1445">_xlfn.IFS(AJ1445&lt;=2,"Poor",AJ1445&lt;=3,"Fair",AJ1445&gt;3,"Good")</f>
        <v>Poor</v>
      </c>
      <c r="AL1445">
        <v>15</v>
      </c>
      <c r="AM1445">
        <v>12</v>
      </c>
      <c r="AN1445">
        <v>11</v>
      </c>
      <c r="AO1445">
        <v>11</v>
      </c>
    </row>
    <row r="1446" spans="1:41" x14ac:dyDescent="0.2">
      <c r="A1446">
        <v>1520108</v>
      </c>
      <c r="B1446">
        <v>41</v>
      </c>
      <c r="C1446" t="str" cm="1">
        <f t="array" ref="C1446">_xlfn.IFS(B1446&lt;=25,"15-25",B1446&lt;=35,"26-35",B1446&lt;=45,"36-45",B1446&lt;=55,"46-55",B1446&lt;=65,"56-65")</f>
        <v>36-45</v>
      </c>
      <c r="D1446" t="s">
        <v>35</v>
      </c>
      <c r="E1446" t="str">
        <f t="shared" si="44"/>
        <v>Current Employee</v>
      </c>
      <c r="F1446" t="s">
        <v>36</v>
      </c>
      <c r="G1446">
        <v>930</v>
      </c>
      <c r="H1446" t="s">
        <v>37</v>
      </c>
      <c r="I1446">
        <v>3</v>
      </c>
      <c r="J1446">
        <v>3</v>
      </c>
      <c r="K1446" t="s">
        <v>38</v>
      </c>
      <c r="L1446">
        <v>1</v>
      </c>
      <c r="M1446">
        <v>3</v>
      </c>
      <c r="N1446" t="s">
        <v>46</v>
      </c>
      <c r="O1446">
        <v>57</v>
      </c>
      <c r="P1446">
        <v>2</v>
      </c>
      <c r="Q1446">
        <v>2</v>
      </c>
      <c r="R1446" t="s">
        <v>40</v>
      </c>
      <c r="S1446">
        <v>2</v>
      </c>
      <c r="T1446" t="str" cm="1">
        <f t="array" ref="T1446">_xlfn.IFS(S1446&lt;=2,"Poor",S1446&lt;=3,"Fair",S1446&gt;=4,"Good")</f>
        <v>Poor</v>
      </c>
      <c r="U1446" t="s">
        <v>50</v>
      </c>
      <c r="V1446" s="1">
        <v>8938</v>
      </c>
      <c r="W1446" t="str" cm="1">
        <f t="array" ref="W1446">_xlfn.IFS(V1446&lt;=5000,"Low Salary",V1446&lt;=12000,"Good Salary",V1446&gt;12000,"High Salary")</f>
        <v>Good Salary</v>
      </c>
      <c r="X1446">
        <v>12227</v>
      </c>
      <c r="Y1446">
        <v>2</v>
      </c>
      <c r="Z1446" t="s">
        <v>42</v>
      </c>
      <c r="AA1446" t="s">
        <v>35</v>
      </c>
      <c r="AB1446">
        <v>11</v>
      </c>
      <c r="AC1446">
        <v>3</v>
      </c>
      <c r="AD1446" t="str">
        <f t="shared" si="45"/>
        <v>Low Performance</v>
      </c>
      <c r="AE1446">
        <v>3</v>
      </c>
      <c r="AF1446">
        <v>80</v>
      </c>
      <c r="AG1446">
        <v>1</v>
      </c>
      <c r="AH1446">
        <v>14</v>
      </c>
      <c r="AI1446">
        <v>5</v>
      </c>
      <c r="AJ1446">
        <v>3</v>
      </c>
      <c r="AK1446" t="str" cm="1">
        <f t="array" ref="AK1446">_xlfn.IFS(AJ1446&lt;=2,"Poor",AJ1446&lt;=3,"Fair",AJ1446&gt;3,"Good")</f>
        <v>Fair</v>
      </c>
      <c r="AL1446">
        <v>5</v>
      </c>
      <c r="AM1446">
        <v>4</v>
      </c>
      <c r="AN1446">
        <v>0</v>
      </c>
      <c r="AO1446">
        <v>4</v>
      </c>
    </row>
    <row r="1447" spans="1:41" x14ac:dyDescent="0.2">
      <c r="A1447">
        <v>1707431</v>
      </c>
      <c r="B1447">
        <v>32</v>
      </c>
      <c r="C1447" t="str" cm="1">
        <f t="array" ref="C1447">_xlfn.IFS(B1447&lt;=25,"15-25",B1447&lt;=35,"26-35",B1447&lt;=45,"36-45",B1447&lt;=55,"46-55",B1447&lt;=65,"56-65")</f>
        <v>26-35</v>
      </c>
      <c r="D1447" t="s">
        <v>35</v>
      </c>
      <c r="E1447" t="str">
        <f t="shared" si="44"/>
        <v>Current Employee</v>
      </c>
      <c r="F1447" t="s">
        <v>36</v>
      </c>
      <c r="G1447">
        <v>529</v>
      </c>
      <c r="H1447" t="s">
        <v>54</v>
      </c>
      <c r="I1447">
        <v>2</v>
      </c>
      <c r="J1447">
        <v>3</v>
      </c>
      <c r="K1447" t="s">
        <v>56</v>
      </c>
      <c r="L1447">
        <v>1</v>
      </c>
      <c r="M1447">
        <v>4</v>
      </c>
      <c r="N1447" t="s">
        <v>46</v>
      </c>
      <c r="O1447">
        <v>78</v>
      </c>
      <c r="P1447">
        <v>3</v>
      </c>
      <c r="Q1447">
        <v>1</v>
      </c>
      <c r="R1447" t="s">
        <v>47</v>
      </c>
      <c r="S1447">
        <v>1</v>
      </c>
      <c r="T1447" t="str" cm="1">
        <f t="array" ref="T1447">_xlfn.IFS(S1447&lt;=2,"Poor",S1447&lt;=3,"Fair",S1447&gt;=4,"Good")</f>
        <v>Poor</v>
      </c>
      <c r="U1447" t="s">
        <v>41</v>
      </c>
      <c r="V1447" s="1">
        <v>2439</v>
      </c>
      <c r="W1447" t="str" cm="1">
        <f t="array" ref="W1447">_xlfn.IFS(V1447&lt;=5000,"Low Salary",V1447&lt;=12000,"Good Salary",V1447&gt;12000,"High Salary")</f>
        <v>Low Salary</v>
      </c>
      <c r="X1447">
        <v>11288</v>
      </c>
      <c r="Y1447">
        <v>1</v>
      </c>
      <c r="Z1447" t="s">
        <v>42</v>
      </c>
      <c r="AA1447" t="s">
        <v>35</v>
      </c>
      <c r="AB1447">
        <v>14</v>
      </c>
      <c r="AC1447">
        <v>3</v>
      </c>
      <c r="AD1447" t="str">
        <f t="shared" si="45"/>
        <v>Low Performance</v>
      </c>
      <c r="AE1447">
        <v>4</v>
      </c>
      <c r="AF1447">
        <v>80</v>
      </c>
      <c r="AG1447">
        <v>0</v>
      </c>
      <c r="AH1447">
        <v>4</v>
      </c>
      <c r="AI1447">
        <v>4</v>
      </c>
      <c r="AJ1447">
        <v>3</v>
      </c>
      <c r="AK1447" t="str" cm="1">
        <f t="array" ref="AK1447">_xlfn.IFS(AJ1447&lt;=2,"Poor",AJ1447&lt;=3,"Fair",AJ1447&gt;3,"Good")</f>
        <v>Fair</v>
      </c>
      <c r="AL1447">
        <v>4</v>
      </c>
      <c r="AM1447">
        <v>2</v>
      </c>
      <c r="AN1447">
        <v>1</v>
      </c>
      <c r="AO1447">
        <v>2</v>
      </c>
    </row>
    <row r="1448" spans="1:41" x14ac:dyDescent="0.2">
      <c r="A1448">
        <v>1246075</v>
      </c>
      <c r="B1448">
        <v>35</v>
      </c>
      <c r="C1448" t="str" cm="1">
        <f t="array" ref="C1448">_xlfn.IFS(B1448&lt;=25,"15-25",B1448&lt;=35,"26-35",B1448&lt;=45,"36-45",B1448&lt;=55,"46-55",B1448&lt;=65,"56-65")</f>
        <v>26-35</v>
      </c>
      <c r="D1448" t="s">
        <v>35</v>
      </c>
      <c r="E1448" t="str">
        <f t="shared" si="44"/>
        <v>Current Employee</v>
      </c>
      <c r="F1448" t="s">
        <v>36</v>
      </c>
      <c r="G1448">
        <v>1146</v>
      </c>
      <c r="H1448" t="s">
        <v>54</v>
      </c>
      <c r="I1448">
        <v>26</v>
      </c>
      <c r="J1448">
        <v>4</v>
      </c>
      <c r="K1448" t="s">
        <v>38</v>
      </c>
      <c r="L1448">
        <v>1</v>
      </c>
      <c r="M1448">
        <v>3</v>
      </c>
      <c r="N1448" t="s">
        <v>39</v>
      </c>
      <c r="O1448">
        <v>31</v>
      </c>
      <c r="P1448">
        <v>3</v>
      </c>
      <c r="Q1448">
        <v>3</v>
      </c>
      <c r="R1448" t="s">
        <v>47</v>
      </c>
      <c r="S1448">
        <v>4</v>
      </c>
      <c r="T1448" t="str" cm="1">
        <f t="array" ref="T1448">_xlfn.IFS(S1448&lt;=2,"Poor",S1448&lt;=3,"Fair",S1448&gt;=4,"Good")</f>
        <v>Good</v>
      </c>
      <c r="U1448" t="s">
        <v>41</v>
      </c>
      <c r="V1448" s="1">
        <v>8837</v>
      </c>
      <c r="W1448" t="str" cm="1">
        <f t="array" ref="W1448">_xlfn.IFS(V1448&lt;=5000,"Low Salary",V1448&lt;=12000,"Good Salary",V1448&gt;12000,"High Salary")</f>
        <v>Good Salary</v>
      </c>
      <c r="X1448">
        <v>16642</v>
      </c>
      <c r="Y1448">
        <v>1</v>
      </c>
      <c r="Z1448" t="s">
        <v>42</v>
      </c>
      <c r="AA1448" t="s">
        <v>43</v>
      </c>
      <c r="AB1448">
        <v>16</v>
      </c>
      <c r="AC1448">
        <v>3</v>
      </c>
      <c r="AD1448" t="str">
        <f t="shared" si="45"/>
        <v>Low Performance</v>
      </c>
      <c r="AE1448">
        <v>3</v>
      </c>
      <c r="AF1448">
        <v>80</v>
      </c>
      <c r="AG1448">
        <v>0</v>
      </c>
      <c r="AH1448">
        <v>9</v>
      </c>
      <c r="AI1448">
        <v>2</v>
      </c>
      <c r="AJ1448">
        <v>3</v>
      </c>
      <c r="AK1448" t="str" cm="1">
        <f t="array" ref="AK1448">_xlfn.IFS(AJ1448&lt;=2,"Poor",AJ1448&lt;=3,"Fair",AJ1448&gt;3,"Good")</f>
        <v>Fair</v>
      </c>
      <c r="AL1448">
        <v>9</v>
      </c>
      <c r="AM1448">
        <v>0</v>
      </c>
      <c r="AN1448">
        <v>1</v>
      </c>
      <c r="AO1448">
        <v>7</v>
      </c>
    </row>
    <row r="1449" spans="1:41" x14ac:dyDescent="0.2">
      <c r="A1449">
        <v>1665956</v>
      </c>
      <c r="B1449">
        <v>38</v>
      </c>
      <c r="C1449" t="str" cm="1">
        <f t="array" ref="C1449">_xlfn.IFS(B1449&lt;=25,"15-25",B1449&lt;=35,"26-35",B1449&lt;=45,"36-45",B1449&lt;=55,"46-55",B1449&lt;=65,"56-65")</f>
        <v>36-45</v>
      </c>
      <c r="D1449" t="s">
        <v>35</v>
      </c>
      <c r="E1449" t="str">
        <f t="shared" si="44"/>
        <v>Current Employee</v>
      </c>
      <c r="F1449" t="s">
        <v>36</v>
      </c>
      <c r="G1449">
        <v>345</v>
      </c>
      <c r="H1449" t="s">
        <v>37</v>
      </c>
      <c r="I1449">
        <v>10</v>
      </c>
      <c r="J1449">
        <v>2</v>
      </c>
      <c r="K1449" t="s">
        <v>38</v>
      </c>
      <c r="L1449">
        <v>1</v>
      </c>
      <c r="M1449">
        <v>1</v>
      </c>
      <c r="N1449" t="s">
        <v>39</v>
      </c>
      <c r="O1449">
        <v>100</v>
      </c>
      <c r="P1449">
        <v>3</v>
      </c>
      <c r="Q1449">
        <v>2</v>
      </c>
      <c r="R1449" t="s">
        <v>40</v>
      </c>
      <c r="S1449">
        <v>4</v>
      </c>
      <c r="T1449" t="str" cm="1">
        <f t="array" ref="T1449">_xlfn.IFS(S1449&lt;=2,"Poor",S1449&lt;=3,"Fair",S1449&gt;=4,"Good")</f>
        <v>Good</v>
      </c>
      <c r="U1449" t="s">
        <v>48</v>
      </c>
      <c r="V1449" s="1">
        <v>5343</v>
      </c>
      <c r="W1449" t="str" cm="1">
        <f t="array" ref="W1449">_xlfn.IFS(V1449&lt;=5000,"Low Salary",V1449&lt;=12000,"Good Salary",V1449&gt;12000,"High Salary")</f>
        <v>Good Salary</v>
      </c>
      <c r="X1449">
        <v>5982</v>
      </c>
      <c r="Y1449">
        <v>1</v>
      </c>
      <c r="Z1449" t="s">
        <v>42</v>
      </c>
      <c r="AA1449" t="s">
        <v>35</v>
      </c>
      <c r="AB1449">
        <v>11</v>
      </c>
      <c r="AC1449">
        <v>3</v>
      </c>
      <c r="AD1449" t="str">
        <f t="shared" si="45"/>
        <v>Low Performance</v>
      </c>
      <c r="AE1449">
        <v>3</v>
      </c>
      <c r="AF1449">
        <v>80</v>
      </c>
      <c r="AG1449">
        <v>1</v>
      </c>
      <c r="AH1449">
        <v>10</v>
      </c>
      <c r="AI1449">
        <v>1</v>
      </c>
      <c r="AJ1449">
        <v>3</v>
      </c>
      <c r="AK1449" t="str" cm="1">
        <f t="array" ref="AK1449">_xlfn.IFS(AJ1449&lt;=2,"Poor",AJ1449&lt;=3,"Fair",AJ1449&gt;3,"Good")</f>
        <v>Fair</v>
      </c>
      <c r="AL1449">
        <v>10</v>
      </c>
      <c r="AM1449">
        <v>7</v>
      </c>
      <c r="AN1449">
        <v>1</v>
      </c>
      <c r="AO1449">
        <v>9</v>
      </c>
    </row>
    <row r="1450" spans="1:41" x14ac:dyDescent="0.2">
      <c r="A1450">
        <v>1468963</v>
      </c>
      <c r="B1450">
        <v>50</v>
      </c>
      <c r="C1450" t="str" cm="1">
        <f t="array" ref="C1450">_xlfn.IFS(B1450&lt;=25,"15-25",B1450&lt;=35,"26-35",B1450&lt;=45,"36-45",B1450&lt;=55,"46-55",B1450&lt;=65,"56-65")</f>
        <v>46-55</v>
      </c>
      <c r="D1450" t="s">
        <v>35</v>
      </c>
      <c r="E1450" t="str">
        <f t="shared" si="44"/>
        <v>Current Employee</v>
      </c>
      <c r="F1450" t="s">
        <v>44</v>
      </c>
      <c r="G1450">
        <v>878</v>
      </c>
      <c r="H1450" t="s">
        <v>37</v>
      </c>
      <c r="I1450">
        <v>1</v>
      </c>
      <c r="J1450">
        <v>4</v>
      </c>
      <c r="K1450" t="s">
        <v>38</v>
      </c>
      <c r="L1450">
        <v>1</v>
      </c>
      <c r="M1450">
        <v>2</v>
      </c>
      <c r="N1450" t="s">
        <v>46</v>
      </c>
      <c r="O1450">
        <v>94</v>
      </c>
      <c r="P1450">
        <v>3</v>
      </c>
      <c r="Q1450">
        <v>2</v>
      </c>
      <c r="R1450" t="s">
        <v>40</v>
      </c>
      <c r="S1450">
        <v>3</v>
      </c>
      <c r="T1450" t="str" cm="1">
        <f t="array" ref="T1450">_xlfn.IFS(S1450&lt;=2,"Poor",S1450&lt;=3,"Fair",S1450&gt;=4,"Good")</f>
        <v>Fair</v>
      </c>
      <c r="U1450" t="s">
        <v>50</v>
      </c>
      <c r="V1450" s="1">
        <v>6728</v>
      </c>
      <c r="W1450" t="str" cm="1">
        <f t="array" ref="W1450">_xlfn.IFS(V1450&lt;=5000,"Low Salary",V1450&lt;=12000,"Good Salary",V1450&gt;12000,"High Salary")</f>
        <v>Good Salary</v>
      </c>
      <c r="X1450">
        <v>14255</v>
      </c>
      <c r="Y1450">
        <v>7</v>
      </c>
      <c r="Z1450" t="s">
        <v>42</v>
      </c>
      <c r="AA1450" t="s">
        <v>35</v>
      </c>
      <c r="AB1450">
        <v>12</v>
      </c>
      <c r="AC1450">
        <v>3</v>
      </c>
      <c r="AD1450" t="str">
        <f t="shared" si="45"/>
        <v>Low Performance</v>
      </c>
      <c r="AE1450">
        <v>4</v>
      </c>
      <c r="AF1450">
        <v>80</v>
      </c>
      <c r="AG1450">
        <v>2</v>
      </c>
      <c r="AH1450">
        <v>12</v>
      </c>
      <c r="AI1450">
        <v>3</v>
      </c>
      <c r="AJ1450">
        <v>3</v>
      </c>
      <c r="AK1450" t="str" cm="1">
        <f t="array" ref="AK1450">_xlfn.IFS(AJ1450&lt;=2,"Poor",AJ1450&lt;=3,"Fair",AJ1450&gt;3,"Good")</f>
        <v>Fair</v>
      </c>
      <c r="AL1450">
        <v>6</v>
      </c>
      <c r="AM1450">
        <v>3</v>
      </c>
      <c r="AN1450">
        <v>0</v>
      </c>
      <c r="AO1450">
        <v>1</v>
      </c>
    </row>
    <row r="1451" spans="1:41" x14ac:dyDescent="0.2">
      <c r="A1451">
        <v>1457695</v>
      </c>
      <c r="B1451">
        <v>36</v>
      </c>
      <c r="C1451" t="str" cm="1">
        <f t="array" ref="C1451">_xlfn.IFS(B1451&lt;=25,"15-25",B1451&lt;=35,"26-35",B1451&lt;=45,"36-45",B1451&lt;=55,"46-55",B1451&lt;=65,"56-65")</f>
        <v>36-45</v>
      </c>
      <c r="D1451" t="s">
        <v>35</v>
      </c>
      <c r="E1451" t="str">
        <f t="shared" si="44"/>
        <v>Current Employee</v>
      </c>
      <c r="F1451" t="s">
        <v>36</v>
      </c>
      <c r="G1451">
        <v>1120</v>
      </c>
      <c r="H1451" t="s">
        <v>37</v>
      </c>
      <c r="I1451">
        <v>11</v>
      </c>
      <c r="J1451">
        <v>4</v>
      </c>
      <c r="K1451" t="s">
        <v>55</v>
      </c>
      <c r="L1451">
        <v>1</v>
      </c>
      <c r="M1451">
        <v>2</v>
      </c>
      <c r="N1451" t="s">
        <v>39</v>
      </c>
      <c r="O1451">
        <v>100</v>
      </c>
      <c r="P1451">
        <v>2</v>
      </c>
      <c r="Q1451">
        <v>2</v>
      </c>
      <c r="R1451" t="s">
        <v>40</v>
      </c>
      <c r="S1451">
        <v>4</v>
      </c>
      <c r="T1451" t="str" cm="1">
        <f t="array" ref="T1451">_xlfn.IFS(S1451&lt;=2,"Poor",S1451&lt;=3,"Fair",S1451&gt;=4,"Good")</f>
        <v>Good</v>
      </c>
      <c r="U1451" t="s">
        <v>48</v>
      </c>
      <c r="V1451" s="1">
        <v>6652</v>
      </c>
      <c r="W1451" t="str" cm="1">
        <f t="array" ref="W1451">_xlfn.IFS(V1451&lt;=5000,"Low Salary",V1451&lt;=12000,"Good Salary",V1451&gt;12000,"High Salary")</f>
        <v>Good Salary</v>
      </c>
      <c r="X1451">
        <v>14369</v>
      </c>
      <c r="Y1451">
        <v>4</v>
      </c>
      <c r="Z1451" t="s">
        <v>42</v>
      </c>
      <c r="AA1451" t="s">
        <v>35</v>
      </c>
      <c r="AB1451">
        <v>13</v>
      </c>
      <c r="AC1451">
        <v>3</v>
      </c>
      <c r="AD1451" t="str">
        <f t="shared" si="45"/>
        <v>Low Performance</v>
      </c>
      <c r="AE1451">
        <v>1</v>
      </c>
      <c r="AF1451">
        <v>80</v>
      </c>
      <c r="AG1451">
        <v>1</v>
      </c>
      <c r="AH1451">
        <v>8</v>
      </c>
      <c r="AI1451">
        <v>2</v>
      </c>
      <c r="AJ1451">
        <v>2</v>
      </c>
      <c r="AK1451" t="str" cm="1">
        <f t="array" ref="AK1451">_xlfn.IFS(AJ1451&lt;=2,"Poor",AJ1451&lt;=3,"Fair",AJ1451&gt;3,"Good")</f>
        <v>Poor</v>
      </c>
      <c r="AL1451">
        <v>6</v>
      </c>
      <c r="AM1451">
        <v>3</v>
      </c>
      <c r="AN1451">
        <v>0</v>
      </c>
      <c r="AO1451">
        <v>0</v>
      </c>
    </row>
    <row r="1452" spans="1:41" x14ac:dyDescent="0.2">
      <c r="A1452">
        <v>1043685</v>
      </c>
      <c r="B1452">
        <v>45</v>
      </c>
      <c r="C1452" t="str" cm="1">
        <f t="array" ref="C1452">_xlfn.IFS(B1452&lt;=25,"15-25",B1452&lt;=35,"26-35",B1452&lt;=45,"36-45",B1452&lt;=55,"46-55",B1452&lt;=65,"56-65")</f>
        <v>36-45</v>
      </c>
      <c r="D1452" t="s">
        <v>35</v>
      </c>
      <c r="E1452" t="str">
        <f t="shared" si="44"/>
        <v>Current Employee</v>
      </c>
      <c r="F1452" t="s">
        <v>36</v>
      </c>
      <c r="G1452">
        <v>374</v>
      </c>
      <c r="H1452" t="s">
        <v>37</v>
      </c>
      <c r="I1452">
        <v>20</v>
      </c>
      <c r="J1452">
        <v>3</v>
      </c>
      <c r="K1452" t="s">
        <v>38</v>
      </c>
      <c r="L1452">
        <v>1</v>
      </c>
      <c r="M1452">
        <v>4</v>
      </c>
      <c r="N1452" t="s">
        <v>39</v>
      </c>
      <c r="O1452">
        <v>50</v>
      </c>
      <c r="P1452">
        <v>3</v>
      </c>
      <c r="Q1452">
        <v>2</v>
      </c>
      <c r="R1452" t="s">
        <v>40</v>
      </c>
      <c r="S1452">
        <v>3</v>
      </c>
      <c r="T1452" t="str" cm="1">
        <f t="array" ref="T1452">_xlfn.IFS(S1452&lt;=2,"Poor",S1452&lt;=3,"Fair",S1452&gt;=4,"Good")</f>
        <v>Fair</v>
      </c>
      <c r="U1452" t="s">
        <v>41</v>
      </c>
      <c r="V1452" s="1">
        <v>4850</v>
      </c>
      <c r="W1452" t="str" cm="1">
        <f t="array" ref="W1452">_xlfn.IFS(V1452&lt;=5000,"Low Salary",V1452&lt;=12000,"Good Salary",V1452&gt;12000,"High Salary")</f>
        <v>Low Salary</v>
      </c>
      <c r="X1452">
        <v>23333</v>
      </c>
      <c r="Y1452">
        <v>8</v>
      </c>
      <c r="Z1452" t="s">
        <v>42</v>
      </c>
      <c r="AA1452" t="s">
        <v>35</v>
      </c>
      <c r="AB1452">
        <v>15</v>
      </c>
      <c r="AC1452">
        <v>3</v>
      </c>
      <c r="AD1452" t="str">
        <f t="shared" si="45"/>
        <v>Low Performance</v>
      </c>
      <c r="AE1452">
        <v>3</v>
      </c>
      <c r="AF1452">
        <v>80</v>
      </c>
      <c r="AG1452">
        <v>0</v>
      </c>
      <c r="AH1452">
        <v>8</v>
      </c>
      <c r="AI1452">
        <v>3</v>
      </c>
      <c r="AJ1452">
        <v>3</v>
      </c>
      <c r="AK1452" t="str" cm="1">
        <f t="array" ref="AK1452">_xlfn.IFS(AJ1452&lt;=2,"Poor",AJ1452&lt;=3,"Fair",AJ1452&gt;3,"Good")</f>
        <v>Fair</v>
      </c>
      <c r="AL1452">
        <v>5</v>
      </c>
      <c r="AM1452">
        <v>3</v>
      </c>
      <c r="AN1452">
        <v>0</v>
      </c>
      <c r="AO1452">
        <v>1</v>
      </c>
    </row>
    <row r="1453" spans="1:41" x14ac:dyDescent="0.2">
      <c r="A1453">
        <v>1336668</v>
      </c>
      <c r="B1453">
        <v>40</v>
      </c>
      <c r="C1453" t="str" cm="1">
        <f t="array" ref="C1453">_xlfn.IFS(B1453&lt;=25,"15-25",B1453&lt;=35,"26-35",B1453&lt;=45,"36-45",B1453&lt;=55,"46-55",B1453&lt;=65,"56-65")</f>
        <v>36-45</v>
      </c>
      <c r="D1453" t="s">
        <v>35</v>
      </c>
      <c r="E1453" t="str">
        <f t="shared" si="44"/>
        <v>Current Employee</v>
      </c>
      <c r="F1453" t="s">
        <v>36</v>
      </c>
      <c r="G1453">
        <v>1322</v>
      </c>
      <c r="H1453" t="s">
        <v>54</v>
      </c>
      <c r="I1453">
        <v>2</v>
      </c>
      <c r="J1453">
        <v>4</v>
      </c>
      <c r="K1453" t="s">
        <v>38</v>
      </c>
      <c r="L1453">
        <v>1</v>
      </c>
      <c r="M1453">
        <v>3</v>
      </c>
      <c r="N1453" t="s">
        <v>46</v>
      </c>
      <c r="O1453">
        <v>52</v>
      </c>
      <c r="P1453">
        <v>2</v>
      </c>
      <c r="Q1453">
        <v>1</v>
      </c>
      <c r="R1453" t="s">
        <v>47</v>
      </c>
      <c r="S1453">
        <v>3</v>
      </c>
      <c r="T1453" t="str" cm="1">
        <f t="array" ref="T1453">_xlfn.IFS(S1453&lt;=2,"Poor",S1453&lt;=3,"Fair",S1453&gt;=4,"Good")</f>
        <v>Fair</v>
      </c>
      <c r="U1453" t="s">
        <v>41</v>
      </c>
      <c r="V1453" s="1">
        <v>2809</v>
      </c>
      <c r="W1453" t="str" cm="1">
        <f t="array" ref="W1453">_xlfn.IFS(V1453&lt;=5000,"Low Salary",V1453&lt;=12000,"Good Salary",V1453&gt;12000,"High Salary")</f>
        <v>Low Salary</v>
      </c>
      <c r="X1453">
        <v>2725</v>
      </c>
      <c r="Y1453">
        <v>2</v>
      </c>
      <c r="Z1453" t="s">
        <v>42</v>
      </c>
      <c r="AA1453" t="s">
        <v>35</v>
      </c>
      <c r="AB1453">
        <v>14</v>
      </c>
      <c r="AC1453">
        <v>3</v>
      </c>
      <c r="AD1453" t="str">
        <f t="shared" si="45"/>
        <v>Low Performance</v>
      </c>
      <c r="AE1453">
        <v>4</v>
      </c>
      <c r="AF1453">
        <v>80</v>
      </c>
      <c r="AG1453">
        <v>0</v>
      </c>
      <c r="AH1453">
        <v>8</v>
      </c>
      <c r="AI1453">
        <v>2</v>
      </c>
      <c r="AJ1453">
        <v>3</v>
      </c>
      <c r="AK1453" t="str" cm="1">
        <f t="array" ref="AK1453">_xlfn.IFS(AJ1453&lt;=2,"Poor",AJ1453&lt;=3,"Fair",AJ1453&gt;3,"Good")</f>
        <v>Fair</v>
      </c>
      <c r="AL1453">
        <v>2</v>
      </c>
      <c r="AM1453">
        <v>2</v>
      </c>
      <c r="AN1453">
        <v>2</v>
      </c>
      <c r="AO1453">
        <v>2</v>
      </c>
    </row>
    <row r="1454" spans="1:41" x14ac:dyDescent="0.2">
      <c r="A1454">
        <v>1044917</v>
      </c>
      <c r="B1454">
        <v>35</v>
      </c>
      <c r="C1454" t="str" cm="1">
        <f t="array" ref="C1454">_xlfn.IFS(B1454&lt;=25,"15-25",B1454&lt;=35,"26-35",B1454&lt;=45,"36-45",B1454&lt;=55,"46-55",B1454&lt;=65,"56-65")</f>
        <v>26-35</v>
      </c>
      <c r="D1454" t="s">
        <v>35</v>
      </c>
      <c r="E1454" t="str">
        <f t="shared" si="44"/>
        <v>Current Employee</v>
      </c>
      <c r="F1454" t="s">
        <v>44</v>
      </c>
      <c r="G1454">
        <v>1199</v>
      </c>
      <c r="H1454" t="s">
        <v>54</v>
      </c>
      <c r="I1454">
        <v>18</v>
      </c>
      <c r="J1454">
        <v>4</v>
      </c>
      <c r="K1454" t="s">
        <v>38</v>
      </c>
      <c r="L1454">
        <v>1</v>
      </c>
      <c r="M1454">
        <v>3</v>
      </c>
      <c r="N1454" t="s">
        <v>46</v>
      </c>
      <c r="O1454">
        <v>80</v>
      </c>
      <c r="P1454">
        <v>3</v>
      </c>
      <c r="Q1454">
        <v>2</v>
      </c>
      <c r="R1454" t="s">
        <v>40</v>
      </c>
      <c r="S1454">
        <v>3</v>
      </c>
      <c r="T1454" t="str" cm="1">
        <f t="array" ref="T1454">_xlfn.IFS(S1454&lt;=2,"Poor",S1454&lt;=3,"Fair",S1454&gt;=4,"Good")</f>
        <v>Fair</v>
      </c>
      <c r="U1454" t="s">
        <v>48</v>
      </c>
      <c r="V1454" s="1">
        <v>5689</v>
      </c>
      <c r="W1454" t="str" cm="1">
        <f t="array" ref="W1454">_xlfn.IFS(V1454&lt;=5000,"Low Salary",V1454&lt;=12000,"Good Salary",V1454&gt;12000,"High Salary")</f>
        <v>Good Salary</v>
      </c>
      <c r="X1454">
        <v>24594</v>
      </c>
      <c r="Y1454">
        <v>1</v>
      </c>
      <c r="Z1454" t="s">
        <v>42</v>
      </c>
      <c r="AA1454" t="s">
        <v>43</v>
      </c>
      <c r="AB1454">
        <v>14</v>
      </c>
      <c r="AC1454">
        <v>3</v>
      </c>
      <c r="AD1454" t="str">
        <f t="shared" si="45"/>
        <v>Low Performance</v>
      </c>
      <c r="AE1454">
        <v>4</v>
      </c>
      <c r="AF1454">
        <v>80</v>
      </c>
      <c r="AG1454">
        <v>2</v>
      </c>
      <c r="AH1454">
        <v>10</v>
      </c>
      <c r="AI1454">
        <v>2</v>
      </c>
      <c r="AJ1454">
        <v>4</v>
      </c>
      <c r="AK1454" t="str" cm="1">
        <f t="array" ref="AK1454">_xlfn.IFS(AJ1454&lt;=2,"Poor",AJ1454&lt;=3,"Fair",AJ1454&gt;3,"Good")</f>
        <v>Good</v>
      </c>
      <c r="AL1454">
        <v>10</v>
      </c>
      <c r="AM1454">
        <v>2</v>
      </c>
      <c r="AN1454">
        <v>0</v>
      </c>
      <c r="AO1454">
        <v>2</v>
      </c>
    </row>
    <row r="1455" spans="1:41" x14ac:dyDescent="0.2">
      <c r="A1455">
        <v>1758264</v>
      </c>
      <c r="B1455">
        <v>40</v>
      </c>
      <c r="C1455" t="str" cm="1">
        <f t="array" ref="C1455">_xlfn.IFS(B1455&lt;=25,"15-25",B1455&lt;=35,"26-35",B1455&lt;=45,"36-45",B1455&lt;=55,"46-55",B1455&lt;=65,"56-65")</f>
        <v>36-45</v>
      </c>
      <c r="D1455" t="s">
        <v>35</v>
      </c>
      <c r="E1455" t="str">
        <f t="shared" si="44"/>
        <v>Current Employee</v>
      </c>
      <c r="F1455" t="s">
        <v>36</v>
      </c>
      <c r="G1455">
        <v>1194</v>
      </c>
      <c r="H1455" t="s">
        <v>54</v>
      </c>
      <c r="I1455">
        <v>2</v>
      </c>
      <c r="J1455">
        <v>4</v>
      </c>
      <c r="K1455" t="s">
        <v>49</v>
      </c>
      <c r="L1455">
        <v>1</v>
      </c>
      <c r="M1455">
        <v>3</v>
      </c>
      <c r="N1455" t="s">
        <v>39</v>
      </c>
      <c r="O1455">
        <v>98</v>
      </c>
      <c r="P1455">
        <v>3</v>
      </c>
      <c r="Q1455">
        <v>1</v>
      </c>
      <c r="R1455" t="s">
        <v>47</v>
      </c>
      <c r="S1455">
        <v>3</v>
      </c>
      <c r="T1455" t="str" cm="1">
        <f t="array" ref="T1455">_xlfn.IFS(S1455&lt;=2,"Poor",S1455&lt;=3,"Fair",S1455&gt;=4,"Good")</f>
        <v>Fair</v>
      </c>
      <c r="U1455" t="s">
        <v>48</v>
      </c>
      <c r="V1455" s="1">
        <v>2001</v>
      </c>
      <c r="W1455" t="str" cm="1">
        <f t="array" ref="W1455">_xlfn.IFS(V1455&lt;=5000,"Low Salary",V1455&lt;=12000,"Good Salary",V1455&gt;12000,"High Salary")</f>
        <v>Low Salary</v>
      </c>
      <c r="X1455">
        <v>12549</v>
      </c>
      <c r="Y1455">
        <v>2</v>
      </c>
      <c r="Z1455" t="s">
        <v>42</v>
      </c>
      <c r="AA1455" t="s">
        <v>35</v>
      </c>
      <c r="AB1455">
        <v>14</v>
      </c>
      <c r="AC1455">
        <v>3</v>
      </c>
      <c r="AD1455" t="str">
        <f t="shared" si="45"/>
        <v>Low Performance</v>
      </c>
      <c r="AE1455">
        <v>2</v>
      </c>
      <c r="AF1455">
        <v>80</v>
      </c>
      <c r="AG1455">
        <v>3</v>
      </c>
      <c r="AH1455">
        <v>20</v>
      </c>
      <c r="AI1455">
        <v>2</v>
      </c>
      <c r="AJ1455">
        <v>3</v>
      </c>
      <c r="AK1455" t="str" cm="1">
        <f t="array" ref="AK1455">_xlfn.IFS(AJ1455&lt;=2,"Poor",AJ1455&lt;=3,"Fair",AJ1455&gt;3,"Good")</f>
        <v>Fair</v>
      </c>
      <c r="AL1455">
        <v>5</v>
      </c>
      <c r="AM1455">
        <v>3</v>
      </c>
      <c r="AN1455">
        <v>0</v>
      </c>
      <c r="AO1455">
        <v>2</v>
      </c>
    </row>
    <row r="1456" spans="1:41" x14ac:dyDescent="0.2">
      <c r="A1456">
        <v>1175359</v>
      </c>
      <c r="B1456">
        <v>35</v>
      </c>
      <c r="C1456" t="str" cm="1">
        <f t="array" ref="C1456">_xlfn.IFS(B1456&lt;=25,"15-25",B1456&lt;=35,"26-35",B1456&lt;=45,"36-45",B1456&lt;=55,"46-55",B1456&lt;=65,"56-65")</f>
        <v>26-35</v>
      </c>
      <c r="D1456" t="s">
        <v>35</v>
      </c>
      <c r="E1456" t="str">
        <f t="shared" si="44"/>
        <v>Current Employee</v>
      </c>
      <c r="F1456" t="s">
        <v>36</v>
      </c>
      <c r="G1456">
        <v>287</v>
      </c>
      <c r="H1456" t="s">
        <v>54</v>
      </c>
      <c r="I1456">
        <v>1</v>
      </c>
      <c r="J1456">
        <v>4</v>
      </c>
      <c r="K1456" t="s">
        <v>38</v>
      </c>
      <c r="L1456">
        <v>1</v>
      </c>
      <c r="M1456">
        <v>3</v>
      </c>
      <c r="N1456" t="s">
        <v>39</v>
      </c>
      <c r="O1456">
        <v>62</v>
      </c>
      <c r="P1456">
        <v>1</v>
      </c>
      <c r="Q1456">
        <v>1</v>
      </c>
      <c r="R1456" t="s">
        <v>47</v>
      </c>
      <c r="S1456">
        <v>4</v>
      </c>
      <c r="T1456" t="str" cm="1">
        <f t="array" ref="T1456">_xlfn.IFS(S1456&lt;=2,"Poor",S1456&lt;=3,"Fair",S1456&gt;=4,"Good")</f>
        <v>Good</v>
      </c>
      <c r="U1456" t="s">
        <v>48</v>
      </c>
      <c r="V1456" s="1">
        <v>2977</v>
      </c>
      <c r="W1456" t="str" cm="1">
        <f t="array" ref="W1456">_xlfn.IFS(V1456&lt;=5000,"Low Salary",V1456&lt;=12000,"Good Salary",V1456&gt;12000,"High Salary")</f>
        <v>Low Salary</v>
      </c>
      <c r="X1456">
        <v>8952</v>
      </c>
      <c r="Y1456">
        <v>1</v>
      </c>
      <c r="Z1456" t="s">
        <v>42</v>
      </c>
      <c r="AA1456" t="s">
        <v>35</v>
      </c>
      <c r="AB1456">
        <v>12</v>
      </c>
      <c r="AC1456">
        <v>3</v>
      </c>
      <c r="AD1456" t="str">
        <f t="shared" si="45"/>
        <v>Low Performance</v>
      </c>
      <c r="AE1456">
        <v>4</v>
      </c>
      <c r="AF1456">
        <v>80</v>
      </c>
      <c r="AG1456">
        <v>1</v>
      </c>
      <c r="AH1456">
        <v>4</v>
      </c>
      <c r="AI1456">
        <v>5</v>
      </c>
      <c r="AJ1456">
        <v>3</v>
      </c>
      <c r="AK1456" t="str" cm="1">
        <f t="array" ref="AK1456">_xlfn.IFS(AJ1456&lt;=2,"Poor",AJ1456&lt;=3,"Fair",AJ1456&gt;3,"Good")</f>
        <v>Fair</v>
      </c>
      <c r="AL1456">
        <v>4</v>
      </c>
      <c r="AM1456">
        <v>3</v>
      </c>
      <c r="AN1456">
        <v>1</v>
      </c>
      <c r="AO1456">
        <v>1</v>
      </c>
    </row>
    <row r="1457" spans="1:41" x14ac:dyDescent="0.2">
      <c r="A1457">
        <v>1640979</v>
      </c>
      <c r="B1457">
        <v>29</v>
      </c>
      <c r="C1457" t="str" cm="1">
        <f t="array" ref="C1457">_xlfn.IFS(B1457&lt;=25,"15-25",B1457&lt;=35,"26-35",B1457&lt;=45,"36-45",B1457&lt;=55,"46-55",B1457&lt;=65,"56-65")</f>
        <v>26-35</v>
      </c>
      <c r="D1457" t="s">
        <v>35</v>
      </c>
      <c r="E1457" t="str">
        <f t="shared" si="44"/>
        <v>Current Employee</v>
      </c>
      <c r="F1457" t="s">
        <v>36</v>
      </c>
      <c r="G1457">
        <v>1378</v>
      </c>
      <c r="H1457" t="s">
        <v>54</v>
      </c>
      <c r="I1457">
        <v>13</v>
      </c>
      <c r="J1457">
        <v>2</v>
      </c>
      <c r="K1457" t="s">
        <v>47</v>
      </c>
      <c r="L1457">
        <v>1</v>
      </c>
      <c r="M1457">
        <v>4</v>
      </c>
      <c r="N1457" t="s">
        <v>46</v>
      </c>
      <c r="O1457">
        <v>46</v>
      </c>
      <c r="P1457">
        <v>2</v>
      </c>
      <c r="Q1457">
        <v>2</v>
      </c>
      <c r="R1457" t="s">
        <v>40</v>
      </c>
      <c r="S1457">
        <v>2</v>
      </c>
      <c r="T1457" t="str" cm="1">
        <f t="array" ref="T1457">_xlfn.IFS(S1457&lt;=2,"Poor",S1457&lt;=3,"Fair",S1457&gt;=4,"Good")</f>
        <v>Poor</v>
      </c>
      <c r="U1457" t="s">
        <v>48</v>
      </c>
      <c r="V1457" s="1">
        <v>4025</v>
      </c>
      <c r="W1457" t="str" cm="1">
        <f t="array" ref="W1457">_xlfn.IFS(V1457&lt;=5000,"Low Salary",V1457&lt;=12000,"Good Salary",V1457&gt;12000,"High Salary")</f>
        <v>Low Salary</v>
      </c>
      <c r="X1457">
        <v>23679</v>
      </c>
      <c r="Y1457">
        <v>4</v>
      </c>
      <c r="Z1457" t="s">
        <v>42</v>
      </c>
      <c r="AA1457" t="s">
        <v>43</v>
      </c>
      <c r="AB1457">
        <v>13</v>
      </c>
      <c r="AC1457">
        <v>3</v>
      </c>
      <c r="AD1457" t="str">
        <f t="shared" si="45"/>
        <v>Low Performance</v>
      </c>
      <c r="AE1457">
        <v>1</v>
      </c>
      <c r="AF1457">
        <v>80</v>
      </c>
      <c r="AG1457">
        <v>1</v>
      </c>
      <c r="AH1457">
        <v>10</v>
      </c>
      <c r="AI1457">
        <v>2</v>
      </c>
      <c r="AJ1457">
        <v>3</v>
      </c>
      <c r="AK1457" t="str" cm="1">
        <f t="array" ref="AK1457">_xlfn.IFS(AJ1457&lt;=2,"Poor",AJ1457&lt;=3,"Fair",AJ1457&gt;3,"Good")</f>
        <v>Fair</v>
      </c>
      <c r="AL1457">
        <v>4</v>
      </c>
      <c r="AM1457">
        <v>3</v>
      </c>
      <c r="AN1457">
        <v>0</v>
      </c>
      <c r="AO1457">
        <v>3</v>
      </c>
    </row>
    <row r="1458" spans="1:41" x14ac:dyDescent="0.2">
      <c r="A1458">
        <v>1321040</v>
      </c>
      <c r="B1458">
        <v>29</v>
      </c>
      <c r="C1458" t="str" cm="1">
        <f t="array" ref="C1458">_xlfn.IFS(B1458&lt;=25,"15-25",B1458&lt;=35,"26-35",B1458&lt;=45,"36-45",B1458&lt;=55,"46-55",B1458&lt;=65,"56-65")</f>
        <v>26-35</v>
      </c>
      <c r="D1458" t="s">
        <v>35</v>
      </c>
      <c r="E1458" t="str">
        <f t="shared" si="44"/>
        <v>Current Employee</v>
      </c>
      <c r="F1458" t="s">
        <v>36</v>
      </c>
      <c r="G1458">
        <v>468</v>
      </c>
      <c r="H1458" t="s">
        <v>54</v>
      </c>
      <c r="I1458">
        <v>28</v>
      </c>
      <c r="J1458">
        <v>4</v>
      </c>
      <c r="K1458" t="s">
        <v>49</v>
      </c>
      <c r="L1458">
        <v>1</v>
      </c>
      <c r="M1458">
        <v>4</v>
      </c>
      <c r="N1458" t="s">
        <v>39</v>
      </c>
      <c r="O1458">
        <v>73</v>
      </c>
      <c r="P1458">
        <v>2</v>
      </c>
      <c r="Q1458">
        <v>1</v>
      </c>
      <c r="R1458" t="s">
        <v>47</v>
      </c>
      <c r="S1458">
        <v>1</v>
      </c>
      <c r="T1458" t="str" cm="1">
        <f t="array" ref="T1458">_xlfn.IFS(S1458&lt;=2,"Poor",S1458&lt;=3,"Fair",S1458&gt;=4,"Good")</f>
        <v>Poor</v>
      </c>
      <c r="U1458" t="s">
        <v>41</v>
      </c>
      <c r="V1458" s="1">
        <v>3785</v>
      </c>
      <c r="W1458" t="str" cm="1">
        <f t="array" ref="W1458">_xlfn.IFS(V1458&lt;=5000,"Low Salary",V1458&lt;=12000,"Good Salary",V1458&gt;12000,"High Salary")</f>
        <v>Low Salary</v>
      </c>
      <c r="X1458">
        <v>8489</v>
      </c>
      <c r="Y1458">
        <v>1</v>
      </c>
      <c r="Z1458" t="s">
        <v>42</v>
      </c>
      <c r="AA1458" t="s">
        <v>35</v>
      </c>
      <c r="AB1458">
        <v>14</v>
      </c>
      <c r="AC1458">
        <v>3</v>
      </c>
      <c r="AD1458" t="str">
        <f t="shared" si="45"/>
        <v>Low Performance</v>
      </c>
      <c r="AE1458">
        <v>2</v>
      </c>
      <c r="AF1458">
        <v>80</v>
      </c>
      <c r="AG1458">
        <v>0</v>
      </c>
      <c r="AH1458">
        <v>5</v>
      </c>
      <c r="AI1458">
        <v>3</v>
      </c>
      <c r="AJ1458">
        <v>1</v>
      </c>
      <c r="AK1458" t="str" cm="1">
        <f t="array" ref="AK1458">_xlfn.IFS(AJ1458&lt;=2,"Poor",AJ1458&lt;=3,"Fair",AJ1458&gt;3,"Good")</f>
        <v>Poor</v>
      </c>
      <c r="AL1458">
        <v>5</v>
      </c>
      <c r="AM1458">
        <v>4</v>
      </c>
      <c r="AN1458">
        <v>0</v>
      </c>
      <c r="AO1458">
        <v>4</v>
      </c>
    </row>
    <row r="1459" spans="1:41" x14ac:dyDescent="0.2">
      <c r="A1459">
        <v>1293237</v>
      </c>
      <c r="B1459">
        <v>50</v>
      </c>
      <c r="C1459" t="str" cm="1">
        <f t="array" ref="C1459">_xlfn.IFS(B1459&lt;=25,"15-25",B1459&lt;=35,"26-35",B1459&lt;=45,"36-45",B1459&lt;=55,"46-55",B1459&lt;=65,"56-65")</f>
        <v>46-55</v>
      </c>
      <c r="D1459" t="s">
        <v>43</v>
      </c>
      <c r="E1459" t="str">
        <f t="shared" si="44"/>
        <v>Former Employee</v>
      </c>
      <c r="F1459" t="s">
        <v>36</v>
      </c>
      <c r="G1459">
        <v>410</v>
      </c>
      <c r="H1459" t="s">
        <v>37</v>
      </c>
      <c r="I1459">
        <v>28</v>
      </c>
      <c r="J1459">
        <v>3</v>
      </c>
      <c r="K1459" t="s">
        <v>55</v>
      </c>
      <c r="L1459">
        <v>1</v>
      </c>
      <c r="M1459">
        <v>4</v>
      </c>
      <c r="N1459" t="s">
        <v>46</v>
      </c>
      <c r="O1459">
        <v>39</v>
      </c>
      <c r="P1459">
        <v>2</v>
      </c>
      <c r="Q1459">
        <v>3</v>
      </c>
      <c r="R1459" t="s">
        <v>40</v>
      </c>
      <c r="S1459">
        <v>1</v>
      </c>
      <c r="T1459" t="str" cm="1">
        <f t="array" ref="T1459">_xlfn.IFS(S1459&lt;=2,"Poor",S1459&lt;=3,"Fair",S1459&gt;=4,"Good")</f>
        <v>Poor</v>
      </c>
      <c r="U1459" t="s">
        <v>50</v>
      </c>
      <c r="V1459" s="1">
        <v>10854</v>
      </c>
      <c r="W1459" t="str" cm="1">
        <f t="array" ref="W1459">_xlfn.IFS(V1459&lt;=5000,"Low Salary",V1459&lt;=12000,"Good Salary",V1459&gt;12000,"High Salary")</f>
        <v>Good Salary</v>
      </c>
      <c r="X1459">
        <v>16586</v>
      </c>
      <c r="Y1459">
        <v>4</v>
      </c>
      <c r="Z1459" t="s">
        <v>42</v>
      </c>
      <c r="AA1459" t="s">
        <v>43</v>
      </c>
      <c r="AB1459">
        <v>13</v>
      </c>
      <c r="AC1459">
        <v>3</v>
      </c>
      <c r="AD1459" t="str">
        <f t="shared" si="45"/>
        <v>Low Performance</v>
      </c>
      <c r="AE1459">
        <v>2</v>
      </c>
      <c r="AF1459">
        <v>80</v>
      </c>
      <c r="AG1459">
        <v>1</v>
      </c>
      <c r="AH1459">
        <v>20</v>
      </c>
      <c r="AI1459">
        <v>3</v>
      </c>
      <c r="AJ1459">
        <v>3</v>
      </c>
      <c r="AK1459" t="str" cm="1">
        <f t="array" ref="AK1459">_xlfn.IFS(AJ1459&lt;=2,"Poor",AJ1459&lt;=3,"Fair",AJ1459&gt;3,"Good")</f>
        <v>Fair</v>
      </c>
      <c r="AL1459">
        <v>3</v>
      </c>
      <c r="AM1459">
        <v>2</v>
      </c>
      <c r="AN1459">
        <v>2</v>
      </c>
      <c r="AO1459">
        <v>0</v>
      </c>
    </row>
    <row r="1460" spans="1:41" x14ac:dyDescent="0.2">
      <c r="A1460">
        <v>1715801</v>
      </c>
      <c r="B1460">
        <v>39</v>
      </c>
      <c r="C1460" t="str" cm="1">
        <f t="array" ref="C1460">_xlfn.IFS(B1460&lt;=25,"15-25",B1460&lt;=35,"26-35",B1460&lt;=45,"36-45",B1460&lt;=55,"46-55",B1460&lt;=65,"56-65")</f>
        <v>36-45</v>
      </c>
      <c r="D1460" t="s">
        <v>35</v>
      </c>
      <c r="E1460" t="str">
        <f t="shared" si="44"/>
        <v>Current Employee</v>
      </c>
      <c r="F1460" t="s">
        <v>36</v>
      </c>
      <c r="G1460">
        <v>722</v>
      </c>
      <c r="H1460" t="s">
        <v>37</v>
      </c>
      <c r="I1460">
        <v>24</v>
      </c>
      <c r="J1460">
        <v>1</v>
      </c>
      <c r="K1460" t="s">
        <v>55</v>
      </c>
      <c r="L1460">
        <v>1</v>
      </c>
      <c r="M1460">
        <v>2</v>
      </c>
      <c r="N1460" t="s">
        <v>39</v>
      </c>
      <c r="O1460">
        <v>60</v>
      </c>
      <c r="P1460">
        <v>2</v>
      </c>
      <c r="Q1460">
        <v>4</v>
      </c>
      <c r="R1460" t="s">
        <v>40</v>
      </c>
      <c r="S1460">
        <v>4</v>
      </c>
      <c r="T1460" t="str" cm="1">
        <f t="array" ref="T1460">_xlfn.IFS(S1460&lt;=2,"Poor",S1460&lt;=3,"Fair",S1460&gt;=4,"Good")</f>
        <v>Good</v>
      </c>
      <c r="U1460" t="s">
        <v>48</v>
      </c>
      <c r="V1460" s="1">
        <v>12031</v>
      </c>
      <c r="W1460" t="str" cm="1">
        <f t="array" ref="W1460">_xlfn.IFS(V1460&lt;=5000,"Low Salary",V1460&lt;=12000,"Good Salary",V1460&gt;12000,"High Salary")</f>
        <v>High Salary</v>
      </c>
      <c r="X1460">
        <v>8828</v>
      </c>
      <c r="Y1460">
        <v>0</v>
      </c>
      <c r="Z1460" t="s">
        <v>42</v>
      </c>
      <c r="AA1460" t="s">
        <v>35</v>
      </c>
      <c r="AB1460">
        <v>11</v>
      </c>
      <c r="AC1460">
        <v>3</v>
      </c>
      <c r="AD1460" t="str">
        <f t="shared" si="45"/>
        <v>Low Performance</v>
      </c>
      <c r="AE1460">
        <v>1</v>
      </c>
      <c r="AF1460">
        <v>80</v>
      </c>
      <c r="AG1460">
        <v>1</v>
      </c>
      <c r="AH1460">
        <v>21</v>
      </c>
      <c r="AI1460">
        <v>2</v>
      </c>
      <c r="AJ1460">
        <v>2</v>
      </c>
      <c r="AK1460" t="str" cm="1">
        <f t="array" ref="AK1460">_xlfn.IFS(AJ1460&lt;=2,"Poor",AJ1460&lt;=3,"Fair",AJ1460&gt;3,"Good")</f>
        <v>Poor</v>
      </c>
      <c r="AL1460">
        <v>20</v>
      </c>
      <c r="AM1460">
        <v>9</v>
      </c>
      <c r="AN1460">
        <v>9</v>
      </c>
      <c r="AO1460">
        <v>6</v>
      </c>
    </row>
    <row r="1461" spans="1:41" x14ac:dyDescent="0.2">
      <c r="A1461">
        <v>1626443</v>
      </c>
      <c r="B1461">
        <v>31</v>
      </c>
      <c r="C1461" t="str" cm="1">
        <f t="array" ref="C1461">_xlfn.IFS(B1461&lt;=25,"15-25",B1461&lt;=35,"26-35",B1461&lt;=45,"36-45",B1461&lt;=55,"46-55",B1461&lt;=65,"56-65")</f>
        <v>26-35</v>
      </c>
      <c r="D1461" t="s">
        <v>35</v>
      </c>
      <c r="E1461" t="str">
        <f t="shared" si="44"/>
        <v>Current Employee</v>
      </c>
      <c r="F1461" t="s">
        <v>52</v>
      </c>
      <c r="G1461">
        <v>325</v>
      </c>
      <c r="H1461" t="s">
        <v>37</v>
      </c>
      <c r="I1461">
        <v>5</v>
      </c>
      <c r="J1461">
        <v>3</v>
      </c>
      <c r="K1461" t="s">
        <v>49</v>
      </c>
      <c r="L1461">
        <v>1</v>
      </c>
      <c r="M1461">
        <v>2</v>
      </c>
      <c r="N1461" t="s">
        <v>46</v>
      </c>
      <c r="O1461">
        <v>74</v>
      </c>
      <c r="P1461">
        <v>3</v>
      </c>
      <c r="Q1461">
        <v>2</v>
      </c>
      <c r="R1461" t="s">
        <v>51</v>
      </c>
      <c r="S1461">
        <v>1</v>
      </c>
      <c r="T1461" t="str" cm="1">
        <f t="array" ref="T1461">_xlfn.IFS(S1461&lt;=2,"Poor",S1461&lt;=3,"Fair",S1461&gt;=4,"Good")</f>
        <v>Poor</v>
      </c>
      <c r="U1461" t="s">
        <v>41</v>
      </c>
      <c r="V1461" s="1">
        <v>9936</v>
      </c>
      <c r="W1461" t="str" cm="1">
        <f t="array" ref="W1461">_xlfn.IFS(V1461&lt;=5000,"Low Salary",V1461&lt;=12000,"Good Salary",V1461&gt;12000,"High Salary")</f>
        <v>Good Salary</v>
      </c>
      <c r="X1461">
        <v>3787</v>
      </c>
      <c r="Y1461">
        <v>0</v>
      </c>
      <c r="Z1461" t="s">
        <v>42</v>
      </c>
      <c r="AA1461" t="s">
        <v>35</v>
      </c>
      <c r="AB1461">
        <v>19</v>
      </c>
      <c r="AC1461">
        <v>3</v>
      </c>
      <c r="AD1461" t="str">
        <f t="shared" si="45"/>
        <v>Low Performance</v>
      </c>
      <c r="AE1461">
        <v>2</v>
      </c>
      <c r="AF1461">
        <v>80</v>
      </c>
      <c r="AG1461">
        <v>0</v>
      </c>
      <c r="AH1461">
        <v>10</v>
      </c>
      <c r="AI1461">
        <v>2</v>
      </c>
      <c r="AJ1461">
        <v>3</v>
      </c>
      <c r="AK1461" t="str" cm="1">
        <f t="array" ref="AK1461">_xlfn.IFS(AJ1461&lt;=2,"Poor",AJ1461&lt;=3,"Fair",AJ1461&gt;3,"Good")</f>
        <v>Fair</v>
      </c>
      <c r="AL1461">
        <v>9</v>
      </c>
      <c r="AM1461">
        <v>4</v>
      </c>
      <c r="AN1461">
        <v>1</v>
      </c>
      <c r="AO1461">
        <v>7</v>
      </c>
    </row>
    <row r="1462" spans="1:41" x14ac:dyDescent="0.2">
      <c r="A1462">
        <v>1787925</v>
      </c>
      <c r="B1462">
        <v>26</v>
      </c>
      <c r="C1462" t="str" cm="1">
        <f t="array" ref="C1462">_xlfn.IFS(B1462&lt;=25,"15-25",B1462&lt;=35,"26-35",B1462&lt;=45,"36-45",B1462&lt;=55,"46-55",B1462&lt;=65,"56-65")</f>
        <v>26-35</v>
      </c>
      <c r="D1462" t="s">
        <v>35</v>
      </c>
      <c r="E1462" t="str">
        <f t="shared" si="44"/>
        <v>Current Employee</v>
      </c>
      <c r="F1462" t="s">
        <v>36</v>
      </c>
      <c r="G1462">
        <v>1167</v>
      </c>
      <c r="H1462" t="s">
        <v>37</v>
      </c>
      <c r="I1462">
        <v>5</v>
      </c>
      <c r="J1462">
        <v>3</v>
      </c>
      <c r="K1462" t="s">
        <v>47</v>
      </c>
      <c r="L1462">
        <v>1</v>
      </c>
      <c r="M1462">
        <v>4</v>
      </c>
      <c r="N1462" t="s">
        <v>39</v>
      </c>
      <c r="O1462">
        <v>30</v>
      </c>
      <c r="P1462">
        <v>2</v>
      </c>
      <c r="Q1462">
        <v>1</v>
      </c>
      <c r="R1462" t="s">
        <v>47</v>
      </c>
      <c r="S1462">
        <v>3</v>
      </c>
      <c r="T1462" t="str" cm="1">
        <f t="array" ref="T1462">_xlfn.IFS(S1462&lt;=2,"Poor",S1462&lt;=3,"Fair",S1462&gt;=4,"Good")</f>
        <v>Fair</v>
      </c>
      <c r="U1462" t="s">
        <v>41</v>
      </c>
      <c r="V1462" s="1">
        <v>2966</v>
      </c>
      <c r="W1462" t="str" cm="1">
        <f t="array" ref="W1462">_xlfn.IFS(V1462&lt;=5000,"Low Salary",V1462&lt;=12000,"Good Salary",V1462&gt;12000,"High Salary")</f>
        <v>Low Salary</v>
      </c>
      <c r="X1462">
        <v>21378</v>
      </c>
      <c r="Y1462">
        <v>0</v>
      </c>
      <c r="Z1462" t="s">
        <v>42</v>
      </c>
      <c r="AA1462" t="s">
        <v>35</v>
      </c>
      <c r="AB1462">
        <v>18</v>
      </c>
      <c r="AC1462">
        <v>3</v>
      </c>
      <c r="AD1462" t="str">
        <f t="shared" si="45"/>
        <v>Low Performance</v>
      </c>
      <c r="AE1462">
        <v>4</v>
      </c>
      <c r="AF1462">
        <v>80</v>
      </c>
      <c r="AG1462">
        <v>0</v>
      </c>
      <c r="AH1462">
        <v>5</v>
      </c>
      <c r="AI1462">
        <v>2</v>
      </c>
      <c r="AJ1462">
        <v>3</v>
      </c>
      <c r="AK1462" t="str" cm="1">
        <f t="array" ref="AK1462">_xlfn.IFS(AJ1462&lt;=2,"Poor",AJ1462&lt;=3,"Fair",AJ1462&gt;3,"Good")</f>
        <v>Fair</v>
      </c>
      <c r="AL1462">
        <v>4</v>
      </c>
      <c r="AM1462">
        <v>2</v>
      </c>
      <c r="AN1462">
        <v>0</v>
      </c>
      <c r="AO1462">
        <v>0</v>
      </c>
    </row>
    <row r="1463" spans="1:41" x14ac:dyDescent="0.2">
      <c r="A1463">
        <v>1444959</v>
      </c>
      <c r="B1463">
        <v>36</v>
      </c>
      <c r="C1463" t="str" cm="1">
        <f t="array" ref="C1463">_xlfn.IFS(B1463&lt;=25,"15-25",B1463&lt;=35,"26-35",B1463&lt;=45,"36-45",B1463&lt;=55,"46-55",B1463&lt;=65,"56-65")</f>
        <v>36-45</v>
      </c>
      <c r="D1463" t="s">
        <v>35</v>
      </c>
      <c r="E1463" t="str">
        <f t="shared" si="44"/>
        <v>Current Employee</v>
      </c>
      <c r="F1463" t="s">
        <v>44</v>
      </c>
      <c r="G1463">
        <v>884</v>
      </c>
      <c r="H1463" t="s">
        <v>54</v>
      </c>
      <c r="I1463">
        <v>23</v>
      </c>
      <c r="J1463">
        <v>2</v>
      </c>
      <c r="K1463" t="s">
        <v>49</v>
      </c>
      <c r="L1463">
        <v>1</v>
      </c>
      <c r="M1463">
        <v>3</v>
      </c>
      <c r="N1463" t="s">
        <v>46</v>
      </c>
      <c r="O1463">
        <v>41</v>
      </c>
      <c r="P1463">
        <v>4</v>
      </c>
      <c r="Q1463">
        <v>2</v>
      </c>
      <c r="R1463" t="s">
        <v>40</v>
      </c>
      <c r="S1463">
        <v>4</v>
      </c>
      <c r="T1463" t="str" cm="1">
        <f t="array" ref="T1463">_xlfn.IFS(S1463&lt;=2,"Poor",S1463&lt;=3,"Fair",S1463&gt;=4,"Good")</f>
        <v>Good</v>
      </c>
      <c r="U1463" t="s">
        <v>48</v>
      </c>
      <c r="V1463" s="1">
        <v>2571</v>
      </c>
      <c r="W1463" t="str" cm="1">
        <f t="array" ref="W1463">_xlfn.IFS(V1463&lt;=5000,"Low Salary",V1463&lt;=12000,"Good Salary",V1463&gt;12000,"High Salary")</f>
        <v>Low Salary</v>
      </c>
      <c r="X1463">
        <v>12290</v>
      </c>
      <c r="Y1463">
        <v>4</v>
      </c>
      <c r="Z1463" t="s">
        <v>42</v>
      </c>
      <c r="AA1463" t="s">
        <v>35</v>
      </c>
      <c r="AB1463">
        <v>17</v>
      </c>
      <c r="AC1463">
        <v>3</v>
      </c>
      <c r="AD1463" t="str">
        <f t="shared" si="45"/>
        <v>Low Performance</v>
      </c>
      <c r="AE1463">
        <v>3</v>
      </c>
      <c r="AF1463">
        <v>80</v>
      </c>
      <c r="AG1463">
        <v>1</v>
      </c>
      <c r="AH1463">
        <v>17</v>
      </c>
      <c r="AI1463">
        <v>3</v>
      </c>
      <c r="AJ1463">
        <v>3</v>
      </c>
      <c r="AK1463" t="str" cm="1">
        <f t="array" ref="AK1463">_xlfn.IFS(AJ1463&lt;=2,"Poor",AJ1463&lt;=3,"Fair",AJ1463&gt;3,"Good")</f>
        <v>Fair</v>
      </c>
      <c r="AL1463">
        <v>5</v>
      </c>
      <c r="AM1463">
        <v>2</v>
      </c>
      <c r="AN1463">
        <v>0</v>
      </c>
      <c r="AO1463">
        <v>3</v>
      </c>
    </row>
    <row r="1464" spans="1:41" x14ac:dyDescent="0.2">
      <c r="A1464">
        <v>1196529</v>
      </c>
      <c r="B1464">
        <v>39</v>
      </c>
      <c r="C1464" t="str" cm="1">
        <f t="array" ref="C1464">_xlfn.IFS(B1464&lt;=25,"15-25",B1464&lt;=35,"26-35",B1464&lt;=45,"36-45",B1464&lt;=55,"46-55",B1464&lt;=65,"56-65")</f>
        <v>36-45</v>
      </c>
      <c r="D1464" t="s">
        <v>35</v>
      </c>
      <c r="E1464" t="str">
        <f t="shared" si="44"/>
        <v>Current Employee</v>
      </c>
      <c r="F1464" t="s">
        <v>36</v>
      </c>
      <c r="G1464">
        <v>613</v>
      </c>
      <c r="H1464" t="s">
        <v>54</v>
      </c>
      <c r="I1464">
        <v>6</v>
      </c>
      <c r="J1464">
        <v>1</v>
      </c>
      <c r="K1464" t="s">
        <v>49</v>
      </c>
      <c r="L1464">
        <v>1</v>
      </c>
      <c r="M1464">
        <v>4</v>
      </c>
      <c r="N1464" t="s">
        <v>46</v>
      </c>
      <c r="O1464">
        <v>42</v>
      </c>
      <c r="P1464">
        <v>2</v>
      </c>
      <c r="Q1464">
        <v>3</v>
      </c>
      <c r="R1464" t="s">
        <v>40</v>
      </c>
      <c r="S1464">
        <v>1</v>
      </c>
      <c r="T1464" t="str" cm="1">
        <f t="array" ref="T1464">_xlfn.IFS(S1464&lt;=2,"Poor",S1464&lt;=3,"Fair",S1464&gt;=4,"Good")</f>
        <v>Poor</v>
      </c>
      <c r="U1464" t="s">
        <v>48</v>
      </c>
      <c r="V1464" s="1">
        <v>9991</v>
      </c>
      <c r="W1464" t="str" cm="1">
        <f t="array" ref="W1464">_xlfn.IFS(V1464&lt;=5000,"Low Salary",V1464&lt;=12000,"Good Salary",V1464&gt;12000,"High Salary")</f>
        <v>Good Salary</v>
      </c>
      <c r="X1464">
        <v>21457</v>
      </c>
      <c r="Y1464">
        <v>4</v>
      </c>
      <c r="Z1464" t="s">
        <v>42</v>
      </c>
      <c r="AA1464" t="s">
        <v>35</v>
      </c>
      <c r="AB1464">
        <v>15</v>
      </c>
      <c r="AC1464">
        <v>3</v>
      </c>
      <c r="AD1464" t="str">
        <f t="shared" si="45"/>
        <v>Low Performance</v>
      </c>
      <c r="AE1464">
        <v>1</v>
      </c>
      <c r="AF1464">
        <v>80</v>
      </c>
      <c r="AG1464">
        <v>1</v>
      </c>
      <c r="AH1464">
        <v>9</v>
      </c>
      <c r="AI1464">
        <v>5</v>
      </c>
      <c r="AJ1464">
        <v>3</v>
      </c>
      <c r="AK1464" t="str" cm="1">
        <f t="array" ref="AK1464">_xlfn.IFS(AJ1464&lt;=2,"Poor",AJ1464&lt;=3,"Fair",AJ1464&gt;3,"Good")</f>
        <v>Fair</v>
      </c>
      <c r="AL1464">
        <v>7</v>
      </c>
      <c r="AM1464">
        <v>7</v>
      </c>
      <c r="AN1464">
        <v>1</v>
      </c>
      <c r="AO1464">
        <v>7</v>
      </c>
    </row>
    <row r="1465" spans="1:41" x14ac:dyDescent="0.2">
      <c r="A1465">
        <v>1417927</v>
      </c>
      <c r="B1465">
        <v>27</v>
      </c>
      <c r="C1465" t="str" cm="1">
        <f t="array" ref="C1465">_xlfn.IFS(B1465&lt;=25,"15-25",B1465&lt;=35,"26-35",B1465&lt;=45,"36-45",B1465&lt;=55,"46-55",B1465&lt;=65,"56-65")</f>
        <v>26-35</v>
      </c>
      <c r="D1465" t="s">
        <v>35</v>
      </c>
      <c r="E1465" t="str">
        <f t="shared" si="44"/>
        <v>Current Employee</v>
      </c>
      <c r="F1465" t="s">
        <v>36</v>
      </c>
      <c r="G1465">
        <v>155</v>
      </c>
      <c r="H1465" t="s">
        <v>37</v>
      </c>
      <c r="I1465">
        <v>4</v>
      </c>
      <c r="J1465">
        <v>3</v>
      </c>
      <c r="K1465" t="s">
        <v>38</v>
      </c>
      <c r="L1465">
        <v>1</v>
      </c>
      <c r="M1465">
        <v>2</v>
      </c>
      <c r="N1465" t="s">
        <v>46</v>
      </c>
      <c r="O1465">
        <v>87</v>
      </c>
      <c r="P1465">
        <v>4</v>
      </c>
      <c r="Q1465">
        <v>2</v>
      </c>
      <c r="R1465" t="s">
        <v>51</v>
      </c>
      <c r="S1465">
        <v>2</v>
      </c>
      <c r="T1465" t="str" cm="1">
        <f t="array" ref="T1465">_xlfn.IFS(S1465&lt;=2,"Poor",S1465&lt;=3,"Fair",S1465&gt;=4,"Good")</f>
        <v>Poor</v>
      </c>
      <c r="U1465" t="s">
        <v>48</v>
      </c>
      <c r="V1465" s="1">
        <v>6142</v>
      </c>
      <c r="W1465" t="str" cm="1">
        <f t="array" ref="W1465">_xlfn.IFS(V1465&lt;=5000,"Low Salary",V1465&lt;=12000,"Good Salary",V1465&gt;12000,"High Salary")</f>
        <v>Good Salary</v>
      </c>
      <c r="X1465">
        <v>5174</v>
      </c>
      <c r="Y1465">
        <v>1</v>
      </c>
      <c r="Z1465" t="s">
        <v>42</v>
      </c>
      <c r="AA1465" t="s">
        <v>43</v>
      </c>
      <c r="AB1465">
        <v>20</v>
      </c>
      <c r="AC1465">
        <v>4</v>
      </c>
      <c r="AD1465" t="str">
        <f t="shared" si="45"/>
        <v>High Performance</v>
      </c>
      <c r="AE1465">
        <v>2</v>
      </c>
      <c r="AF1465">
        <v>80</v>
      </c>
      <c r="AG1465">
        <v>1</v>
      </c>
      <c r="AH1465">
        <v>6</v>
      </c>
      <c r="AI1465">
        <v>0</v>
      </c>
      <c r="AJ1465">
        <v>3</v>
      </c>
      <c r="AK1465" t="str" cm="1">
        <f t="array" ref="AK1465">_xlfn.IFS(AJ1465&lt;=2,"Poor",AJ1465&lt;=3,"Fair",AJ1465&gt;3,"Good")</f>
        <v>Fair</v>
      </c>
      <c r="AL1465">
        <v>6</v>
      </c>
      <c r="AM1465">
        <v>2</v>
      </c>
      <c r="AN1465">
        <v>0</v>
      </c>
      <c r="AO1465">
        <v>3</v>
      </c>
    </row>
    <row r="1466" spans="1:41" x14ac:dyDescent="0.2">
      <c r="A1466">
        <v>1322645</v>
      </c>
      <c r="B1466">
        <v>49</v>
      </c>
      <c r="C1466" t="str" cm="1">
        <f t="array" ref="C1466">_xlfn.IFS(B1466&lt;=25,"15-25",B1466&lt;=35,"26-35",B1466&lt;=45,"36-45",B1466&lt;=55,"46-55",B1466&lt;=65,"56-65")</f>
        <v>46-55</v>
      </c>
      <c r="D1466" t="s">
        <v>35</v>
      </c>
      <c r="E1466" t="str">
        <f t="shared" si="44"/>
        <v>Current Employee</v>
      </c>
      <c r="F1466" t="s">
        <v>44</v>
      </c>
      <c r="G1466">
        <v>1023</v>
      </c>
      <c r="H1466" t="s">
        <v>37</v>
      </c>
      <c r="I1466">
        <v>2</v>
      </c>
      <c r="J1466">
        <v>3</v>
      </c>
      <c r="K1466" t="s">
        <v>49</v>
      </c>
      <c r="L1466">
        <v>1</v>
      </c>
      <c r="M1466">
        <v>4</v>
      </c>
      <c r="N1466" t="s">
        <v>46</v>
      </c>
      <c r="O1466">
        <v>63</v>
      </c>
      <c r="P1466">
        <v>2</v>
      </c>
      <c r="Q1466">
        <v>2</v>
      </c>
      <c r="R1466" t="s">
        <v>40</v>
      </c>
      <c r="S1466">
        <v>2</v>
      </c>
      <c r="T1466" t="str" cm="1">
        <f t="array" ref="T1466">_xlfn.IFS(S1466&lt;=2,"Poor",S1466&lt;=3,"Fair",S1466&gt;=4,"Good")</f>
        <v>Poor</v>
      </c>
      <c r="U1466" t="s">
        <v>48</v>
      </c>
      <c r="V1466" s="1">
        <v>5390</v>
      </c>
      <c r="W1466" t="str" cm="1">
        <f t="array" ref="W1466">_xlfn.IFS(V1466&lt;=5000,"Low Salary",V1466&lt;=12000,"Good Salary",V1466&gt;12000,"High Salary")</f>
        <v>Good Salary</v>
      </c>
      <c r="X1466">
        <v>13243</v>
      </c>
      <c r="Y1466">
        <v>2</v>
      </c>
      <c r="Z1466" t="s">
        <v>42</v>
      </c>
      <c r="AA1466" t="s">
        <v>35</v>
      </c>
      <c r="AB1466">
        <v>14</v>
      </c>
      <c r="AC1466">
        <v>3</v>
      </c>
      <c r="AD1466" t="str">
        <f t="shared" si="45"/>
        <v>Low Performance</v>
      </c>
      <c r="AE1466">
        <v>4</v>
      </c>
      <c r="AF1466">
        <v>80</v>
      </c>
      <c r="AG1466">
        <v>0</v>
      </c>
      <c r="AH1466">
        <v>17</v>
      </c>
      <c r="AI1466">
        <v>3</v>
      </c>
      <c r="AJ1466">
        <v>2</v>
      </c>
      <c r="AK1466" t="str" cm="1">
        <f t="array" ref="AK1466">_xlfn.IFS(AJ1466&lt;=2,"Poor",AJ1466&lt;=3,"Fair",AJ1466&gt;3,"Good")</f>
        <v>Poor</v>
      </c>
      <c r="AL1466">
        <v>9</v>
      </c>
      <c r="AM1466">
        <v>6</v>
      </c>
      <c r="AN1466">
        <v>0</v>
      </c>
      <c r="AO1466">
        <v>8</v>
      </c>
    </row>
    <row r="1467" spans="1:41" x14ac:dyDescent="0.2">
      <c r="A1467">
        <v>1879510</v>
      </c>
      <c r="B1467">
        <v>34</v>
      </c>
      <c r="C1467" t="str" cm="1">
        <f t="array" ref="C1467">_xlfn.IFS(B1467&lt;=25,"15-25",B1467&lt;=35,"26-35",B1467&lt;=45,"36-45",B1467&lt;=55,"46-55",B1467&lt;=65,"56-65")</f>
        <v>26-35</v>
      </c>
      <c r="D1467" t="s">
        <v>35</v>
      </c>
      <c r="E1467" t="str">
        <f t="shared" si="44"/>
        <v>Current Employee</v>
      </c>
      <c r="F1467" t="s">
        <v>36</v>
      </c>
      <c r="G1467">
        <v>628</v>
      </c>
      <c r="H1467" t="s">
        <v>54</v>
      </c>
      <c r="I1467">
        <v>8</v>
      </c>
      <c r="J1467">
        <v>3</v>
      </c>
      <c r="K1467" t="s">
        <v>49</v>
      </c>
      <c r="L1467">
        <v>1</v>
      </c>
      <c r="M1467">
        <v>2</v>
      </c>
      <c r="N1467" t="s">
        <v>46</v>
      </c>
      <c r="O1467">
        <v>82</v>
      </c>
      <c r="P1467">
        <v>4</v>
      </c>
      <c r="Q1467">
        <v>2</v>
      </c>
      <c r="R1467" t="s">
        <v>40</v>
      </c>
      <c r="S1467">
        <v>3</v>
      </c>
      <c r="T1467" t="str" cm="1">
        <f t="array" ref="T1467">_xlfn.IFS(S1467&lt;=2,"Poor",S1467&lt;=3,"Fair",S1467&gt;=4,"Good")</f>
        <v>Fair</v>
      </c>
      <c r="U1467" t="s">
        <v>48</v>
      </c>
      <c r="V1467" s="1">
        <v>4404</v>
      </c>
      <c r="W1467" t="str" cm="1">
        <f t="array" ref="W1467">_xlfn.IFS(V1467&lt;=5000,"Low Salary",V1467&lt;=12000,"Good Salary",V1467&gt;12000,"High Salary")</f>
        <v>Low Salary</v>
      </c>
      <c r="X1467">
        <v>10228</v>
      </c>
      <c r="Y1467">
        <v>2</v>
      </c>
      <c r="Z1467" t="s">
        <v>42</v>
      </c>
      <c r="AA1467" t="s">
        <v>35</v>
      </c>
      <c r="AB1467">
        <v>12</v>
      </c>
      <c r="AC1467">
        <v>3</v>
      </c>
      <c r="AD1467" t="str">
        <f t="shared" si="45"/>
        <v>Low Performance</v>
      </c>
      <c r="AE1467">
        <v>1</v>
      </c>
      <c r="AF1467">
        <v>80</v>
      </c>
      <c r="AG1467">
        <v>0</v>
      </c>
      <c r="AH1467">
        <v>6</v>
      </c>
      <c r="AI1467">
        <v>3</v>
      </c>
      <c r="AJ1467">
        <v>4</v>
      </c>
      <c r="AK1467" t="str" cm="1">
        <f t="array" ref="AK1467">_xlfn.IFS(AJ1467&lt;=2,"Poor",AJ1467&lt;=3,"Fair",AJ1467&gt;3,"Good")</f>
        <v>Good</v>
      </c>
      <c r="AL1467">
        <v>4</v>
      </c>
      <c r="AM1467">
        <v>3</v>
      </c>
      <c r="AN1467">
        <v>1</v>
      </c>
      <c r="AO1467">
        <v>2</v>
      </c>
    </row>
    <row r="1468" spans="1:41" x14ac:dyDescent="0.2">
      <c r="A1468">
        <v>1345828</v>
      </c>
      <c r="B1468">
        <v>37</v>
      </c>
      <c r="C1468" t="str" cm="1">
        <f t="array" ref="C1468">_xlfn.IFS(B1468&lt;=25,"15-25",B1468&lt;=35,"26-35",B1468&lt;=45,"36-45",B1468&lt;=55,"46-55",B1468&lt;=65,"56-65")</f>
        <v>36-45</v>
      </c>
      <c r="D1468" t="s">
        <v>35</v>
      </c>
      <c r="E1468" t="str">
        <f t="shared" si="44"/>
        <v>Current Employee</v>
      </c>
      <c r="F1468" t="s">
        <v>36</v>
      </c>
      <c r="G1468">
        <v>1115</v>
      </c>
      <c r="H1468" t="s">
        <v>45</v>
      </c>
      <c r="I1468">
        <v>1</v>
      </c>
      <c r="J1468">
        <v>4</v>
      </c>
      <c r="K1468" t="s">
        <v>38</v>
      </c>
      <c r="L1468">
        <v>1</v>
      </c>
      <c r="M1468">
        <v>1</v>
      </c>
      <c r="N1468" t="s">
        <v>46</v>
      </c>
      <c r="O1468">
        <v>51</v>
      </c>
      <c r="P1468">
        <v>2</v>
      </c>
      <c r="Q1468">
        <v>2</v>
      </c>
      <c r="R1468" t="s">
        <v>51</v>
      </c>
      <c r="S1468">
        <v>3</v>
      </c>
      <c r="T1468" t="str" cm="1">
        <f t="array" ref="T1468">_xlfn.IFS(S1468&lt;=2,"Poor",S1468&lt;=3,"Fair",S1468&gt;=4,"Good")</f>
        <v>Fair</v>
      </c>
      <c r="U1468" t="s">
        <v>50</v>
      </c>
      <c r="V1468" s="1">
        <v>5993</v>
      </c>
      <c r="W1468" t="str" cm="1">
        <f t="array" ref="W1468">_xlfn.IFS(V1468&lt;=5000,"Low Salary",V1468&lt;=12000,"Good Salary",V1468&gt;12000,"High Salary")</f>
        <v>Good Salary</v>
      </c>
      <c r="X1468">
        <v>2689</v>
      </c>
      <c r="Y1468">
        <v>1</v>
      </c>
      <c r="Z1468" t="s">
        <v>42</v>
      </c>
      <c r="AA1468" t="s">
        <v>35</v>
      </c>
      <c r="AB1468">
        <v>18</v>
      </c>
      <c r="AC1468">
        <v>3</v>
      </c>
      <c r="AD1468" t="str">
        <f t="shared" si="45"/>
        <v>Low Performance</v>
      </c>
      <c r="AE1468">
        <v>3</v>
      </c>
      <c r="AF1468">
        <v>80</v>
      </c>
      <c r="AG1468">
        <v>1</v>
      </c>
      <c r="AH1468">
        <v>7</v>
      </c>
      <c r="AI1468">
        <v>2</v>
      </c>
      <c r="AJ1468">
        <v>4</v>
      </c>
      <c r="AK1468" t="str" cm="1">
        <f t="array" ref="AK1468">_xlfn.IFS(AJ1468&lt;=2,"Poor",AJ1468&lt;=3,"Fair",AJ1468&gt;3,"Good")</f>
        <v>Good</v>
      </c>
      <c r="AL1468">
        <v>7</v>
      </c>
      <c r="AM1468">
        <v>5</v>
      </c>
      <c r="AN1468">
        <v>0</v>
      </c>
      <c r="AO1468">
        <v>7</v>
      </c>
    </row>
    <row r="1469" spans="1:41" x14ac:dyDescent="0.2">
      <c r="A1469">
        <v>1837461</v>
      </c>
      <c r="B1469">
        <v>40</v>
      </c>
      <c r="C1469" t="str" cm="1">
        <f t="array" ref="C1469">_xlfn.IFS(B1469&lt;=25,"15-25",B1469&lt;=35,"26-35",B1469&lt;=45,"36-45",B1469&lt;=55,"46-55",B1469&lt;=65,"56-65")</f>
        <v>36-45</v>
      </c>
      <c r="D1469" t="s">
        <v>35</v>
      </c>
      <c r="E1469" t="str">
        <f t="shared" si="44"/>
        <v>Current Employee</v>
      </c>
      <c r="F1469" t="s">
        <v>36</v>
      </c>
      <c r="G1469">
        <v>1398</v>
      </c>
      <c r="H1469" t="s">
        <v>37</v>
      </c>
      <c r="I1469">
        <v>2</v>
      </c>
      <c r="J1469">
        <v>4</v>
      </c>
      <c r="K1469" t="s">
        <v>38</v>
      </c>
      <c r="L1469">
        <v>1</v>
      </c>
      <c r="M1469">
        <v>3</v>
      </c>
      <c r="N1469" t="s">
        <v>39</v>
      </c>
      <c r="O1469">
        <v>79</v>
      </c>
      <c r="P1469">
        <v>3</v>
      </c>
      <c r="Q1469">
        <v>5</v>
      </c>
      <c r="R1469" t="s">
        <v>58</v>
      </c>
      <c r="S1469">
        <v>3</v>
      </c>
      <c r="T1469" t="str" cm="1">
        <f t="array" ref="T1469">_xlfn.IFS(S1469&lt;=2,"Poor",S1469&lt;=3,"Fair",S1469&gt;=4,"Good")</f>
        <v>Fair</v>
      </c>
      <c r="U1469" t="s">
        <v>48</v>
      </c>
      <c r="V1469" s="1">
        <v>18041</v>
      </c>
      <c r="W1469" t="str" cm="1">
        <f t="array" ref="W1469">_xlfn.IFS(V1469&lt;=5000,"Low Salary",V1469&lt;=12000,"Good Salary",V1469&gt;12000,"High Salary")</f>
        <v>High Salary</v>
      </c>
      <c r="X1469">
        <v>13022</v>
      </c>
      <c r="Y1469">
        <v>0</v>
      </c>
      <c r="Z1469" t="s">
        <v>42</v>
      </c>
      <c r="AA1469" t="s">
        <v>35</v>
      </c>
      <c r="AB1469">
        <v>14</v>
      </c>
      <c r="AC1469">
        <v>3</v>
      </c>
      <c r="AD1469" t="str">
        <f t="shared" si="45"/>
        <v>Low Performance</v>
      </c>
      <c r="AE1469">
        <v>4</v>
      </c>
      <c r="AF1469">
        <v>80</v>
      </c>
      <c r="AG1469">
        <v>0</v>
      </c>
      <c r="AH1469">
        <v>21</v>
      </c>
      <c r="AI1469">
        <v>2</v>
      </c>
      <c r="AJ1469">
        <v>3</v>
      </c>
      <c r="AK1469" t="str" cm="1">
        <f t="array" ref="AK1469">_xlfn.IFS(AJ1469&lt;=2,"Poor",AJ1469&lt;=3,"Fair",AJ1469&gt;3,"Good")</f>
        <v>Fair</v>
      </c>
      <c r="AL1469">
        <v>20</v>
      </c>
      <c r="AM1469">
        <v>15</v>
      </c>
      <c r="AN1469">
        <v>1</v>
      </c>
      <c r="AO1469">
        <v>12</v>
      </c>
    </row>
    <row r="1470" spans="1:41" x14ac:dyDescent="0.2">
      <c r="A1470">
        <v>1720201</v>
      </c>
      <c r="B1470">
        <v>45</v>
      </c>
      <c r="C1470" t="str" cm="1">
        <f t="array" ref="C1470">_xlfn.IFS(B1470&lt;=25,"15-25",B1470&lt;=35,"26-35",B1470&lt;=45,"36-45",B1470&lt;=55,"46-55",B1470&lt;=65,"56-65")</f>
        <v>36-45</v>
      </c>
      <c r="D1470" t="s">
        <v>35</v>
      </c>
      <c r="E1470" t="str">
        <f t="shared" si="44"/>
        <v>Current Employee</v>
      </c>
      <c r="F1470" t="s">
        <v>36</v>
      </c>
      <c r="G1470">
        <v>1329</v>
      </c>
      <c r="H1470" t="s">
        <v>45</v>
      </c>
      <c r="I1470">
        <v>2</v>
      </c>
      <c r="J1470">
        <v>2</v>
      </c>
      <c r="K1470" t="s">
        <v>47</v>
      </c>
      <c r="L1470">
        <v>1</v>
      </c>
      <c r="M1470">
        <v>4</v>
      </c>
      <c r="N1470" t="s">
        <v>39</v>
      </c>
      <c r="O1470">
        <v>59</v>
      </c>
      <c r="P1470">
        <v>2</v>
      </c>
      <c r="Q1470">
        <v>2</v>
      </c>
      <c r="R1470" t="s">
        <v>51</v>
      </c>
      <c r="S1470">
        <v>4</v>
      </c>
      <c r="T1470" t="str" cm="1">
        <f t="array" ref="T1470">_xlfn.IFS(S1470&lt;=2,"Poor",S1470&lt;=3,"Fair",S1470&gt;=4,"Good")</f>
        <v>Good</v>
      </c>
      <c r="U1470" t="s">
        <v>50</v>
      </c>
      <c r="V1470" s="1">
        <v>5770</v>
      </c>
      <c r="W1470" t="str" cm="1">
        <f t="array" ref="W1470">_xlfn.IFS(V1470&lt;=5000,"Low Salary",V1470&lt;=12000,"Good Salary",V1470&gt;12000,"High Salary")</f>
        <v>Good Salary</v>
      </c>
      <c r="X1470">
        <v>5388</v>
      </c>
      <c r="Y1470">
        <v>1</v>
      </c>
      <c r="Z1470" t="s">
        <v>42</v>
      </c>
      <c r="AA1470" t="s">
        <v>35</v>
      </c>
      <c r="AB1470">
        <v>19</v>
      </c>
      <c r="AC1470">
        <v>3</v>
      </c>
      <c r="AD1470" t="str">
        <f t="shared" si="45"/>
        <v>Low Performance</v>
      </c>
      <c r="AE1470">
        <v>1</v>
      </c>
      <c r="AF1470">
        <v>80</v>
      </c>
      <c r="AG1470">
        <v>2</v>
      </c>
      <c r="AH1470">
        <v>10</v>
      </c>
      <c r="AI1470">
        <v>3</v>
      </c>
      <c r="AJ1470">
        <v>3</v>
      </c>
      <c r="AK1470" t="str" cm="1">
        <f t="array" ref="AK1470">_xlfn.IFS(AJ1470&lt;=2,"Poor",AJ1470&lt;=3,"Fair",AJ1470&gt;3,"Good")</f>
        <v>Fair</v>
      </c>
      <c r="AL1470">
        <v>10</v>
      </c>
      <c r="AM1470">
        <v>7</v>
      </c>
      <c r="AN1470">
        <v>3</v>
      </c>
      <c r="AO1470">
        <v>9</v>
      </c>
    </row>
    <row r="1471" spans="1:41" x14ac:dyDescent="0.2">
      <c r="A1471">
        <v>1566303</v>
      </c>
      <c r="B1471">
        <v>39</v>
      </c>
      <c r="C1471" t="str" cm="1">
        <f t="array" ref="C1471">_xlfn.IFS(B1471&lt;=25,"15-25",B1471&lt;=35,"26-35",B1471&lt;=45,"36-45",B1471&lt;=55,"46-55",B1471&lt;=65,"56-65")</f>
        <v>36-45</v>
      </c>
      <c r="D1471" t="s">
        <v>35</v>
      </c>
      <c r="E1471" t="str">
        <f t="shared" si="44"/>
        <v>Current Employee</v>
      </c>
      <c r="F1471" t="s">
        <v>36</v>
      </c>
      <c r="G1471">
        <v>466</v>
      </c>
      <c r="H1471" t="s">
        <v>45</v>
      </c>
      <c r="I1471">
        <v>1</v>
      </c>
      <c r="J1471">
        <v>1</v>
      </c>
      <c r="K1471" t="s">
        <v>38</v>
      </c>
      <c r="L1471">
        <v>1</v>
      </c>
      <c r="M1471">
        <v>4</v>
      </c>
      <c r="N1471" t="s">
        <v>39</v>
      </c>
      <c r="O1471">
        <v>65</v>
      </c>
      <c r="P1471">
        <v>2</v>
      </c>
      <c r="Q1471">
        <v>4</v>
      </c>
      <c r="R1471" t="s">
        <v>51</v>
      </c>
      <c r="S1471">
        <v>4</v>
      </c>
      <c r="T1471" t="str" cm="1">
        <f t="array" ref="T1471">_xlfn.IFS(S1471&lt;=2,"Poor",S1471&lt;=3,"Fair",S1471&gt;=4,"Good")</f>
        <v>Good</v>
      </c>
      <c r="U1471" t="s">
        <v>48</v>
      </c>
      <c r="V1471" s="1">
        <v>12742</v>
      </c>
      <c r="W1471" t="str" cm="1">
        <f t="array" ref="W1471">_xlfn.IFS(V1471&lt;=5000,"Low Salary",V1471&lt;=12000,"Good Salary",V1471&gt;12000,"High Salary")</f>
        <v>High Salary</v>
      </c>
      <c r="X1471">
        <v>7060</v>
      </c>
      <c r="Y1471">
        <v>1</v>
      </c>
      <c r="Z1471" t="s">
        <v>42</v>
      </c>
      <c r="AA1471" t="s">
        <v>35</v>
      </c>
      <c r="AB1471">
        <v>16</v>
      </c>
      <c r="AC1471">
        <v>3</v>
      </c>
      <c r="AD1471" t="str">
        <f t="shared" si="45"/>
        <v>Low Performance</v>
      </c>
      <c r="AE1471">
        <v>3</v>
      </c>
      <c r="AF1471">
        <v>80</v>
      </c>
      <c r="AG1471">
        <v>1</v>
      </c>
      <c r="AH1471">
        <v>21</v>
      </c>
      <c r="AI1471">
        <v>3</v>
      </c>
      <c r="AJ1471">
        <v>3</v>
      </c>
      <c r="AK1471" t="str" cm="1">
        <f t="array" ref="AK1471">_xlfn.IFS(AJ1471&lt;=2,"Poor",AJ1471&lt;=3,"Fair",AJ1471&gt;3,"Good")</f>
        <v>Fair</v>
      </c>
      <c r="AL1471">
        <v>21</v>
      </c>
      <c r="AM1471">
        <v>6</v>
      </c>
      <c r="AN1471">
        <v>11</v>
      </c>
      <c r="AO1471">
        <v>8</v>
      </c>
    </row>
    <row r="1472" spans="1:41" x14ac:dyDescent="0.2">
      <c r="A1472">
        <v>1108233</v>
      </c>
      <c r="B1472">
        <v>56</v>
      </c>
      <c r="C1472" t="str" cm="1">
        <f t="array" ref="C1472">_xlfn.IFS(B1472&lt;=25,"15-25",B1472&lt;=35,"26-35",B1472&lt;=45,"36-45",B1472&lt;=55,"46-55",B1472&lt;=65,"56-65")</f>
        <v>56-65</v>
      </c>
      <c r="D1472" t="s">
        <v>35</v>
      </c>
      <c r="E1472" t="str">
        <f t="shared" si="44"/>
        <v>Current Employee</v>
      </c>
      <c r="F1472" t="s">
        <v>52</v>
      </c>
      <c r="G1472">
        <v>667</v>
      </c>
      <c r="H1472" t="s">
        <v>45</v>
      </c>
      <c r="I1472">
        <v>1</v>
      </c>
      <c r="J1472">
        <v>4</v>
      </c>
      <c r="K1472" t="s">
        <v>38</v>
      </c>
      <c r="L1472">
        <v>1</v>
      </c>
      <c r="M1472">
        <v>3</v>
      </c>
      <c r="N1472" t="s">
        <v>46</v>
      </c>
      <c r="O1472">
        <v>57</v>
      </c>
      <c r="P1472">
        <v>3</v>
      </c>
      <c r="Q1472">
        <v>2</v>
      </c>
      <c r="R1472" t="s">
        <v>47</v>
      </c>
      <c r="S1472">
        <v>3</v>
      </c>
      <c r="T1472" t="str" cm="1">
        <f t="array" ref="T1472">_xlfn.IFS(S1472&lt;=2,"Poor",S1472&lt;=3,"Fair",S1472&gt;=4,"Good")</f>
        <v>Fair</v>
      </c>
      <c r="U1472" t="s">
        <v>50</v>
      </c>
      <c r="V1472" s="1">
        <v>6306</v>
      </c>
      <c r="W1472" t="str" cm="1">
        <f t="array" ref="W1472">_xlfn.IFS(V1472&lt;=5000,"Low Salary",V1472&lt;=12000,"Good Salary",V1472&gt;12000,"High Salary")</f>
        <v>Good Salary</v>
      </c>
      <c r="X1472">
        <v>26236</v>
      </c>
      <c r="Y1472">
        <v>1</v>
      </c>
      <c r="Z1472" t="s">
        <v>42</v>
      </c>
      <c r="AA1472" t="s">
        <v>35</v>
      </c>
      <c r="AB1472">
        <v>21</v>
      </c>
      <c r="AC1472">
        <v>4</v>
      </c>
      <c r="AD1472" t="str">
        <f t="shared" si="45"/>
        <v>High Performance</v>
      </c>
      <c r="AE1472">
        <v>1</v>
      </c>
      <c r="AF1472">
        <v>80</v>
      </c>
      <c r="AG1472">
        <v>1</v>
      </c>
      <c r="AH1472">
        <v>13</v>
      </c>
      <c r="AI1472">
        <v>2</v>
      </c>
      <c r="AJ1472">
        <v>2</v>
      </c>
      <c r="AK1472" t="str" cm="1">
        <f t="array" ref="AK1472">_xlfn.IFS(AJ1472&lt;=2,"Poor",AJ1472&lt;=3,"Fair",AJ1472&gt;3,"Good")</f>
        <v>Poor</v>
      </c>
      <c r="AL1472">
        <v>13</v>
      </c>
      <c r="AM1472">
        <v>12</v>
      </c>
      <c r="AN1472">
        <v>1</v>
      </c>
      <c r="AO1472">
        <v>9</v>
      </c>
    </row>
    <row r="1473" spans="1:41" x14ac:dyDescent="0.2">
      <c r="A1473">
        <v>1548714</v>
      </c>
      <c r="B1473">
        <v>49</v>
      </c>
      <c r="C1473" t="str" cm="1">
        <f t="array" ref="C1473">_xlfn.IFS(B1473&lt;=25,"15-25",B1473&lt;=35,"26-35",B1473&lt;=45,"36-45",B1473&lt;=55,"46-55",B1473&lt;=65,"56-65")</f>
        <v>46-55</v>
      </c>
      <c r="D1473" t="s">
        <v>35</v>
      </c>
      <c r="E1473" t="str">
        <f t="shared" si="44"/>
        <v>Current Employee</v>
      </c>
      <c r="F1473" t="s">
        <v>36</v>
      </c>
      <c r="G1473">
        <v>1490</v>
      </c>
      <c r="H1473" t="s">
        <v>45</v>
      </c>
      <c r="I1473">
        <v>7</v>
      </c>
      <c r="J1473">
        <v>4</v>
      </c>
      <c r="K1473" t="s">
        <v>38</v>
      </c>
      <c r="L1473">
        <v>1</v>
      </c>
      <c r="M1473">
        <v>3</v>
      </c>
      <c r="N1473" t="s">
        <v>46</v>
      </c>
      <c r="O1473">
        <v>35</v>
      </c>
      <c r="P1473">
        <v>3</v>
      </c>
      <c r="Q1473">
        <v>3</v>
      </c>
      <c r="R1473" t="s">
        <v>47</v>
      </c>
      <c r="S1473">
        <v>2</v>
      </c>
      <c r="T1473" t="str" cm="1">
        <f t="array" ref="T1473">_xlfn.IFS(S1473&lt;=2,"Poor",S1473&lt;=3,"Fair",S1473&gt;=4,"Good")</f>
        <v>Poor</v>
      </c>
      <c r="U1473" t="s">
        <v>50</v>
      </c>
      <c r="V1473" s="1">
        <v>10466</v>
      </c>
      <c r="W1473" t="str" cm="1">
        <f t="array" ref="W1473">_xlfn.IFS(V1473&lt;=5000,"Low Salary",V1473&lt;=12000,"Good Salary",V1473&gt;12000,"High Salary")</f>
        <v>Good Salary</v>
      </c>
      <c r="X1473">
        <v>20948</v>
      </c>
      <c r="Y1473">
        <v>3</v>
      </c>
      <c r="Z1473" t="s">
        <v>42</v>
      </c>
      <c r="AA1473" t="s">
        <v>35</v>
      </c>
      <c r="AB1473">
        <v>14</v>
      </c>
      <c r="AC1473">
        <v>3</v>
      </c>
      <c r="AD1473" t="str">
        <f t="shared" si="45"/>
        <v>Low Performance</v>
      </c>
      <c r="AE1473">
        <v>2</v>
      </c>
      <c r="AF1473">
        <v>80</v>
      </c>
      <c r="AG1473">
        <v>2</v>
      </c>
      <c r="AH1473">
        <v>29</v>
      </c>
      <c r="AI1473">
        <v>3</v>
      </c>
      <c r="AJ1473">
        <v>3</v>
      </c>
      <c r="AK1473" t="str" cm="1">
        <f t="array" ref="AK1473">_xlfn.IFS(AJ1473&lt;=2,"Poor",AJ1473&lt;=3,"Fair",AJ1473&gt;3,"Good")</f>
        <v>Fair</v>
      </c>
      <c r="AL1473">
        <v>8</v>
      </c>
      <c r="AM1473">
        <v>7</v>
      </c>
      <c r="AN1473">
        <v>0</v>
      </c>
      <c r="AO1473">
        <v>7</v>
      </c>
    </row>
    <row r="1474" spans="1:41" x14ac:dyDescent="0.2">
      <c r="A1474">
        <v>1823206</v>
      </c>
      <c r="B1474">
        <v>36</v>
      </c>
      <c r="C1474" t="str" cm="1">
        <f t="array" ref="C1474">_xlfn.IFS(B1474&lt;=25,"15-25",B1474&lt;=35,"26-35",B1474&lt;=45,"36-45",B1474&lt;=55,"46-55",B1474&lt;=65,"56-65")</f>
        <v>36-45</v>
      </c>
      <c r="D1474" t="s">
        <v>35</v>
      </c>
      <c r="E1474" t="str">
        <f t="shared" si="44"/>
        <v>Current Employee</v>
      </c>
      <c r="F1474" t="s">
        <v>36</v>
      </c>
      <c r="G1474">
        <v>711</v>
      </c>
      <c r="H1474" t="s">
        <v>45</v>
      </c>
      <c r="I1474">
        <v>5</v>
      </c>
      <c r="J1474">
        <v>4</v>
      </c>
      <c r="K1474" t="s">
        <v>38</v>
      </c>
      <c r="L1474">
        <v>1</v>
      </c>
      <c r="M1474">
        <v>2</v>
      </c>
      <c r="N1474" t="s">
        <v>39</v>
      </c>
      <c r="O1474">
        <v>42</v>
      </c>
      <c r="P1474">
        <v>3</v>
      </c>
      <c r="Q1474">
        <v>3</v>
      </c>
      <c r="R1474" t="s">
        <v>47</v>
      </c>
      <c r="S1474">
        <v>1</v>
      </c>
      <c r="T1474" t="str" cm="1">
        <f t="array" ref="T1474">_xlfn.IFS(S1474&lt;=2,"Poor",S1474&lt;=3,"Fair",S1474&gt;=4,"Good")</f>
        <v>Poor</v>
      </c>
      <c r="U1474" t="s">
        <v>48</v>
      </c>
      <c r="V1474" s="1">
        <v>8008</v>
      </c>
      <c r="W1474" t="str" cm="1">
        <f t="array" ref="W1474">_xlfn.IFS(V1474&lt;=5000,"Low Salary",V1474&lt;=12000,"Good Salary",V1474&gt;12000,"High Salary")</f>
        <v>Good Salary</v>
      </c>
      <c r="X1474">
        <v>22792</v>
      </c>
      <c r="Y1474">
        <v>4</v>
      </c>
      <c r="Z1474" t="s">
        <v>42</v>
      </c>
      <c r="AA1474" t="s">
        <v>35</v>
      </c>
      <c r="AB1474">
        <v>12</v>
      </c>
      <c r="AC1474">
        <v>3</v>
      </c>
      <c r="AD1474" t="str">
        <f t="shared" si="45"/>
        <v>Low Performance</v>
      </c>
      <c r="AE1474">
        <v>3</v>
      </c>
      <c r="AF1474">
        <v>80</v>
      </c>
      <c r="AG1474">
        <v>2</v>
      </c>
      <c r="AH1474">
        <v>9</v>
      </c>
      <c r="AI1474">
        <v>6</v>
      </c>
      <c r="AJ1474">
        <v>3</v>
      </c>
      <c r="AK1474" t="str" cm="1">
        <f t="array" ref="AK1474">_xlfn.IFS(AJ1474&lt;=2,"Poor",AJ1474&lt;=3,"Fair",AJ1474&gt;3,"Good")</f>
        <v>Fair</v>
      </c>
      <c r="AL1474">
        <v>3</v>
      </c>
      <c r="AM1474">
        <v>2</v>
      </c>
      <c r="AN1474">
        <v>0</v>
      </c>
      <c r="AO1474">
        <v>2</v>
      </c>
    </row>
    <row r="1475" spans="1:41" x14ac:dyDescent="0.2">
      <c r="A1475">
        <v>1464646</v>
      </c>
      <c r="B1475">
        <v>38</v>
      </c>
      <c r="C1475" t="str" cm="1">
        <f t="array" ref="C1475">_xlfn.IFS(B1475&lt;=25,"15-25",B1475&lt;=35,"26-35",B1475&lt;=45,"36-45",B1475&lt;=55,"46-55",B1475&lt;=65,"56-65")</f>
        <v>36-45</v>
      </c>
      <c r="D1475" t="s">
        <v>35</v>
      </c>
      <c r="E1475" t="str">
        <f t="shared" ref="E1475:E1538" si="46">IF(D1475="No","Current Employee","Former Employee")</f>
        <v>Current Employee</v>
      </c>
      <c r="F1475" t="s">
        <v>44</v>
      </c>
      <c r="G1475">
        <v>1189</v>
      </c>
      <c r="H1475" t="s">
        <v>45</v>
      </c>
      <c r="I1475">
        <v>1</v>
      </c>
      <c r="J1475">
        <v>3</v>
      </c>
      <c r="K1475" t="s">
        <v>38</v>
      </c>
      <c r="L1475">
        <v>1</v>
      </c>
      <c r="M1475">
        <v>4</v>
      </c>
      <c r="N1475" t="s">
        <v>46</v>
      </c>
      <c r="O1475">
        <v>90</v>
      </c>
      <c r="P1475">
        <v>3</v>
      </c>
      <c r="Q1475">
        <v>2</v>
      </c>
      <c r="R1475" t="s">
        <v>40</v>
      </c>
      <c r="S1475">
        <v>4</v>
      </c>
      <c r="T1475" t="str" cm="1">
        <f t="array" ref="T1475">_xlfn.IFS(S1475&lt;=2,"Poor",S1475&lt;=3,"Fair",S1475&gt;=4,"Good")</f>
        <v>Good</v>
      </c>
      <c r="U1475" t="s">
        <v>48</v>
      </c>
      <c r="V1475" s="1">
        <v>4735</v>
      </c>
      <c r="W1475" t="str" cm="1">
        <f t="array" ref="W1475">_xlfn.IFS(V1475&lt;=5000,"Low Salary",V1475&lt;=12000,"Good Salary",V1475&gt;12000,"High Salary")</f>
        <v>Low Salary</v>
      </c>
      <c r="X1475">
        <v>9867</v>
      </c>
      <c r="Y1475">
        <v>7</v>
      </c>
      <c r="Z1475" t="s">
        <v>42</v>
      </c>
      <c r="AA1475" t="s">
        <v>35</v>
      </c>
      <c r="AB1475">
        <v>15</v>
      </c>
      <c r="AC1475">
        <v>3</v>
      </c>
      <c r="AD1475" t="str">
        <f t="shared" ref="AD1475:AD1538" si="47">IF(AC1475&lt;=3,"Low Performance","High Performance")</f>
        <v>Low Performance</v>
      </c>
      <c r="AE1475">
        <v>4</v>
      </c>
      <c r="AF1475">
        <v>80</v>
      </c>
      <c r="AG1475">
        <v>2</v>
      </c>
      <c r="AH1475">
        <v>19</v>
      </c>
      <c r="AI1475">
        <v>4</v>
      </c>
      <c r="AJ1475">
        <v>4</v>
      </c>
      <c r="AK1475" t="str" cm="1">
        <f t="array" ref="AK1475">_xlfn.IFS(AJ1475&lt;=2,"Poor",AJ1475&lt;=3,"Fair",AJ1475&gt;3,"Good")</f>
        <v>Good</v>
      </c>
      <c r="AL1475">
        <v>13</v>
      </c>
      <c r="AM1475">
        <v>11</v>
      </c>
      <c r="AN1475">
        <v>2</v>
      </c>
      <c r="AO1475">
        <v>9</v>
      </c>
    </row>
    <row r="1476" spans="1:41" x14ac:dyDescent="0.2">
      <c r="A1476">
        <v>1118938</v>
      </c>
      <c r="B1476">
        <v>53</v>
      </c>
      <c r="C1476" t="str" cm="1">
        <f t="array" ref="C1476">_xlfn.IFS(B1476&lt;=25,"15-25",B1476&lt;=35,"26-35",B1476&lt;=45,"36-45",B1476&lt;=55,"46-55",B1476&lt;=65,"56-65")</f>
        <v>46-55</v>
      </c>
      <c r="D1476" t="s">
        <v>35</v>
      </c>
      <c r="E1476" t="str">
        <f t="shared" si="46"/>
        <v>Current Employee</v>
      </c>
      <c r="F1476" t="s">
        <v>36</v>
      </c>
      <c r="G1476">
        <v>607</v>
      </c>
      <c r="H1476" t="s">
        <v>45</v>
      </c>
      <c r="I1476">
        <v>2</v>
      </c>
      <c r="J1476">
        <v>5</v>
      </c>
      <c r="K1476" t="s">
        <v>56</v>
      </c>
      <c r="L1476">
        <v>1</v>
      </c>
      <c r="M1476">
        <v>3</v>
      </c>
      <c r="N1476" t="s">
        <v>39</v>
      </c>
      <c r="O1476">
        <v>78</v>
      </c>
      <c r="P1476">
        <v>2</v>
      </c>
      <c r="Q1476">
        <v>3</v>
      </c>
      <c r="R1476" t="s">
        <v>51</v>
      </c>
      <c r="S1476">
        <v>4</v>
      </c>
      <c r="T1476" t="str" cm="1">
        <f t="array" ref="T1476">_xlfn.IFS(S1476&lt;=2,"Poor",S1476&lt;=3,"Fair",S1476&gt;=4,"Good")</f>
        <v>Good</v>
      </c>
      <c r="U1476" t="s">
        <v>48</v>
      </c>
      <c r="V1476" s="1">
        <v>10169</v>
      </c>
      <c r="W1476" t="str" cm="1">
        <f t="array" ref="W1476">_xlfn.IFS(V1476&lt;=5000,"Low Salary",V1476&lt;=12000,"Good Salary",V1476&gt;12000,"High Salary")</f>
        <v>Good Salary</v>
      </c>
      <c r="X1476">
        <v>14618</v>
      </c>
      <c r="Y1476">
        <v>0</v>
      </c>
      <c r="Z1476" t="s">
        <v>42</v>
      </c>
      <c r="AA1476" t="s">
        <v>35</v>
      </c>
      <c r="AB1476">
        <v>16</v>
      </c>
      <c r="AC1476">
        <v>3</v>
      </c>
      <c r="AD1476" t="str">
        <f t="shared" si="47"/>
        <v>Low Performance</v>
      </c>
      <c r="AE1476">
        <v>2</v>
      </c>
      <c r="AF1476">
        <v>80</v>
      </c>
      <c r="AG1476">
        <v>1</v>
      </c>
      <c r="AH1476">
        <v>34</v>
      </c>
      <c r="AI1476">
        <v>4</v>
      </c>
      <c r="AJ1476">
        <v>3</v>
      </c>
      <c r="AK1476" t="str" cm="1">
        <f t="array" ref="AK1476">_xlfn.IFS(AJ1476&lt;=2,"Poor",AJ1476&lt;=3,"Fair",AJ1476&gt;3,"Good")</f>
        <v>Fair</v>
      </c>
      <c r="AL1476">
        <v>33</v>
      </c>
      <c r="AM1476">
        <v>7</v>
      </c>
      <c r="AN1476">
        <v>1</v>
      </c>
      <c r="AO1476">
        <v>9</v>
      </c>
    </row>
    <row r="1477" spans="1:41" x14ac:dyDescent="0.2">
      <c r="A1477">
        <v>1266767</v>
      </c>
      <c r="B1477">
        <v>36</v>
      </c>
      <c r="C1477" t="str" cm="1">
        <f t="array" ref="C1477">_xlfn.IFS(B1477&lt;=25,"15-25",B1477&lt;=35,"26-35",B1477&lt;=45,"36-45",B1477&lt;=55,"46-55",B1477&lt;=65,"56-65")</f>
        <v>36-45</v>
      </c>
      <c r="D1477" t="s">
        <v>35</v>
      </c>
      <c r="E1477" t="str">
        <f t="shared" si="46"/>
        <v>Current Employee</v>
      </c>
      <c r="F1477" t="s">
        <v>52</v>
      </c>
      <c r="G1477">
        <v>1229</v>
      </c>
      <c r="H1477" t="s">
        <v>37</v>
      </c>
      <c r="I1477">
        <v>8</v>
      </c>
      <c r="J1477">
        <v>4</v>
      </c>
      <c r="K1477" t="s">
        <v>56</v>
      </c>
      <c r="L1477">
        <v>1</v>
      </c>
      <c r="M1477">
        <v>1</v>
      </c>
      <c r="N1477" t="s">
        <v>46</v>
      </c>
      <c r="O1477">
        <v>84</v>
      </c>
      <c r="P1477">
        <v>3</v>
      </c>
      <c r="Q1477">
        <v>2</v>
      </c>
      <c r="R1477" t="s">
        <v>40</v>
      </c>
      <c r="S1477">
        <v>4</v>
      </c>
      <c r="T1477" t="str" cm="1">
        <f t="array" ref="T1477">_xlfn.IFS(S1477&lt;=2,"Poor",S1477&lt;=3,"Fair",S1477&gt;=4,"Good")</f>
        <v>Good</v>
      </c>
      <c r="U1477" t="s">
        <v>50</v>
      </c>
      <c r="V1477" s="1">
        <v>5079</v>
      </c>
      <c r="W1477" t="str" cm="1">
        <f t="array" ref="W1477">_xlfn.IFS(V1477&lt;=5000,"Low Salary",V1477&lt;=12000,"Good Salary",V1477&gt;12000,"High Salary")</f>
        <v>Good Salary</v>
      </c>
      <c r="X1477">
        <v>25952</v>
      </c>
      <c r="Y1477">
        <v>4</v>
      </c>
      <c r="Z1477" t="s">
        <v>42</v>
      </c>
      <c r="AA1477" t="s">
        <v>35</v>
      </c>
      <c r="AB1477">
        <v>13</v>
      </c>
      <c r="AC1477">
        <v>3</v>
      </c>
      <c r="AD1477" t="str">
        <f t="shared" si="47"/>
        <v>Low Performance</v>
      </c>
      <c r="AE1477">
        <v>4</v>
      </c>
      <c r="AF1477">
        <v>80</v>
      </c>
      <c r="AG1477">
        <v>2</v>
      </c>
      <c r="AH1477">
        <v>12</v>
      </c>
      <c r="AI1477">
        <v>3</v>
      </c>
      <c r="AJ1477">
        <v>3</v>
      </c>
      <c r="AK1477" t="str" cm="1">
        <f t="array" ref="AK1477">_xlfn.IFS(AJ1477&lt;=2,"Poor",AJ1477&lt;=3,"Fair",AJ1477&gt;3,"Good")</f>
        <v>Fair</v>
      </c>
      <c r="AL1477">
        <v>7</v>
      </c>
      <c r="AM1477">
        <v>7</v>
      </c>
      <c r="AN1477">
        <v>0</v>
      </c>
      <c r="AO1477">
        <v>7</v>
      </c>
    </row>
    <row r="1478" spans="1:41" x14ac:dyDescent="0.2">
      <c r="A1478">
        <v>1432515</v>
      </c>
      <c r="B1478">
        <v>40</v>
      </c>
      <c r="C1478" t="str" cm="1">
        <f t="array" ref="C1478">_xlfn.IFS(B1478&lt;=25,"15-25",B1478&lt;=35,"26-35",B1478&lt;=45,"36-45",B1478&lt;=55,"46-55",B1478&lt;=65,"56-65")</f>
        <v>36-45</v>
      </c>
      <c r="D1478" t="s">
        <v>35</v>
      </c>
      <c r="E1478" t="str">
        <f t="shared" si="46"/>
        <v>Current Employee</v>
      </c>
      <c r="F1478" t="s">
        <v>44</v>
      </c>
      <c r="G1478">
        <v>791</v>
      </c>
      <c r="H1478" t="s">
        <v>45</v>
      </c>
      <c r="I1478">
        <v>2</v>
      </c>
      <c r="J1478">
        <v>2</v>
      </c>
      <c r="K1478" t="s">
        <v>49</v>
      </c>
      <c r="L1478">
        <v>1</v>
      </c>
      <c r="M1478">
        <v>3</v>
      </c>
      <c r="N1478" t="s">
        <v>39</v>
      </c>
      <c r="O1478">
        <v>38</v>
      </c>
      <c r="P1478">
        <v>4</v>
      </c>
      <c r="Q1478">
        <v>2</v>
      </c>
      <c r="R1478" t="s">
        <v>47</v>
      </c>
      <c r="S1478">
        <v>2</v>
      </c>
      <c r="T1478" t="str" cm="1">
        <f t="array" ref="T1478">_xlfn.IFS(S1478&lt;=2,"Poor",S1478&lt;=3,"Fair",S1478&gt;=4,"Good")</f>
        <v>Poor</v>
      </c>
      <c r="U1478" t="s">
        <v>48</v>
      </c>
      <c r="V1478" s="1">
        <v>4244</v>
      </c>
      <c r="W1478" t="str" cm="1">
        <f t="array" ref="W1478">_xlfn.IFS(V1478&lt;=5000,"Low Salary",V1478&lt;=12000,"Good Salary",V1478&gt;12000,"High Salary")</f>
        <v>Low Salary</v>
      </c>
      <c r="X1478">
        <v>9931</v>
      </c>
      <c r="Y1478">
        <v>1</v>
      </c>
      <c r="Z1478" t="s">
        <v>42</v>
      </c>
      <c r="AA1478" t="s">
        <v>35</v>
      </c>
      <c r="AB1478">
        <v>24</v>
      </c>
      <c r="AC1478">
        <v>4</v>
      </c>
      <c r="AD1478" t="str">
        <f t="shared" si="47"/>
        <v>High Performance</v>
      </c>
      <c r="AE1478">
        <v>4</v>
      </c>
      <c r="AF1478">
        <v>80</v>
      </c>
      <c r="AG1478">
        <v>1</v>
      </c>
      <c r="AH1478">
        <v>8</v>
      </c>
      <c r="AI1478">
        <v>2</v>
      </c>
      <c r="AJ1478">
        <v>3</v>
      </c>
      <c r="AK1478" t="str" cm="1">
        <f t="array" ref="AK1478">_xlfn.IFS(AJ1478&lt;=2,"Poor",AJ1478&lt;=3,"Fair",AJ1478&gt;3,"Good")</f>
        <v>Fair</v>
      </c>
      <c r="AL1478">
        <v>8</v>
      </c>
      <c r="AM1478">
        <v>7</v>
      </c>
      <c r="AN1478">
        <v>3</v>
      </c>
      <c r="AO1478">
        <v>7</v>
      </c>
    </row>
    <row r="1479" spans="1:41" x14ac:dyDescent="0.2">
      <c r="A1479">
        <v>1440199</v>
      </c>
      <c r="B1479">
        <v>24</v>
      </c>
      <c r="C1479" t="str" cm="1">
        <f t="array" ref="C1479">_xlfn.IFS(B1479&lt;=25,"15-25",B1479&lt;=35,"26-35",B1479&lt;=45,"36-45",B1479&lt;=55,"46-55",B1479&lt;=65,"56-65")</f>
        <v>15-25</v>
      </c>
      <c r="D1479" t="s">
        <v>35</v>
      </c>
      <c r="E1479" t="str">
        <f t="shared" si="46"/>
        <v>Current Employee</v>
      </c>
      <c r="F1479" t="s">
        <v>36</v>
      </c>
      <c r="G1479">
        <v>1206</v>
      </c>
      <c r="H1479" t="s">
        <v>45</v>
      </c>
      <c r="I1479">
        <v>17</v>
      </c>
      <c r="J1479">
        <v>1</v>
      </c>
      <c r="K1479" t="s">
        <v>49</v>
      </c>
      <c r="L1479">
        <v>1</v>
      </c>
      <c r="M1479">
        <v>4</v>
      </c>
      <c r="N1479" t="s">
        <v>39</v>
      </c>
      <c r="O1479">
        <v>41</v>
      </c>
      <c r="P1479">
        <v>2</v>
      </c>
      <c r="Q1479">
        <v>2</v>
      </c>
      <c r="R1479" t="s">
        <v>51</v>
      </c>
      <c r="S1479">
        <v>3</v>
      </c>
      <c r="T1479" t="str" cm="1">
        <f t="array" ref="T1479">_xlfn.IFS(S1479&lt;=2,"Poor",S1479&lt;=3,"Fair",S1479&gt;=4,"Good")</f>
        <v>Fair</v>
      </c>
      <c r="U1479" t="s">
        <v>50</v>
      </c>
      <c r="V1479" s="1">
        <v>4377</v>
      </c>
      <c r="W1479" t="str" cm="1">
        <f t="array" ref="W1479">_xlfn.IFS(V1479&lt;=5000,"Low Salary",V1479&lt;=12000,"Good Salary",V1479&gt;12000,"High Salary")</f>
        <v>Low Salary</v>
      </c>
      <c r="X1479">
        <v>24117</v>
      </c>
      <c r="Y1479">
        <v>1</v>
      </c>
      <c r="Z1479" t="s">
        <v>42</v>
      </c>
      <c r="AA1479" t="s">
        <v>35</v>
      </c>
      <c r="AB1479">
        <v>15</v>
      </c>
      <c r="AC1479">
        <v>3</v>
      </c>
      <c r="AD1479" t="str">
        <f t="shared" si="47"/>
        <v>Low Performance</v>
      </c>
      <c r="AE1479">
        <v>2</v>
      </c>
      <c r="AF1479">
        <v>80</v>
      </c>
      <c r="AG1479">
        <v>2</v>
      </c>
      <c r="AH1479">
        <v>5</v>
      </c>
      <c r="AI1479">
        <v>6</v>
      </c>
      <c r="AJ1479">
        <v>3</v>
      </c>
      <c r="AK1479" t="str" cm="1">
        <f t="array" ref="AK1479">_xlfn.IFS(AJ1479&lt;=2,"Poor",AJ1479&lt;=3,"Fair",AJ1479&gt;3,"Good")</f>
        <v>Fair</v>
      </c>
      <c r="AL1479">
        <v>4</v>
      </c>
      <c r="AM1479">
        <v>2</v>
      </c>
      <c r="AN1479">
        <v>3</v>
      </c>
      <c r="AO1479">
        <v>2</v>
      </c>
    </row>
    <row r="1480" spans="1:41" x14ac:dyDescent="0.2">
      <c r="A1480">
        <v>1449468</v>
      </c>
      <c r="B1480">
        <v>41</v>
      </c>
      <c r="C1480" t="str" cm="1">
        <f t="array" ref="C1480">_xlfn.IFS(B1480&lt;=25,"15-25",B1480&lt;=35,"26-35",B1480&lt;=45,"36-45",B1480&lt;=55,"46-55",B1480&lt;=65,"56-65")</f>
        <v>36-45</v>
      </c>
      <c r="D1480" t="s">
        <v>35</v>
      </c>
      <c r="E1480" t="str">
        <f t="shared" si="46"/>
        <v>Current Employee</v>
      </c>
      <c r="F1480" t="s">
        <v>36</v>
      </c>
      <c r="G1480">
        <v>314</v>
      </c>
      <c r="H1480" t="s">
        <v>54</v>
      </c>
      <c r="I1480">
        <v>1</v>
      </c>
      <c r="J1480">
        <v>3</v>
      </c>
      <c r="K1480" t="s">
        <v>57</v>
      </c>
      <c r="L1480">
        <v>1</v>
      </c>
      <c r="M1480">
        <v>4</v>
      </c>
      <c r="N1480" t="s">
        <v>46</v>
      </c>
      <c r="O1480">
        <v>59</v>
      </c>
      <c r="P1480">
        <v>2</v>
      </c>
      <c r="Q1480">
        <v>5</v>
      </c>
      <c r="R1480" t="s">
        <v>58</v>
      </c>
      <c r="S1480">
        <v>3</v>
      </c>
      <c r="T1480" t="str" cm="1">
        <f t="array" ref="T1480">_xlfn.IFS(S1480&lt;=2,"Poor",S1480&lt;=3,"Fair",S1480&gt;=4,"Good")</f>
        <v>Fair</v>
      </c>
      <c r="U1480" t="s">
        <v>48</v>
      </c>
      <c r="V1480" s="1">
        <v>19189</v>
      </c>
      <c r="W1480" t="str" cm="1">
        <f t="array" ref="W1480">_xlfn.IFS(V1480&lt;=5000,"Low Salary",V1480&lt;=12000,"Good Salary",V1480&gt;12000,"High Salary")</f>
        <v>High Salary</v>
      </c>
      <c r="X1480">
        <v>19562</v>
      </c>
      <c r="Y1480">
        <v>1</v>
      </c>
      <c r="Z1480" t="s">
        <v>42</v>
      </c>
      <c r="AA1480" t="s">
        <v>35</v>
      </c>
      <c r="AB1480">
        <v>12</v>
      </c>
      <c r="AC1480">
        <v>3</v>
      </c>
      <c r="AD1480" t="str">
        <f t="shared" si="47"/>
        <v>Low Performance</v>
      </c>
      <c r="AE1480">
        <v>2</v>
      </c>
      <c r="AF1480">
        <v>80</v>
      </c>
      <c r="AG1480">
        <v>1</v>
      </c>
      <c r="AH1480">
        <v>22</v>
      </c>
      <c r="AI1480">
        <v>3</v>
      </c>
      <c r="AJ1480">
        <v>3</v>
      </c>
      <c r="AK1480" t="str" cm="1">
        <f t="array" ref="AK1480">_xlfn.IFS(AJ1480&lt;=2,"Poor",AJ1480&lt;=3,"Fair",AJ1480&gt;3,"Good")</f>
        <v>Fair</v>
      </c>
      <c r="AL1480">
        <v>22</v>
      </c>
      <c r="AM1480">
        <v>7</v>
      </c>
      <c r="AN1480">
        <v>2</v>
      </c>
      <c r="AO1480">
        <v>10</v>
      </c>
    </row>
    <row r="1481" spans="1:41" x14ac:dyDescent="0.2">
      <c r="A1481">
        <v>1308741</v>
      </c>
      <c r="B1481">
        <v>32</v>
      </c>
      <c r="C1481" t="str" cm="1">
        <f t="array" ref="C1481">_xlfn.IFS(B1481&lt;=25,"15-25",B1481&lt;=35,"26-35",B1481&lt;=45,"36-45",B1481&lt;=55,"46-55",B1481&lt;=65,"56-65")</f>
        <v>26-35</v>
      </c>
      <c r="D1481" t="s">
        <v>35</v>
      </c>
      <c r="E1481" t="str">
        <f t="shared" si="46"/>
        <v>Current Employee</v>
      </c>
      <c r="F1481" t="s">
        <v>36</v>
      </c>
      <c r="G1481">
        <v>1018</v>
      </c>
      <c r="H1481" t="s">
        <v>54</v>
      </c>
      <c r="I1481">
        <v>3</v>
      </c>
      <c r="J1481">
        <v>2</v>
      </c>
      <c r="K1481" t="s">
        <v>38</v>
      </c>
      <c r="L1481">
        <v>1</v>
      </c>
      <c r="M1481">
        <v>3</v>
      </c>
      <c r="N1481" t="s">
        <v>39</v>
      </c>
      <c r="O1481">
        <v>39</v>
      </c>
      <c r="P1481">
        <v>3</v>
      </c>
      <c r="Q1481">
        <v>3</v>
      </c>
      <c r="R1481" t="s">
        <v>51</v>
      </c>
      <c r="S1481">
        <v>4</v>
      </c>
      <c r="T1481" t="str" cm="1">
        <f t="array" ref="T1481">_xlfn.IFS(S1481&lt;=2,"Poor",S1481&lt;=3,"Fair",S1481&gt;=4,"Good")</f>
        <v>Good</v>
      </c>
      <c r="U1481" t="s">
        <v>41</v>
      </c>
      <c r="V1481" s="1">
        <v>11159</v>
      </c>
      <c r="W1481" t="str" cm="1">
        <f t="array" ref="W1481">_xlfn.IFS(V1481&lt;=5000,"Low Salary",V1481&lt;=12000,"Good Salary",V1481&gt;12000,"High Salary")</f>
        <v>Good Salary</v>
      </c>
      <c r="X1481">
        <v>19373</v>
      </c>
      <c r="Y1481">
        <v>3</v>
      </c>
      <c r="Z1481" t="s">
        <v>42</v>
      </c>
      <c r="AA1481" t="s">
        <v>35</v>
      </c>
      <c r="AB1481">
        <v>15</v>
      </c>
      <c r="AC1481">
        <v>3</v>
      </c>
      <c r="AD1481" t="str">
        <f t="shared" si="47"/>
        <v>Low Performance</v>
      </c>
      <c r="AE1481">
        <v>4</v>
      </c>
      <c r="AF1481">
        <v>80</v>
      </c>
      <c r="AG1481">
        <v>0</v>
      </c>
      <c r="AH1481">
        <v>10</v>
      </c>
      <c r="AI1481">
        <v>6</v>
      </c>
      <c r="AJ1481">
        <v>3</v>
      </c>
      <c r="AK1481" t="str" cm="1">
        <f t="array" ref="AK1481">_xlfn.IFS(AJ1481&lt;=2,"Poor",AJ1481&lt;=3,"Fair",AJ1481&gt;3,"Good")</f>
        <v>Fair</v>
      </c>
      <c r="AL1481">
        <v>7</v>
      </c>
      <c r="AM1481">
        <v>7</v>
      </c>
      <c r="AN1481">
        <v>7</v>
      </c>
      <c r="AO1481">
        <v>7</v>
      </c>
    </row>
    <row r="1482" spans="1:41" x14ac:dyDescent="0.2">
      <c r="A1482">
        <v>1117655</v>
      </c>
      <c r="B1482">
        <v>54</v>
      </c>
      <c r="C1482" t="str" cm="1">
        <f t="array" ref="C1482">_xlfn.IFS(B1482&lt;=25,"15-25",B1482&lt;=35,"26-35",B1482&lt;=45,"36-45",B1482&lt;=55,"46-55",B1482&lt;=65,"56-65")</f>
        <v>46-55</v>
      </c>
      <c r="D1482" t="s">
        <v>35</v>
      </c>
      <c r="E1482" t="str">
        <f t="shared" si="46"/>
        <v>Current Employee</v>
      </c>
      <c r="F1482" t="s">
        <v>36</v>
      </c>
      <c r="G1482">
        <v>685</v>
      </c>
      <c r="H1482" t="s">
        <v>54</v>
      </c>
      <c r="I1482">
        <v>3</v>
      </c>
      <c r="J1482">
        <v>3</v>
      </c>
      <c r="K1482" t="s">
        <v>38</v>
      </c>
      <c r="L1482">
        <v>1</v>
      </c>
      <c r="M1482">
        <v>4</v>
      </c>
      <c r="N1482" t="s">
        <v>46</v>
      </c>
      <c r="O1482">
        <v>85</v>
      </c>
      <c r="P1482">
        <v>3</v>
      </c>
      <c r="Q1482">
        <v>4</v>
      </c>
      <c r="R1482" t="s">
        <v>51</v>
      </c>
      <c r="S1482">
        <v>4</v>
      </c>
      <c r="T1482" t="str" cm="1">
        <f t="array" ref="T1482">_xlfn.IFS(S1482&lt;=2,"Poor",S1482&lt;=3,"Fair",S1482&gt;=4,"Good")</f>
        <v>Good</v>
      </c>
      <c r="U1482" t="s">
        <v>48</v>
      </c>
      <c r="V1482" s="1">
        <v>17779</v>
      </c>
      <c r="W1482" t="str" cm="1">
        <f t="array" ref="W1482">_xlfn.IFS(V1482&lt;=5000,"Low Salary",V1482&lt;=12000,"Good Salary",V1482&gt;12000,"High Salary")</f>
        <v>High Salary</v>
      </c>
      <c r="X1482">
        <v>23474</v>
      </c>
      <c r="Y1482">
        <v>3</v>
      </c>
      <c r="Z1482" t="s">
        <v>42</v>
      </c>
      <c r="AA1482" t="s">
        <v>35</v>
      </c>
      <c r="AB1482">
        <v>14</v>
      </c>
      <c r="AC1482">
        <v>3</v>
      </c>
      <c r="AD1482" t="str">
        <f t="shared" si="47"/>
        <v>Low Performance</v>
      </c>
      <c r="AE1482">
        <v>1</v>
      </c>
      <c r="AF1482">
        <v>80</v>
      </c>
      <c r="AG1482">
        <v>0</v>
      </c>
      <c r="AH1482">
        <v>36</v>
      </c>
      <c r="AI1482">
        <v>2</v>
      </c>
      <c r="AJ1482">
        <v>3</v>
      </c>
      <c r="AK1482" t="str" cm="1">
        <f t="array" ref="AK1482">_xlfn.IFS(AJ1482&lt;=2,"Poor",AJ1482&lt;=3,"Fair",AJ1482&gt;3,"Good")</f>
        <v>Fair</v>
      </c>
      <c r="AL1482">
        <v>10</v>
      </c>
      <c r="AM1482">
        <v>9</v>
      </c>
      <c r="AN1482">
        <v>0</v>
      </c>
      <c r="AO1482">
        <v>9</v>
      </c>
    </row>
    <row r="1483" spans="1:41" x14ac:dyDescent="0.2">
      <c r="A1483">
        <v>1439166</v>
      </c>
      <c r="B1483">
        <v>40</v>
      </c>
      <c r="C1483" t="str" cm="1">
        <f t="array" ref="C1483">_xlfn.IFS(B1483&lt;=25,"15-25",B1483&lt;=35,"26-35",B1483&lt;=45,"36-45",B1483&lt;=55,"46-55",B1483&lt;=65,"56-65")</f>
        <v>36-45</v>
      </c>
      <c r="D1483" t="s">
        <v>35</v>
      </c>
      <c r="E1483" t="str">
        <f t="shared" si="46"/>
        <v>Current Employee</v>
      </c>
      <c r="F1483" t="s">
        <v>36</v>
      </c>
      <c r="G1483">
        <v>444</v>
      </c>
      <c r="H1483" t="s">
        <v>37</v>
      </c>
      <c r="I1483">
        <v>2</v>
      </c>
      <c r="J1483">
        <v>2</v>
      </c>
      <c r="K1483" t="s">
        <v>55</v>
      </c>
      <c r="L1483">
        <v>1</v>
      </c>
      <c r="M1483">
        <v>2</v>
      </c>
      <c r="N1483" t="s">
        <v>39</v>
      </c>
      <c r="O1483">
        <v>92</v>
      </c>
      <c r="P1483">
        <v>3</v>
      </c>
      <c r="Q1483">
        <v>2</v>
      </c>
      <c r="R1483" t="s">
        <v>40</v>
      </c>
      <c r="S1483">
        <v>2</v>
      </c>
      <c r="T1483" t="str" cm="1">
        <f t="array" ref="T1483">_xlfn.IFS(S1483&lt;=2,"Poor",S1483&lt;=3,"Fair",S1483&gt;=4,"Good")</f>
        <v>Poor</v>
      </c>
      <c r="U1483" t="s">
        <v>48</v>
      </c>
      <c r="V1483" s="1">
        <v>5677</v>
      </c>
      <c r="W1483" t="str" cm="1">
        <f t="array" ref="W1483">_xlfn.IFS(V1483&lt;=5000,"Low Salary",V1483&lt;=12000,"Good Salary",V1483&gt;12000,"High Salary")</f>
        <v>Good Salary</v>
      </c>
      <c r="X1483">
        <v>4258</v>
      </c>
      <c r="Y1483">
        <v>3</v>
      </c>
      <c r="Z1483" t="s">
        <v>42</v>
      </c>
      <c r="AA1483" t="s">
        <v>35</v>
      </c>
      <c r="AB1483">
        <v>14</v>
      </c>
      <c r="AC1483">
        <v>3</v>
      </c>
      <c r="AD1483" t="str">
        <f t="shared" si="47"/>
        <v>Low Performance</v>
      </c>
      <c r="AE1483">
        <v>3</v>
      </c>
      <c r="AF1483">
        <v>80</v>
      </c>
      <c r="AG1483">
        <v>1</v>
      </c>
      <c r="AH1483">
        <v>15</v>
      </c>
      <c r="AI1483">
        <v>4</v>
      </c>
      <c r="AJ1483">
        <v>3</v>
      </c>
      <c r="AK1483" t="str" cm="1">
        <f t="array" ref="AK1483">_xlfn.IFS(AJ1483&lt;=2,"Poor",AJ1483&lt;=3,"Fair",AJ1483&gt;3,"Good")</f>
        <v>Fair</v>
      </c>
      <c r="AL1483">
        <v>11</v>
      </c>
      <c r="AM1483">
        <v>8</v>
      </c>
      <c r="AN1483">
        <v>5</v>
      </c>
      <c r="AO1483">
        <v>10</v>
      </c>
    </row>
    <row r="1484" spans="1:41" x14ac:dyDescent="0.2">
      <c r="A1484">
        <v>1141471</v>
      </c>
      <c r="B1484">
        <v>43</v>
      </c>
      <c r="C1484" t="str" cm="1">
        <f t="array" ref="C1484">_xlfn.IFS(B1484&lt;=25,"15-25",B1484&lt;=35,"26-35",B1484&lt;=45,"36-45",B1484&lt;=55,"46-55",B1484&lt;=65,"56-65")</f>
        <v>36-45</v>
      </c>
      <c r="D1484" t="s">
        <v>35</v>
      </c>
      <c r="E1484" t="str">
        <f t="shared" si="46"/>
        <v>Current Employee</v>
      </c>
      <c r="F1484" t="s">
        <v>36</v>
      </c>
      <c r="G1484">
        <v>1291</v>
      </c>
      <c r="H1484" t="s">
        <v>54</v>
      </c>
      <c r="I1484">
        <v>15</v>
      </c>
      <c r="J1484">
        <v>2</v>
      </c>
      <c r="K1484" t="s">
        <v>38</v>
      </c>
      <c r="L1484">
        <v>1</v>
      </c>
      <c r="M1484">
        <v>3</v>
      </c>
      <c r="N1484" t="s">
        <v>46</v>
      </c>
      <c r="O1484">
        <v>65</v>
      </c>
      <c r="P1484">
        <v>2</v>
      </c>
      <c r="Q1484">
        <v>4</v>
      </c>
      <c r="R1484" t="s">
        <v>51</v>
      </c>
      <c r="S1484">
        <v>3</v>
      </c>
      <c r="T1484" t="str" cm="1">
        <f t="array" ref="T1484">_xlfn.IFS(S1484&lt;=2,"Poor",S1484&lt;=3,"Fair",S1484&gt;=4,"Good")</f>
        <v>Fair</v>
      </c>
      <c r="U1484" t="s">
        <v>48</v>
      </c>
      <c r="V1484" s="1">
        <v>17603</v>
      </c>
      <c r="W1484" t="str" cm="1">
        <f t="array" ref="W1484">_xlfn.IFS(V1484&lt;=5000,"Low Salary",V1484&lt;=12000,"Good Salary",V1484&gt;12000,"High Salary")</f>
        <v>High Salary</v>
      </c>
      <c r="X1484">
        <v>3525</v>
      </c>
      <c r="Y1484">
        <v>1</v>
      </c>
      <c r="Z1484" t="s">
        <v>42</v>
      </c>
      <c r="AA1484" t="s">
        <v>35</v>
      </c>
      <c r="AB1484">
        <v>24</v>
      </c>
      <c r="AC1484">
        <v>4</v>
      </c>
      <c r="AD1484" t="str">
        <f t="shared" si="47"/>
        <v>High Performance</v>
      </c>
      <c r="AE1484">
        <v>1</v>
      </c>
      <c r="AF1484">
        <v>80</v>
      </c>
      <c r="AG1484">
        <v>1</v>
      </c>
      <c r="AH1484">
        <v>14</v>
      </c>
      <c r="AI1484">
        <v>3</v>
      </c>
      <c r="AJ1484">
        <v>3</v>
      </c>
      <c r="AK1484" t="str" cm="1">
        <f t="array" ref="AK1484">_xlfn.IFS(AJ1484&lt;=2,"Poor",AJ1484&lt;=3,"Fair",AJ1484&gt;3,"Good")</f>
        <v>Fair</v>
      </c>
      <c r="AL1484">
        <v>14</v>
      </c>
      <c r="AM1484">
        <v>10</v>
      </c>
      <c r="AN1484">
        <v>6</v>
      </c>
      <c r="AO1484">
        <v>11</v>
      </c>
    </row>
    <row r="1485" spans="1:41" x14ac:dyDescent="0.2">
      <c r="A1485">
        <v>1731320</v>
      </c>
      <c r="B1485">
        <v>35</v>
      </c>
      <c r="C1485" t="str" cm="1">
        <f t="array" ref="C1485">_xlfn.IFS(B1485&lt;=25,"15-25",B1485&lt;=35,"26-35",B1485&lt;=45,"36-45",B1485&lt;=55,"46-55",B1485&lt;=65,"56-65")</f>
        <v>26-35</v>
      </c>
      <c r="D1485" t="s">
        <v>35</v>
      </c>
      <c r="E1485" t="str">
        <f t="shared" si="46"/>
        <v>Current Employee</v>
      </c>
      <c r="F1485" t="s">
        <v>36</v>
      </c>
      <c r="G1485">
        <v>819</v>
      </c>
      <c r="H1485" t="s">
        <v>45</v>
      </c>
      <c r="I1485">
        <v>2</v>
      </c>
      <c r="J1485">
        <v>3</v>
      </c>
      <c r="K1485" t="s">
        <v>38</v>
      </c>
      <c r="L1485">
        <v>1</v>
      </c>
      <c r="M1485">
        <v>3</v>
      </c>
      <c r="N1485" t="s">
        <v>46</v>
      </c>
      <c r="O1485">
        <v>44</v>
      </c>
      <c r="P1485">
        <v>2</v>
      </c>
      <c r="Q1485">
        <v>3</v>
      </c>
      <c r="R1485" t="s">
        <v>51</v>
      </c>
      <c r="S1485">
        <v>2</v>
      </c>
      <c r="T1485" t="str" cm="1">
        <f t="array" ref="T1485">_xlfn.IFS(S1485&lt;=2,"Poor",S1485&lt;=3,"Fair",S1485&gt;=4,"Good")</f>
        <v>Poor</v>
      </c>
      <c r="U1485" t="s">
        <v>50</v>
      </c>
      <c r="V1485" s="1">
        <v>10274</v>
      </c>
      <c r="W1485" t="str" cm="1">
        <f t="array" ref="W1485">_xlfn.IFS(V1485&lt;=5000,"Low Salary",V1485&lt;=12000,"Good Salary",V1485&gt;12000,"High Salary")</f>
        <v>Good Salary</v>
      </c>
      <c r="X1485">
        <v>19588</v>
      </c>
      <c r="Y1485">
        <v>2</v>
      </c>
      <c r="Z1485" t="s">
        <v>42</v>
      </c>
      <c r="AA1485" t="s">
        <v>35</v>
      </c>
      <c r="AB1485">
        <v>18</v>
      </c>
      <c r="AC1485">
        <v>3</v>
      </c>
      <c r="AD1485" t="str">
        <f t="shared" si="47"/>
        <v>Low Performance</v>
      </c>
      <c r="AE1485">
        <v>2</v>
      </c>
      <c r="AF1485">
        <v>80</v>
      </c>
      <c r="AG1485">
        <v>1</v>
      </c>
      <c r="AH1485">
        <v>15</v>
      </c>
      <c r="AI1485">
        <v>2</v>
      </c>
      <c r="AJ1485">
        <v>4</v>
      </c>
      <c r="AK1485" t="str" cm="1">
        <f t="array" ref="AK1485">_xlfn.IFS(AJ1485&lt;=2,"Poor",AJ1485&lt;=3,"Fair",AJ1485&gt;3,"Good")</f>
        <v>Good</v>
      </c>
      <c r="AL1485">
        <v>7</v>
      </c>
      <c r="AM1485">
        <v>7</v>
      </c>
      <c r="AN1485">
        <v>6</v>
      </c>
      <c r="AO1485">
        <v>4</v>
      </c>
    </row>
    <row r="1486" spans="1:41" x14ac:dyDescent="0.2">
      <c r="A1486">
        <v>1697463</v>
      </c>
      <c r="B1486">
        <v>58</v>
      </c>
      <c r="C1486" t="str" cm="1">
        <f t="array" ref="C1486">_xlfn.IFS(B1486&lt;=25,"15-25",B1486&lt;=35,"26-35",B1486&lt;=45,"36-45",B1486&lt;=55,"46-55",B1486&lt;=65,"56-65")</f>
        <v>56-65</v>
      </c>
      <c r="D1486" t="s">
        <v>35</v>
      </c>
      <c r="E1486" t="str">
        <f t="shared" si="46"/>
        <v>Current Employee</v>
      </c>
      <c r="F1486" t="s">
        <v>36</v>
      </c>
      <c r="G1486">
        <v>1272</v>
      </c>
      <c r="H1486" t="s">
        <v>45</v>
      </c>
      <c r="I1486">
        <v>5</v>
      </c>
      <c r="J1486">
        <v>3</v>
      </c>
      <c r="K1486" t="s">
        <v>56</v>
      </c>
      <c r="L1486">
        <v>1</v>
      </c>
      <c r="M1486">
        <v>3</v>
      </c>
      <c r="N1486" t="s">
        <v>39</v>
      </c>
      <c r="O1486">
        <v>37</v>
      </c>
      <c r="P1486">
        <v>2</v>
      </c>
      <c r="Q1486">
        <v>3</v>
      </c>
      <c r="R1486" t="s">
        <v>47</v>
      </c>
      <c r="S1486">
        <v>2</v>
      </c>
      <c r="T1486" t="str" cm="1">
        <f t="array" ref="T1486">_xlfn.IFS(S1486&lt;=2,"Poor",S1486&lt;=3,"Fair",S1486&gt;=4,"Good")</f>
        <v>Poor</v>
      </c>
      <c r="U1486" t="s">
        <v>50</v>
      </c>
      <c r="V1486" s="1">
        <v>10552</v>
      </c>
      <c r="W1486" t="str" cm="1">
        <f t="array" ref="W1486">_xlfn.IFS(V1486&lt;=5000,"Low Salary",V1486&lt;=12000,"Good Salary",V1486&gt;12000,"High Salary")</f>
        <v>Good Salary</v>
      </c>
      <c r="X1486">
        <v>9255</v>
      </c>
      <c r="Y1486">
        <v>2</v>
      </c>
      <c r="Z1486" t="s">
        <v>42</v>
      </c>
      <c r="AA1486" t="s">
        <v>43</v>
      </c>
      <c r="AB1486">
        <v>13</v>
      </c>
      <c r="AC1486">
        <v>3</v>
      </c>
      <c r="AD1486" t="str">
        <f t="shared" si="47"/>
        <v>Low Performance</v>
      </c>
      <c r="AE1486">
        <v>4</v>
      </c>
      <c r="AF1486">
        <v>80</v>
      </c>
      <c r="AG1486">
        <v>1</v>
      </c>
      <c r="AH1486">
        <v>24</v>
      </c>
      <c r="AI1486">
        <v>3</v>
      </c>
      <c r="AJ1486">
        <v>3</v>
      </c>
      <c r="AK1486" t="str" cm="1">
        <f t="array" ref="AK1486">_xlfn.IFS(AJ1486&lt;=2,"Poor",AJ1486&lt;=3,"Fair",AJ1486&gt;3,"Good")</f>
        <v>Fair</v>
      </c>
      <c r="AL1486">
        <v>6</v>
      </c>
      <c r="AM1486">
        <v>0</v>
      </c>
      <c r="AN1486">
        <v>0</v>
      </c>
      <c r="AO1486">
        <v>4</v>
      </c>
    </row>
    <row r="1487" spans="1:41" x14ac:dyDescent="0.2">
      <c r="A1487">
        <v>1540491</v>
      </c>
      <c r="B1487">
        <v>32</v>
      </c>
      <c r="C1487" t="str" cm="1">
        <f t="array" ref="C1487">_xlfn.IFS(B1487&lt;=25,"15-25",B1487&lt;=35,"26-35",B1487&lt;=45,"36-45",B1487&lt;=55,"46-55",B1487&lt;=65,"56-65")</f>
        <v>26-35</v>
      </c>
      <c r="D1487" t="s">
        <v>35</v>
      </c>
      <c r="E1487" t="str">
        <f t="shared" si="46"/>
        <v>Current Employee</v>
      </c>
      <c r="F1487" t="s">
        <v>52</v>
      </c>
      <c r="G1487">
        <v>1200</v>
      </c>
      <c r="H1487" t="s">
        <v>45</v>
      </c>
      <c r="I1487">
        <v>1</v>
      </c>
      <c r="J1487">
        <v>4</v>
      </c>
      <c r="K1487" t="s">
        <v>56</v>
      </c>
      <c r="L1487">
        <v>1</v>
      </c>
      <c r="M1487">
        <v>4</v>
      </c>
      <c r="N1487" t="s">
        <v>46</v>
      </c>
      <c r="O1487">
        <v>62</v>
      </c>
      <c r="P1487">
        <v>3</v>
      </c>
      <c r="Q1487">
        <v>2</v>
      </c>
      <c r="R1487" t="s">
        <v>40</v>
      </c>
      <c r="S1487">
        <v>1</v>
      </c>
      <c r="T1487" t="str" cm="1">
        <f t="array" ref="T1487">_xlfn.IFS(S1487&lt;=2,"Poor",S1487&lt;=3,"Fair",S1487&gt;=4,"Good")</f>
        <v>Poor</v>
      </c>
      <c r="U1487" t="s">
        <v>48</v>
      </c>
      <c r="V1487" s="1">
        <v>4087</v>
      </c>
      <c r="W1487" t="str" cm="1">
        <f t="array" ref="W1487">_xlfn.IFS(V1487&lt;=5000,"Low Salary",V1487&lt;=12000,"Good Salary",V1487&gt;12000,"High Salary")</f>
        <v>Low Salary</v>
      </c>
      <c r="X1487">
        <v>25174</v>
      </c>
      <c r="Y1487">
        <v>4</v>
      </c>
      <c r="Z1487" t="s">
        <v>42</v>
      </c>
      <c r="AA1487" t="s">
        <v>35</v>
      </c>
      <c r="AB1487">
        <v>14</v>
      </c>
      <c r="AC1487">
        <v>3</v>
      </c>
      <c r="AD1487" t="str">
        <f t="shared" si="47"/>
        <v>Low Performance</v>
      </c>
      <c r="AE1487">
        <v>2</v>
      </c>
      <c r="AF1487">
        <v>80</v>
      </c>
      <c r="AG1487">
        <v>1</v>
      </c>
      <c r="AH1487">
        <v>9</v>
      </c>
      <c r="AI1487">
        <v>3</v>
      </c>
      <c r="AJ1487">
        <v>2</v>
      </c>
      <c r="AK1487" t="str" cm="1">
        <f t="array" ref="AK1487">_xlfn.IFS(AJ1487&lt;=2,"Poor",AJ1487&lt;=3,"Fair",AJ1487&gt;3,"Good")</f>
        <v>Poor</v>
      </c>
      <c r="AL1487">
        <v>6</v>
      </c>
      <c r="AM1487">
        <v>5</v>
      </c>
      <c r="AN1487">
        <v>1</v>
      </c>
      <c r="AO1487">
        <v>2</v>
      </c>
    </row>
    <row r="1488" spans="1:41" x14ac:dyDescent="0.2">
      <c r="A1488">
        <v>1034607</v>
      </c>
      <c r="B1488">
        <v>27</v>
      </c>
      <c r="C1488" t="str" cm="1">
        <f t="array" ref="C1488">_xlfn.IFS(B1488&lt;=25,"15-25",B1488&lt;=35,"26-35",B1488&lt;=45,"36-45",B1488&lt;=55,"46-55",B1488&lt;=65,"56-65")</f>
        <v>26-35</v>
      </c>
      <c r="D1488" t="s">
        <v>35</v>
      </c>
      <c r="E1488" t="str">
        <f t="shared" si="46"/>
        <v>Current Employee</v>
      </c>
      <c r="F1488" t="s">
        <v>36</v>
      </c>
      <c r="G1488">
        <v>608</v>
      </c>
      <c r="H1488" t="s">
        <v>45</v>
      </c>
      <c r="I1488">
        <v>1</v>
      </c>
      <c r="J1488">
        <v>2</v>
      </c>
      <c r="K1488" t="s">
        <v>38</v>
      </c>
      <c r="L1488">
        <v>1</v>
      </c>
      <c r="M1488">
        <v>3</v>
      </c>
      <c r="N1488" t="s">
        <v>39</v>
      </c>
      <c r="O1488">
        <v>68</v>
      </c>
      <c r="P1488">
        <v>3</v>
      </c>
      <c r="Q1488">
        <v>3</v>
      </c>
      <c r="R1488" t="s">
        <v>51</v>
      </c>
      <c r="S1488">
        <v>1</v>
      </c>
      <c r="T1488" t="str" cm="1">
        <f t="array" ref="T1488">_xlfn.IFS(S1488&lt;=2,"Poor",S1488&lt;=3,"Fair",S1488&gt;=4,"Good")</f>
        <v>Poor</v>
      </c>
      <c r="U1488" t="s">
        <v>48</v>
      </c>
      <c r="V1488" s="1">
        <v>7412</v>
      </c>
      <c r="W1488" t="str" cm="1">
        <f t="array" ref="W1488">_xlfn.IFS(V1488&lt;=5000,"Low Salary",V1488&lt;=12000,"Good Salary",V1488&gt;12000,"High Salary")</f>
        <v>Good Salary</v>
      </c>
      <c r="X1488">
        <v>6009</v>
      </c>
      <c r="Y1488">
        <v>1</v>
      </c>
      <c r="Z1488" t="s">
        <v>42</v>
      </c>
      <c r="AA1488" t="s">
        <v>35</v>
      </c>
      <c r="AB1488">
        <v>11</v>
      </c>
      <c r="AC1488">
        <v>3</v>
      </c>
      <c r="AD1488" t="str">
        <f t="shared" si="47"/>
        <v>Low Performance</v>
      </c>
      <c r="AE1488">
        <v>4</v>
      </c>
      <c r="AF1488">
        <v>80</v>
      </c>
      <c r="AG1488">
        <v>0</v>
      </c>
      <c r="AH1488">
        <v>9</v>
      </c>
      <c r="AI1488">
        <v>3</v>
      </c>
      <c r="AJ1488">
        <v>3</v>
      </c>
      <c r="AK1488" t="str" cm="1">
        <f t="array" ref="AK1488">_xlfn.IFS(AJ1488&lt;=2,"Poor",AJ1488&lt;=3,"Fair",AJ1488&gt;3,"Good")</f>
        <v>Fair</v>
      </c>
      <c r="AL1488">
        <v>9</v>
      </c>
      <c r="AM1488">
        <v>7</v>
      </c>
      <c r="AN1488">
        <v>0</v>
      </c>
      <c r="AO1488">
        <v>7</v>
      </c>
    </row>
    <row r="1489" spans="1:41" x14ac:dyDescent="0.2">
      <c r="A1489">
        <v>1123123</v>
      </c>
      <c r="B1489">
        <v>29</v>
      </c>
      <c r="C1489" t="str" cm="1">
        <f t="array" ref="C1489">_xlfn.IFS(B1489&lt;=25,"15-25",B1489&lt;=35,"26-35",B1489&lt;=45,"36-45",B1489&lt;=55,"46-55",B1489&lt;=65,"56-65")</f>
        <v>26-35</v>
      </c>
      <c r="D1489" t="s">
        <v>35</v>
      </c>
      <c r="E1489" t="str">
        <f t="shared" si="46"/>
        <v>Current Employee</v>
      </c>
      <c r="F1489" t="s">
        <v>36</v>
      </c>
      <c r="G1489">
        <v>1329</v>
      </c>
      <c r="H1489" t="s">
        <v>45</v>
      </c>
      <c r="I1489">
        <v>7</v>
      </c>
      <c r="J1489">
        <v>3</v>
      </c>
      <c r="K1489" t="s">
        <v>38</v>
      </c>
      <c r="L1489">
        <v>1</v>
      </c>
      <c r="M1489">
        <v>3</v>
      </c>
      <c r="N1489" t="s">
        <v>46</v>
      </c>
      <c r="O1489">
        <v>82</v>
      </c>
      <c r="P1489">
        <v>3</v>
      </c>
      <c r="Q1489">
        <v>2</v>
      </c>
      <c r="R1489" t="s">
        <v>47</v>
      </c>
      <c r="S1489">
        <v>4</v>
      </c>
      <c r="T1489" t="str" cm="1">
        <f t="array" ref="T1489">_xlfn.IFS(S1489&lt;=2,"Poor",S1489&lt;=3,"Fair",S1489&gt;=4,"Good")</f>
        <v>Good</v>
      </c>
      <c r="U1489" t="s">
        <v>50</v>
      </c>
      <c r="V1489" s="1">
        <v>6623</v>
      </c>
      <c r="W1489" t="str" cm="1">
        <f t="array" ref="W1489">_xlfn.IFS(V1489&lt;=5000,"Low Salary",V1489&lt;=12000,"Good Salary",V1489&gt;12000,"High Salary")</f>
        <v>Good Salary</v>
      </c>
      <c r="X1489">
        <v>4204</v>
      </c>
      <c r="Y1489">
        <v>1</v>
      </c>
      <c r="Z1489" t="s">
        <v>42</v>
      </c>
      <c r="AA1489" t="s">
        <v>43</v>
      </c>
      <c r="AB1489">
        <v>11</v>
      </c>
      <c r="AC1489">
        <v>3</v>
      </c>
      <c r="AD1489" t="str">
        <f t="shared" si="47"/>
        <v>Low Performance</v>
      </c>
      <c r="AE1489">
        <v>2</v>
      </c>
      <c r="AF1489">
        <v>80</v>
      </c>
      <c r="AG1489">
        <v>2</v>
      </c>
      <c r="AH1489">
        <v>6</v>
      </c>
      <c r="AI1489">
        <v>2</v>
      </c>
      <c r="AJ1489">
        <v>3</v>
      </c>
      <c r="AK1489" t="str" cm="1">
        <f t="array" ref="AK1489">_xlfn.IFS(AJ1489&lt;=2,"Poor",AJ1489&lt;=3,"Fair",AJ1489&gt;3,"Good")</f>
        <v>Fair</v>
      </c>
      <c r="AL1489">
        <v>6</v>
      </c>
      <c r="AM1489">
        <v>0</v>
      </c>
      <c r="AN1489">
        <v>1</v>
      </c>
      <c r="AO1489">
        <v>0</v>
      </c>
    </row>
    <row r="1490" spans="1:41" x14ac:dyDescent="0.2">
      <c r="A1490">
        <v>1380232</v>
      </c>
      <c r="B1490">
        <v>47</v>
      </c>
      <c r="C1490" t="str" cm="1">
        <f t="array" ref="C1490">_xlfn.IFS(B1490&lt;=25,"15-25",B1490&lt;=35,"26-35",B1490&lt;=45,"36-45",B1490&lt;=55,"46-55",B1490&lt;=65,"56-65")</f>
        <v>46-55</v>
      </c>
      <c r="D1490" t="s">
        <v>35</v>
      </c>
      <c r="E1490" t="str">
        <f t="shared" si="46"/>
        <v>Current Employee</v>
      </c>
      <c r="F1490" t="s">
        <v>36</v>
      </c>
      <c r="G1490">
        <v>1225</v>
      </c>
      <c r="H1490" t="s">
        <v>37</v>
      </c>
      <c r="I1490">
        <v>2</v>
      </c>
      <c r="J1490">
        <v>4</v>
      </c>
      <c r="K1490" t="s">
        <v>38</v>
      </c>
      <c r="L1490">
        <v>1</v>
      </c>
      <c r="M1490">
        <v>2</v>
      </c>
      <c r="N1490" t="s">
        <v>39</v>
      </c>
      <c r="O1490">
        <v>47</v>
      </c>
      <c r="P1490">
        <v>4</v>
      </c>
      <c r="Q1490">
        <v>4</v>
      </c>
      <c r="R1490" t="s">
        <v>58</v>
      </c>
      <c r="S1490">
        <v>2</v>
      </c>
      <c r="T1490" t="str" cm="1">
        <f t="array" ref="T1490">_xlfn.IFS(S1490&lt;=2,"Poor",S1490&lt;=3,"Fair",S1490&gt;=4,"Good")</f>
        <v>Poor</v>
      </c>
      <c r="U1490" t="s">
        <v>50</v>
      </c>
      <c r="V1490" s="1">
        <v>15972</v>
      </c>
      <c r="W1490" t="str" cm="1">
        <f t="array" ref="W1490">_xlfn.IFS(V1490&lt;=5000,"Low Salary",V1490&lt;=12000,"Good Salary",V1490&gt;12000,"High Salary")</f>
        <v>High Salary</v>
      </c>
      <c r="X1490">
        <v>21086</v>
      </c>
      <c r="Y1490">
        <v>6</v>
      </c>
      <c r="Z1490" t="s">
        <v>42</v>
      </c>
      <c r="AA1490" t="s">
        <v>35</v>
      </c>
      <c r="AB1490">
        <v>14</v>
      </c>
      <c r="AC1490">
        <v>3</v>
      </c>
      <c r="AD1490" t="str">
        <f t="shared" si="47"/>
        <v>Low Performance</v>
      </c>
      <c r="AE1490">
        <v>3</v>
      </c>
      <c r="AF1490">
        <v>80</v>
      </c>
      <c r="AG1490">
        <v>3</v>
      </c>
      <c r="AH1490">
        <v>29</v>
      </c>
      <c r="AI1490">
        <v>2</v>
      </c>
      <c r="AJ1490">
        <v>3</v>
      </c>
      <c r="AK1490" t="str" cm="1">
        <f t="array" ref="AK1490">_xlfn.IFS(AJ1490&lt;=2,"Poor",AJ1490&lt;=3,"Fair",AJ1490&gt;3,"Good")</f>
        <v>Fair</v>
      </c>
      <c r="AL1490">
        <v>3</v>
      </c>
      <c r="AM1490">
        <v>2</v>
      </c>
      <c r="AN1490">
        <v>1</v>
      </c>
      <c r="AO1490">
        <v>2</v>
      </c>
    </row>
    <row r="1491" spans="1:41" x14ac:dyDescent="0.2">
      <c r="A1491">
        <v>1345928</v>
      </c>
      <c r="B1491">
        <v>44</v>
      </c>
      <c r="C1491" t="str" cm="1">
        <f t="array" ref="C1491">_xlfn.IFS(B1491&lt;=25,"15-25",B1491&lt;=35,"26-35",B1491&lt;=45,"36-45",B1491&lt;=55,"46-55",B1491&lt;=65,"56-65")</f>
        <v>36-45</v>
      </c>
      <c r="D1491" t="s">
        <v>35</v>
      </c>
      <c r="E1491" t="str">
        <f t="shared" si="46"/>
        <v>Current Employee</v>
      </c>
      <c r="F1491" t="s">
        <v>36</v>
      </c>
      <c r="G1491">
        <v>1099</v>
      </c>
      <c r="H1491" t="s">
        <v>37</v>
      </c>
      <c r="I1491">
        <v>5</v>
      </c>
      <c r="J1491">
        <v>3</v>
      </c>
      <c r="K1491" t="s">
        <v>55</v>
      </c>
      <c r="L1491">
        <v>1</v>
      </c>
      <c r="M1491">
        <v>2</v>
      </c>
      <c r="N1491" t="s">
        <v>46</v>
      </c>
      <c r="O1491">
        <v>88</v>
      </c>
      <c r="P1491">
        <v>3</v>
      </c>
      <c r="Q1491">
        <v>5</v>
      </c>
      <c r="R1491" t="s">
        <v>58</v>
      </c>
      <c r="S1491">
        <v>2</v>
      </c>
      <c r="T1491" t="str" cm="1">
        <f t="array" ref="T1491">_xlfn.IFS(S1491&lt;=2,"Poor",S1491&lt;=3,"Fair",S1491&gt;=4,"Good")</f>
        <v>Poor</v>
      </c>
      <c r="U1491" t="s">
        <v>48</v>
      </c>
      <c r="V1491" s="1">
        <v>18213</v>
      </c>
      <c r="W1491" t="str" cm="1">
        <f t="array" ref="W1491">_xlfn.IFS(V1491&lt;=5000,"Low Salary",V1491&lt;=12000,"Good Salary",V1491&gt;12000,"High Salary")</f>
        <v>High Salary</v>
      </c>
      <c r="X1491">
        <v>8751</v>
      </c>
      <c r="Y1491">
        <v>7</v>
      </c>
      <c r="Z1491" t="s">
        <v>42</v>
      </c>
      <c r="AA1491" t="s">
        <v>35</v>
      </c>
      <c r="AB1491">
        <v>11</v>
      </c>
      <c r="AC1491">
        <v>3</v>
      </c>
      <c r="AD1491" t="str">
        <f t="shared" si="47"/>
        <v>Low Performance</v>
      </c>
      <c r="AE1491">
        <v>3</v>
      </c>
      <c r="AF1491">
        <v>80</v>
      </c>
      <c r="AG1491">
        <v>1</v>
      </c>
      <c r="AH1491">
        <v>26</v>
      </c>
      <c r="AI1491">
        <v>5</v>
      </c>
      <c r="AJ1491">
        <v>3</v>
      </c>
      <c r="AK1491" t="str" cm="1">
        <f t="array" ref="AK1491">_xlfn.IFS(AJ1491&lt;=2,"Poor",AJ1491&lt;=3,"Fair",AJ1491&gt;3,"Good")</f>
        <v>Fair</v>
      </c>
      <c r="AL1491">
        <v>22</v>
      </c>
      <c r="AM1491">
        <v>9</v>
      </c>
      <c r="AN1491">
        <v>3</v>
      </c>
      <c r="AO1491">
        <v>10</v>
      </c>
    </row>
    <row r="1492" spans="1:41" x14ac:dyDescent="0.2">
      <c r="A1492">
        <v>1165218</v>
      </c>
      <c r="B1492">
        <v>52</v>
      </c>
      <c r="C1492" t="str" cm="1">
        <f t="array" ref="C1492">_xlfn.IFS(B1492&lt;=25,"15-25",B1492&lt;=35,"26-35",B1492&lt;=45,"36-45",B1492&lt;=55,"46-55",B1492&lt;=65,"56-65")</f>
        <v>46-55</v>
      </c>
      <c r="D1492" t="s">
        <v>35</v>
      </c>
      <c r="E1492" t="str">
        <f t="shared" si="46"/>
        <v>Current Employee</v>
      </c>
      <c r="F1492" t="s">
        <v>52</v>
      </c>
      <c r="G1492">
        <v>715</v>
      </c>
      <c r="H1492" t="s">
        <v>45</v>
      </c>
      <c r="I1492">
        <v>19</v>
      </c>
      <c r="J1492">
        <v>4</v>
      </c>
      <c r="K1492" t="s">
        <v>49</v>
      </c>
      <c r="L1492">
        <v>1</v>
      </c>
      <c r="M1492">
        <v>4</v>
      </c>
      <c r="N1492" t="s">
        <v>46</v>
      </c>
      <c r="O1492">
        <v>41</v>
      </c>
      <c r="P1492">
        <v>3</v>
      </c>
      <c r="Q1492">
        <v>1</v>
      </c>
      <c r="R1492" t="s">
        <v>40</v>
      </c>
      <c r="S1492">
        <v>4</v>
      </c>
      <c r="T1492" t="str" cm="1">
        <f t="array" ref="T1492">_xlfn.IFS(S1492&lt;=2,"Poor",S1492&lt;=3,"Fair",S1492&gt;=4,"Good")</f>
        <v>Good</v>
      </c>
      <c r="U1492" t="s">
        <v>48</v>
      </c>
      <c r="V1492" s="1">
        <v>4258</v>
      </c>
      <c r="W1492" t="str" cm="1">
        <f t="array" ref="W1492">_xlfn.IFS(V1492&lt;=5000,"Low Salary",V1492&lt;=12000,"Good Salary",V1492&gt;12000,"High Salary")</f>
        <v>Low Salary</v>
      </c>
      <c r="X1492">
        <v>26589</v>
      </c>
      <c r="Y1492">
        <v>0</v>
      </c>
      <c r="Z1492" t="s">
        <v>42</v>
      </c>
      <c r="AA1492" t="s">
        <v>35</v>
      </c>
      <c r="AB1492">
        <v>18</v>
      </c>
      <c r="AC1492">
        <v>3</v>
      </c>
      <c r="AD1492" t="str">
        <f t="shared" si="47"/>
        <v>Low Performance</v>
      </c>
      <c r="AE1492">
        <v>1</v>
      </c>
      <c r="AF1492">
        <v>80</v>
      </c>
      <c r="AG1492">
        <v>1</v>
      </c>
      <c r="AH1492">
        <v>5</v>
      </c>
      <c r="AI1492">
        <v>3</v>
      </c>
      <c r="AJ1492">
        <v>3</v>
      </c>
      <c r="AK1492" t="str" cm="1">
        <f t="array" ref="AK1492">_xlfn.IFS(AJ1492&lt;=2,"Poor",AJ1492&lt;=3,"Fair",AJ1492&gt;3,"Good")</f>
        <v>Fair</v>
      </c>
      <c r="AL1492">
        <v>4</v>
      </c>
      <c r="AM1492">
        <v>3</v>
      </c>
      <c r="AN1492">
        <v>1</v>
      </c>
      <c r="AO1492">
        <v>2</v>
      </c>
    </row>
    <row r="1493" spans="1:41" x14ac:dyDescent="0.2">
      <c r="A1493">
        <v>1194754</v>
      </c>
      <c r="B1493">
        <v>41</v>
      </c>
      <c r="C1493" t="str" cm="1">
        <f t="array" ref="C1493">_xlfn.IFS(B1493&lt;=25,"15-25",B1493&lt;=35,"26-35",B1493&lt;=45,"36-45",B1493&lt;=55,"46-55",B1493&lt;=65,"56-65")</f>
        <v>36-45</v>
      </c>
      <c r="D1493" t="s">
        <v>35</v>
      </c>
      <c r="E1493" t="str">
        <f t="shared" si="46"/>
        <v>Current Employee</v>
      </c>
      <c r="F1493" t="s">
        <v>36</v>
      </c>
      <c r="G1493">
        <v>930</v>
      </c>
      <c r="H1493" t="s">
        <v>37</v>
      </c>
      <c r="I1493">
        <v>3</v>
      </c>
      <c r="J1493">
        <v>3</v>
      </c>
      <c r="K1493" t="s">
        <v>38</v>
      </c>
      <c r="L1493">
        <v>1</v>
      </c>
      <c r="M1493">
        <v>3</v>
      </c>
      <c r="N1493" t="s">
        <v>46</v>
      </c>
      <c r="O1493">
        <v>57</v>
      </c>
      <c r="P1493">
        <v>2</v>
      </c>
      <c r="Q1493">
        <v>2</v>
      </c>
      <c r="R1493" t="s">
        <v>40</v>
      </c>
      <c r="S1493">
        <v>2</v>
      </c>
      <c r="T1493" t="str" cm="1">
        <f t="array" ref="T1493">_xlfn.IFS(S1493&lt;=2,"Poor",S1493&lt;=3,"Fair",S1493&gt;=4,"Good")</f>
        <v>Poor</v>
      </c>
      <c r="U1493" t="s">
        <v>50</v>
      </c>
      <c r="V1493" s="1">
        <v>8938</v>
      </c>
      <c r="W1493" t="str" cm="1">
        <f t="array" ref="W1493">_xlfn.IFS(V1493&lt;=5000,"Low Salary",V1493&lt;=12000,"Good Salary",V1493&gt;12000,"High Salary")</f>
        <v>Good Salary</v>
      </c>
      <c r="X1493">
        <v>12227</v>
      </c>
      <c r="Y1493">
        <v>2</v>
      </c>
      <c r="Z1493" t="s">
        <v>42</v>
      </c>
      <c r="AA1493" t="s">
        <v>35</v>
      </c>
      <c r="AB1493">
        <v>11</v>
      </c>
      <c r="AC1493">
        <v>3</v>
      </c>
      <c r="AD1493" t="str">
        <f t="shared" si="47"/>
        <v>Low Performance</v>
      </c>
      <c r="AE1493">
        <v>3</v>
      </c>
      <c r="AF1493">
        <v>80</v>
      </c>
      <c r="AG1493">
        <v>1</v>
      </c>
      <c r="AH1493">
        <v>14</v>
      </c>
      <c r="AI1493">
        <v>5</v>
      </c>
      <c r="AJ1493">
        <v>3</v>
      </c>
      <c r="AK1493" t="str" cm="1">
        <f t="array" ref="AK1493">_xlfn.IFS(AJ1493&lt;=2,"Poor",AJ1493&lt;=3,"Fair",AJ1493&gt;3,"Good")</f>
        <v>Fair</v>
      </c>
      <c r="AL1493">
        <v>5</v>
      </c>
      <c r="AM1493">
        <v>4</v>
      </c>
      <c r="AN1493">
        <v>0</v>
      </c>
      <c r="AO1493">
        <v>4</v>
      </c>
    </row>
    <row r="1494" spans="1:41" x14ac:dyDescent="0.2">
      <c r="A1494">
        <v>1162618</v>
      </c>
      <c r="B1494">
        <v>34</v>
      </c>
      <c r="C1494" t="str" cm="1">
        <f t="array" ref="C1494">_xlfn.IFS(B1494&lt;=25,"15-25",B1494&lt;=35,"26-35",B1494&lt;=45,"36-45",B1494&lt;=55,"46-55",B1494&lt;=65,"56-65")</f>
        <v>26-35</v>
      </c>
      <c r="D1494" t="s">
        <v>35</v>
      </c>
      <c r="E1494" t="str">
        <f t="shared" si="46"/>
        <v>Current Employee</v>
      </c>
      <c r="F1494" t="s">
        <v>36</v>
      </c>
      <c r="G1494">
        <v>1397</v>
      </c>
      <c r="H1494" t="s">
        <v>45</v>
      </c>
      <c r="I1494">
        <v>1</v>
      </c>
      <c r="J1494">
        <v>5</v>
      </c>
      <c r="K1494" t="s">
        <v>38</v>
      </c>
      <c r="L1494">
        <v>1</v>
      </c>
      <c r="M1494">
        <v>2</v>
      </c>
      <c r="N1494" t="s">
        <v>46</v>
      </c>
      <c r="O1494">
        <v>42</v>
      </c>
      <c r="P1494">
        <v>3</v>
      </c>
      <c r="Q1494">
        <v>1</v>
      </c>
      <c r="R1494" t="s">
        <v>40</v>
      </c>
      <c r="S1494">
        <v>4</v>
      </c>
      <c r="T1494" t="str" cm="1">
        <f t="array" ref="T1494">_xlfn.IFS(S1494&lt;=2,"Poor",S1494&lt;=3,"Fair",S1494&gt;=4,"Good")</f>
        <v>Good</v>
      </c>
      <c r="U1494" t="s">
        <v>48</v>
      </c>
      <c r="V1494" s="1">
        <v>2691</v>
      </c>
      <c r="W1494" t="str" cm="1">
        <f t="array" ref="W1494">_xlfn.IFS(V1494&lt;=5000,"Low Salary",V1494&lt;=12000,"Good Salary",V1494&gt;12000,"High Salary")</f>
        <v>Low Salary</v>
      </c>
      <c r="X1494">
        <v>7660</v>
      </c>
      <c r="Y1494">
        <v>1</v>
      </c>
      <c r="Z1494" t="s">
        <v>42</v>
      </c>
      <c r="AA1494" t="s">
        <v>35</v>
      </c>
      <c r="AB1494">
        <v>12</v>
      </c>
      <c r="AC1494">
        <v>3</v>
      </c>
      <c r="AD1494" t="str">
        <f t="shared" si="47"/>
        <v>Low Performance</v>
      </c>
      <c r="AE1494">
        <v>4</v>
      </c>
      <c r="AF1494">
        <v>80</v>
      </c>
      <c r="AG1494">
        <v>1</v>
      </c>
      <c r="AH1494">
        <v>10</v>
      </c>
      <c r="AI1494">
        <v>4</v>
      </c>
      <c r="AJ1494">
        <v>2</v>
      </c>
      <c r="AK1494" t="str" cm="1">
        <f t="array" ref="AK1494">_xlfn.IFS(AJ1494&lt;=2,"Poor",AJ1494&lt;=3,"Fair",AJ1494&gt;3,"Good")</f>
        <v>Poor</v>
      </c>
      <c r="AL1494">
        <v>10</v>
      </c>
      <c r="AM1494">
        <v>9</v>
      </c>
      <c r="AN1494">
        <v>8</v>
      </c>
      <c r="AO1494">
        <v>8</v>
      </c>
    </row>
    <row r="1495" spans="1:41" x14ac:dyDescent="0.2">
      <c r="A1495">
        <v>1661522</v>
      </c>
      <c r="B1495">
        <v>39</v>
      </c>
      <c r="C1495" t="str" cm="1">
        <f t="array" ref="C1495">_xlfn.IFS(B1495&lt;=25,"15-25",B1495&lt;=35,"26-35",B1495&lt;=45,"36-45",B1495&lt;=55,"46-55",B1495&lt;=65,"56-65")</f>
        <v>36-45</v>
      </c>
      <c r="D1495" t="s">
        <v>35</v>
      </c>
      <c r="E1495" t="str">
        <f t="shared" si="46"/>
        <v>Current Employee</v>
      </c>
      <c r="F1495" t="s">
        <v>44</v>
      </c>
      <c r="G1495">
        <v>1218</v>
      </c>
      <c r="H1495" t="s">
        <v>45</v>
      </c>
      <c r="I1495">
        <v>1</v>
      </c>
      <c r="J1495">
        <v>1</v>
      </c>
      <c r="K1495" t="s">
        <v>38</v>
      </c>
      <c r="L1495">
        <v>1</v>
      </c>
      <c r="M1495">
        <v>2</v>
      </c>
      <c r="N1495" t="s">
        <v>46</v>
      </c>
      <c r="O1495">
        <v>52</v>
      </c>
      <c r="P1495">
        <v>3</v>
      </c>
      <c r="Q1495">
        <v>5</v>
      </c>
      <c r="R1495" t="s">
        <v>58</v>
      </c>
      <c r="S1495">
        <v>3</v>
      </c>
      <c r="T1495" t="str" cm="1">
        <f t="array" ref="T1495">_xlfn.IFS(S1495&lt;=2,"Poor",S1495&lt;=3,"Fair",S1495&gt;=4,"Good")</f>
        <v>Fair</v>
      </c>
      <c r="U1495" t="s">
        <v>50</v>
      </c>
      <c r="V1495" s="1">
        <v>19197</v>
      </c>
      <c r="W1495" t="str" cm="1">
        <f t="array" ref="W1495">_xlfn.IFS(V1495&lt;=5000,"Low Salary",V1495&lt;=12000,"Good Salary",V1495&gt;12000,"High Salary")</f>
        <v>High Salary</v>
      </c>
      <c r="X1495">
        <v>8213</v>
      </c>
      <c r="Y1495">
        <v>1</v>
      </c>
      <c r="Z1495" t="s">
        <v>42</v>
      </c>
      <c r="AA1495" t="s">
        <v>43</v>
      </c>
      <c r="AB1495">
        <v>14</v>
      </c>
      <c r="AC1495">
        <v>3</v>
      </c>
      <c r="AD1495" t="str">
        <f t="shared" si="47"/>
        <v>Low Performance</v>
      </c>
      <c r="AE1495">
        <v>3</v>
      </c>
      <c r="AF1495">
        <v>80</v>
      </c>
      <c r="AG1495">
        <v>1</v>
      </c>
      <c r="AH1495">
        <v>21</v>
      </c>
      <c r="AI1495">
        <v>3</v>
      </c>
      <c r="AJ1495">
        <v>3</v>
      </c>
      <c r="AK1495" t="str" cm="1">
        <f t="array" ref="AK1495">_xlfn.IFS(AJ1495&lt;=2,"Poor",AJ1495&lt;=3,"Fair",AJ1495&gt;3,"Good")</f>
        <v>Fair</v>
      </c>
      <c r="AL1495">
        <v>21</v>
      </c>
      <c r="AM1495">
        <v>8</v>
      </c>
      <c r="AN1495">
        <v>1</v>
      </c>
      <c r="AO1495">
        <v>6</v>
      </c>
    </row>
    <row r="1496" spans="1:41" x14ac:dyDescent="0.2">
      <c r="A1496">
        <v>1469038</v>
      </c>
      <c r="B1496">
        <v>42</v>
      </c>
      <c r="C1496" t="str" cm="1">
        <f t="array" ref="C1496">_xlfn.IFS(B1496&lt;=25,"15-25",B1496&lt;=35,"26-35",B1496&lt;=45,"36-45",B1496&lt;=55,"46-55",B1496&lt;=65,"56-65")</f>
        <v>36-45</v>
      </c>
      <c r="D1496" t="s">
        <v>35</v>
      </c>
      <c r="E1496" t="str">
        <f t="shared" si="46"/>
        <v>Current Employee</v>
      </c>
      <c r="F1496" t="s">
        <v>36</v>
      </c>
      <c r="G1496">
        <v>933</v>
      </c>
      <c r="H1496" t="s">
        <v>45</v>
      </c>
      <c r="I1496">
        <v>29</v>
      </c>
      <c r="J1496">
        <v>3</v>
      </c>
      <c r="K1496" t="s">
        <v>38</v>
      </c>
      <c r="L1496">
        <v>1</v>
      </c>
      <c r="M1496">
        <v>2</v>
      </c>
      <c r="N1496" t="s">
        <v>46</v>
      </c>
      <c r="O1496">
        <v>98</v>
      </c>
      <c r="P1496">
        <v>3</v>
      </c>
      <c r="Q1496">
        <v>2</v>
      </c>
      <c r="R1496" t="s">
        <v>51</v>
      </c>
      <c r="S1496">
        <v>2</v>
      </c>
      <c r="T1496" t="str" cm="1">
        <f t="array" ref="T1496">_xlfn.IFS(S1496&lt;=2,"Poor",S1496&lt;=3,"Fair",S1496&gt;=4,"Good")</f>
        <v>Poor</v>
      </c>
      <c r="U1496" t="s">
        <v>48</v>
      </c>
      <c r="V1496" s="1">
        <v>4434</v>
      </c>
      <c r="W1496" t="str" cm="1">
        <f t="array" ref="W1496">_xlfn.IFS(V1496&lt;=5000,"Low Salary",V1496&lt;=12000,"Good Salary",V1496&gt;12000,"High Salary")</f>
        <v>Low Salary</v>
      </c>
      <c r="X1496">
        <v>11806</v>
      </c>
      <c r="Y1496">
        <v>1</v>
      </c>
      <c r="Z1496" t="s">
        <v>42</v>
      </c>
      <c r="AA1496" t="s">
        <v>35</v>
      </c>
      <c r="AB1496">
        <v>13</v>
      </c>
      <c r="AC1496">
        <v>3</v>
      </c>
      <c r="AD1496" t="str">
        <f t="shared" si="47"/>
        <v>Low Performance</v>
      </c>
      <c r="AE1496">
        <v>4</v>
      </c>
      <c r="AF1496">
        <v>80</v>
      </c>
      <c r="AG1496">
        <v>1</v>
      </c>
      <c r="AH1496">
        <v>10</v>
      </c>
      <c r="AI1496">
        <v>3</v>
      </c>
      <c r="AJ1496">
        <v>2</v>
      </c>
      <c r="AK1496" t="str" cm="1">
        <f t="array" ref="AK1496">_xlfn.IFS(AJ1496&lt;=2,"Poor",AJ1496&lt;=3,"Fair",AJ1496&gt;3,"Good")</f>
        <v>Poor</v>
      </c>
      <c r="AL1496">
        <v>9</v>
      </c>
      <c r="AM1496">
        <v>8</v>
      </c>
      <c r="AN1496">
        <v>7</v>
      </c>
      <c r="AO1496">
        <v>8</v>
      </c>
    </row>
    <row r="1497" spans="1:41" x14ac:dyDescent="0.2">
      <c r="A1497">
        <v>1026975</v>
      </c>
      <c r="B1497">
        <v>50</v>
      </c>
      <c r="C1497" t="str" cm="1">
        <f t="array" ref="C1497">_xlfn.IFS(B1497&lt;=25,"15-25",B1497&lt;=35,"26-35",B1497&lt;=45,"36-45",B1497&lt;=55,"46-55",B1497&lt;=65,"56-65")</f>
        <v>46-55</v>
      </c>
      <c r="D1497" t="s">
        <v>35</v>
      </c>
      <c r="E1497" t="str">
        <f t="shared" si="46"/>
        <v>Current Employee</v>
      </c>
      <c r="F1497" t="s">
        <v>36</v>
      </c>
      <c r="G1497">
        <v>854</v>
      </c>
      <c r="H1497" t="s">
        <v>37</v>
      </c>
      <c r="I1497">
        <v>1</v>
      </c>
      <c r="J1497">
        <v>4</v>
      </c>
      <c r="K1497" t="s">
        <v>49</v>
      </c>
      <c r="L1497">
        <v>1</v>
      </c>
      <c r="M1497">
        <v>4</v>
      </c>
      <c r="N1497" t="s">
        <v>39</v>
      </c>
      <c r="O1497">
        <v>68</v>
      </c>
      <c r="P1497">
        <v>3</v>
      </c>
      <c r="Q1497">
        <v>5</v>
      </c>
      <c r="R1497" t="s">
        <v>58</v>
      </c>
      <c r="S1497">
        <v>4</v>
      </c>
      <c r="T1497" t="str" cm="1">
        <f t="array" ref="T1497">_xlfn.IFS(S1497&lt;=2,"Poor",S1497&lt;=3,"Fair",S1497&gt;=4,"Good")</f>
        <v>Good</v>
      </c>
      <c r="U1497" t="s">
        <v>50</v>
      </c>
      <c r="V1497" s="1">
        <v>19517</v>
      </c>
      <c r="W1497" t="str" cm="1">
        <f t="array" ref="W1497">_xlfn.IFS(V1497&lt;=5000,"Low Salary",V1497&lt;=12000,"Good Salary",V1497&gt;12000,"High Salary")</f>
        <v>High Salary</v>
      </c>
      <c r="X1497">
        <v>24118</v>
      </c>
      <c r="Y1497">
        <v>3</v>
      </c>
      <c r="Z1497" t="s">
        <v>42</v>
      </c>
      <c r="AA1497" t="s">
        <v>35</v>
      </c>
      <c r="AB1497">
        <v>11</v>
      </c>
      <c r="AC1497">
        <v>3</v>
      </c>
      <c r="AD1497" t="str">
        <f t="shared" si="47"/>
        <v>Low Performance</v>
      </c>
      <c r="AE1497">
        <v>3</v>
      </c>
      <c r="AF1497">
        <v>80</v>
      </c>
      <c r="AG1497">
        <v>1</v>
      </c>
      <c r="AH1497">
        <v>32</v>
      </c>
      <c r="AI1497">
        <v>3</v>
      </c>
      <c r="AJ1497">
        <v>2</v>
      </c>
      <c r="AK1497" t="str" cm="1">
        <f t="array" ref="AK1497">_xlfn.IFS(AJ1497&lt;=2,"Poor",AJ1497&lt;=3,"Fair",AJ1497&gt;3,"Good")</f>
        <v>Poor</v>
      </c>
      <c r="AL1497">
        <v>7</v>
      </c>
      <c r="AM1497">
        <v>0</v>
      </c>
      <c r="AN1497">
        <v>0</v>
      </c>
      <c r="AO1497">
        <v>6</v>
      </c>
    </row>
    <row r="1498" spans="1:41" x14ac:dyDescent="0.2">
      <c r="A1498">
        <v>1267061</v>
      </c>
      <c r="B1498">
        <v>46</v>
      </c>
      <c r="C1498" t="str" cm="1">
        <f t="array" ref="C1498">_xlfn.IFS(B1498&lt;=25,"15-25",B1498&lt;=35,"26-35",B1498&lt;=45,"36-45",B1498&lt;=55,"46-55",B1498&lt;=65,"56-65")</f>
        <v>46-55</v>
      </c>
      <c r="D1498" t="s">
        <v>35</v>
      </c>
      <c r="E1498" t="str">
        <f t="shared" si="46"/>
        <v>Current Employee</v>
      </c>
      <c r="F1498" t="s">
        <v>52</v>
      </c>
      <c r="G1498">
        <v>1144</v>
      </c>
      <c r="H1498" t="s">
        <v>45</v>
      </c>
      <c r="I1498">
        <v>7</v>
      </c>
      <c r="J1498">
        <v>4</v>
      </c>
      <c r="K1498" t="s">
        <v>49</v>
      </c>
      <c r="L1498">
        <v>1</v>
      </c>
      <c r="M1498">
        <v>3</v>
      </c>
      <c r="N1498" t="s">
        <v>39</v>
      </c>
      <c r="O1498">
        <v>30</v>
      </c>
      <c r="P1498">
        <v>3</v>
      </c>
      <c r="Q1498">
        <v>2</v>
      </c>
      <c r="R1498" t="s">
        <v>51</v>
      </c>
      <c r="S1498">
        <v>3</v>
      </c>
      <c r="T1498" t="str" cm="1">
        <f t="array" ref="T1498">_xlfn.IFS(S1498&lt;=2,"Poor",S1498&lt;=3,"Fair",S1498&gt;=4,"Good")</f>
        <v>Fair</v>
      </c>
      <c r="U1498" t="s">
        <v>48</v>
      </c>
      <c r="V1498" s="1">
        <v>5258</v>
      </c>
      <c r="W1498" t="str" cm="1">
        <f t="array" ref="W1498">_xlfn.IFS(V1498&lt;=5000,"Low Salary",V1498&lt;=12000,"Good Salary",V1498&gt;12000,"High Salary")</f>
        <v>Good Salary</v>
      </c>
      <c r="X1498">
        <v>16044</v>
      </c>
      <c r="Y1498">
        <v>2</v>
      </c>
      <c r="Z1498" t="s">
        <v>42</v>
      </c>
      <c r="AA1498" t="s">
        <v>35</v>
      </c>
      <c r="AB1498">
        <v>14</v>
      </c>
      <c r="AC1498">
        <v>3</v>
      </c>
      <c r="AD1498" t="str">
        <f t="shared" si="47"/>
        <v>Low Performance</v>
      </c>
      <c r="AE1498">
        <v>3</v>
      </c>
      <c r="AF1498">
        <v>80</v>
      </c>
      <c r="AG1498">
        <v>0</v>
      </c>
      <c r="AH1498">
        <v>7</v>
      </c>
      <c r="AI1498">
        <v>2</v>
      </c>
      <c r="AJ1498">
        <v>4</v>
      </c>
      <c r="AK1498" t="str" cm="1">
        <f t="array" ref="AK1498">_xlfn.IFS(AJ1498&lt;=2,"Poor",AJ1498&lt;=3,"Fair",AJ1498&gt;3,"Good")</f>
        <v>Good</v>
      </c>
      <c r="AL1498">
        <v>1</v>
      </c>
      <c r="AM1498">
        <v>0</v>
      </c>
      <c r="AN1498">
        <v>0</v>
      </c>
      <c r="AO1498">
        <v>0</v>
      </c>
    </row>
    <row r="1499" spans="1:41" x14ac:dyDescent="0.2">
      <c r="A1499">
        <v>1184336</v>
      </c>
      <c r="B1499">
        <v>45</v>
      </c>
      <c r="C1499" t="str" cm="1">
        <f t="array" ref="C1499">_xlfn.IFS(B1499&lt;=25,"15-25",B1499&lt;=35,"26-35",B1499&lt;=45,"36-45",B1499&lt;=55,"46-55",B1499&lt;=65,"56-65")</f>
        <v>36-45</v>
      </c>
      <c r="D1499" t="s">
        <v>35</v>
      </c>
      <c r="E1499" t="str">
        <f t="shared" si="46"/>
        <v>Current Employee</v>
      </c>
      <c r="F1499" t="s">
        <v>36</v>
      </c>
      <c r="G1499">
        <v>192</v>
      </c>
      <c r="H1499" t="s">
        <v>45</v>
      </c>
      <c r="I1499">
        <v>10</v>
      </c>
      <c r="J1499">
        <v>2</v>
      </c>
      <c r="K1499" t="s">
        <v>38</v>
      </c>
      <c r="L1499">
        <v>1</v>
      </c>
      <c r="M1499">
        <v>1</v>
      </c>
      <c r="N1499" t="s">
        <v>46</v>
      </c>
      <c r="O1499">
        <v>69</v>
      </c>
      <c r="P1499">
        <v>3</v>
      </c>
      <c r="Q1499">
        <v>1</v>
      </c>
      <c r="R1499" t="s">
        <v>40</v>
      </c>
      <c r="S1499">
        <v>4</v>
      </c>
      <c r="T1499" t="str" cm="1">
        <f t="array" ref="T1499">_xlfn.IFS(S1499&lt;=2,"Poor",S1499&lt;=3,"Fair",S1499&gt;=4,"Good")</f>
        <v>Good</v>
      </c>
      <c r="U1499" t="s">
        <v>48</v>
      </c>
      <c r="V1499" s="1">
        <v>2654</v>
      </c>
      <c r="W1499" t="str" cm="1">
        <f t="array" ref="W1499">_xlfn.IFS(V1499&lt;=5000,"Low Salary",V1499&lt;=12000,"Good Salary",V1499&gt;12000,"High Salary")</f>
        <v>Low Salary</v>
      </c>
      <c r="X1499">
        <v>9655</v>
      </c>
      <c r="Y1499">
        <v>3</v>
      </c>
      <c r="Z1499" t="s">
        <v>42</v>
      </c>
      <c r="AA1499" t="s">
        <v>35</v>
      </c>
      <c r="AB1499">
        <v>21</v>
      </c>
      <c r="AC1499">
        <v>4</v>
      </c>
      <c r="AD1499" t="str">
        <f t="shared" si="47"/>
        <v>High Performance</v>
      </c>
      <c r="AE1499">
        <v>4</v>
      </c>
      <c r="AF1499">
        <v>80</v>
      </c>
      <c r="AG1499">
        <v>2</v>
      </c>
      <c r="AH1499">
        <v>8</v>
      </c>
      <c r="AI1499">
        <v>3</v>
      </c>
      <c r="AJ1499">
        <v>2</v>
      </c>
      <c r="AK1499" t="str" cm="1">
        <f t="array" ref="AK1499">_xlfn.IFS(AJ1499&lt;=2,"Poor",AJ1499&lt;=3,"Fair",AJ1499&gt;3,"Good")</f>
        <v>Poor</v>
      </c>
      <c r="AL1499">
        <v>2</v>
      </c>
      <c r="AM1499">
        <v>2</v>
      </c>
      <c r="AN1499">
        <v>0</v>
      </c>
      <c r="AO1499">
        <v>2</v>
      </c>
    </row>
    <row r="1500" spans="1:41" x14ac:dyDescent="0.2">
      <c r="A1500">
        <v>1852420</v>
      </c>
      <c r="B1500">
        <v>31</v>
      </c>
      <c r="C1500" t="str" cm="1">
        <f t="array" ref="C1500">_xlfn.IFS(B1500&lt;=25,"15-25",B1500&lt;=35,"26-35",B1500&lt;=45,"36-45",B1500&lt;=55,"46-55",B1500&lt;=65,"56-65")</f>
        <v>26-35</v>
      </c>
      <c r="D1500" t="s">
        <v>35</v>
      </c>
      <c r="E1500" t="str">
        <f t="shared" si="46"/>
        <v>Current Employee</v>
      </c>
      <c r="F1500" t="s">
        <v>36</v>
      </c>
      <c r="G1500">
        <v>1112</v>
      </c>
      <c r="H1500" t="s">
        <v>37</v>
      </c>
      <c r="I1500">
        <v>5</v>
      </c>
      <c r="J1500">
        <v>4</v>
      </c>
      <c r="K1500" t="s">
        <v>38</v>
      </c>
      <c r="L1500">
        <v>1</v>
      </c>
      <c r="M1500">
        <v>1</v>
      </c>
      <c r="N1500" t="s">
        <v>39</v>
      </c>
      <c r="O1500">
        <v>67</v>
      </c>
      <c r="P1500">
        <v>3</v>
      </c>
      <c r="Q1500">
        <v>2</v>
      </c>
      <c r="R1500" t="s">
        <v>40</v>
      </c>
      <c r="S1500">
        <v>4</v>
      </c>
      <c r="T1500" t="str" cm="1">
        <f t="array" ref="T1500">_xlfn.IFS(S1500&lt;=2,"Poor",S1500&lt;=3,"Fair",S1500&gt;=4,"Good")</f>
        <v>Good</v>
      </c>
      <c r="U1500" t="s">
        <v>48</v>
      </c>
      <c r="V1500" s="1">
        <v>5476</v>
      </c>
      <c r="W1500" t="str" cm="1">
        <f t="array" ref="W1500">_xlfn.IFS(V1500&lt;=5000,"Low Salary",V1500&lt;=12000,"Good Salary",V1500&gt;12000,"High Salary")</f>
        <v>Good Salary</v>
      </c>
      <c r="X1500">
        <v>22589</v>
      </c>
      <c r="Y1500">
        <v>1</v>
      </c>
      <c r="Z1500" t="s">
        <v>42</v>
      </c>
      <c r="AA1500" t="s">
        <v>35</v>
      </c>
      <c r="AB1500">
        <v>11</v>
      </c>
      <c r="AC1500">
        <v>3</v>
      </c>
      <c r="AD1500" t="str">
        <f t="shared" si="47"/>
        <v>Low Performance</v>
      </c>
      <c r="AE1500">
        <v>1</v>
      </c>
      <c r="AF1500">
        <v>80</v>
      </c>
      <c r="AG1500">
        <v>2</v>
      </c>
      <c r="AH1500">
        <v>10</v>
      </c>
      <c r="AI1500">
        <v>2</v>
      </c>
      <c r="AJ1500">
        <v>3</v>
      </c>
      <c r="AK1500" t="str" cm="1">
        <f t="array" ref="AK1500">_xlfn.IFS(AJ1500&lt;=2,"Poor",AJ1500&lt;=3,"Fair",AJ1500&gt;3,"Good")</f>
        <v>Fair</v>
      </c>
      <c r="AL1500">
        <v>10</v>
      </c>
      <c r="AM1500">
        <v>0</v>
      </c>
      <c r="AN1500">
        <v>0</v>
      </c>
      <c r="AO1500">
        <v>2</v>
      </c>
    </row>
    <row r="1501" spans="1:41" x14ac:dyDescent="0.2">
      <c r="A1501">
        <v>1622092</v>
      </c>
      <c r="B1501">
        <v>29</v>
      </c>
      <c r="C1501" t="str" cm="1">
        <f t="array" ref="C1501">_xlfn.IFS(B1501&lt;=25,"15-25",B1501&lt;=35,"26-35",B1501&lt;=45,"36-45",B1501&lt;=55,"46-55",B1501&lt;=65,"56-65")</f>
        <v>26-35</v>
      </c>
      <c r="D1501" t="s">
        <v>35</v>
      </c>
      <c r="E1501" t="str">
        <f t="shared" si="46"/>
        <v>Current Employee</v>
      </c>
      <c r="F1501" t="s">
        <v>36</v>
      </c>
      <c r="G1501">
        <v>1389</v>
      </c>
      <c r="H1501" t="s">
        <v>45</v>
      </c>
      <c r="I1501">
        <v>21</v>
      </c>
      <c r="J1501">
        <v>4</v>
      </c>
      <c r="K1501" t="s">
        <v>38</v>
      </c>
      <c r="L1501">
        <v>1</v>
      </c>
      <c r="M1501">
        <v>2</v>
      </c>
      <c r="N1501" t="s">
        <v>39</v>
      </c>
      <c r="O1501">
        <v>51</v>
      </c>
      <c r="P1501">
        <v>4</v>
      </c>
      <c r="Q1501">
        <v>3</v>
      </c>
      <c r="R1501" t="s">
        <v>51</v>
      </c>
      <c r="S1501">
        <v>1</v>
      </c>
      <c r="T1501" t="str" cm="1">
        <f t="array" ref="T1501">_xlfn.IFS(S1501&lt;=2,"Poor",S1501&lt;=3,"Fair",S1501&gt;=4,"Good")</f>
        <v>Poor</v>
      </c>
      <c r="U1501" t="s">
        <v>50</v>
      </c>
      <c r="V1501" s="1">
        <v>9980</v>
      </c>
      <c r="W1501" t="str" cm="1">
        <f t="array" ref="W1501">_xlfn.IFS(V1501&lt;=5000,"Low Salary",V1501&lt;=12000,"Good Salary",V1501&gt;12000,"High Salary")</f>
        <v>Good Salary</v>
      </c>
      <c r="X1501">
        <v>10195</v>
      </c>
      <c r="Y1501">
        <v>1</v>
      </c>
      <c r="Z1501" t="s">
        <v>42</v>
      </c>
      <c r="AA1501" t="s">
        <v>35</v>
      </c>
      <c r="AB1501">
        <v>11</v>
      </c>
      <c r="AC1501">
        <v>3</v>
      </c>
      <c r="AD1501" t="str">
        <f t="shared" si="47"/>
        <v>Low Performance</v>
      </c>
      <c r="AE1501">
        <v>3</v>
      </c>
      <c r="AF1501">
        <v>80</v>
      </c>
      <c r="AG1501">
        <v>1</v>
      </c>
      <c r="AH1501">
        <v>10</v>
      </c>
      <c r="AI1501">
        <v>1</v>
      </c>
      <c r="AJ1501">
        <v>3</v>
      </c>
      <c r="AK1501" t="str" cm="1">
        <f t="array" ref="AK1501">_xlfn.IFS(AJ1501&lt;=2,"Poor",AJ1501&lt;=3,"Fair",AJ1501&gt;3,"Good")</f>
        <v>Fair</v>
      </c>
      <c r="AL1501">
        <v>10</v>
      </c>
      <c r="AM1501">
        <v>9</v>
      </c>
      <c r="AN1501">
        <v>8</v>
      </c>
      <c r="AO1501">
        <v>8</v>
      </c>
    </row>
    <row r="1502" spans="1:41" x14ac:dyDescent="0.2">
      <c r="A1502">
        <v>1870096</v>
      </c>
      <c r="B1502">
        <v>41</v>
      </c>
      <c r="C1502" t="str" cm="1">
        <f t="array" ref="C1502">_xlfn.IFS(B1502&lt;=25,"15-25",B1502&lt;=35,"26-35",B1502&lt;=45,"36-45",B1502&lt;=55,"46-55",B1502&lt;=65,"56-65")</f>
        <v>36-45</v>
      </c>
      <c r="D1502" t="s">
        <v>35</v>
      </c>
      <c r="E1502" t="str">
        <f t="shared" si="46"/>
        <v>Current Employee</v>
      </c>
      <c r="F1502" t="s">
        <v>36</v>
      </c>
      <c r="G1502">
        <v>645</v>
      </c>
      <c r="H1502" t="s">
        <v>37</v>
      </c>
      <c r="I1502">
        <v>1</v>
      </c>
      <c r="J1502">
        <v>3</v>
      </c>
      <c r="K1502" t="s">
        <v>55</v>
      </c>
      <c r="L1502">
        <v>1</v>
      </c>
      <c r="M1502">
        <v>2</v>
      </c>
      <c r="N1502" t="s">
        <v>46</v>
      </c>
      <c r="O1502">
        <v>49</v>
      </c>
      <c r="P1502">
        <v>4</v>
      </c>
      <c r="Q1502">
        <v>3</v>
      </c>
      <c r="R1502" t="s">
        <v>40</v>
      </c>
      <c r="S1502">
        <v>1</v>
      </c>
      <c r="T1502" t="str" cm="1">
        <f t="array" ref="T1502">_xlfn.IFS(S1502&lt;=2,"Poor",S1502&lt;=3,"Fair",S1502&gt;=4,"Good")</f>
        <v>Poor</v>
      </c>
      <c r="U1502" t="s">
        <v>48</v>
      </c>
      <c r="V1502" s="1">
        <v>8392</v>
      </c>
      <c r="W1502" t="str" cm="1">
        <f t="array" ref="W1502">_xlfn.IFS(V1502&lt;=5000,"Low Salary",V1502&lt;=12000,"Good Salary",V1502&gt;12000,"High Salary")</f>
        <v>Good Salary</v>
      </c>
      <c r="X1502">
        <v>19566</v>
      </c>
      <c r="Y1502">
        <v>1</v>
      </c>
      <c r="Z1502" t="s">
        <v>42</v>
      </c>
      <c r="AA1502" t="s">
        <v>35</v>
      </c>
      <c r="AB1502">
        <v>16</v>
      </c>
      <c r="AC1502">
        <v>3</v>
      </c>
      <c r="AD1502" t="str">
        <f t="shared" si="47"/>
        <v>Low Performance</v>
      </c>
      <c r="AE1502">
        <v>3</v>
      </c>
      <c r="AF1502">
        <v>80</v>
      </c>
      <c r="AG1502">
        <v>1</v>
      </c>
      <c r="AH1502">
        <v>10</v>
      </c>
      <c r="AI1502">
        <v>2</v>
      </c>
      <c r="AJ1502">
        <v>3</v>
      </c>
      <c r="AK1502" t="str" cm="1">
        <f t="array" ref="AK1502">_xlfn.IFS(AJ1502&lt;=2,"Poor",AJ1502&lt;=3,"Fair",AJ1502&gt;3,"Good")</f>
        <v>Fair</v>
      </c>
      <c r="AL1502">
        <v>10</v>
      </c>
      <c r="AM1502">
        <v>7</v>
      </c>
      <c r="AN1502">
        <v>0</v>
      </c>
      <c r="AO1502">
        <v>7</v>
      </c>
    </row>
    <row r="1503" spans="1:41" x14ac:dyDescent="0.2">
      <c r="A1503">
        <v>1288694</v>
      </c>
      <c r="B1503">
        <v>38</v>
      </c>
      <c r="C1503" t="str" cm="1">
        <f t="array" ref="C1503">_xlfn.IFS(B1503&lt;=25,"15-25",B1503&lt;=35,"26-35",B1503&lt;=45,"36-45",B1503&lt;=55,"46-55",B1503&lt;=65,"56-65")</f>
        <v>36-45</v>
      </c>
      <c r="D1503" t="s">
        <v>35</v>
      </c>
      <c r="E1503" t="str">
        <f t="shared" si="46"/>
        <v>Current Employee</v>
      </c>
      <c r="F1503" t="s">
        <v>36</v>
      </c>
      <c r="G1503">
        <v>345</v>
      </c>
      <c r="H1503" t="s">
        <v>37</v>
      </c>
      <c r="I1503">
        <v>10</v>
      </c>
      <c r="J1503">
        <v>2</v>
      </c>
      <c r="K1503" t="s">
        <v>38</v>
      </c>
      <c r="L1503">
        <v>1</v>
      </c>
      <c r="M1503">
        <v>1</v>
      </c>
      <c r="N1503" t="s">
        <v>39</v>
      </c>
      <c r="O1503">
        <v>100</v>
      </c>
      <c r="P1503">
        <v>3</v>
      </c>
      <c r="Q1503">
        <v>2</v>
      </c>
      <c r="R1503" t="s">
        <v>40</v>
      </c>
      <c r="S1503">
        <v>4</v>
      </c>
      <c r="T1503" t="str" cm="1">
        <f t="array" ref="T1503">_xlfn.IFS(S1503&lt;=2,"Poor",S1503&lt;=3,"Fair",S1503&gt;=4,"Good")</f>
        <v>Good</v>
      </c>
      <c r="U1503" t="s">
        <v>48</v>
      </c>
      <c r="V1503" s="1">
        <v>5343</v>
      </c>
      <c r="W1503" t="str" cm="1">
        <f t="array" ref="W1503">_xlfn.IFS(V1503&lt;=5000,"Low Salary",V1503&lt;=12000,"Good Salary",V1503&gt;12000,"High Salary")</f>
        <v>Good Salary</v>
      </c>
      <c r="X1503">
        <v>5982</v>
      </c>
      <c r="Y1503">
        <v>1</v>
      </c>
      <c r="Z1503" t="s">
        <v>42</v>
      </c>
      <c r="AA1503" t="s">
        <v>35</v>
      </c>
      <c r="AB1503">
        <v>11</v>
      </c>
      <c r="AC1503">
        <v>3</v>
      </c>
      <c r="AD1503" t="str">
        <f t="shared" si="47"/>
        <v>Low Performance</v>
      </c>
      <c r="AE1503">
        <v>3</v>
      </c>
      <c r="AF1503">
        <v>80</v>
      </c>
      <c r="AG1503">
        <v>1</v>
      </c>
      <c r="AH1503">
        <v>10</v>
      </c>
      <c r="AI1503">
        <v>1</v>
      </c>
      <c r="AJ1503">
        <v>3</v>
      </c>
      <c r="AK1503" t="str" cm="1">
        <f t="array" ref="AK1503">_xlfn.IFS(AJ1503&lt;=2,"Poor",AJ1503&lt;=3,"Fair",AJ1503&gt;3,"Good")</f>
        <v>Fair</v>
      </c>
      <c r="AL1503">
        <v>10</v>
      </c>
      <c r="AM1503">
        <v>7</v>
      </c>
      <c r="AN1503">
        <v>1</v>
      </c>
      <c r="AO1503">
        <v>9</v>
      </c>
    </row>
    <row r="1504" spans="1:41" x14ac:dyDescent="0.2">
      <c r="A1504">
        <v>1354174</v>
      </c>
      <c r="B1504">
        <v>53</v>
      </c>
      <c r="C1504" t="str" cm="1">
        <f t="array" ref="C1504">_xlfn.IFS(B1504&lt;=25,"15-25",B1504&lt;=35,"26-35",B1504&lt;=45,"36-45",B1504&lt;=55,"46-55",B1504&lt;=65,"56-65")</f>
        <v>46-55</v>
      </c>
      <c r="D1504" t="s">
        <v>35</v>
      </c>
      <c r="E1504" t="str">
        <f t="shared" si="46"/>
        <v>Current Employee</v>
      </c>
      <c r="F1504" t="s">
        <v>36</v>
      </c>
      <c r="G1504">
        <v>1219</v>
      </c>
      <c r="H1504" t="s">
        <v>37</v>
      </c>
      <c r="I1504">
        <v>2</v>
      </c>
      <c r="J1504">
        <v>4</v>
      </c>
      <c r="K1504" t="s">
        <v>38</v>
      </c>
      <c r="L1504">
        <v>1</v>
      </c>
      <c r="M1504">
        <v>1</v>
      </c>
      <c r="N1504" t="s">
        <v>39</v>
      </c>
      <c r="O1504">
        <v>78</v>
      </c>
      <c r="P1504">
        <v>2</v>
      </c>
      <c r="Q1504">
        <v>4</v>
      </c>
      <c r="R1504" t="s">
        <v>58</v>
      </c>
      <c r="S1504">
        <v>4</v>
      </c>
      <c r="T1504" t="str" cm="1">
        <f t="array" ref="T1504">_xlfn.IFS(S1504&lt;=2,"Poor",S1504&lt;=3,"Fair",S1504&gt;=4,"Good")</f>
        <v>Good</v>
      </c>
      <c r="U1504" t="s">
        <v>48</v>
      </c>
      <c r="V1504" s="1">
        <v>15427</v>
      </c>
      <c r="W1504" t="str" cm="1">
        <f t="array" ref="W1504">_xlfn.IFS(V1504&lt;=5000,"Low Salary",V1504&lt;=12000,"Good Salary",V1504&gt;12000,"High Salary")</f>
        <v>High Salary</v>
      </c>
      <c r="X1504">
        <v>22021</v>
      </c>
      <c r="Y1504">
        <v>2</v>
      </c>
      <c r="Z1504" t="s">
        <v>42</v>
      </c>
      <c r="AA1504" t="s">
        <v>35</v>
      </c>
      <c r="AB1504">
        <v>16</v>
      </c>
      <c r="AC1504">
        <v>3</v>
      </c>
      <c r="AD1504" t="str">
        <f t="shared" si="47"/>
        <v>Low Performance</v>
      </c>
      <c r="AE1504">
        <v>3</v>
      </c>
      <c r="AF1504">
        <v>80</v>
      </c>
      <c r="AG1504">
        <v>0</v>
      </c>
      <c r="AH1504">
        <v>31</v>
      </c>
      <c r="AI1504">
        <v>3</v>
      </c>
      <c r="AJ1504">
        <v>3</v>
      </c>
      <c r="AK1504" t="str" cm="1">
        <f t="array" ref="AK1504">_xlfn.IFS(AJ1504&lt;=2,"Poor",AJ1504&lt;=3,"Fair",AJ1504&gt;3,"Good")</f>
        <v>Fair</v>
      </c>
      <c r="AL1504">
        <v>25</v>
      </c>
      <c r="AM1504">
        <v>8</v>
      </c>
      <c r="AN1504">
        <v>3</v>
      </c>
      <c r="AO1504">
        <v>7</v>
      </c>
    </row>
    <row r="1505" spans="1:41" x14ac:dyDescent="0.2">
      <c r="A1505">
        <v>1121812</v>
      </c>
      <c r="B1505">
        <v>35</v>
      </c>
      <c r="C1505" t="str" cm="1">
        <f t="array" ref="C1505">_xlfn.IFS(B1505&lt;=25,"15-25",B1505&lt;=35,"26-35",B1505&lt;=45,"36-45",B1505&lt;=55,"46-55",B1505&lt;=65,"56-65")</f>
        <v>26-35</v>
      </c>
      <c r="D1505" t="s">
        <v>35</v>
      </c>
      <c r="E1505" t="str">
        <f t="shared" si="46"/>
        <v>Current Employee</v>
      </c>
      <c r="F1505" t="s">
        <v>44</v>
      </c>
      <c r="G1505">
        <v>1182</v>
      </c>
      <c r="H1505" t="s">
        <v>37</v>
      </c>
      <c r="I1505">
        <v>11</v>
      </c>
      <c r="J1505">
        <v>2</v>
      </c>
      <c r="K1505" t="s">
        <v>55</v>
      </c>
      <c r="L1505">
        <v>1</v>
      </c>
      <c r="M1505">
        <v>4</v>
      </c>
      <c r="N1505" t="s">
        <v>46</v>
      </c>
      <c r="O1505">
        <v>54</v>
      </c>
      <c r="P1505">
        <v>3</v>
      </c>
      <c r="Q1505">
        <v>2</v>
      </c>
      <c r="R1505" t="s">
        <v>40</v>
      </c>
      <c r="S1505">
        <v>4</v>
      </c>
      <c r="T1505" t="str" cm="1">
        <f t="array" ref="T1505">_xlfn.IFS(S1505&lt;=2,"Poor",S1505&lt;=3,"Fair",S1505&gt;=4,"Good")</f>
        <v>Good</v>
      </c>
      <c r="U1505" t="s">
        <v>50</v>
      </c>
      <c r="V1505" s="1">
        <v>4968</v>
      </c>
      <c r="W1505" t="str" cm="1">
        <f t="array" ref="W1505">_xlfn.IFS(V1505&lt;=5000,"Low Salary",V1505&lt;=12000,"Good Salary",V1505&gt;12000,"High Salary")</f>
        <v>Low Salary</v>
      </c>
      <c r="X1505">
        <v>18500</v>
      </c>
      <c r="Y1505">
        <v>1</v>
      </c>
      <c r="Z1505" t="s">
        <v>42</v>
      </c>
      <c r="AA1505" t="s">
        <v>35</v>
      </c>
      <c r="AB1505">
        <v>11</v>
      </c>
      <c r="AC1505">
        <v>3</v>
      </c>
      <c r="AD1505" t="str">
        <f t="shared" si="47"/>
        <v>Low Performance</v>
      </c>
      <c r="AE1505">
        <v>4</v>
      </c>
      <c r="AF1505">
        <v>80</v>
      </c>
      <c r="AG1505">
        <v>1</v>
      </c>
      <c r="AH1505">
        <v>5</v>
      </c>
      <c r="AI1505">
        <v>3</v>
      </c>
      <c r="AJ1505">
        <v>3</v>
      </c>
      <c r="AK1505" t="str" cm="1">
        <f t="array" ref="AK1505">_xlfn.IFS(AJ1505&lt;=2,"Poor",AJ1505&lt;=3,"Fair",AJ1505&gt;3,"Good")</f>
        <v>Fair</v>
      </c>
      <c r="AL1505">
        <v>5</v>
      </c>
      <c r="AM1505">
        <v>2</v>
      </c>
      <c r="AN1505">
        <v>0</v>
      </c>
      <c r="AO1505">
        <v>2</v>
      </c>
    </row>
    <row r="1506" spans="1:41" x14ac:dyDescent="0.2">
      <c r="A1506">
        <v>1688790</v>
      </c>
      <c r="B1506">
        <v>49</v>
      </c>
      <c r="C1506" t="str" cm="1">
        <f t="array" ref="C1506">_xlfn.IFS(B1506&lt;=25,"15-25",B1506&lt;=35,"26-35",B1506&lt;=45,"36-45",B1506&lt;=55,"46-55",B1506&lt;=65,"56-65")</f>
        <v>46-55</v>
      </c>
      <c r="D1506" t="s">
        <v>35</v>
      </c>
      <c r="E1506" t="str">
        <f t="shared" si="46"/>
        <v>Current Employee</v>
      </c>
      <c r="F1506" t="s">
        <v>36</v>
      </c>
      <c r="G1506">
        <v>465</v>
      </c>
      <c r="H1506" t="s">
        <v>45</v>
      </c>
      <c r="I1506">
        <v>6</v>
      </c>
      <c r="J1506">
        <v>1</v>
      </c>
      <c r="K1506" t="s">
        <v>38</v>
      </c>
      <c r="L1506">
        <v>1</v>
      </c>
      <c r="M1506">
        <v>3</v>
      </c>
      <c r="N1506" t="s">
        <v>39</v>
      </c>
      <c r="O1506">
        <v>41</v>
      </c>
      <c r="P1506">
        <v>2</v>
      </c>
      <c r="Q1506">
        <v>4</v>
      </c>
      <c r="R1506" t="s">
        <v>47</v>
      </c>
      <c r="S1506">
        <v>3</v>
      </c>
      <c r="T1506" t="str" cm="1">
        <f t="array" ref="T1506">_xlfn.IFS(S1506&lt;=2,"Poor",S1506&lt;=3,"Fair",S1506&gt;=4,"Good")</f>
        <v>Fair</v>
      </c>
      <c r="U1506" t="s">
        <v>48</v>
      </c>
      <c r="V1506" s="1">
        <v>13966</v>
      </c>
      <c r="W1506" t="str" cm="1">
        <f t="array" ref="W1506">_xlfn.IFS(V1506&lt;=5000,"Low Salary",V1506&lt;=12000,"Good Salary",V1506&gt;12000,"High Salary")</f>
        <v>High Salary</v>
      </c>
      <c r="X1506">
        <v>11652</v>
      </c>
      <c r="Y1506">
        <v>2</v>
      </c>
      <c r="Z1506" t="s">
        <v>42</v>
      </c>
      <c r="AA1506" t="s">
        <v>43</v>
      </c>
      <c r="AB1506">
        <v>19</v>
      </c>
      <c r="AC1506">
        <v>3</v>
      </c>
      <c r="AD1506" t="str">
        <f t="shared" si="47"/>
        <v>Low Performance</v>
      </c>
      <c r="AE1506">
        <v>2</v>
      </c>
      <c r="AF1506">
        <v>80</v>
      </c>
      <c r="AG1506">
        <v>1</v>
      </c>
      <c r="AH1506">
        <v>30</v>
      </c>
      <c r="AI1506">
        <v>3</v>
      </c>
      <c r="AJ1506">
        <v>3</v>
      </c>
      <c r="AK1506" t="str" cm="1">
        <f t="array" ref="AK1506">_xlfn.IFS(AJ1506&lt;=2,"Poor",AJ1506&lt;=3,"Fair",AJ1506&gt;3,"Good")</f>
        <v>Fair</v>
      </c>
      <c r="AL1506">
        <v>15</v>
      </c>
      <c r="AM1506">
        <v>11</v>
      </c>
      <c r="AN1506">
        <v>2</v>
      </c>
      <c r="AO1506">
        <v>12</v>
      </c>
    </row>
    <row r="1507" spans="1:41" x14ac:dyDescent="0.2">
      <c r="A1507">
        <v>1847082</v>
      </c>
      <c r="B1507">
        <v>40</v>
      </c>
      <c r="C1507" t="str" cm="1">
        <f t="array" ref="C1507">_xlfn.IFS(B1507&lt;=25,"15-25",B1507&lt;=35,"26-35",B1507&lt;=45,"36-45",B1507&lt;=55,"46-55",B1507&lt;=65,"56-65")</f>
        <v>36-45</v>
      </c>
      <c r="D1507" t="s">
        <v>35</v>
      </c>
      <c r="E1507" t="str">
        <f t="shared" si="46"/>
        <v>Current Employee</v>
      </c>
      <c r="F1507" t="s">
        <v>36</v>
      </c>
      <c r="G1507">
        <v>369</v>
      </c>
      <c r="H1507" t="s">
        <v>45</v>
      </c>
      <c r="I1507">
        <v>8</v>
      </c>
      <c r="J1507">
        <v>2</v>
      </c>
      <c r="K1507" t="s">
        <v>38</v>
      </c>
      <c r="L1507">
        <v>1</v>
      </c>
      <c r="M1507">
        <v>2</v>
      </c>
      <c r="N1507" t="s">
        <v>39</v>
      </c>
      <c r="O1507">
        <v>92</v>
      </c>
      <c r="P1507">
        <v>3</v>
      </c>
      <c r="Q1507">
        <v>2</v>
      </c>
      <c r="R1507" t="s">
        <v>51</v>
      </c>
      <c r="S1507">
        <v>1</v>
      </c>
      <c r="T1507" t="str" cm="1">
        <f t="array" ref="T1507">_xlfn.IFS(S1507&lt;=2,"Poor",S1507&lt;=3,"Fair",S1507&gt;=4,"Good")</f>
        <v>Poor</v>
      </c>
      <c r="U1507" t="s">
        <v>48</v>
      </c>
      <c r="V1507" s="1">
        <v>6516</v>
      </c>
      <c r="W1507" t="str" cm="1">
        <f t="array" ref="W1507">_xlfn.IFS(V1507&lt;=5000,"Low Salary",V1507&lt;=12000,"Good Salary",V1507&gt;12000,"High Salary")</f>
        <v>Good Salary</v>
      </c>
      <c r="X1507">
        <v>5041</v>
      </c>
      <c r="Y1507">
        <v>2</v>
      </c>
      <c r="Z1507" t="s">
        <v>42</v>
      </c>
      <c r="AA1507" t="s">
        <v>43</v>
      </c>
      <c r="AB1507">
        <v>16</v>
      </c>
      <c r="AC1507">
        <v>3</v>
      </c>
      <c r="AD1507" t="str">
        <f t="shared" si="47"/>
        <v>Low Performance</v>
      </c>
      <c r="AE1507">
        <v>2</v>
      </c>
      <c r="AF1507">
        <v>80</v>
      </c>
      <c r="AG1507">
        <v>1</v>
      </c>
      <c r="AH1507">
        <v>18</v>
      </c>
      <c r="AI1507">
        <v>3</v>
      </c>
      <c r="AJ1507">
        <v>3</v>
      </c>
      <c r="AK1507" t="str" cm="1">
        <f t="array" ref="AK1507">_xlfn.IFS(AJ1507&lt;=2,"Poor",AJ1507&lt;=3,"Fair",AJ1507&gt;3,"Good")</f>
        <v>Fair</v>
      </c>
      <c r="AL1507">
        <v>1</v>
      </c>
      <c r="AM1507">
        <v>0</v>
      </c>
      <c r="AN1507">
        <v>0</v>
      </c>
      <c r="AO1507">
        <v>0</v>
      </c>
    </row>
    <row r="1508" spans="1:41" x14ac:dyDescent="0.2">
      <c r="A1508">
        <v>1137940</v>
      </c>
      <c r="B1508">
        <v>46</v>
      </c>
      <c r="C1508" t="str" cm="1">
        <f t="array" ref="C1508">_xlfn.IFS(B1508&lt;=25,"15-25",B1508&lt;=35,"26-35",B1508&lt;=45,"36-45",B1508&lt;=55,"46-55",B1508&lt;=65,"56-65")</f>
        <v>46-55</v>
      </c>
      <c r="D1508" t="s">
        <v>35</v>
      </c>
      <c r="E1508" t="str">
        <f t="shared" si="46"/>
        <v>Current Employee</v>
      </c>
      <c r="F1508" t="s">
        <v>36</v>
      </c>
      <c r="G1508">
        <v>1319</v>
      </c>
      <c r="H1508" t="s">
        <v>37</v>
      </c>
      <c r="I1508">
        <v>3</v>
      </c>
      <c r="J1508">
        <v>3</v>
      </c>
      <c r="K1508" t="s">
        <v>56</v>
      </c>
      <c r="L1508">
        <v>1</v>
      </c>
      <c r="M1508">
        <v>1</v>
      </c>
      <c r="N1508" t="s">
        <v>39</v>
      </c>
      <c r="O1508">
        <v>45</v>
      </c>
      <c r="P1508">
        <v>4</v>
      </c>
      <c r="Q1508">
        <v>4</v>
      </c>
      <c r="R1508" t="s">
        <v>40</v>
      </c>
      <c r="S1508">
        <v>1</v>
      </c>
      <c r="T1508" t="str" cm="1">
        <f t="array" ref="T1508">_xlfn.IFS(S1508&lt;=2,"Poor",S1508&lt;=3,"Fair",S1508&gt;=4,"Good")</f>
        <v>Poor</v>
      </c>
      <c r="U1508" t="s">
        <v>50</v>
      </c>
      <c r="V1508" s="1">
        <v>13225</v>
      </c>
      <c r="W1508" t="str" cm="1">
        <f t="array" ref="W1508">_xlfn.IFS(V1508&lt;=5000,"Low Salary",V1508&lt;=12000,"Good Salary",V1508&gt;12000,"High Salary")</f>
        <v>High Salary</v>
      </c>
      <c r="X1508">
        <v>7739</v>
      </c>
      <c r="Y1508">
        <v>2</v>
      </c>
      <c r="Z1508" t="s">
        <v>42</v>
      </c>
      <c r="AA1508" t="s">
        <v>35</v>
      </c>
      <c r="AB1508">
        <v>12</v>
      </c>
      <c r="AC1508">
        <v>3</v>
      </c>
      <c r="AD1508" t="str">
        <f t="shared" si="47"/>
        <v>Low Performance</v>
      </c>
      <c r="AE1508">
        <v>4</v>
      </c>
      <c r="AF1508">
        <v>80</v>
      </c>
      <c r="AG1508">
        <v>1</v>
      </c>
      <c r="AH1508">
        <v>25</v>
      </c>
      <c r="AI1508">
        <v>5</v>
      </c>
      <c r="AJ1508">
        <v>3</v>
      </c>
      <c r="AK1508" t="str" cm="1">
        <f t="array" ref="AK1508">_xlfn.IFS(AJ1508&lt;=2,"Poor",AJ1508&lt;=3,"Fair",AJ1508&gt;3,"Good")</f>
        <v>Fair</v>
      </c>
      <c r="AL1508">
        <v>19</v>
      </c>
      <c r="AM1508">
        <v>17</v>
      </c>
      <c r="AN1508">
        <v>2</v>
      </c>
      <c r="AO1508">
        <v>8</v>
      </c>
    </row>
    <row r="1509" spans="1:41" x14ac:dyDescent="0.2">
      <c r="A1509">
        <v>1531743</v>
      </c>
      <c r="B1509">
        <v>58</v>
      </c>
      <c r="C1509" t="str" cm="1">
        <f t="array" ref="C1509">_xlfn.IFS(B1509&lt;=25,"15-25",B1509&lt;=35,"26-35",B1509&lt;=45,"36-45",B1509&lt;=55,"46-55",B1509&lt;=65,"56-65")</f>
        <v>56-65</v>
      </c>
      <c r="D1509" t="s">
        <v>35</v>
      </c>
      <c r="E1509" t="str">
        <f t="shared" si="46"/>
        <v>Current Employee</v>
      </c>
      <c r="F1509" t="s">
        <v>36</v>
      </c>
      <c r="G1509">
        <v>1055</v>
      </c>
      <c r="H1509" t="s">
        <v>54</v>
      </c>
      <c r="I1509">
        <v>1</v>
      </c>
      <c r="J1509">
        <v>3</v>
      </c>
      <c r="K1509" t="s">
        <v>49</v>
      </c>
      <c r="L1509">
        <v>1</v>
      </c>
      <c r="M1509">
        <v>4</v>
      </c>
      <c r="N1509" t="s">
        <v>39</v>
      </c>
      <c r="O1509">
        <v>76</v>
      </c>
      <c r="P1509">
        <v>3</v>
      </c>
      <c r="Q1509">
        <v>5</v>
      </c>
      <c r="R1509" t="s">
        <v>51</v>
      </c>
      <c r="S1509">
        <v>1</v>
      </c>
      <c r="T1509" t="str" cm="1">
        <f t="array" ref="T1509">_xlfn.IFS(S1509&lt;=2,"Poor",S1509&lt;=3,"Fair",S1509&gt;=4,"Good")</f>
        <v>Poor</v>
      </c>
      <c r="U1509" t="s">
        <v>48</v>
      </c>
      <c r="V1509" s="1">
        <v>19701</v>
      </c>
      <c r="W1509" t="str" cm="1">
        <f t="array" ref="W1509">_xlfn.IFS(V1509&lt;=5000,"Low Salary",V1509&lt;=12000,"Good Salary",V1509&gt;12000,"High Salary")</f>
        <v>High Salary</v>
      </c>
      <c r="X1509">
        <v>22456</v>
      </c>
      <c r="Y1509">
        <v>3</v>
      </c>
      <c r="Z1509" t="s">
        <v>42</v>
      </c>
      <c r="AA1509" t="s">
        <v>43</v>
      </c>
      <c r="AB1509">
        <v>21</v>
      </c>
      <c r="AC1509">
        <v>4</v>
      </c>
      <c r="AD1509" t="str">
        <f t="shared" si="47"/>
        <v>High Performance</v>
      </c>
      <c r="AE1509">
        <v>3</v>
      </c>
      <c r="AF1509">
        <v>80</v>
      </c>
      <c r="AG1509">
        <v>1</v>
      </c>
      <c r="AH1509">
        <v>32</v>
      </c>
      <c r="AI1509">
        <v>3</v>
      </c>
      <c r="AJ1509">
        <v>3</v>
      </c>
      <c r="AK1509" t="str" cm="1">
        <f t="array" ref="AK1509">_xlfn.IFS(AJ1509&lt;=2,"Poor",AJ1509&lt;=3,"Fair",AJ1509&gt;3,"Good")</f>
        <v>Fair</v>
      </c>
      <c r="AL1509">
        <v>9</v>
      </c>
      <c r="AM1509">
        <v>8</v>
      </c>
      <c r="AN1509">
        <v>1</v>
      </c>
      <c r="AO1509">
        <v>5</v>
      </c>
    </row>
    <row r="1510" spans="1:41" x14ac:dyDescent="0.2">
      <c r="A1510">
        <v>1156488</v>
      </c>
      <c r="B1510">
        <v>48</v>
      </c>
      <c r="C1510" t="str" cm="1">
        <f t="array" ref="C1510">_xlfn.IFS(B1510&lt;=25,"15-25",B1510&lt;=35,"26-35",B1510&lt;=45,"36-45",B1510&lt;=55,"46-55",B1510&lt;=65,"56-65")</f>
        <v>46-55</v>
      </c>
      <c r="D1510" t="s">
        <v>35</v>
      </c>
      <c r="E1510" t="str">
        <f t="shared" si="46"/>
        <v>Current Employee</v>
      </c>
      <c r="F1510" t="s">
        <v>44</v>
      </c>
      <c r="G1510">
        <v>365</v>
      </c>
      <c r="H1510" t="s">
        <v>45</v>
      </c>
      <c r="I1510">
        <v>4</v>
      </c>
      <c r="J1510">
        <v>5</v>
      </c>
      <c r="K1510" t="s">
        <v>49</v>
      </c>
      <c r="L1510">
        <v>1</v>
      </c>
      <c r="M1510">
        <v>3</v>
      </c>
      <c r="N1510" t="s">
        <v>46</v>
      </c>
      <c r="O1510">
        <v>89</v>
      </c>
      <c r="P1510">
        <v>2</v>
      </c>
      <c r="Q1510">
        <v>4</v>
      </c>
      <c r="R1510" t="s">
        <v>58</v>
      </c>
      <c r="S1510">
        <v>4</v>
      </c>
      <c r="T1510" t="str" cm="1">
        <f t="array" ref="T1510">_xlfn.IFS(S1510&lt;=2,"Poor",S1510&lt;=3,"Fair",S1510&gt;=4,"Good")</f>
        <v>Good</v>
      </c>
      <c r="U1510" t="s">
        <v>48</v>
      </c>
      <c r="V1510" s="1">
        <v>15202</v>
      </c>
      <c r="W1510" t="str" cm="1">
        <f t="array" ref="W1510">_xlfn.IFS(V1510&lt;=5000,"Low Salary",V1510&lt;=12000,"Good Salary",V1510&gt;12000,"High Salary")</f>
        <v>High Salary</v>
      </c>
      <c r="X1510">
        <v>5602</v>
      </c>
      <c r="Y1510">
        <v>2</v>
      </c>
      <c r="Z1510" t="s">
        <v>42</v>
      </c>
      <c r="AA1510" t="s">
        <v>35</v>
      </c>
      <c r="AB1510">
        <v>25</v>
      </c>
      <c r="AC1510">
        <v>4</v>
      </c>
      <c r="AD1510" t="str">
        <f t="shared" si="47"/>
        <v>High Performance</v>
      </c>
      <c r="AE1510">
        <v>2</v>
      </c>
      <c r="AF1510">
        <v>80</v>
      </c>
      <c r="AG1510">
        <v>1</v>
      </c>
      <c r="AH1510">
        <v>23</v>
      </c>
      <c r="AI1510">
        <v>3</v>
      </c>
      <c r="AJ1510">
        <v>3</v>
      </c>
      <c r="AK1510" t="str" cm="1">
        <f t="array" ref="AK1510">_xlfn.IFS(AJ1510&lt;=2,"Poor",AJ1510&lt;=3,"Fair",AJ1510&gt;3,"Good")</f>
        <v>Fair</v>
      </c>
      <c r="AL1510">
        <v>2</v>
      </c>
      <c r="AM1510">
        <v>2</v>
      </c>
      <c r="AN1510">
        <v>2</v>
      </c>
      <c r="AO1510">
        <v>2</v>
      </c>
    </row>
    <row r="1511" spans="1:41" x14ac:dyDescent="0.2">
      <c r="A1511">
        <v>1578755</v>
      </c>
      <c r="B1511">
        <v>29</v>
      </c>
      <c r="C1511" t="str" cm="1">
        <f t="array" ref="C1511">_xlfn.IFS(B1511&lt;=25,"15-25",B1511&lt;=35,"26-35",B1511&lt;=45,"36-45",B1511&lt;=55,"46-55",B1511&lt;=65,"56-65")</f>
        <v>26-35</v>
      </c>
      <c r="D1511" t="s">
        <v>35</v>
      </c>
      <c r="E1511" t="str">
        <f t="shared" si="46"/>
        <v>Current Employee</v>
      </c>
      <c r="F1511" t="s">
        <v>36</v>
      </c>
      <c r="G1511">
        <v>1010</v>
      </c>
      <c r="H1511" t="s">
        <v>45</v>
      </c>
      <c r="I1511">
        <v>1</v>
      </c>
      <c r="J1511">
        <v>3</v>
      </c>
      <c r="K1511" t="s">
        <v>38</v>
      </c>
      <c r="L1511">
        <v>1</v>
      </c>
      <c r="M1511">
        <v>1</v>
      </c>
      <c r="N1511" t="s">
        <v>39</v>
      </c>
      <c r="O1511">
        <v>97</v>
      </c>
      <c r="P1511">
        <v>3</v>
      </c>
      <c r="Q1511">
        <v>1</v>
      </c>
      <c r="R1511" t="s">
        <v>40</v>
      </c>
      <c r="S1511">
        <v>4</v>
      </c>
      <c r="T1511" t="str" cm="1">
        <f t="array" ref="T1511">_xlfn.IFS(S1511&lt;=2,"Poor",S1511&lt;=3,"Fair",S1511&gt;=4,"Good")</f>
        <v>Good</v>
      </c>
      <c r="U1511" t="s">
        <v>50</v>
      </c>
      <c r="V1511" s="1">
        <v>3760</v>
      </c>
      <c r="W1511" t="str" cm="1">
        <f t="array" ref="W1511">_xlfn.IFS(V1511&lt;=5000,"Low Salary",V1511&lt;=12000,"Good Salary",V1511&gt;12000,"High Salary")</f>
        <v>Low Salary</v>
      </c>
      <c r="X1511">
        <v>5598</v>
      </c>
      <c r="Y1511">
        <v>1</v>
      </c>
      <c r="Z1511" t="s">
        <v>42</v>
      </c>
      <c r="AA1511" t="s">
        <v>35</v>
      </c>
      <c r="AB1511">
        <v>15</v>
      </c>
      <c r="AC1511">
        <v>3</v>
      </c>
      <c r="AD1511" t="str">
        <f t="shared" si="47"/>
        <v>Low Performance</v>
      </c>
      <c r="AE1511">
        <v>1</v>
      </c>
      <c r="AF1511">
        <v>80</v>
      </c>
      <c r="AG1511">
        <v>3</v>
      </c>
      <c r="AH1511">
        <v>3</v>
      </c>
      <c r="AI1511">
        <v>5</v>
      </c>
      <c r="AJ1511">
        <v>3</v>
      </c>
      <c r="AK1511" t="str" cm="1">
        <f t="array" ref="AK1511">_xlfn.IFS(AJ1511&lt;=2,"Poor",AJ1511&lt;=3,"Fair",AJ1511&gt;3,"Good")</f>
        <v>Fair</v>
      </c>
      <c r="AL1511">
        <v>3</v>
      </c>
      <c r="AM1511">
        <v>2</v>
      </c>
      <c r="AN1511">
        <v>1</v>
      </c>
      <c r="AO1511">
        <v>2</v>
      </c>
    </row>
    <row r="1512" spans="1:41" x14ac:dyDescent="0.2">
      <c r="A1512">
        <v>1333885</v>
      </c>
      <c r="B1512">
        <v>31</v>
      </c>
      <c r="C1512" t="str" cm="1">
        <f t="array" ref="C1512">_xlfn.IFS(B1512&lt;=25,"15-25",B1512&lt;=35,"26-35",B1512&lt;=45,"36-45",B1512&lt;=55,"46-55",B1512&lt;=65,"56-65")</f>
        <v>26-35</v>
      </c>
      <c r="D1512" t="s">
        <v>35</v>
      </c>
      <c r="E1512" t="str">
        <f t="shared" si="46"/>
        <v>Current Employee</v>
      </c>
      <c r="F1512" t="s">
        <v>36</v>
      </c>
      <c r="G1512">
        <v>655</v>
      </c>
      <c r="H1512" t="s">
        <v>54</v>
      </c>
      <c r="I1512">
        <v>7</v>
      </c>
      <c r="J1512">
        <v>4</v>
      </c>
      <c r="K1512" t="s">
        <v>38</v>
      </c>
      <c r="L1512">
        <v>1</v>
      </c>
      <c r="M1512">
        <v>4</v>
      </c>
      <c r="N1512" t="s">
        <v>46</v>
      </c>
      <c r="O1512">
        <v>48</v>
      </c>
      <c r="P1512">
        <v>3</v>
      </c>
      <c r="Q1512">
        <v>2</v>
      </c>
      <c r="R1512" t="s">
        <v>40</v>
      </c>
      <c r="S1512">
        <v>4</v>
      </c>
      <c r="T1512" t="str" cm="1">
        <f t="array" ref="T1512">_xlfn.IFS(S1512&lt;=2,"Poor",S1512&lt;=3,"Fair",S1512&gt;=4,"Good")</f>
        <v>Good</v>
      </c>
      <c r="U1512" t="s">
        <v>50</v>
      </c>
      <c r="V1512" s="1">
        <v>5915</v>
      </c>
      <c r="W1512" t="str" cm="1">
        <f t="array" ref="W1512">_xlfn.IFS(V1512&lt;=5000,"Low Salary",V1512&lt;=12000,"Good Salary",V1512&gt;12000,"High Salary")</f>
        <v>Good Salary</v>
      </c>
      <c r="X1512">
        <v>9528</v>
      </c>
      <c r="Y1512">
        <v>3</v>
      </c>
      <c r="Z1512" t="s">
        <v>42</v>
      </c>
      <c r="AA1512" t="s">
        <v>35</v>
      </c>
      <c r="AB1512">
        <v>22</v>
      </c>
      <c r="AC1512">
        <v>4</v>
      </c>
      <c r="AD1512" t="str">
        <f t="shared" si="47"/>
        <v>High Performance</v>
      </c>
      <c r="AE1512">
        <v>4</v>
      </c>
      <c r="AF1512">
        <v>80</v>
      </c>
      <c r="AG1512">
        <v>1</v>
      </c>
      <c r="AH1512">
        <v>10</v>
      </c>
      <c r="AI1512">
        <v>3</v>
      </c>
      <c r="AJ1512">
        <v>2</v>
      </c>
      <c r="AK1512" t="str" cm="1">
        <f t="array" ref="AK1512">_xlfn.IFS(AJ1512&lt;=2,"Poor",AJ1512&lt;=3,"Fair",AJ1512&gt;3,"Good")</f>
        <v>Poor</v>
      </c>
      <c r="AL1512">
        <v>7</v>
      </c>
      <c r="AM1512">
        <v>7</v>
      </c>
      <c r="AN1512">
        <v>1</v>
      </c>
      <c r="AO1512">
        <v>7</v>
      </c>
    </row>
    <row r="1513" spans="1:41" x14ac:dyDescent="0.2">
      <c r="A1513">
        <v>1258908</v>
      </c>
      <c r="B1513">
        <v>38</v>
      </c>
      <c r="C1513" t="str" cm="1">
        <f t="array" ref="C1513">_xlfn.IFS(B1513&lt;=25,"15-25",B1513&lt;=35,"26-35",B1513&lt;=45,"36-45",B1513&lt;=55,"46-55",B1513&lt;=65,"56-65")</f>
        <v>36-45</v>
      </c>
      <c r="D1513" t="s">
        <v>35</v>
      </c>
      <c r="E1513" t="str">
        <f t="shared" si="46"/>
        <v>Current Employee</v>
      </c>
      <c r="F1513" t="s">
        <v>44</v>
      </c>
      <c r="G1513">
        <v>1186</v>
      </c>
      <c r="H1513" t="s">
        <v>45</v>
      </c>
      <c r="I1513">
        <v>3</v>
      </c>
      <c r="J1513">
        <v>4</v>
      </c>
      <c r="K1513" t="s">
        <v>47</v>
      </c>
      <c r="L1513">
        <v>1</v>
      </c>
      <c r="M1513">
        <v>3</v>
      </c>
      <c r="N1513" t="s">
        <v>46</v>
      </c>
      <c r="O1513">
        <v>44</v>
      </c>
      <c r="P1513">
        <v>3</v>
      </c>
      <c r="Q1513">
        <v>1</v>
      </c>
      <c r="R1513" t="s">
        <v>40</v>
      </c>
      <c r="S1513">
        <v>3</v>
      </c>
      <c r="T1513" t="str" cm="1">
        <f t="array" ref="T1513">_xlfn.IFS(S1513&lt;=2,"Poor",S1513&lt;=3,"Fair",S1513&gt;=4,"Good")</f>
        <v>Fair</v>
      </c>
      <c r="U1513" t="s">
        <v>48</v>
      </c>
      <c r="V1513" s="1">
        <v>2821</v>
      </c>
      <c r="W1513" t="str" cm="1">
        <f t="array" ref="W1513">_xlfn.IFS(V1513&lt;=5000,"Low Salary",V1513&lt;=12000,"Good Salary",V1513&gt;12000,"High Salary")</f>
        <v>Low Salary</v>
      </c>
      <c r="X1513">
        <v>2997</v>
      </c>
      <c r="Y1513">
        <v>3</v>
      </c>
      <c r="Z1513" t="s">
        <v>42</v>
      </c>
      <c r="AA1513" t="s">
        <v>35</v>
      </c>
      <c r="AB1513">
        <v>16</v>
      </c>
      <c r="AC1513">
        <v>3</v>
      </c>
      <c r="AD1513" t="str">
        <f t="shared" si="47"/>
        <v>Low Performance</v>
      </c>
      <c r="AE1513">
        <v>1</v>
      </c>
      <c r="AF1513">
        <v>80</v>
      </c>
      <c r="AG1513">
        <v>1</v>
      </c>
      <c r="AH1513">
        <v>8</v>
      </c>
      <c r="AI1513">
        <v>2</v>
      </c>
      <c r="AJ1513">
        <v>3</v>
      </c>
      <c r="AK1513" t="str" cm="1">
        <f t="array" ref="AK1513">_xlfn.IFS(AJ1513&lt;=2,"Poor",AJ1513&lt;=3,"Fair",AJ1513&gt;3,"Good")</f>
        <v>Fair</v>
      </c>
      <c r="AL1513">
        <v>2</v>
      </c>
      <c r="AM1513">
        <v>2</v>
      </c>
      <c r="AN1513">
        <v>2</v>
      </c>
      <c r="AO1513">
        <v>2</v>
      </c>
    </row>
    <row r="1514" spans="1:41" x14ac:dyDescent="0.2">
      <c r="A1514">
        <v>1245218</v>
      </c>
      <c r="B1514">
        <v>29</v>
      </c>
      <c r="C1514" t="str" cm="1">
        <f t="array" ref="C1514">_xlfn.IFS(B1514&lt;=25,"15-25",B1514&lt;=35,"26-35",B1514&lt;=45,"36-45",B1514&lt;=55,"46-55",B1514&lt;=65,"56-65")</f>
        <v>26-35</v>
      </c>
      <c r="D1514" t="s">
        <v>35</v>
      </c>
      <c r="E1514" t="str">
        <f t="shared" si="46"/>
        <v>Current Employee</v>
      </c>
      <c r="F1514" t="s">
        <v>36</v>
      </c>
      <c r="G1514">
        <v>136</v>
      </c>
      <c r="H1514" t="s">
        <v>45</v>
      </c>
      <c r="I1514">
        <v>1</v>
      </c>
      <c r="J1514">
        <v>3</v>
      </c>
      <c r="K1514" t="s">
        <v>38</v>
      </c>
      <c r="L1514">
        <v>1</v>
      </c>
      <c r="M1514">
        <v>1</v>
      </c>
      <c r="N1514" t="s">
        <v>46</v>
      </c>
      <c r="O1514">
        <v>89</v>
      </c>
      <c r="P1514">
        <v>3</v>
      </c>
      <c r="Q1514">
        <v>2</v>
      </c>
      <c r="R1514" t="s">
        <v>47</v>
      </c>
      <c r="S1514">
        <v>1</v>
      </c>
      <c r="T1514" t="str" cm="1">
        <f t="array" ref="T1514">_xlfn.IFS(S1514&lt;=2,"Poor",S1514&lt;=3,"Fair",S1514&gt;=4,"Good")</f>
        <v>Poor</v>
      </c>
      <c r="U1514" t="s">
        <v>48</v>
      </c>
      <c r="V1514" s="1">
        <v>5373</v>
      </c>
      <c r="W1514" t="str" cm="1">
        <f t="array" ref="W1514">_xlfn.IFS(V1514&lt;=5000,"Low Salary",V1514&lt;=12000,"Good Salary",V1514&gt;12000,"High Salary")</f>
        <v>Good Salary</v>
      </c>
      <c r="X1514">
        <v>6225</v>
      </c>
      <c r="Y1514">
        <v>0</v>
      </c>
      <c r="Z1514" t="s">
        <v>42</v>
      </c>
      <c r="AA1514" t="s">
        <v>35</v>
      </c>
      <c r="AB1514">
        <v>12</v>
      </c>
      <c r="AC1514">
        <v>3</v>
      </c>
      <c r="AD1514" t="str">
        <f t="shared" si="47"/>
        <v>Low Performance</v>
      </c>
      <c r="AE1514">
        <v>1</v>
      </c>
      <c r="AF1514">
        <v>80</v>
      </c>
      <c r="AG1514">
        <v>1</v>
      </c>
      <c r="AH1514">
        <v>6</v>
      </c>
      <c r="AI1514">
        <v>5</v>
      </c>
      <c r="AJ1514">
        <v>2</v>
      </c>
      <c r="AK1514" t="str" cm="1">
        <f t="array" ref="AK1514">_xlfn.IFS(AJ1514&lt;=2,"Poor",AJ1514&lt;=3,"Fair",AJ1514&gt;3,"Good")</f>
        <v>Poor</v>
      </c>
      <c r="AL1514">
        <v>5</v>
      </c>
      <c r="AM1514">
        <v>3</v>
      </c>
      <c r="AN1514">
        <v>0</v>
      </c>
      <c r="AO1514">
        <v>2</v>
      </c>
    </row>
    <row r="1515" spans="1:41" x14ac:dyDescent="0.2">
      <c r="A1515">
        <v>1730370</v>
      </c>
      <c r="B1515">
        <v>36</v>
      </c>
      <c r="C1515" t="str" cm="1">
        <f t="array" ref="C1515">_xlfn.IFS(B1515&lt;=25,"15-25",B1515&lt;=35,"26-35",B1515&lt;=45,"36-45",B1515&lt;=55,"46-55",B1515&lt;=65,"56-65")</f>
        <v>36-45</v>
      </c>
      <c r="D1515" t="s">
        <v>35</v>
      </c>
      <c r="E1515" t="str">
        <f t="shared" si="46"/>
        <v>Current Employee</v>
      </c>
      <c r="F1515" t="s">
        <v>36</v>
      </c>
      <c r="G1515">
        <v>188</v>
      </c>
      <c r="H1515" t="s">
        <v>45</v>
      </c>
      <c r="I1515">
        <v>7</v>
      </c>
      <c r="J1515">
        <v>4</v>
      </c>
      <c r="K1515" t="s">
        <v>47</v>
      </c>
      <c r="L1515">
        <v>1</v>
      </c>
      <c r="M1515">
        <v>2</v>
      </c>
      <c r="N1515" t="s">
        <v>46</v>
      </c>
      <c r="O1515">
        <v>65</v>
      </c>
      <c r="P1515">
        <v>3</v>
      </c>
      <c r="Q1515">
        <v>1</v>
      </c>
      <c r="R1515" t="s">
        <v>40</v>
      </c>
      <c r="S1515">
        <v>4</v>
      </c>
      <c r="T1515" t="str" cm="1">
        <f t="array" ref="T1515">_xlfn.IFS(S1515&lt;=2,"Poor",S1515&lt;=3,"Fair",S1515&gt;=4,"Good")</f>
        <v>Good</v>
      </c>
      <c r="U1515" t="s">
        <v>41</v>
      </c>
      <c r="V1515" s="1">
        <v>4678</v>
      </c>
      <c r="W1515" t="str" cm="1">
        <f t="array" ref="W1515">_xlfn.IFS(V1515&lt;=5000,"Low Salary",V1515&lt;=12000,"Good Salary",V1515&gt;12000,"High Salary")</f>
        <v>Low Salary</v>
      </c>
      <c r="X1515">
        <v>23293</v>
      </c>
      <c r="Y1515">
        <v>2</v>
      </c>
      <c r="Z1515" t="s">
        <v>42</v>
      </c>
      <c r="AA1515" t="s">
        <v>35</v>
      </c>
      <c r="AB1515">
        <v>18</v>
      </c>
      <c r="AC1515">
        <v>3</v>
      </c>
      <c r="AD1515" t="str">
        <f t="shared" si="47"/>
        <v>Low Performance</v>
      </c>
      <c r="AE1515">
        <v>3</v>
      </c>
      <c r="AF1515">
        <v>80</v>
      </c>
      <c r="AG1515">
        <v>0</v>
      </c>
      <c r="AH1515">
        <v>8</v>
      </c>
      <c r="AI1515">
        <v>6</v>
      </c>
      <c r="AJ1515">
        <v>3</v>
      </c>
      <c r="AK1515" t="str" cm="1">
        <f t="array" ref="AK1515">_xlfn.IFS(AJ1515&lt;=2,"Poor",AJ1515&lt;=3,"Fair",AJ1515&gt;3,"Good")</f>
        <v>Fair</v>
      </c>
      <c r="AL1515">
        <v>6</v>
      </c>
      <c r="AM1515">
        <v>2</v>
      </c>
      <c r="AN1515">
        <v>0</v>
      </c>
      <c r="AO1515">
        <v>1</v>
      </c>
    </row>
    <row r="1516" spans="1:41" x14ac:dyDescent="0.2">
      <c r="A1516">
        <v>1577435</v>
      </c>
      <c r="B1516">
        <v>42</v>
      </c>
      <c r="C1516" t="str" cm="1">
        <f t="array" ref="C1516">_xlfn.IFS(B1516&lt;=25,"15-25",B1516&lt;=35,"26-35",B1516&lt;=45,"36-45",B1516&lt;=55,"46-55",B1516&lt;=65,"56-65")</f>
        <v>36-45</v>
      </c>
      <c r="D1516" t="s">
        <v>35</v>
      </c>
      <c r="E1516" t="str">
        <f t="shared" si="46"/>
        <v>Current Employee</v>
      </c>
      <c r="F1516" t="s">
        <v>36</v>
      </c>
      <c r="G1516">
        <v>469</v>
      </c>
      <c r="H1516" t="s">
        <v>45</v>
      </c>
      <c r="I1516">
        <v>2</v>
      </c>
      <c r="J1516">
        <v>2</v>
      </c>
      <c r="K1516" t="s">
        <v>49</v>
      </c>
      <c r="L1516">
        <v>1</v>
      </c>
      <c r="M1516">
        <v>4</v>
      </c>
      <c r="N1516" t="s">
        <v>46</v>
      </c>
      <c r="O1516">
        <v>35</v>
      </c>
      <c r="P1516">
        <v>3</v>
      </c>
      <c r="Q1516">
        <v>4</v>
      </c>
      <c r="R1516" t="s">
        <v>58</v>
      </c>
      <c r="S1516">
        <v>1</v>
      </c>
      <c r="T1516" t="str" cm="1">
        <f t="array" ref="T1516">_xlfn.IFS(S1516&lt;=2,"Poor",S1516&lt;=3,"Fair",S1516&gt;=4,"Good")</f>
        <v>Poor</v>
      </c>
      <c r="U1516" t="s">
        <v>48</v>
      </c>
      <c r="V1516" s="1">
        <v>17665</v>
      </c>
      <c r="W1516" t="str" cm="1">
        <f t="array" ref="W1516">_xlfn.IFS(V1516&lt;=5000,"Low Salary",V1516&lt;=12000,"Good Salary",V1516&gt;12000,"High Salary")</f>
        <v>High Salary</v>
      </c>
      <c r="X1516">
        <v>14399</v>
      </c>
      <c r="Y1516">
        <v>0</v>
      </c>
      <c r="Z1516" t="s">
        <v>42</v>
      </c>
      <c r="AA1516" t="s">
        <v>35</v>
      </c>
      <c r="AB1516">
        <v>17</v>
      </c>
      <c r="AC1516">
        <v>3</v>
      </c>
      <c r="AD1516" t="str">
        <f t="shared" si="47"/>
        <v>Low Performance</v>
      </c>
      <c r="AE1516">
        <v>4</v>
      </c>
      <c r="AF1516">
        <v>80</v>
      </c>
      <c r="AG1516">
        <v>1</v>
      </c>
      <c r="AH1516">
        <v>23</v>
      </c>
      <c r="AI1516">
        <v>3</v>
      </c>
      <c r="AJ1516">
        <v>3</v>
      </c>
      <c r="AK1516" t="str" cm="1">
        <f t="array" ref="AK1516">_xlfn.IFS(AJ1516&lt;=2,"Poor",AJ1516&lt;=3,"Fair",AJ1516&gt;3,"Good")</f>
        <v>Fair</v>
      </c>
      <c r="AL1516">
        <v>22</v>
      </c>
      <c r="AM1516">
        <v>6</v>
      </c>
      <c r="AN1516">
        <v>13</v>
      </c>
      <c r="AO1516">
        <v>7</v>
      </c>
    </row>
    <row r="1517" spans="1:41" x14ac:dyDescent="0.2">
      <c r="A1517">
        <v>1151756</v>
      </c>
      <c r="B1517">
        <v>25</v>
      </c>
      <c r="C1517" t="str" cm="1">
        <f t="array" ref="C1517">_xlfn.IFS(B1517&lt;=25,"15-25",B1517&lt;=35,"26-35",B1517&lt;=45,"36-45",B1517&lt;=55,"46-55",B1517&lt;=65,"56-65")</f>
        <v>15-25</v>
      </c>
      <c r="D1517" t="s">
        <v>35</v>
      </c>
      <c r="E1517" t="str">
        <f t="shared" si="46"/>
        <v>Current Employee</v>
      </c>
      <c r="F1517" t="s">
        <v>36</v>
      </c>
      <c r="G1517">
        <v>810</v>
      </c>
      <c r="H1517" t="s">
        <v>37</v>
      </c>
      <c r="I1517">
        <v>8</v>
      </c>
      <c r="J1517">
        <v>3</v>
      </c>
      <c r="K1517" t="s">
        <v>38</v>
      </c>
      <c r="L1517">
        <v>1</v>
      </c>
      <c r="M1517">
        <v>4</v>
      </c>
      <c r="N1517" t="s">
        <v>46</v>
      </c>
      <c r="O1517">
        <v>57</v>
      </c>
      <c r="P1517">
        <v>4</v>
      </c>
      <c r="Q1517">
        <v>2</v>
      </c>
      <c r="R1517" t="s">
        <v>40</v>
      </c>
      <c r="S1517">
        <v>2</v>
      </c>
      <c r="T1517" t="str" cm="1">
        <f t="array" ref="T1517">_xlfn.IFS(S1517&lt;=2,"Poor",S1517&lt;=3,"Fair",S1517&gt;=4,"Good")</f>
        <v>Poor</v>
      </c>
      <c r="U1517" t="s">
        <v>48</v>
      </c>
      <c r="V1517" s="1">
        <v>4851</v>
      </c>
      <c r="W1517" t="str" cm="1">
        <f t="array" ref="W1517">_xlfn.IFS(V1517&lt;=5000,"Low Salary",V1517&lt;=12000,"Good Salary",V1517&gt;12000,"High Salary")</f>
        <v>Low Salary</v>
      </c>
      <c r="X1517">
        <v>15678</v>
      </c>
      <c r="Y1517">
        <v>0</v>
      </c>
      <c r="Z1517" t="s">
        <v>42</v>
      </c>
      <c r="AA1517" t="s">
        <v>35</v>
      </c>
      <c r="AB1517">
        <v>22</v>
      </c>
      <c r="AC1517">
        <v>4</v>
      </c>
      <c r="AD1517" t="str">
        <f t="shared" si="47"/>
        <v>High Performance</v>
      </c>
      <c r="AE1517">
        <v>3</v>
      </c>
      <c r="AF1517">
        <v>80</v>
      </c>
      <c r="AG1517">
        <v>1</v>
      </c>
      <c r="AH1517">
        <v>4</v>
      </c>
      <c r="AI1517">
        <v>4</v>
      </c>
      <c r="AJ1517">
        <v>3</v>
      </c>
      <c r="AK1517" t="str" cm="1">
        <f t="array" ref="AK1517">_xlfn.IFS(AJ1517&lt;=2,"Poor",AJ1517&lt;=3,"Fair",AJ1517&gt;3,"Good")</f>
        <v>Fair</v>
      </c>
      <c r="AL1517">
        <v>3</v>
      </c>
      <c r="AM1517">
        <v>2</v>
      </c>
      <c r="AN1517">
        <v>1</v>
      </c>
      <c r="AO1517">
        <v>2</v>
      </c>
    </row>
    <row r="1518" spans="1:41" x14ac:dyDescent="0.2">
      <c r="A1518">
        <v>1045493</v>
      </c>
      <c r="B1518">
        <v>48</v>
      </c>
      <c r="C1518" t="str" cm="1">
        <f t="array" ref="C1518">_xlfn.IFS(B1518&lt;=25,"15-25",B1518&lt;=35,"26-35",B1518&lt;=45,"36-45",B1518&lt;=55,"46-55",B1518&lt;=65,"56-65")</f>
        <v>46-55</v>
      </c>
      <c r="D1518" t="s">
        <v>35</v>
      </c>
      <c r="E1518" t="str">
        <f t="shared" si="46"/>
        <v>Current Employee</v>
      </c>
      <c r="F1518" t="s">
        <v>36</v>
      </c>
      <c r="G1518">
        <v>715</v>
      </c>
      <c r="H1518" t="s">
        <v>54</v>
      </c>
      <c r="I1518">
        <v>1</v>
      </c>
      <c r="J1518">
        <v>3</v>
      </c>
      <c r="K1518" t="s">
        <v>38</v>
      </c>
      <c r="L1518">
        <v>1</v>
      </c>
      <c r="M1518">
        <v>4</v>
      </c>
      <c r="N1518" t="s">
        <v>46</v>
      </c>
      <c r="O1518">
        <v>76</v>
      </c>
      <c r="P1518">
        <v>2</v>
      </c>
      <c r="Q1518">
        <v>5</v>
      </c>
      <c r="R1518" t="s">
        <v>51</v>
      </c>
      <c r="S1518">
        <v>4</v>
      </c>
      <c r="T1518" t="str" cm="1">
        <f t="array" ref="T1518">_xlfn.IFS(S1518&lt;=2,"Poor",S1518&lt;=3,"Fair",S1518&gt;=4,"Good")</f>
        <v>Good</v>
      </c>
      <c r="U1518" t="s">
        <v>41</v>
      </c>
      <c r="V1518" s="1">
        <v>18265</v>
      </c>
      <c r="W1518" t="str" cm="1">
        <f t="array" ref="W1518">_xlfn.IFS(V1518&lt;=5000,"Low Salary",V1518&lt;=12000,"Good Salary",V1518&gt;12000,"High Salary")</f>
        <v>High Salary</v>
      </c>
      <c r="X1518">
        <v>8733</v>
      </c>
      <c r="Y1518">
        <v>6</v>
      </c>
      <c r="Z1518" t="s">
        <v>42</v>
      </c>
      <c r="AA1518" t="s">
        <v>35</v>
      </c>
      <c r="AB1518">
        <v>12</v>
      </c>
      <c r="AC1518">
        <v>3</v>
      </c>
      <c r="AD1518" t="str">
        <f t="shared" si="47"/>
        <v>Low Performance</v>
      </c>
      <c r="AE1518">
        <v>3</v>
      </c>
      <c r="AF1518">
        <v>80</v>
      </c>
      <c r="AG1518">
        <v>0</v>
      </c>
      <c r="AH1518">
        <v>25</v>
      </c>
      <c r="AI1518">
        <v>3</v>
      </c>
      <c r="AJ1518">
        <v>4</v>
      </c>
      <c r="AK1518" t="str" cm="1">
        <f t="array" ref="AK1518">_xlfn.IFS(AJ1518&lt;=2,"Poor",AJ1518&lt;=3,"Fair",AJ1518&gt;3,"Good")</f>
        <v>Good</v>
      </c>
      <c r="AL1518">
        <v>1</v>
      </c>
      <c r="AM1518">
        <v>0</v>
      </c>
      <c r="AN1518">
        <v>0</v>
      </c>
      <c r="AO1518">
        <v>0</v>
      </c>
    </row>
    <row r="1519" spans="1:41" x14ac:dyDescent="0.2">
      <c r="A1519">
        <v>1570909</v>
      </c>
      <c r="B1519">
        <v>38</v>
      </c>
      <c r="C1519" t="str" cm="1">
        <f t="array" ref="C1519">_xlfn.IFS(B1519&lt;=25,"15-25",B1519&lt;=35,"26-35",B1519&lt;=45,"36-45",B1519&lt;=55,"46-55",B1519&lt;=65,"56-65")</f>
        <v>36-45</v>
      </c>
      <c r="D1519" t="s">
        <v>35</v>
      </c>
      <c r="E1519" t="str">
        <f t="shared" si="46"/>
        <v>Current Employee</v>
      </c>
      <c r="F1519" t="s">
        <v>44</v>
      </c>
      <c r="G1519">
        <v>508</v>
      </c>
      <c r="H1519" t="s">
        <v>45</v>
      </c>
      <c r="I1519">
        <v>6</v>
      </c>
      <c r="J1519">
        <v>4</v>
      </c>
      <c r="K1519" t="s">
        <v>38</v>
      </c>
      <c r="L1519">
        <v>1</v>
      </c>
      <c r="M1519">
        <v>1</v>
      </c>
      <c r="N1519" t="s">
        <v>46</v>
      </c>
      <c r="O1519">
        <v>72</v>
      </c>
      <c r="P1519">
        <v>2</v>
      </c>
      <c r="Q1519">
        <v>2</v>
      </c>
      <c r="R1519" t="s">
        <v>51</v>
      </c>
      <c r="S1519">
        <v>3</v>
      </c>
      <c r="T1519" t="str" cm="1">
        <f t="array" ref="T1519">_xlfn.IFS(S1519&lt;=2,"Poor",S1519&lt;=3,"Fair",S1519&gt;=4,"Good")</f>
        <v>Fair</v>
      </c>
      <c r="U1519" t="s">
        <v>48</v>
      </c>
      <c r="V1519" s="1">
        <v>5321</v>
      </c>
      <c r="W1519" t="str" cm="1">
        <f t="array" ref="W1519">_xlfn.IFS(V1519&lt;=5000,"Low Salary",V1519&lt;=12000,"Good Salary",V1519&gt;12000,"High Salary")</f>
        <v>Good Salary</v>
      </c>
      <c r="X1519">
        <v>14284</v>
      </c>
      <c r="Y1519">
        <v>2</v>
      </c>
      <c r="Z1519" t="s">
        <v>42</v>
      </c>
      <c r="AA1519" t="s">
        <v>35</v>
      </c>
      <c r="AB1519">
        <v>11</v>
      </c>
      <c r="AC1519">
        <v>3</v>
      </c>
      <c r="AD1519" t="str">
        <f t="shared" si="47"/>
        <v>Low Performance</v>
      </c>
      <c r="AE1519">
        <v>4</v>
      </c>
      <c r="AF1519">
        <v>80</v>
      </c>
      <c r="AG1519">
        <v>1</v>
      </c>
      <c r="AH1519">
        <v>10</v>
      </c>
      <c r="AI1519">
        <v>1</v>
      </c>
      <c r="AJ1519">
        <v>3</v>
      </c>
      <c r="AK1519" t="str" cm="1">
        <f t="array" ref="AK1519">_xlfn.IFS(AJ1519&lt;=2,"Poor",AJ1519&lt;=3,"Fair",AJ1519&gt;3,"Good")</f>
        <v>Fair</v>
      </c>
      <c r="AL1519">
        <v>8</v>
      </c>
      <c r="AM1519">
        <v>3</v>
      </c>
      <c r="AN1519">
        <v>7</v>
      </c>
      <c r="AO1519">
        <v>7</v>
      </c>
    </row>
    <row r="1520" spans="1:41" x14ac:dyDescent="0.2">
      <c r="A1520">
        <v>1509347</v>
      </c>
      <c r="B1520">
        <v>43</v>
      </c>
      <c r="C1520" t="str" cm="1">
        <f t="array" ref="C1520">_xlfn.IFS(B1520&lt;=25,"15-25",B1520&lt;=35,"26-35",B1520&lt;=45,"36-45",B1520&lt;=55,"46-55",B1520&lt;=65,"56-65")</f>
        <v>36-45</v>
      </c>
      <c r="D1520" t="s">
        <v>35</v>
      </c>
      <c r="E1520" t="str">
        <f t="shared" si="46"/>
        <v>Current Employee</v>
      </c>
      <c r="F1520" t="s">
        <v>36</v>
      </c>
      <c r="G1520">
        <v>1473</v>
      </c>
      <c r="H1520" t="s">
        <v>45</v>
      </c>
      <c r="I1520">
        <v>8</v>
      </c>
      <c r="J1520">
        <v>4</v>
      </c>
      <c r="K1520" t="s">
        <v>47</v>
      </c>
      <c r="L1520">
        <v>1</v>
      </c>
      <c r="M1520">
        <v>3</v>
      </c>
      <c r="N1520" t="s">
        <v>39</v>
      </c>
      <c r="O1520">
        <v>74</v>
      </c>
      <c r="P1520">
        <v>3</v>
      </c>
      <c r="Q1520">
        <v>2</v>
      </c>
      <c r="R1520" t="s">
        <v>47</v>
      </c>
      <c r="S1520">
        <v>3</v>
      </c>
      <c r="T1520" t="str" cm="1">
        <f t="array" ref="T1520">_xlfn.IFS(S1520&lt;=2,"Poor",S1520&lt;=3,"Fair",S1520&gt;=4,"Good")</f>
        <v>Fair</v>
      </c>
      <c r="U1520" t="s">
        <v>50</v>
      </c>
      <c r="V1520" s="1">
        <v>4522</v>
      </c>
      <c r="W1520" t="str" cm="1">
        <f t="array" ref="W1520">_xlfn.IFS(V1520&lt;=5000,"Low Salary",V1520&lt;=12000,"Good Salary",V1520&gt;12000,"High Salary")</f>
        <v>Low Salary</v>
      </c>
      <c r="X1520">
        <v>2227</v>
      </c>
      <c r="Y1520">
        <v>4</v>
      </c>
      <c r="Z1520" t="s">
        <v>42</v>
      </c>
      <c r="AA1520" t="s">
        <v>43</v>
      </c>
      <c r="AB1520">
        <v>14</v>
      </c>
      <c r="AC1520">
        <v>3</v>
      </c>
      <c r="AD1520" t="str">
        <f t="shared" si="47"/>
        <v>Low Performance</v>
      </c>
      <c r="AE1520">
        <v>4</v>
      </c>
      <c r="AF1520">
        <v>80</v>
      </c>
      <c r="AG1520">
        <v>0</v>
      </c>
      <c r="AH1520">
        <v>8</v>
      </c>
      <c r="AI1520">
        <v>3</v>
      </c>
      <c r="AJ1520">
        <v>3</v>
      </c>
      <c r="AK1520" t="str" cm="1">
        <f t="array" ref="AK1520">_xlfn.IFS(AJ1520&lt;=2,"Poor",AJ1520&lt;=3,"Fair",AJ1520&gt;3,"Good")</f>
        <v>Fair</v>
      </c>
      <c r="AL1520">
        <v>5</v>
      </c>
      <c r="AM1520">
        <v>2</v>
      </c>
      <c r="AN1520">
        <v>0</v>
      </c>
      <c r="AO1520">
        <v>2</v>
      </c>
    </row>
    <row r="1521" spans="1:41" x14ac:dyDescent="0.2">
      <c r="A1521">
        <v>1217582</v>
      </c>
      <c r="B1521">
        <v>53</v>
      </c>
      <c r="C1521" t="str" cm="1">
        <f t="array" ref="C1521">_xlfn.IFS(B1521&lt;=25,"15-25",B1521&lt;=35,"26-35",B1521&lt;=45,"36-45",B1521&lt;=55,"46-55",B1521&lt;=65,"56-65")</f>
        <v>46-55</v>
      </c>
      <c r="D1521" t="s">
        <v>35</v>
      </c>
      <c r="E1521" t="str">
        <f t="shared" si="46"/>
        <v>Current Employee</v>
      </c>
      <c r="F1521" t="s">
        <v>36</v>
      </c>
      <c r="G1521">
        <v>1070</v>
      </c>
      <c r="H1521" t="s">
        <v>54</v>
      </c>
      <c r="I1521">
        <v>3</v>
      </c>
      <c r="J1521">
        <v>4</v>
      </c>
      <c r="K1521" t="s">
        <v>49</v>
      </c>
      <c r="L1521">
        <v>1</v>
      </c>
      <c r="M1521">
        <v>3</v>
      </c>
      <c r="N1521" t="s">
        <v>46</v>
      </c>
      <c r="O1521">
        <v>45</v>
      </c>
      <c r="P1521">
        <v>3</v>
      </c>
      <c r="Q1521">
        <v>4</v>
      </c>
      <c r="R1521" t="s">
        <v>51</v>
      </c>
      <c r="S1521">
        <v>3</v>
      </c>
      <c r="T1521" t="str" cm="1">
        <f t="array" ref="T1521">_xlfn.IFS(S1521&lt;=2,"Poor",S1521&lt;=3,"Fair",S1521&gt;=4,"Good")</f>
        <v>Fair</v>
      </c>
      <c r="U1521" t="s">
        <v>48</v>
      </c>
      <c r="V1521" s="1">
        <v>17584</v>
      </c>
      <c r="W1521" t="str" cm="1">
        <f t="array" ref="W1521">_xlfn.IFS(V1521&lt;=5000,"Low Salary",V1521&lt;=12000,"Good Salary",V1521&gt;12000,"High Salary")</f>
        <v>High Salary</v>
      </c>
      <c r="X1521">
        <v>21016</v>
      </c>
      <c r="Y1521">
        <v>3</v>
      </c>
      <c r="Z1521" t="s">
        <v>42</v>
      </c>
      <c r="AA1521" t="s">
        <v>43</v>
      </c>
      <c r="AB1521">
        <v>16</v>
      </c>
      <c r="AC1521">
        <v>3</v>
      </c>
      <c r="AD1521" t="str">
        <f t="shared" si="47"/>
        <v>Low Performance</v>
      </c>
      <c r="AE1521">
        <v>4</v>
      </c>
      <c r="AF1521">
        <v>80</v>
      </c>
      <c r="AG1521">
        <v>3</v>
      </c>
      <c r="AH1521">
        <v>21</v>
      </c>
      <c r="AI1521">
        <v>5</v>
      </c>
      <c r="AJ1521">
        <v>2</v>
      </c>
      <c r="AK1521" t="str" cm="1">
        <f t="array" ref="AK1521">_xlfn.IFS(AJ1521&lt;=2,"Poor",AJ1521&lt;=3,"Fair",AJ1521&gt;3,"Good")</f>
        <v>Poor</v>
      </c>
      <c r="AL1521">
        <v>5</v>
      </c>
      <c r="AM1521">
        <v>3</v>
      </c>
      <c r="AN1521">
        <v>1</v>
      </c>
      <c r="AO1521">
        <v>3</v>
      </c>
    </row>
    <row r="1522" spans="1:41" x14ac:dyDescent="0.2">
      <c r="A1522">
        <v>1110329</v>
      </c>
      <c r="B1522">
        <v>54</v>
      </c>
      <c r="C1522" t="str" cm="1">
        <f t="array" ref="C1522">_xlfn.IFS(B1522&lt;=25,"15-25",B1522&lt;=35,"26-35",B1522&lt;=45,"36-45",B1522&lt;=55,"46-55",B1522&lt;=65,"56-65")</f>
        <v>46-55</v>
      </c>
      <c r="D1522" t="s">
        <v>35</v>
      </c>
      <c r="E1522" t="str">
        <f t="shared" si="46"/>
        <v>Current Employee</v>
      </c>
      <c r="F1522" t="s">
        <v>36</v>
      </c>
      <c r="G1522">
        <v>821</v>
      </c>
      <c r="H1522" t="s">
        <v>54</v>
      </c>
      <c r="I1522">
        <v>5</v>
      </c>
      <c r="J1522">
        <v>2</v>
      </c>
      <c r="K1522" t="s">
        <v>49</v>
      </c>
      <c r="L1522">
        <v>1</v>
      </c>
      <c r="M1522">
        <v>1</v>
      </c>
      <c r="N1522" t="s">
        <v>46</v>
      </c>
      <c r="O1522">
        <v>86</v>
      </c>
      <c r="P1522">
        <v>3</v>
      </c>
      <c r="Q1522">
        <v>5</v>
      </c>
      <c r="R1522" t="s">
        <v>51</v>
      </c>
      <c r="S1522">
        <v>1</v>
      </c>
      <c r="T1522" t="str" cm="1">
        <f t="array" ref="T1522">_xlfn.IFS(S1522&lt;=2,"Poor",S1522&lt;=3,"Fair",S1522&gt;=4,"Good")</f>
        <v>Poor</v>
      </c>
      <c r="U1522" t="s">
        <v>48</v>
      </c>
      <c r="V1522" s="1">
        <v>19406</v>
      </c>
      <c r="W1522" t="str" cm="1">
        <f t="array" ref="W1522">_xlfn.IFS(V1522&lt;=5000,"Low Salary",V1522&lt;=12000,"Good Salary",V1522&gt;12000,"High Salary")</f>
        <v>High Salary</v>
      </c>
      <c r="X1522">
        <v>8509</v>
      </c>
      <c r="Y1522">
        <v>4</v>
      </c>
      <c r="Z1522" t="s">
        <v>42</v>
      </c>
      <c r="AA1522" t="s">
        <v>35</v>
      </c>
      <c r="AB1522">
        <v>11</v>
      </c>
      <c r="AC1522">
        <v>3</v>
      </c>
      <c r="AD1522" t="str">
        <f t="shared" si="47"/>
        <v>Low Performance</v>
      </c>
      <c r="AE1522">
        <v>3</v>
      </c>
      <c r="AF1522">
        <v>80</v>
      </c>
      <c r="AG1522">
        <v>1</v>
      </c>
      <c r="AH1522">
        <v>24</v>
      </c>
      <c r="AI1522">
        <v>4</v>
      </c>
      <c r="AJ1522">
        <v>2</v>
      </c>
      <c r="AK1522" t="str" cm="1">
        <f t="array" ref="AK1522">_xlfn.IFS(AJ1522&lt;=2,"Poor",AJ1522&lt;=3,"Fair",AJ1522&gt;3,"Good")</f>
        <v>Poor</v>
      </c>
      <c r="AL1522">
        <v>4</v>
      </c>
      <c r="AM1522">
        <v>2</v>
      </c>
      <c r="AN1522">
        <v>1</v>
      </c>
      <c r="AO1522">
        <v>2</v>
      </c>
    </row>
    <row r="1523" spans="1:41" x14ac:dyDescent="0.2">
      <c r="A1523">
        <v>1044146</v>
      </c>
      <c r="B1523">
        <v>47</v>
      </c>
      <c r="C1523" t="str" cm="1">
        <f t="array" ref="C1523">_xlfn.IFS(B1523&lt;=25,"15-25",B1523&lt;=35,"26-35",B1523&lt;=45,"36-45",B1523&lt;=55,"46-55",B1523&lt;=65,"56-65")</f>
        <v>46-55</v>
      </c>
      <c r="D1523" t="s">
        <v>35</v>
      </c>
      <c r="E1523" t="str">
        <f t="shared" si="46"/>
        <v>Current Employee</v>
      </c>
      <c r="F1523" t="s">
        <v>36</v>
      </c>
      <c r="G1523">
        <v>1180</v>
      </c>
      <c r="H1523" t="s">
        <v>45</v>
      </c>
      <c r="I1523">
        <v>25</v>
      </c>
      <c r="J1523">
        <v>3</v>
      </c>
      <c r="K1523" t="s">
        <v>49</v>
      </c>
      <c r="L1523">
        <v>1</v>
      </c>
      <c r="M1523">
        <v>1</v>
      </c>
      <c r="N1523" t="s">
        <v>46</v>
      </c>
      <c r="O1523">
        <v>84</v>
      </c>
      <c r="P1523">
        <v>3</v>
      </c>
      <c r="Q1523">
        <v>3</v>
      </c>
      <c r="R1523" t="s">
        <v>47</v>
      </c>
      <c r="S1523">
        <v>3</v>
      </c>
      <c r="T1523" t="str" cm="1">
        <f t="array" ref="T1523">_xlfn.IFS(S1523&lt;=2,"Poor",S1523&lt;=3,"Fair",S1523&gt;=4,"Good")</f>
        <v>Fair</v>
      </c>
      <c r="U1523" t="s">
        <v>41</v>
      </c>
      <c r="V1523" s="1">
        <v>8633</v>
      </c>
      <c r="W1523" t="str" cm="1">
        <f t="array" ref="W1523">_xlfn.IFS(V1523&lt;=5000,"Low Salary",V1523&lt;=12000,"Good Salary",V1523&gt;12000,"High Salary")</f>
        <v>Good Salary</v>
      </c>
      <c r="X1523">
        <v>13084</v>
      </c>
      <c r="Y1523">
        <v>2</v>
      </c>
      <c r="Z1523" t="s">
        <v>42</v>
      </c>
      <c r="AA1523" t="s">
        <v>35</v>
      </c>
      <c r="AB1523">
        <v>23</v>
      </c>
      <c r="AC1523">
        <v>4</v>
      </c>
      <c r="AD1523" t="str">
        <f t="shared" si="47"/>
        <v>High Performance</v>
      </c>
      <c r="AE1523">
        <v>2</v>
      </c>
      <c r="AF1523">
        <v>80</v>
      </c>
      <c r="AG1523">
        <v>0</v>
      </c>
      <c r="AH1523">
        <v>25</v>
      </c>
      <c r="AI1523">
        <v>3</v>
      </c>
      <c r="AJ1523">
        <v>3</v>
      </c>
      <c r="AK1523" t="str" cm="1">
        <f t="array" ref="AK1523">_xlfn.IFS(AJ1523&lt;=2,"Poor",AJ1523&lt;=3,"Fair",AJ1523&gt;3,"Good")</f>
        <v>Fair</v>
      </c>
      <c r="AL1523">
        <v>17</v>
      </c>
      <c r="AM1523">
        <v>14</v>
      </c>
      <c r="AN1523">
        <v>12</v>
      </c>
      <c r="AO1523">
        <v>11</v>
      </c>
    </row>
    <row r="1524" spans="1:41" x14ac:dyDescent="0.2">
      <c r="A1524">
        <v>1865209</v>
      </c>
      <c r="B1524">
        <v>31</v>
      </c>
      <c r="C1524" t="str" cm="1">
        <f t="array" ref="C1524">_xlfn.IFS(B1524&lt;=25,"15-25",B1524&lt;=35,"26-35",B1524&lt;=45,"36-45",B1524&lt;=55,"46-55",B1524&lt;=65,"56-65")</f>
        <v>26-35</v>
      </c>
      <c r="D1524" t="s">
        <v>35</v>
      </c>
      <c r="E1524" t="str">
        <f t="shared" si="46"/>
        <v>Current Employee</v>
      </c>
      <c r="F1524" t="s">
        <v>36</v>
      </c>
      <c r="G1524">
        <v>480</v>
      </c>
      <c r="H1524" t="s">
        <v>45</v>
      </c>
      <c r="I1524">
        <v>7</v>
      </c>
      <c r="J1524">
        <v>2</v>
      </c>
      <c r="K1524" t="s">
        <v>49</v>
      </c>
      <c r="L1524">
        <v>1</v>
      </c>
      <c r="M1524">
        <v>2</v>
      </c>
      <c r="N1524" t="s">
        <v>39</v>
      </c>
      <c r="O1524">
        <v>31</v>
      </c>
      <c r="P1524">
        <v>3</v>
      </c>
      <c r="Q1524">
        <v>2</v>
      </c>
      <c r="R1524" t="s">
        <v>51</v>
      </c>
      <c r="S1524">
        <v>1</v>
      </c>
      <c r="T1524" t="str" cm="1">
        <f t="array" ref="T1524">_xlfn.IFS(S1524&lt;=2,"Poor",S1524&lt;=3,"Fair",S1524&gt;=4,"Good")</f>
        <v>Poor</v>
      </c>
      <c r="U1524" t="s">
        <v>48</v>
      </c>
      <c r="V1524" s="1">
        <v>4306</v>
      </c>
      <c r="W1524" t="str" cm="1">
        <f t="array" ref="W1524">_xlfn.IFS(V1524&lt;=5000,"Low Salary",V1524&lt;=12000,"Good Salary",V1524&gt;12000,"High Salary")</f>
        <v>Low Salary</v>
      </c>
      <c r="X1524">
        <v>4156</v>
      </c>
      <c r="Y1524">
        <v>1</v>
      </c>
      <c r="Z1524" t="s">
        <v>42</v>
      </c>
      <c r="AA1524" t="s">
        <v>35</v>
      </c>
      <c r="AB1524">
        <v>12</v>
      </c>
      <c r="AC1524">
        <v>3</v>
      </c>
      <c r="AD1524" t="str">
        <f t="shared" si="47"/>
        <v>Low Performance</v>
      </c>
      <c r="AE1524">
        <v>2</v>
      </c>
      <c r="AF1524">
        <v>80</v>
      </c>
      <c r="AG1524">
        <v>1</v>
      </c>
      <c r="AH1524">
        <v>13</v>
      </c>
      <c r="AI1524">
        <v>5</v>
      </c>
      <c r="AJ1524">
        <v>1</v>
      </c>
      <c r="AK1524" t="str" cm="1">
        <f t="array" ref="AK1524">_xlfn.IFS(AJ1524&lt;=2,"Poor",AJ1524&lt;=3,"Fair",AJ1524&gt;3,"Good")</f>
        <v>Poor</v>
      </c>
      <c r="AL1524">
        <v>13</v>
      </c>
      <c r="AM1524">
        <v>10</v>
      </c>
      <c r="AN1524">
        <v>3</v>
      </c>
      <c r="AO1524">
        <v>12</v>
      </c>
    </row>
    <row r="1525" spans="1:41" x14ac:dyDescent="0.2">
      <c r="A1525">
        <v>1548274</v>
      </c>
      <c r="B1525">
        <v>23</v>
      </c>
      <c r="C1525" t="str" cm="1">
        <f t="array" ref="C1525">_xlfn.IFS(B1525&lt;=25,"15-25",B1525&lt;=35,"26-35",B1525&lt;=45,"36-45",B1525&lt;=55,"46-55",B1525&lt;=65,"56-65")</f>
        <v>15-25</v>
      </c>
      <c r="D1525" t="s">
        <v>35</v>
      </c>
      <c r="E1525" t="str">
        <f t="shared" si="46"/>
        <v>Current Employee</v>
      </c>
      <c r="F1525" t="s">
        <v>36</v>
      </c>
      <c r="G1525">
        <v>1309</v>
      </c>
      <c r="H1525" t="s">
        <v>45</v>
      </c>
      <c r="I1525">
        <v>26</v>
      </c>
      <c r="J1525">
        <v>1</v>
      </c>
      <c r="K1525" t="s">
        <v>38</v>
      </c>
      <c r="L1525">
        <v>1</v>
      </c>
      <c r="M1525">
        <v>3</v>
      </c>
      <c r="N1525" t="s">
        <v>46</v>
      </c>
      <c r="O1525">
        <v>83</v>
      </c>
      <c r="P1525">
        <v>3</v>
      </c>
      <c r="Q1525">
        <v>1</v>
      </c>
      <c r="R1525" t="s">
        <v>40</v>
      </c>
      <c r="S1525">
        <v>4</v>
      </c>
      <c r="T1525" t="str" cm="1">
        <f t="array" ref="T1525">_xlfn.IFS(S1525&lt;=2,"Poor",S1525&lt;=3,"Fair",S1525&gt;=4,"Good")</f>
        <v>Good</v>
      </c>
      <c r="U1525" t="s">
        <v>50</v>
      </c>
      <c r="V1525" s="1">
        <v>2904</v>
      </c>
      <c r="W1525" t="str" cm="1">
        <f t="array" ref="W1525">_xlfn.IFS(V1525&lt;=5000,"Low Salary",V1525&lt;=12000,"Good Salary",V1525&gt;12000,"High Salary")</f>
        <v>Low Salary</v>
      </c>
      <c r="X1525">
        <v>16092</v>
      </c>
      <c r="Y1525">
        <v>1</v>
      </c>
      <c r="Z1525" t="s">
        <v>42</v>
      </c>
      <c r="AA1525" t="s">
        <v>35</v>
      </c>
      <c r="AB1525">
        <v>12</v>
      </c>
      <c r="AC1525">
        <v>3</v>
      </c>
      <c r="AD1525" t="str">
        <f t="shared" si="47"/>
        <v>Low Performance</v>
      </c>
      <c r="AE1525">
        <v>3</v>
      </c>
      <c r="AF1525">
        <v>80</v>
      </c>
      <c r="AG1525">
        <v>2</v>
      </c>
      <c r="AH1525">
        <v>4</v>
      </c>
      <c r="AI1525">
        <v>2</v>
      </c>
      <c r="AJ1525">
        <v>2</v>
      </c>
      <c r="AK1525" t="str" cm="1">
        <f t="array" ref="AK1525">_xlfn.IFS(AJ1525&lt;=2,"Poor",AJ1525&lt;=3,"Fair",AJ1525&gt;3,"Good")</f>
        <v>Poor</v>
      </c>
      <c r="AL1525">
        <v>4</v>
      </c>
      <c r="AM1525">
        <v>2</v>
      </c>
      <c r="AN1525">
        <v>0</v>
      </c>
      <c r="AO1525">
        <v>2</v>
      </c>
    </row>
    <row r="1526" spans="1:41" x14ac:dyDescent="0.2">
      <c r="A1526">
        <v>1268816</v>
      </c>
      <c r="B1526">
        <v>40</v>
      </c>
      <c r="C1526" t="str" cm="1">
        <f t="array" ref="C1526">_xlfn.IFS(B1526&lt;=25,"15-25",B1526&lt;=35,"26-35",B1526&lt;=45,"36-45",B1526&lt;=55,"46-55",B1526&lt;=65,"56-65")</f>
        <v>36-45</v>
      </c>
      <c r="D1526" t="s">
        <v>35</v>
      </c>
      <c r="E1526" t="str">
        <f t="shared" si="46"/>
        <v>Current Employee</v>
      </c>
      <c r="F1526" t="s">
        <v>36</v>
      </c>
      <c r="G1526">
        <v>1202</v>
      </c>
      <c r="H1526" t="s">
        <v>45</v>
      </c>
      <c r="I1526">
        <v>2</v>
      </c>
      <c r="J1526">
        <v>1</v>
      </c>
      <c r="K1526" t="s">
        <v>49</v>
      </c>
      <c r="L1526">
        <v>1</v>
      </c>
      <c r="M1526">
        <v>2</v>
      </c>
      <c r="N1526" t="s">
        <v>39</v>
      </c>
      <c r="O1526">
        <v>89</v>
      </c>
      <c r="P1526">
        <v>4</v>
      </c>
      <c r="Q1526">
        <v>2</v>
      </c>
      <c r="R1526" t="s">
        <v>47</v>
      </c>
      <c r="S1526">
        <v>3</v>
      </c>
      <c r="T1526" t="str" cm="1">
        <f t="array" ref="T1526">_xlfn.IFS(S1526&lt;=2,"Poor",S1526&lt;=3,"Fair",S1526&gt;=4,"Good")</f>
        <v>Fair</v>
      </c>
      <c r="U1526" t="s">
        <v>50</v>
      </c>
      <c r="V1526" s="1">
        <v>6377</v>
      </c>
      <c r="W1526" t="str" cm="1">
        <f t="array" ref="W1526">_xlfn.IFS(V1526&lt;=5000,"Low Salary",V1526&lt;=12000,"Good Salary",V1526&gt;12000,"High Salary")</f>
        <v>Good Salary</v>
      </c>
      <c r="X1526">
        <v>13888</v>
      </c>
      <c r="Y1526">
        <v>5</v>
      </c>
      <c r="Z1526" t="s">
        <v>42</v>
      </c>
      <c r="AA1526" t="s">
        <v>35</v>
      </c>
      <c r="AB1526">
        <v>20</v>
      </c>
      <c r="AC1526">
        <v>4</v>
      </c>
      <c r="AD1526" t="str">
        <f t="shared" si="47"/>
        <v>High Performance</v>
      </c>
      <c r="AE1526">
        <v>2</v>
      </c>
      <c r="AF1526">
        <v>80</v>
      </c>
      <c r="AG1526">
        <v>3</v>
      </c>
      <c r="AH1526">
        <v>15</v>
      </c>
      <c r="AI1526">
        <v>0</v>
      </c>
      <c r="AJ1526">
        <v>3</v>
      </c>
      <c r="AK1526" t="str" cm="1">
        <f t="array" ref="AK1526">_xlfn.IFS(AJ1526&lt;=2,"Poor",AJ1526&lt;=3,"Fair",AJ1526&gt;3,"Good")</f>
        <v>Fair</v>
      </c>
      <c r="AL1526">
        <v>12</v>
      </c>
      <c r="AM1526">
        <v>11</v>
      </c>
      <c r="AN1526">
        <v>11</v>
      </c>
      <c r="AO1526">
        <v>8</v>
      </c>
    </row>
    <row r="1527" spans="1:41" x14ac:dyDescent="0.2">
      <c r="A1527">
        <v>1084927</v>
      </c>
      <c r="B1527">
        <v>32</v>
      </c>
      <c r="C1527" t="str" cm="1">
        <f t="array" ref="C1527">_xlfn.IFS(B1527&lt;=25,"15-25",B1527&lt;=35,"26-35",B1527&lt;=45,"36-45",B1527&lt;=55,"46-55",B1527&lt;=65,"56-65")</f>
        <v>26-35</v>
      </c>
      <c r="D1527" t="s">
        <v>35</v>
      </c>
      <c r="E1527" t="str">
        <f t="shared" si="46"/>
        <v>Current Employee</v>
      </c>
      <c r="F1527" t="s">
        <v>36</v>
      </c>
      <c r="G1527">
        <v>801</v>
      </c>
      <c r="H1527" t="s">
        <v>37</v>
      </c>
      <c r="I1527">
        <v>1</v>
      </c>
      <c r="J1527">
        <v>4</v>
      </c>
      <c r="K1527" t="s">
        <v>55</v>
      </c>
      <c r="L1527">
        <v>1</v>
      </c>
      <c r="M1527">
        <v>3</v>
      </c>
      <c r="N1527" t="s">
        <v>39</v>
      </c>
      <c r="O1527">
        <v>48</v>
      </c>
      <c r="P1527">
        <v>3</v>
      </c>
      <c r="Q1527">
        <v>3</v>
      </c>
      <c r="R1527" t="s">
        <v>40</v>
      </c>
      <c r="S1527">
        <v>4</v>
      </c>
      <c r="T1527" t="str" cm="1">
        <f t="array" ref="T1527">_xlfn.IFS(S1527&lt;=2,"Poor",S1527&lt;=3,"Fair",S1527&gt;=4,"Good")</f>
        <v>Good</v>
      </c>
      <c r="U1527" t="s">
        <v>48</v>
      </c>
      <c r="V1527" s="1">
        <v>10422</v>
      </c>
      <c r="W1527" t="str" cm="1">
        <f t="array" ref="W1527">_xlfn.IFS(V1527&lt;=5000,"Low Salary",V1527&lt;=12000,"Good Salary",V1527&gt;12000,"High Salary")</f>
        <v>Good Salary</v>
      </c>
      <c r="X1527">
        <v>24032</v>
      </c>
      <c r="Y1527">
        <v>1</v>
      </c>
      <c r="Z1527" t="s">
        <v>42</v>
      </c>
      <c r="AA1527" t="s">
        <v>35</v>
      </c>
      <c r="AB1527">
        <v>19</v>
      </c>
      <c r="AC1527">
        <v>3</v>
      </c>
      <c r="AD1527" t="str">
        <f t="shared" si="47"/>
        <v>Low Performance</v>
      </c>
      <c r="AE1527">
        <v>3</v>
      </c>
      <c r="AF1527">
        <v>80</v>
      </c>
      <c r="AG1527">
        <v>2</v>
      </c>
      <c r="AH1527">
        <v>14</v>
      </c>
      <c r="AI1527">
        <v>3</v>
      </c>
      <c r="AJ1527">
        <v>3</v>
      </c>
      <c r="AK1527" t="str" cm="1">
        <f t="array" ref="AK1527">_xlfn.IFS(AJ1527&lt;=2,"Poor",AJ1527&lt;=3,"Fair",AJ1527&gt;3,"Good")</f>
        <v>Fair</v>
      </c>
      <c r="AL1527">
        <v>14</v>
      </c>
      <c r="AM1527">
        <v>10</v>
      </c>
      <c r="AN1527">
        <v>5</v>
      </c>
      <c r="AO1527">
        <v>7</v>
      </c>
    </row>
    <row r="1528" spans="1:41" x14ac:dyDescent="0.2">
      <c r="A1528">
        <v>1496230</v>
      </c>
      <c r="B1528">
        <v>26</v>
      </c>
      <c r="C1528" t="str" cm="1">
        <f t="array" ref="C1528">_xlfn.IFS(B1528&lt;=25,"15-25",B1528&lt;=35,"26-35",B1528&lt;=45,"36-45",B1528&lt;=55,"46-55",B1528&lt;=65,"56-65")</f>
        <v>26-35</v>
      </c>
      <c r="D1528" t="s">
        <v>35</v>
      </c>
      <c r="E1528" t="str">
        <f t="shared" si="46"/>
        <v>Current Employee</v>
      </c>
      <c r="F1528" t="s">
        <v>36</v>
      </c>
      <c r="G1528">
        <v>933</v>
      </c>
      <c r="H1528" t="s">
        <v>37</v>
      </c>
      <c r="I1528">
        <v>1</v>
      </c>
      <c r="J1528">
        <v>3</v>
      </c>
      <c r="K1528" t="s">
        <v>38</v>
      </c>
      <c r="L1528">
        <v>1</v>
      </c>
      <c r="M1528">
        <v>3</v>
      </c>
      <c r="N1528" t="s">
        <v>46</v>
      </c>
      <c r="O1528">
        <v>57</v>
      </c>
      <c r="P1528">
        <v>3</v>
      </c>
      <c r="Q1528">
        <v>2</v>
      </c>
      <c r="R1528" t="s">
        <v>40</v>
      </c>
      <c r="S1528">
        <v>3</v>
      </c>
      <c r="T1528" t="str" cm="1">
        <f t="array" ref="T1528">_xlfn.IFS(S1528&lt;=2,"Poor",S1528&lt;=3,"Fair",S1528&gt;=4,"Good")</f>
        <v>Fair</v>
      </c>
      <c r="U1528" t="s">
        <v>48</v>
      </c>
      <c r="V1528" s="1">
        <v>5296</v>
      </c>
      <c r="W1528" t="str" cm="1">
        <f t="array" ref="W1528">_xlfn.IFS(V1528&lt;=5000,"Low Salary",V1528&lt;=12000,"Good Salary",V1528&gt;12000,"High Salary")</f>
        <v>Good Salary</v>
      </c>
      <c r="X1528">
        <v>20156</v>
      </c>
      <c r="Y1528">
        <v>1</v>
      </c>
      <c r="Z1528" t="s">
        <v>42</v>
      </c>
      <c r="AA1528" t="s">
        <v>35</v>
      </c>
      <c r="AB1528">
        <v>17</v>
      </c>
      <c r="AC1528">
        <v>3</v>
      </c>
      <c r="AD1528" t="str">
        <f t="shared" si="47"/>
        <v>Low Performance</v>
      </c>
      <c r="AE1528">
        <v>2</v>
      </c>
      <c r="AF1528">
        <v>80</v>
      </c>
      <c r="AG1528">
        <v>1</v>
      </c>
      <c r="AH1528">
        <v>8</v>
      </c>
      <c r="AI1528">
        <v>3</v>
      </c>
      <c r="AJ1528">
        <v>3</v>
      </c>
      <c r="AK1528" t="str" cm="1">
        <f t="array" ref="AK1528">_xlfn.IFS(AJ1528&lt;=2,"Poor",AJ1528&lt;=3,"Fair",AJ1528&gt;3,"Good")</f>
        <v>Fair</v>
      </c>
      <c r="AL1528">
        <v>8</v>
      </c>
      <c r="AM1528">
        <v>7</v>
      </c>
      <c r="AN1528">
        <v>7</v>
      </c>
      <c r="AO1528">
        <v>7</v>
      </c>
    </row>
    <row r="1529" spans="1:41" x14ac:dyDescent="0.2">
      <c r="A1529">
        <v>1872979</v>
      </c>
      <c r="B1529">
        <v>28</v>
      </c>
      <c r="C1529" t="str" cm="1">
        <f t="array" ref="C1529">_xlfn.IFS(B1529&lt;=25,"15-25",B1529&lt;=35,"26-35",B1529&lt;=45,"36-45",B1529&lt;=55,"46-55",B1529&lt;=65,"56-65")</f>
        <v>26-35</v>
      </c>
      <c r="D1529" t="s">
        <v>35</v>
      </c>
      <c r="E1529" t="str">
        <f t="shared" si="46"/>
        <v>Current Employee</v>
      </c>
      <c r="F1529" t="s">
        <v>52</v>
      </c>
      <c r="G1529">
        <v>280</v>
      </c>
      <c r="H1529" t="s">
        <v>54</v>
      </c>
      <c r="I1529">
        <v>1</v>
      </c>
      <c r="J1529">
        <v>2</v>
      </c>
      <c r="K1529" t="s">
        <v>38</v>
      </c>
      <c r="L1529">
        <v>1</v>
      </c>
      <c r="M1529">
        <v>3</v>
      </c>
      <c r="N1529" t="s">
        <v>46</v>
      </c>
      <c r="O1529">
        <v>43</v>
      </c>
      <c r="P1529">
        <v>3</v>
      </c>
      <c r="Q1529">
        <v>1</v>
      </c>
      <c r="R1529" t="s">
        <v>47</v>
      </c>
      <c r="S1529">
        <v>4</v>
      </c>
      <c r="T1529" t="str" cm="1">
        <f t="array" ref="T1529">_xlfn.IFS(S1529&lt;=2,"Poor",S1529&lt;=3,"Fair",S1529&gt;=4,"Good")</f>
        <v>Good</v>
      </c>
      <c r="U1529" t="s">
        <v>50</v>
      </c>
      <c r="V1529" s="1">
        <v>2706</v>
      </c>
      <c r="W1529" t="str" cm="1">
        <f t="array" ref="W1529">_xlfn.IFS(V1529&lt;=5000,"Low Salary",V1529&lt;=12000,"Good Salary",V1529&gt;12000,"High Salary")</f>
        <v>Low Salary</v>
      </c>
      <c r="X1529">
        <v>10494</v>
      </c>
      <c r="Y1529">
        <v>1</v>
      </c>
      <c r="Z1529" t="s">
        <v>42</v>
      </c>
      <c r="AA1529" t="s">
        <v>35</v>
      </c>
      <c r="AB1529">
        <v>15</v>
      </c>
      <c r="AC1529">
        <v>3</v>
      </c>
      <c r="AD1529" t="str">
        <f t="shared" si="47"/>
        <v>Low Performance</v>
      </c>
      <c r="AE1529">
        <v>2</v>
      </c>
      <c r="AF1529">
        <v>80</v>
      </c>
      <c r="AG1529">
        <v>1</v>
      </c>
      <c r="AH1529">
        <v>3</v>
      </c>
      <c r="AI1529">
        <v>2</v>
      </c>
      <c r="AJ1529">
        <v>3</v>
      </c>
      <c r="AK1529" t="str" cm="1">
        <f t="array" ref="AK1529">_xlfn.IFS(AJ1529&lt;=2,"Poor",AJ1529&lt;=3,"Fair",AJ1529&gt;3,"Good")</f>
        <v>Fair</v>
      </c>
      <c r="AL1529">
        <v>3</v>
      </c>
      <c r="AM1529">
        <v>2</v>
      </c>
      <c r="AN1529">
        <v>2</v>
      </c>
      <c r="AO1529">
        <v>2</v>
      </c>
    </row>
    <row r="1530" spans="1:41" x14ac:dyDescent="0.2">
      <c r="A1530">
        <v>1123429</v>
      </c>
      <c r="B1530">
        <v>29</v>
      </c>
      <c r="C1530" t="str" cm="1">
        <f t="array" ref="C1530">_xlfn.IFS(B1530&lt;=25,"15-25",B1530&lt;=35,"26-35",B1530&lt;=45,"36-45",B1530&lt;=55,"46-55",B1530&lt;=65,"56-65")</f>
        <v>26-35</v>
      </c>
      <c r="D1530" t="s">
        <v>35</v>
      </c>
      <c r="E1530" t="str">
        <f t="shared" si="46"/>
        <v>Current Employee</v>
      </c>
      <c r="F1530" t="s">
        <v>36</v>
      </c>
      <c r="G1530">
        <v>232</v>
      </c>
      <c r="H1530" t="s">
        <v>45</v>
      </c>
      <c r="I1530">
        <v>19</v>
      </c>
      <c r="J1530">
        <v>3</v>
      </c>
      <c r="K1530" t="s">
        <v>56</v>
      </c>
      <c r="L1530">
        <v>1</v>
      </c>
      <c r="M1530">
        <v>4</v>
      </c>
      <c r="N1530" t="s">
        <v>46</v>
      </c>
      <c r="O1530">
        <v>34</v>
      </c>
      <c r="P1530">
        <v>3</v>
      </c>
      <c r="Q1530">
        <v>2</v>
      </c>
      <c r="R1530" t="s">
        <v>51</v>
      </c>
      <c r="S1530">
        <v>4</v>
      </c>
      <c r="T1530" t="str" cm="1">
        <f t="array" ref="T1530">_xlfn.IFS(S1530&lt;=2,"Poor",S1530&lt;=3,"Fair",S1530&gt;=4,"Good")</f>
        <v>Good</v>
      </c>
      <c r="U1530" t="s">
        <v>50</v>
      </c>
      <c r="V1530" s="1">
        <v>4262</v>
      </c>
      <c r="W1530" t="str" cm="1">
        <f t="array" ref="W1530">_xlfn.IFS(V1530&lt;=5000,"Low Salary",V1530&lt;=12000,"Good Salary",V1530&gt;12000,"High Salary")</f>
        <v>Low Salary</v>
      </c>
      <c r="X1530">
        <v>22645</v>
      </c>
      <c r="Y1530">
        <v>4</v>
      </c>
      <c r="Z1530" t="s">
        <v>42</v>
      </c>
      <c r="AA1530" t="s">
        <v>35</v>
      </c>
      <c r="AB1530">
        <v>12</v>
      </c>
      <c r="AC1530">
        <v>3</v>
      </c>
      <c r="AD1530" t="str">
        <f t="shared" si="47"/>
        <v>Low Performance</v>
      </c>
      <c r="AE1530">
        <v>2</v>
      </c>
      <c r="AF1530">
        <v>80</v>
      </c>
      <c r="AG1530">
        <v>2</v>
      </c>
      <c r="AH1530">
        <v>8</v>
      </c>
      <c r="AI1530">
        <v>2</v>
      </c>
      <c r="AJ1530">
        <v>4</v>
      </c>
      <c r="AK1530" t="str" cm="1">
        <f t="array" ref="AK1530">_xlfn.IFS(AJ1530&lt;=2,"Poor",AJ1530&lt;=3,"Fair",AJ1530&gt;3,"Good")</f>
        <v>Good</v>
      </c>
      <c r="AL1530">
        <v>3</v>
      </c>
      <c r="AM1530">
        <v>2</v>
      </c>
      <c r="AN1530">
        <v>1</v>
      </c>
      <c r="AO1530">
        <v>2</v>
      </c>
    </row>
    <row r="1531" spans="1:41" x14ac:dyDescent="0.2">
      <c r="A1531">
        <v>1563219</v>
      </c>
      <c r="B1531">
        <v>22</v>
      </c>
      <c r="C1531" t="str" cm="1">
        <f t="array" ref="C1531">_xlfn.IFS(B1531&lt;=25,"15-25",B1531&lt;=35,"26-35",B1531&lt;=45,"36-45",B1531&lt;=55,"46-55",B1531&lt;=65,"56-65")</f>
        <v>15-25</v>
      </c>
      <c r="D1531" t="s">
        <v>35</v>
      </c>
      <c r="E1531" t="str">
        <f t="shared" si="46"/>
        <v>Current Employee</v>
      </c>
      <c r="F1531" t="s">
        <v>36</v>
      </c>
      <c r="G1531">
        <v>581</v>
      </c>
      <c r="H1531" t="s">
        <v>45</v>
      </c>
      <c r="I1531">
        <v>1</v>
      </c>
      <c r="J1531">
        <v>2</v>
      </c>
      <c r="K1531" t="s">
        <v>38</v>
      </c>
      <c r="L1531">
        <v>1</v>
      </c>
      <c r="M1531">
        <v>4</v>
      </c>
      <c r="N1531" t="s">
        <v>46</v>
      </c>
      <c r="O1531">
        <v>63</v>
      </c>
      <c r="P1531">
        <v>3</v>
      </c>
      <c r="Q1531">
        <v>1</v>
      </c>
      <c r="R1531" t="s">
        <v>40</v>
      </c>
      <c r="S1531">
        <v>3</v>
      </c>
      <c r="T1531" t="str" cm="1">
        <f t="array" ref="T1531">_xlfn.IFS(S1531&lt;=2,"Poor",S1531&lt;=3,"Fair",S1531&gt;=4,"Good")</f>
        <v>Fair</v>
      </c>
      <c r="U1531" t="s">
        <v>41</v>
      </c>
      <c r="V1531" s="1">
        <v>3375</v>
      </c>
      <c r="W1531" t="str" cm="1">
        <f t="array" ref="W1531">_xlfn.IFS(V1531&lt;=5000,"Low Salary",V1531&lt;=12000,"Good Salary",V1531&gt;12000,"High Salary")</f>
        <v>Low Salary</v>
      </c>
      <c r="X1531">
        <v>17624</v>
      </c>
      <c r="Y1531">
        <v>0</v>
      </c>
      <c r="Z1531" t="s">
        <v>42</v>
      </c>
      <c r="AA1531" t="s">
        <v>35</v>
      </c>
      <c r="AB1531">
        <v>12</v>
      </c>
      <c r="AC1531">
        <v>3</v>
      </c>
      <c r="AD1531" t="str">
        <f t="shared" si="47"/>
        <v>Low Performance</v>
      </c>
      <c r="AE1531">
        <v>4</v>
      </c>
      <c r="AF1531">
        <v>80</v>
      </c>
      <c r="AG1531">
        <v>0</v>
      </c>
      <c r="AH1531">
        <v>4</v>
      </c>
      <c r="AI1531">
        <v>2</v>
      </c>
      <c r="AJ1531">
        <v>4</v>
      </c>
      <c r="AK1531" t="str" cm="1">
        <f t="array" ref="AK1531">_xlfn.IFS(AJ1531&lt;=2,"Poor",AJ1531&lt;=3,"Fair",AJ1531&gt;3,"Good")</f>
        <v>Good</v>
      </c>
      <c r="AL1531">
        <v>3</v>
      </c>
      <c r="AM1531">
        <v>2</v>
      </c>
      <c r="AN1531">
        <v>1</v>
      </c>
      <c r="AO1531">
        <v>2</v>
      </c>
    </row>
    <row r="1532" spans="1:41" x14ac:dyDescent="0.2">
      <c r="A1532">
        <v>1252790</v>
      </c>
      <c r="B1532">
        <v>37</v>
      </c>
      <c r="C1532" t="str" cm="1">
        <f t="array" ref="C1532">_xlfn.IFS(B1532&lt;=25,"15-25",B1532&lt;=35,"26-35",B1532&lt;=45,"36-45",B1532&lt;=55,"46-55",B1532&lt;=65,"56-65")</f>
        <v>36-45</v>
      </c>
      <c r="D1532" t="s">
        <v>35</v>
      </c>
      <c r="E1532" t="str">
        <f t="shared" si="46"/>
        <v>Current Employee</v>
      </c>
      <c r="F1532" t="s">
        <v>36</v>
      </c>
      <c r="G1532">
        <v>674</v>
      </c>
      <c r="H1532" t="s">
        <v>45</v>
      </c>
      <c r="I1532">
        <v>13</v>
      </c>
      <c r="J1532">
        <v>3</v>
      </c>
      <c r="K1532" t="s">
        <v>49</v>
      </c>
      <c r="L1532">
        <v>1</v>
      </c>
      <c r="M1532">
        <v>1</v>
      </c>
      <c r="N1532" t="s">
        <v>46</v>
      </c>
      <c r="O1532">
        <v>47</v>
      </c>
      <c r="P1532">
        <v>3</v>
      </c>
      <c r="Q1532">
        <v>2</v>
      </c>
      <c r="R1532" t="s">
        <v>40</v>
      </c>
      <c r="S1532">
        <v>4</v>
      </c>
      <c r="T1532" t="str" cm="1">
        <f t="array" ref="T1532">_xlfn.IFS(S1532&lt;=2,"Poor",S1532&lt;=3,"Fair",S1532&gt;=4,"Good")</f>
        <v>Good</v>
      </c>
      <c r="U1532" t="s">
        <v>48</v>
      </c>
      <c r="V1532" s="1">
        <v>4285</v>
      </c>
      <c r="W1532" t="str" cm="1">
        <f t="array" ref="W1532">_xlfn.IFS(V1532&lt;=5000,"Low Salary",V1532&lt;=12000,"Good Salary",V1532&gt;12000,"High Salary")</f>
        <v>Low Salary</v>
      </c>
      <c r="X1532">
        <v>3031</v>
      </c>
      <c r="Y1532">
        <v>1</v>
      </c>
      <c r="Z1532" t="s">
        <v>42</v>
      </c>
      <c r="AA1532" t="s">
        <v>35</v>
      </c>
      <c r="AB1532">
        <v>17</v>
      </c>
      <c r="AC1532">
        <v>3</v>
      </c>
      <c r="AD1532" t="str">
        <f t="shared" si="47"/>
        <v>Low Performance</v>
      </c>
      <c r="AE1532">
        <v>1</v>
      </c>
      <c r="AF1532">
        <v>80</v>
      </c>
      <c r="AG1532">
        <v>0</v>
      </c>
      <c r="AH1532">
        <v>10</v>
      </c>
      <c r="AI1532">
        <v>2</v>
      </c>
      <c r="AJ1532">
        <v>3</v>
      </c>
      <c r="AK1532" t="str" cm="1">
        <f t="array" ref="AK1532">_xlfn.IFS(AJ1532&lt;=2,"Poor",AJ1532&lt;=3,"Fair",AJ1532&gt;3,"Good")</f>
        <v>Fair</v>
      </c>
      <c r="AL1532">
        <v>10</v>
      </c>
      <c r="AM1532">
        <v>8</v>
      </c>
      <c r="AN1532">
        <v>3</v>
      </c>
      <c r="AO1532">
        <v>7</v>
      </c>
    </row>
    <row r="1533" spans="1:41" x14ac:dyDescent="0.2">
      <c r="A1533">
        <v>1720230</v>
      </c>
      <c r="B1533">
        <v>43</v>
      </c>
      <c r="C1533" t="str" cm="1">
        <f t="array" ref="C1533">_xlfn.IFS(B1533&lt;=25,"15-25",B1533&lt;=35,"26-35",B1533&lt;=45,"36-45",B1533&lt;=55,"46-55",B1533&lt;=65,"56-65")</f>
        <v>36-45</v>
      </c>
      <c r="D1533" t="s">
        <v>35</v>
      </c>
      <c r="E1533" t="str">
        <f t="shared" si="46"/>
        <v>Current Employee</v>
      </c>
      <c r="F1533" t="s">
        <v>36</v>
      </c>
      <c r="G1533">
        <v>1034</v>
      </c>
      <c r="H1533" t="s">
        <v>37</v>
      </c>
      <c r="I1533">
        <v>16</v>
      </c>
      <c r="J1533">
        <v>3</v>
      </c>
      <c r="K1533" t="s">
        <v>55</v>
      </c>
      <c r="L1533">
        <v>1</v>
      </c>
      <c r="M1533">
        <v>4</v>
      </c>
      <c r="N1533" t="s">
        <v>39</v>
      </c>
      <c r="O1533">
        <v>80</v>
      </c>
      <c r="P1533">
        <v>3</v>
      </c>
      <c r="Q1533">
        <v>4</v>
      </c>
      <c r="R1533" t="s">
        <v>58</v>
      </c>
      <c r="S1533">
        <v>4</v>
      </c>
      <c r="T1533" t="str" cm="1">
        <f t="array" ref="T1533">_xlfn.IFS(S1533&lt;=2,"Poor",S1533&lt;=3,"Fair",S1533&gt;=4,"Good")</f>
        <v>Good</v>
      </c>
      <c r="U1533" t="s">
        <v>48</v>
      </c>
      <c r="V1533" s="1">
        <v>16064</v>
      </c>
      <c r="W1533" t="str" cm="1">
        <f t="array" ref="W1533">_xlfn.IFS(V1533&lt;=5000,"Low Salary",V1533&lt;=12000,"Good Salary",V1533&gt;12000,"High Salary")</f>
        <v>High Salary</v>
      </c>
      <c r="X1533">
        <v>7744</v>
      </c>
      <c r="Y1533">
        <v>5</v>
      </c>
      <c r="Z1533" t="s">
        <v>42</v>
      </c>
      <c r="AA1533" t="s">
        <v>43</v>
      </c>
      <c r="AB1533">
        <v>22</v>
      </c>
      <c r="AC1533">
        <v>4</v>
      </c>
      <c r="AD1533" t="str">
        <f t="shared" si="47"/>
        <v>High Performance</v>
      </c>
      <c r="AE1533">
        <v>3</v>
      </c>
      <c r="AF1533">
        <v>80</v>
      </c>
      <c r="AG1533">
        <v>1</v>
      </c>
      <c r="AH1533">
        <v>22</v>
      </c>
      <c r="AI1533">
        <v>3</v>
      </c>
      <c r="AJ1533">
        <v>3</v>
      </c>
      <c r="AK1533" t="str" cm="1">
        <f t="array" ref="AK1533">_xlfn.IFS(AJ1533&lt;=2,"Poor",AJ1533&lt;=3,"Fair",AJ1533&gt;3,"Good")</f>
        <v>Fair</v>
      </c>
      <c r="AL1533">
        <v>17</v>
      </c>
      <c r="AM1533">
        <v>13</v>
      </c>
      <c r="AN1533">
        <v>1</v>
      </c>
      <c r="AO1533">
        <v>9</v>
      </c>
    </row>
    <row r="1534" spans="1:41" x14ac:dyDescent="0.2">
      <c r="A1534">
        <v>1028734</v>
      </c>
      <c r="B1534">
        <v>39</v>
      </c>
      <c r="C1534" t="str" cm="1">
        <f t="array" ref="C1534">_xlfn.IFS(B1534&lt;=25,"15-25",B1534&lt;=35,"26-35",B1534&lt;=45,"36-45",B1534&lt;=55,"46-55",B1534&lt;=65,"56-65")</f>
        <v>36-45</v>
      </c>
      <c r="D1534" t="s">
        <v>35</v>
      </c>
      <c r="E1534" t="str">
        <f t="shared" si="46"/>
        <v>Current Employee</v>
      </c>
      <c r="F1534" t="s">
        <v>44</v>
      </c>
      <c r="G1534">
        <v>505</v>
      </c>
      <c r="H1534" t="s">
        <v>45</v>
      </c>
      <c r="I1534">
        <v>2</v>
      </c>
      <c r="J1534">
        <v>4</v>
      </c>
      <c r="K1534" t="s">
        <v>56</v>
      </c>
      <c r="L1534">
        <v>1</v>
      </c>
      <c r="M1534">
        <v>3</v>
      </c>
      <c r="N1534" t="s">
        <v>39</v>
      </c>
      <c r="O1534">
        <v>64</v>
      </c>
      <c r="P1534">
        <v>3</v>
      </c>
      <c r="Q1534">
        <v>3</v>
      </c>
      <c r="R1534" t="s">
        <v>47</v>
      </c>
      <c r="S1534">
        <v>3</v>
      </c>
      <c r="T1534" t="str" cm="1">
        <f t="array" ref="T1534">_xlfn.IFS(S1534&lt;=2,"Poor",S1534&lt;=3,"Fair",S1534&gt;=4,"Good")</f>
        <v>Fair</v>
      </c>
      <c r="U1534" t="s">
        <v>41</v>
      </c>
      <c r="V1534" s="1">
        <v>10938</v>
      </c>
      <c r="W1534" t="str" cm="1">
        <f t="array" ref="W1534">_xlfn.IFS(V1534&lt;=5000,"Low Salary",V1534&lt;=12000,"Good Salary",V1534&gt;12000,"High Salary")</f>
        <v>Good Salary</v>
      </c>
      <c r="X1534">
        <v>6420</v>
      </c>
      <c r="Y1534">
        <v>0</v>
      </c>
      <c r="Z1534" t="s">
        <v>42</v>
      </c>
      <c r="AA1534" t="s">
        <v>35</v>
      </c>
      <c r="AB1534">
        <v>25</v>
      </c>
      <c r="AC1534">
        <v>4</v>
      </c>
      <c r="AD1534" t="str">
        <f t="shared" si="47"/>
        <v>High Performance</v>
      </c>
      <c r="AE1534">
        <v>4</v>
      </c>
      <c r="AF1534">
        <v>80</v>
      </c>
      <c r="AG1534">
        <v>0</v>
      </c>
      <c r="AH1534">
        <v>20</v>
      </c>
      <c r="AI1534">
        <v>1</v>
      </c>
      <c r="AJ1534">
        <v>3</v>
      </c>
      <c r="AK1534" t="str" cm="1">
        <f t="array" ref="AK1534">_xlfn.IFS(AJ1534&lt;=2,"Poor",AJ1534&lt;=3,"Fair",AJ1534&gt;3,"Good")</f>
        <v>Fair</v>
      </c>
      <c r="AL1534">
        <v>19</v>
      </c>
      <c r="AM1534">
        <v>6</v>
      </c>
      <c r="AN1534">
        <v>11</v>
      </c>
      <c r="AO1534">
        <v>8</v>
      </c>
    </row>
    <row r="1535" spans="1:41" x14ac:dyDescent="0.2">
      <c r="A1535">
        <v>1365509</v>
      </c>
      <c r="B1535">
        <v>33</v>
      </c>
      <c r="C1535" t="str" cm="1">
        <f t="array" ref="C1535">_xlfn.IFS(B1535&lt;=25,"15-25",B1535&lt;=35,"26-35",B1535&lt;=45,"36-45",B1535&lt;=55,"46-55",B1535&lt;=65,"56-65")</f>
        <v>26-35</v>
      </c>
      <c r="D1535" t="s">
        <v>35</v>
      </c>
      <c r="E1535" t="str">
        <f t="shared" si="46"/>
        <v>Current Employee</v>
      </c>
      <c r="F1535" t="s">
        <v>44</v>
      </c>
      <c r="G1535">
        <v>1141</v>
      </c>
      <c r="H1535" t="s">
        <v>37</v>
      </c>
      <c r="I1535">
        <v>1</v>
      </c>
      <c r="J1535">
        <v>3</v>
      </c>
      <c r="K1535" t="s">
        <v>38</v>
      </c>
      <c r="L1535">
        <v>1</v>
      </c>
      <c r="M1535">
        <v>3</v>
      </c>
      <c r="N1535" t="s">
        <v>39</v>
      </c>
      <c r="O1535">
        <v>42</v>
      </c>
      <c r="P1535">
        <v>4</v>
      </c>
      <c r="Q1535">
        <v>2</v>
      </c>
      <c r="R1535" t="s">
        <v>40</v>
      </c>
      <c r="S1535">
        <v>1</v>
      </c>
      <c r="T1535" t="str" cm="1">
        <f t="array" ref="T1535">_xlfn.IFS(S1535&lt;=2,"Poor",S1535&lt;=3,"Fair",S1535&gt;=4,"Good")</f>
        <v>Poor</v>
      </c>
      <c r="U1535" t="s">
        <v>48</v>
      </c>
      <c r="V1535" s="1">
        <v>5376</v>
      </c>
      <c r="W1535" t="str" cm="1">
        <f t="array" ref="W1535">_xlfn.IFS(V1535&lt;=5000,"Low Salary",V1535&lt;=12000,"Good Salary",V1535&gt;12000,"High Salary")</f>
        <v>Good Salary</v>
      </c>
      <c r="X1535">
        <v>3193</v>
      </c>
      <c r="Y1535">
        <v>2</v>
      </c>
      <c r="Z1535" t="s">
        <v>42</v>
      </c>
      <c r="AA1535" t="s">
        <v>35</v>
      </c>
      <c r="AB1535">
        <v>19</v>
      </c>
      <c r="AC1535">
        <v>3</v>
      </c>
      <c r="AD1535" t="str">
        <f t="shared" si="47"/>
        <v>Low Performance</v>
      </c>
      <c r="AE1535">
        <v>1</v>
      </c>
      <c r="AF1535">
        <v>80</v>
      </c>
      <c r="AG1535">
        <v>2</v>
      </c>
      <c r="AH1535">
        <v>10</v>
      </c>
      <c r="AI1535">
        <v>3</v>
      </c>
      <c r="AJ1535">
        <v>3</v>
      </c>
      <c r="AK1535" t="str" cm="1">
        <f t="array" ref="AK1535">_xlfn.IFS(AJ1535&lt;=2,"Poor",AJ1535&lt;=3,"Fair",AJ1535&gt;3,"Good")</f>
        <v>Fair</v>
      </c>
      <c r="AL1535">
        <v>5</v>
      </c>
      <c r="AM1535">
        <v>3</v>
      </c>
      <c r="AN1535">
        <v>1</v>
      </c>
      <c r="AO1535">
        <v>3</v>
      </c>
    </row>
    <row r="1536" spans="1:41" x14ac:dyDescent="0.2">
      <c r="A1536">
        <v>1825987</v>
      </c>
      <c r="B1536">
        <v>34</v>
      </c>
      <c r="C1536" t="str" cm="1">
        <f t="array" ref="C1536">_xlfn.IFS(B1536&lt;=25,"15-25",B1536&lt;=35,"26-35",B1536&lt;=45,"36-45",B1536&lt;=55,"46-55",B1536&lt;=65,"56-65")</f>
        <v>26-35</v>
      </c>
      <c r="D1536" t="s">
        <v>35</v>
      </c>
      <c r="E1536" t="str">
        <f t="shared" si="46"/>
        <v>Current Employee</v>
      </c>
      <c r="F1536" t="s">
        <v>36</v>
      </c>
      <c r="G1536">
        <v>121</v>
      </c>
      <c r="H1536" t="s">
        <v>45</v>
      </c>
      <c r="I1536">
        <v>2</v>
      </c>
      <c r="J1536">
        <v>4</v>
      </c>
      <c r="K1536" t="s">
        <v>49</v>
      </c>
      <c r="L1536">
        <v>1</v>
      </c>
      <c r="M1536">
        <v>3</v>
      </c>
      <c r="N1536" t="s">
        <v>39</v>
      </c>
      <c r="O1536">
        <v>86</v>
      </c>
      <c r="P1536">
        <v>2</v>
      </c>
      <c r="Q1536">
        <v>1</v>
      </c>
      <c r="R1536" t="s">
        <v>40</v>
      </c>
      <c r="S1536">
        <v>1</v>
      </c>
      <c r="T1536" t="str" cm="1">
        <f t="array" ref="T1536">_xlfn.IFS(S1536&lt;=2,"Poor",S1536&lt;=3,"Fair",S1536&gt;=4,"Good")</f>
        <v>Poor</v>
      </c>
      <c r="U1536" t="s">
        <v>41</v>
      </c>
      <c r="V1536" s="1">
        <v>4381</v>
      </c>
      <c r="W1536" t="str" cm="1">
        <f t="array" ref="W1536">_xlfn.IFS(V1536&lt;=5000,"Low Salary",V1536&lt;=12000,"Good Salary",V1536&gt;12000,"High Salary")</f>
        <v>Low Salary</v>
      </c>
      <c r="X1536">
        <v>7530</v>
      </c>
      <c r="Y1536">
        <v>1</v>
      </c>
      <c r="Z1536" t="s">
        <v>42</v>
      </c>
      <c r="AA1536" t="s">
        <v>35</v>
      </c>
      <c r="AB1536">
        <v>11</v>
      </c>
      <c r="AC1536">
        <v>3</v>
      </c>
      <c r="AD1536" t="str">
        <f t="shared" si="47"/>
        <v>Low Performance</v>
      </c>
      <c r="AE1536">
        <v>3</v>
      </c>
      <c r="AF1536">
        <v>80</v>
      </c>
      <c r="AG1536">
        <v>0</v>
      </c>
      <c r="AH1536">
        <v>6</v>
      </c>
      <c r="AI1536">
        <v>3</v>
      </c>
      <c r="AJ1536">
        <v>3</v>
      </c>
      <c r="AK1536" t="str" cm="1">
        <f t="array" ref="AK1536">_xlfn.IFS(AJ1536&lt;=2,"Poor",AJ1536&lt;=3,"Fair",AJ1536&gt;3,"Good")</f>
        <v>Fair</v>
      </c>
      <c r="AL1536">
        <v>6</v>
      </c>
      <c r="AM1536">
        <v>5</v>
      </c>
      <c r="AN1536">
        <v>1</v>
      </c>
      <c r="AO1536">
        <v>3</v>
      </c>
    </row>
    <row r="1537" spans="1:41" x14ac:dyDescent="0.2">
      <c r="A1537">
        <v>1269351</v>
      </c>
      <c r="B1537">
        <v>39</v>
      </c>
      <c r="C1537" t="str" cm="1">
        <f t="array" ref="C1537">_xlfn.IFS(B1537&lt;=25,"15-25",B1537&lt;=35,"26-35",B1537&lt;=45,"36-45",B1537&lt;=55,"46-55",B1537&lt;=65,"56-65")</f>
        <v>36-45</v>
      </c>
      <c r="D1537" t="s">
        <v>35</v>
      </c>
      <c r="E1537" t="str">
        <f t="shared" si="46"/>
        <v>Current Employee</v>
      </c>
      <c r="F1537" t="s">
        <v>44</v>
      </c>
      <c r="G1537">
        <v>443</v>
      </c>
      <c r="H1537" t="s">
        <v>54</v>
      </c>
      <c r="I1537">
        <v>8</v>
      </c>
      <c r="J1537">
        <v>1</v>
      </c>
      <c r="K1537" t="s">
        <v>38</v>
      </c>
      <c r="L1537">
        <v>1</v>
      </c>
      <c r="M1537">
        <v>3</v>
      </c>
      <c r="N1537" t="s">
        <v>39</v>
      </c>
      <c r="O1537">
        <v>48</v>
      </c>
      <c r="P1537">
        <v>3</v>
      </c>
      <c r="Q1537">
        <v>1</v>
      </c>
      <c r="R1537" t="s">
        <v>40</v>
      </c>
      <c r="S1537">
        <v>3</v>
      </c>
      <c r="T1537" t="str" cm="1">
        <f t="array" ref="T1537">_xlfn.IFS(S1537&lt;=2,"Poor",S1537&lt;=3,"Fair",S1537&gt;=4,"Good")</f>
        <v>Fair</v>
      </c>
      <c r="U1537" t="s">
        <v>48</v>
      </c>
      <c r="V1537" s="1">
        <v>3755</v>
      </c>
      <c r="W1537" t="str" cm="1">
        <f t="array" ref="W1537">_xlfn.IFS(V1537&lt;=5000,"Low Salary",V1537&lt;=12000,"Good Salary",V1537&gt;12000,"High Salary")</f>
        <v>Low Salary</v>
      </c>
      <c r="X1537">
        <v>17872</v>
      </c>
      <c r="Y1537">
        <v>1</v>
      </c>
      <c r="Z1537" t="s">
        <v>42</v>
      </c>
      <c r="AA1537" t="s">
        <v>35</v>
      </c>
      <c r="AB1537">
        <v>11</v>
      </c>
      <c r="AC1537">
        <v>3</v>
      </c>
      <c r="AD1537" t="str">
        <f t="shared" si="47"/>
        <v>Low Performance</v>
      </c>
      <c r="AE1537">
        <v>1</v>
      </c>
      <c r="AF1537">
        <v>80</v>
      </c>
      <c r="AG1537">
        <v>1</v>
      </c>
      <c r="AH1537">
        <v>8</v>
      </c>
      <c r="AI1537">
        <v>3</v>
      </c>
      <c r="AJ1537">
        <v>3</v>
      </c>
      <c r="AK1537" t="str" cm="1">
        <f t="array" ref="AK1537">_xlfn.IFS(AJ1537&lt;=2,"Poor",AJ1537&lt;=3,"Fair",AJ1537&gt;3,"Good")</f>
        <v>Fair</v>
      </c>
      <c r="AL1537">
        <v>8</v>
      </c>
      <c r="AM1537">
        <v>3</v>
      </c>
      <c r="AN1537">
        <v>0</v>
      </c>
      <c r="AO1537">
        <v>7</v>
      </c>
    </row>
    <row r="1538" spans="1:41" x14ac:dyDescent="0.2">
      <c r="A1538">
        <v>1495147</v>
      </c>
      <c r="B1538">
        <v>31</v>
      </c>
      <c r="C1538" t="str" cm="1">
        <f t="array" ref="C1538">_xlfn.IFS(B1538&lt;=25,"15-25",B1538&lt;=35,"26-35",B1538&lt;=45,"36-45",B1538&lt;=55,"46-55",B1538&lt;=65,"56-65")</f>
        <v>26-35</v>
      </c>
      <c r="D1538" t="s">
        <v>35</v>
      </c>
      <c r="E1538" t="str">
        <f t="shared" si="46"/>
        <v>Current Employee</v>
      </c>
      <c r="F1538" t="s">
        <v>36</v>
      </c>
      <c r="G1538">
        <v>1154</v>
      </c>
      <c r="H1538" t="s">
        <v>37</v>
      </c>
      <c r="I1538">
        <v>2</v>
      </c>
      <c r="J1538">
        <v>2</v>
      </c>
      <c r="K1538" t="s">
        <v>38</v>
      </c>
      <c r="L1538">
        <v>1</v>
      </c>
      <c r="M1538">
        <v>1</v>
      </c>
      <c r="N1538" t="s">
        <v>46</v>
      </c>
      <c r="O1538">
        <v>54</v>
      </c>
      <c r="P1538">
        <v>3</v>
      </c>
      <c r="Q1538">
        <v>1</v>
      </c>
      <c r="R1538" t="s">
        <v>47</v>
      </c>
      <c r="S1538">
        <v>3</v>
      </c>
      <c r="T1538" t="str" cm="1">
        <f t="array" ref="T1538">_xlfn.IFS(S1538&lt;=2,"Poor",S1538&lt;=3,"Fair",S1538&gt;=4,"Good")</f>
        <v>Fair</v>
      </c>
      <c r="U1538" t="s">
        <v>48</v>
      </c>
      <c r="V1538" s="1">
        <v>3067</v>
      </c>
      <c r="W1538" t="str" cm="1">
        <f t="array" ref="W1538">_xlfn.IFS(V1538&lt;=5000,"Low Salary",V1538&lt;=12000,"Good Salary",V1538&gt;12000,"High Salary")</f>
        <v>Low Salary</v>
      </c>
      <c r="X1538">
        <v>6393</v>
      </c>
      <c r="Y1538">
        <v>0</v>
      </c>
      <c r="Z1538" t="s">
        <v>42</v>
      </c>
      <c r="AA1538" t="s">
        <v>35</v>
      </c>
      <c r="AB1538">
        <v>19</v>
      </c>
      <c r="AC1538">
        <v>3</v>
      </c>
      <c r="AD1538" t="str">
        <f t="shared" si="47"/>
        <v>Low Performance</v>
      </c>
      <c r="AE1538">
        <v>3</v>
      </c>
      <c r="AF1538">
        <v>80</v>
      </c>
      <c r="AG1538">
        <v>1</v>
      </c>
      <c r="AH1538">
        <v>3</v>
      </c>
      <c r="AI1538">
        <v>1</v>
      </c>
      <c r="AJ1538">
        <v>3</v>
      </c>
      <c r="AK1538" t="str" cm="1">
        <f t="array" ref="AK1538">_xlfn.IFS(AJ1538&lt;=2,"Poor",AJ1538&lt;=3,"Fair",AJ1538&gt;3,"Good")</f>
        <v>Fair</v>
      </c>
      <c r="AL1538">
        <v>2</v>
      </c>
      <c r="AM1538">
        <v>2</v>
      </c>
      <c r="AN1538">
        <v>1</v>
      </c>
      <c r="AO1538">
        <v>2</v>
      </c>
    </row>
    <row r="1539" spans="1:41" x14ac:dyDescent="0.2">
      <c r="A1539">
        <v>1209865</v>
      </c>
      <c r="B1539">
        <v>48</v>
      </c>
      <c r="C1539" t="str" cm="1">
        <f t="array" ref="C1539">_xlfn.IFS(B1539&lt;=25,"15-25",B1539&lt;=35,"26-35",B1539&lt;=45,"36-45",B1539&lt;=55,"46-55",B1539&lt;=65,"56-65")</f>
        <v>46-55</v>
      </c>
      <c r="D1539" t="s">
        <v>35</v>
      </c>
      <c r="E1539" t="str">
        <f t="shared" ref="E1539:E1602" si="48">IF(D1539="No","Current Employee","Former Employee")</f>
        <v>Current Employee</v>
      </c>
      <c r="F1539" t="s">
        <v>36</v>
      </c>
      <c r="G1539">
        <v>163</v>
      </c>
      <c r="H1539" t="s">
        <v>37</v>
      </c>
      <c r="I1539">
        <v>2</v>
      </c>
      <c r="J1539">
        <v>5</v>
      </c>
      <c r="K1539" t="s">
        <v>55</v>
      </c>
      <c r="L1539">
        <v>1</v>
      </c>
      <c r="M1539">
        <v>2</v>
      </c>
      <c r="N1539" t="s">
        <v>39</v>
      </c>
      <c r="O1539">
        <v>37</v>
      </c>
      <c r="P1539">
        <v>3</v>
      </c>
      <c r="Q1539">
        <v>2</v>
      </c>
      <c r="R1539" t="s">
        <v>51</v>
      </c>
      <c r="S1539">
        <v>4</v>
      </c>
      <c r="T1539" t="str" cm="1">
        <f t="array" ref="T1539">_xlfn.IFS(S1539&lt;=2,"Poor",S1539&lt;=3,"Fair",S1539&gt;=4,"Good")</f>
        <v>Good</v>
      </c>
      <c r="U1539" t="s">
        <v>48</v>
      </c>
      <c r="V1539" s="1">
        <v>4051</v>
      </c>
      <c r="W1539" t="str" cm="1">
        <f t="array" ref="W1539">_xlfn.IFS(V1539&lt;=5000,"Low Salary",V1539&lt;=12000,"Good Salary",V1539&gt;12000,"High Salary")</f>
        <v>Low Salary</v>
      </c>
      <c r="X1539">
        <v>19658</v>
      </c>
      <c r="Y1539">
        <v>2</v>
      </c>
      <c r="Z1539" t="s">
        <v>42</v>
      </c>
      <c r="AA1539" t="s">
        <v>35</v>
      </c>
      <c r="AB1539">
        <v>14</v>
      </c>
      <c r="AC1539">
        <v>3</v>
      </c>
      <c r="AD1539" t="str">
        <f t="shared" ref="AD1539:AD1602" si="49">IF(AC1539&lt;=3,"Low Performance","High Performance")</f>
        <v>Low Performance</v>
      </c>
      <c r="AE1539">
        <v>1</v>
      </c>
      <c r="AF1539">
        <v>80</v>
      </c>
      <c r="AG1539">
        <v>1</v>
      </c>
      <c r="AH1539">
        <v>14</v>
      </c>
      <c r="AI1539">
        <v>2</v>
      </c>
      <c r="AJ1539">
        <v>3</v>
      </c>
      <c r="AK1539" t="str" cm="1">
        <f t="array" ref="AK1539">_xlfn.IFS(AJ1539&lt;=2,"Poor",AJ1539&lt;=3,"Fair",AJ1539&gt;3,"Good")</f>
        <v>Fair</v>
      </c>
      <c r="AL1539">
        <v>9</v>
      </c>
      <c r="AM1539">
        <v>7</v>
      </c>
      <c r="AN1539">
        <v>6</v>
      </c>
      <c r="AO1539">
        <v>7</v>
      </c>
    </row>
    <row r="1540" spans="1:41" x14ac:dyDescent="0.2">
      <c r="A1540">
        <v>1138945</v>
      </c>
      <c r="B1540">
        <v>53</v>
      </c>
      <c r="C1540" t="str" cm="1">
        <f t="array" ref="C1540">_xlfn.IFS(B1540&lt;=25,"15-25",B1540&lt;=35,"26-35",B1540&lt;=45,"36-45",B1540&lt;=55,"46-55",B1540&lt;=65,"56-65")</f>
        <v>46-55</v>
      </c>
      <c r="D1540" t="s">
        <v>35</v>
      </c>
      <c r="E1540" t="str">
        <f t="shared" si="48"/>
        <v>Current Employee</v>
      </c>
      <c r="F1540" t="s">
        <v>36</v>
      </c>
      <c r="G1540">
        <v>102</v>
      </c>
      <c r="H1540" t="s">
        <v>54</v>
      </c>
      <c r="I1540">
        <v>23</v>
      </c>
      <c r="J1540">
        <v>4</v>
      </c>
      <c r="K1540" t="s">
        <v>38</v>
      </c>
      <c r="L1540">
        <v>1</v>
      </c>
      <c r="M1540">
        <v>4</v>
      </c>
      <c r="N1540" t="s">
        <v>39</v>
      </c>
      <c r="O1540">
        <v>72</v>
      </c>
      <c r="P1540">
        <v>3</v>
      </c>
      <c r="Q1540">
        <v>4</v>
      </c>
      <c r="R1540" t="s">
        <v>51</v>
      </c>
      <c r="S1540">
        <v>4</v>
      </c>
      <c r="T1540" t="str" cm="1">
        <f t="array" ref="T1540">_xlfn.IFS(S1540&lt;=2,"Poor",S1540&lt;=3,"Fair",S1540&gt;=4,"Good")</f>
        <v>Good</v>
      </c>
      <c r="U1540" t="s">
        <v>41</v>
      </c>
      <c r="V1540" s="1">
        <v>14275</v>
      </c>
      <c r="W1540" t="str" cm="1">
        <f t="array" ref="W1540">_xlfn.IFS(V1540&lt;=5000,"Low Salary",V1540&lt;=12000,"Good Salary",V1540&gt;12000,"High Salary")</f>
        <v>High Salary</v>
      </c>
      <c r="X1540">
        <v>20206</v>
      </c>
      <c r="Y1540">
        <v>6</v>
      </c>
      <c r="Z1540" t="s">
        <v>42</v>
      </c>
      <c r="AA1540" t="s">
        <v>35</v>
      </c>
      <c r="AB1540">
        <v>18</v>
      </c>
      <c r="AC1540">
        <v>3</v>
      </c>
      <c r="AD1540" t="str">
        <f t="shared" si="49"/>
        <v>Low Performance</v>
      </c>
      <c r="AE1540">
        <v>3</v>
      </c>
      <c r="AF1540">
        <v>80</v>
      </c>
      <c r="AG1540">
        <v>0</v>
      </c>
      <c r="AH1540">
        <v>33</v>
      </c>
      <c r="AI1540">
        <v>0</v>
      </c>
      <c r="AJ1540">
        <v>3</v>
      </c>
      <c r="AK1540" t="str" cm="1">
        <f t="array" ref="AK1540">_xlfn.IFS(AJ1540&lt;=2,"Poor",AJ1540&lt;=3,"Fair",AJ1540&gt;3,"Good")</f>
        <v>Fair</v>
      </c>
      <c r="AL1540">
        <v>12</v>
      </c>
      <c r="AM1540">
        <v>9</v>
      </c>
      <c r="AN1540">
        <v>3</v>
      </c>
      <c r="AO1540">
        <v>8</v>
      </c>
    </row>
    <row r="1541" spans="1:41" x14ac:dyDescent="0.2">
      <c r="A1541">
        <v>1310619</v>
      </c>
      <c r="B1541">
        <v>28</v>
      </c>
      <c r="C1541" t="str" cm="1">
        <f t="array" ref="C1541">_xlfn.IFS(B1541&lt;=25,"15-25",B1541&lt;=35,"26-35",B1541&lt;=45,"36-45",B1541&lt;=55,"46-55",B1541&lt;=65,"56-65")</f>
        <v>26-35</v>
      </c>
      <c r="D1541" t="s">
        <v>35</v>
      </c>
      <c r="E1541" t="str">
        <f t="shared" si="48"/>
        <v>Current Employee</v>
      </c>
      <c r="F1541" t="s">
        <v>52</v>
      </c>
      <c r="G1541">
        <v>120</v>
      </c>
      <c r="H1541" t="s">
        <v>37</v>
      </c>
      <c r="I1541">
        <v>4</v>
      </c>
      <c r="J1541">
        <v>3</v>
      </c>
      <c r="K1541" t="s">
        <v>49</v>
      </c>
      <c r="L1541">
        <v>1</v>
      </c>
      <c r="M1541">
        <v>2</v>
      </c>
      <c r="N1541" t="s">
        <v>46</v>
      </c>
      <c r="O1541">
        <v>43</v>
      </c>
      <c r="P1541">
        <v>3</v>
      </c>
      <c r="Q1541">
        <v>2</v>
      </c>
      <c r="R1541" t="s">
        <v>51</v>
      </c>
      <c r="S1541">
        <v>3</v>
      </c>
      <c r="T1541" t="str" cm="1">
        <f t="array" ref="T1541">_xlfn.IFS(S1541&lt;=2,"Poor",S1541&lt;=3,"Fair",S1541&gt;=4,"Good")</f>
        <v>Fair</v>
      </c>
      <c r="U1541" t="s">
        <v>48</v>
      </c>
      <c r="V1541" s="1">
        <v>4221</v>
      </c>
      <c r="W1541" t="str" cm="1">
        <f t="array" ref="W1541">_xlfn.IFS(V1541&lt;=5000,"Low Salary",V1541&lt;=12000,"Good Salary",V1541&gt;12000,"High Salary")</f>
        <v>Low Salary</v>
      </c>
      <c r="X1541">
        <v>8863</v>
      </c>
      <c r="Y1541">
        <v>1</v>
      </c>
      <c r="Z1541" t="s">
        <v>42</v>
      </c>
      <c r="AA1541" t="s">
        <v>35</v>
      </c>
      <c r="AB1541">
        <v>15</v>
      </c>
      <c r="AC1541">
        <v>3</v>
      </c>
      <c r="AD1541" t="str">
        <f t="shared" si="49"/>
        <v>Low Performance</v>
      </c>
      <c r="AE1541">
        <v>2</v>
      </c>
      <c r="AF1541">
        <v>80</v>
      </c>
      <c r="AG1541">
        <v>0</v>
      </c>
      <c r="AH1541">
        <v>5</v>
      </c>
      <c r="AI1541">
        <v>3</v>
      </c>
      <c r="AJ1541">
        <v>4</v>
      </c>
      <c r="AK1541" t="str" cm="1">
        <f t="array" ref="AK1541">_xlfn.IFS(AJ1541&lt;=2,"Poor",AJ1541&lt;=3,"Fair",AJ1541&gt;3,"Good")</f>
        <v>Good</v>
      </c>
      <c r="AL1541">
        <v>5</v>
      </c>
      <c r="AM1541">
        <v>4</v>
      </c>
      <c r="AN1541">
        <v>0</v>
      </c>
      <c r="AO1541">
        <v>4</v>
      </c>
    </row>
    <row r="1542" spans="1:41" x14ac:dyDescent="0.2">
      <c r="A1542">
        <v>1225300</v>
      </c>
      <c r="B1542">
        <v>45</v>
      </c>
      <c r="C1542" t="str" cm="1">
        <f t="array" ref="C1542">_xlfn.IFS(B1542&lt;=25,"15-25",B1542&lt;=35,"26-35",B1542&lt;=45,"36-45",B1542&lt;=55,"46-55",B1542&lt;=65,"56-65")</f>
        <v>36-45</v>
      </c>
      <c r="D1542" t="s">
        <v>35</v>
      </c>
      <c r="E1542" t="str">
        <f t="shared" si="48"/>
        <v>Current Employee</v>
      </c>
      <c r="F1542" t="s">
        <v>52</v>
      </c>
      <c r="G1542">
        <v>1195</v>
      </c>
      <c r="H1542" t="s">
        <v>45</v>
      </c>
      <c r="I1542">
        <v>2</v>
      </c>
      <c r="J1542">
        <v>2</v>
      </c>
      <c r="K1542" t="s">
        <v>49</v>
      </c>
      <c r="L1542">
        <v>1</v>
      </c>
      <c r="M1542">
        <v>1</v>
      </c>
      <c r="N1542" t="s">
        <v>46</v>
      </c>
      <c r="O1542">
        <v>65</v>
      </c>
      <c r="P1542">
        <v>2</v>
      </c>
      <c r="Q1542">
        <v>4</v>
      </c>
      <c r="R1542" t="s">
        <v>58</v>
      </c>
      <c r="S1542">
        <v>4</v>
      </c>
      <c r="T1542" t="str" cm="1">
        <f t="array" ref="T1542">_xlfn.IFS(S1542&lt;=2,"Poor",S1542&lt;=3,"Fair",S1542&gt;=4,"Good")</f>
        <v>Good</v>
      </c>
      <c r="U1542" t="s">
        <v>48</v>
      </c>
      <c r="V1542" s="1">
        <v>16792</v>
      </c>
      <c r="W1542" t="str" cm="1">
        <f t="array" ref="W1542">_xlfn.IFS(V1542&lt;=5000,"Low Salary",V1542&lt;=12000,"Good Salary",V1542&gt;12000,"High Salary")</f>
        <v>High Salary</v>
      </c>
      <c r="X1542">
        <v>20462</v>
      </c>
      <c r="Y1542">
        <v>9</v>
      </c>
      <c r="Z1542" t="s">
        <v>42</v>
      </c>
      <c r="AA1542" t="s">
        <v>35</v>
      </c>
      <c r="AB1542">
        <v>23</v>
      </c>
      <c r="AC1542">
        <v>4</v>
      </c>
      <c r="AD1542" t="str">
        <f t="shared" si="49"/>
        <v>High Performance</v>
      </c>
      <c r="AE1542">
        <v>4</v>
      </c>
      <c r="AF1542">
        <v>80</v>
      </c>
      <c r="AG1542">
        <v>1</v>
      </c>
      <c r="AH1542">
        <v>22</v>
      </c>
      <c r="AI1542">
        <v>1</v>
      </c>
      <c r="AJ1542">
        <v>3</v>
      </c>
      <c r="AK1542" t="str" cm="1">
        <f t="array" ref="AK1542">_xlfn.IFS(AJ1542&lt;=2,"Poor",AJ1542&lt;=3,"Fair",AJ1542&gt;3,"Good")</f>
        <v>Fair</v>
      </c>
      <c r="AL1542">
        <v>20</v>
      </c>
      <c r="AM1542">
        <v>8</v>
      </c>
      <c r="AN1542">
        <v>11</v>
      </c>
      <c r="AO1542">
        <v>8</v>
      </c>
    </row>
    <row r="1543" spans="1:41" x14ac:dyDescent="0.2">
      <c r="A1543">
        <v>1885928</v>
      </c>
      <c r="B1543">
        <v>29</v>
      </c>
      <c r="C1543" t="str" cm="1">
        <f t="array" ref="C1543">_xlfn.IFS(B1543&lt;=25,"15-25",B1543&lt;=35,"26-35",B1543&lt;=45,"36-45",B1543&lt;=55,"46-55",B1543&lt;=65,"56-65")</f>
        <v>26-35</v>
      </c>
      <c r="D1543" t="s">
        <v>35</v>
      </c>
      <c r="E1543" t="str">
        <f t="shared" si="48"/>
        <v>Current Employee</v>
      </c>
      <c r="F1543" t="s">
        <v>36</v>
      </c>
      <c r="G1543">
        <v>718</v>
      </c>
      <c r="H1543" t="s">
        <v>45</v>
      </c>
      <c r="I1543">
        <v>8</v>
      </c>
      <c r="J1543">
        <v>1</v>
      </c>
      <c r="K1543" t="s">
        <v>49</v>
      </c>
      <c r="L1543">
        <v>1</v>
      </c>
      <c r="M1543">
        <v>2</v>
      </c>
      <c r="N1543" t="s">
        <v>46</v>
      </c>
      <c r="O1543">
        <v>79</v>
      </c>
      <c r="P1543">
        <v>2</v>
      </c>
      <c r="Q1543">
        <v>2</v>
      </c>
      <c r="R1543" t="s">
        <v>51</v>
      </c>
      <c r="S1543">
        <v>4</v>
      </c>
      <c r="T1543" t="str" cm="1">
        <f t="array" ref="T1543">_xlfn.IFS(S1543&lt;=2,"Poor",S1543&lt;=3,"Fair",S1543&gt;=4,"Good")</f>
        <v>Good</v>
      </c>
      <c r="U1543" t="s">
        <v>48</v>
      </c>
      <c r="V1543" s="1">
        <v>5056</v>
      </c>
      <c r="W1543" t="str" cm="1">
        <f t="array" ref="W1543">_xlfn.IFS(V1543&lt;=5000,"Low Salary",V1543&lt;=12000,"Good Salary",V1543&gt;12000,"High Salary")</f>
        <v>Good Salary</v>
      </c>
      <c r="X1543">
        <v>17689</v>
      </c>
      <c r="Y1543">
        <v>1</v>
      </c>
      <c r="Z1543" t="s">
        <v>42</v>
      </c>
      <c r="AA1543" t="s">
        <v>43</v>
      </c>
      <c r="AB1543">
        <v>15</v>
      </c>
      <c r="AC1543">
        <v>3</v>
      </c>
      <c r="AD1543" t="str">
        <f t="shared" si="49"/>
        <v>Low Performance</v>
      </c>
      <c r="AE1543">
        <v>3</v>
      </c>
      <c r="AF1543">
        <v>80</v>
      </c>
      <c r="AG1543">
        <v>1</v>
      </c>
      <c r="AH1543">
        <v>10</v>
      </c>
      <c r="AI1543">
        <v>2</v>
      </c>
      <c r="AJ1543">
        <v>2</v>
      </c>
      <c r="AK1543" t="str" cm="1">
        <f t="array" ref="AK1543">_xlfn.IFS(AJ1543&lt;=2,"Poor",AJ1543&lt;=3,"Fair",AJ1543&gt;3,"Good")</f>
        <v>Poor</v>
      </c>
      <c r="AL1543">
        <v>10</v>
      </c>
      <c r="AM1543">
        <v>7</v>
      </c>
      <c r="AN1543">
        <v>1</v>
      </c>
      <c r="AO1543">
        <v>2</v>
      </c>
    </row>
    <row r="1544" spans="1:41" x14ac:dyDescent="0.2">
      <c r="A1544">
        <v>1213922</v>
      </c>
      <c r="B1544">
        <v>34</v>
      </c>
      <c r="C1544" t="str" cm="1">
        <f t="array" ref="C1544">_xlfn.IFS(B1544&lt;=25,"15-25",B1544&lt;=35,"26-35",B1544&lt;=45,"36-45",B1544&lt;=55,"46-55",B1544&lt;=65,"56-65")</f>
        <v>26-35</v>
      </c>
      <c r="D1544" t="s">
        <v>35</v>
      </c>
      <c r="E1544" t="str">
        <f t="shared" si="48"/>
        <v>Current Employee</v>
      </c>
      <c r="F1544" t="s">
        <v>36</v>
      </c>
      <c r="G1544">
        <v>704</v>
      </c>
      <c r="H1544" t="s">
        <v>37</v>
      </c>
      <c r="I1544">
        <v>28</v>
      </c>
      <c r="J1544">
        <v>3</v>
      </c>
      <c r="K1544" t="s">
        <v>55</v>
      </c>
      <c r="L1544">
        <v>1</v>
      </c>
      <c r="M1544">
        <v>4</v>
      </c>
      <c r="N1544" t="s">
        <v>39</v>
      </c>
      <c r="O1544">
        <v>95</v>
      </c>
      <c r="P1544">
        <v>2</v>
      </c>
      <c r="Q1544">
        <v>2</v>
      </c>
      <c r="R1544" t="s">
        <v>51</v>
      </c>
      <c r="S1544">
        <v>3</v>
      </c>
      <c r="T1544" t="str" cm="1">
        <f t="array" ref="T1544">_xlfn.IFS(S1544&lt;=2,"Poor",S1544&lt;=3,"Fair",S1544&gt;=4,"Good")</f>
        <v>Fair</v>
      </c>
      <c r="U1544" t="s">
        <v>48</v>
      </c>
      <c r="V1544" s="1">
        <v>6712</v>
      </c>
      <c r="W1544" t="str" cm="1">
        <f t="array" ref="W1544">_xlfn.IFS(V1544&lt;=5000,"Low Salary",V1544&lt;=12000,"Good Salary",V1544&gt;12000,"High Salary")</f>
        <v>Good Salary</v>
      </c>
      <c r="X1544">
        <v>8978</v>
      </c>
      <c r="Y1544">
        <v>1</v>
      </c>
      <c r="Z1544" t="s">
        <v>42</v>
      </c>
      <c r="AA1544" t="s">
        <v>35</v>
      </c>
      <c r="AB1544">
        <v>21</v>
      </c>
      <c r="AC1544">
        <v>4</v>
      </c>
      <c r="AD1544" t="str">
        <f t="shared" si="49"/>
        <v>High Performance</v>
      </c>
      <c r="AE1544">
        <v>4</v>
      </c>
      <c r="AF1544">
        <v>80</v>
      </c>
      <c r="AG1544">
        <v>2</v>
      </c>
      <c r="AH1544">
        <v>8</v>
      </c>
      <c r="AI1544">
        <v>2</v>
      </c>
      <c r="AJ1544">
        <v>3</v>
      </c>
      <c r="AK1544" t="str" cm="1">
        <f t="array" ref="AK1544">_xlfn.IFS(AJ1544&lt;=2,"Poor",AJ1544&lt;=3,"Fair",AJ1544&gt;3,"Good")</f>
        <v>Fair</v>
      </c>
      <c r="AL1544">
        <v>8</v>
      </c>
      <c r="AM1544">
        <v>7</v>
      </c>
      <c r="AN1544">
        <v>1</v>
      </c>
      <c r="AO1544">
        <v>7</v>
      </c>
    </row>
    <row r="1545" spans="1:41" x14ac:dyDescent="0.2">
      <c r="A1545">
        <v>1211512</v>
      </c>
      <c r="B1545">
        <v>27</v>
      </c>
      <c r="C1545" t="str" cm="1">
        <f t="array" ref="C1545">_xlfn.IFS(B1545&lt;=25,"15-25",B1545&lt;=35,"26-35",B1545&lt;=45,"36-45",B1545&lt;=55,"46-55",B1545&lt;=65,"56-65")</f>
        <v>26-35</v>
      </c>
      <c r="D1545" t="s">
        <v>35</v>
      </c>
      <c r="E1545" t="str">
        <f t="shared" si="48"/>
        <v>Current Employee</v>
      </c>
      <c r="F1545" t="s">
        <v>36</v>
      </c>
      <c r="G1545">
        <v>269</v>
      </c>
      <c r="H1545" t="s">
        <v>54</v>
      </c>
      <c r="I1545">
        <v>5</v>
      </c>
      <c r="J1545">
        <v>1</v>
      </c>
      <c r="K1545" t="s">
        <v>56</v>
      </c>
      <c r="L1545">
        <v>1</v>
      </c>
      <c r="M1545">
        <v>3</v>
      </c>
      <c r="N1545" t="s">
        <v>46</v>
      </c>
      <c r="O1545">
        <v>42</v>
      </c>
      <c r="P1545">
        <v>2</v>
      </c>
      <c r="Q1545">
        <v>3</v>
      </c>
      <c r="R1545" t="s">
        <v>51</v>
      </c>
      <c r="S1545">
        <v>4</v>
      </c>
      <c r="T1545" t="str" cm="1">
        <f t="array" ref="T1545">_xlfn.IFS(S1545&lt;=2,"Poor",S1545&lt;=3,"Fair",S1545&gt;=4,"Good")</f>
        <v>Good</v>
      </c>
      <c r="U1545" t="s">
        <v>50</v>
      </c>
      <c r="V1545" s="1">
        <v>12808</v>
      </c>
      <c r="W1545" t="str" cm="1">
        <f t="array" ref="W1545">_xlfn.IFS(V1545&lt;=5000,"Low Salary",V1545&lt;=12000,"Good Salary",V1545&gt;12000,"High Salary")</f>
        <v>High Salary</v>
      </c>
      <c r="X1545">
        <v>8842</v>
      </c>
      <c r="Y1545">
        <v>1</v>
      </c>
      <c r="Z1545" t="s">
        <v>42</v>
      </c>
      <c r="AA1545" t="s">
        <v>43</v>
      </c>
      <c r="AB1545">
        <v>16</v>
      </c>
      <c r="AC1545">
        <v>3</v>
      </c>
      <c r="AD1545" t="str">
        <f t="shared" si="49"/>
        <v>Low Performance</v>
      </c>
      <c r="AE1545">
        <v>2</v>
      </c>
      <c r="AF1545">
        <v>80</v>
      </c>
      <c r="AG1545">
        <v>1</v>
      </c>
      <c r="AH1545">
        <v>9</v>
      </c>
      <c r="AI1545">
        <v>3</v>
      </c>
      <c r="AJ1545">
        <v>3</v>
      </c>
      <c r="AK1545" t="str" cm="1">
        <f t="array" ref="AK1545">_xlfn.IFS(AJ1545&lt;=2,"Poor",AJ1545&lt;=3,"Fair",AJ1545&gt;3,"Good")</f>
        <v>Fair</v>
      </c>
      <c r="AL1545">
        <v>9</v>
      </c>
      <c r="AM1545">
        <v>8</v>
      </c>
      <c r="AN1545">
        <v>0</v>
      </c>
      <c r="AO1545">
        <v>8</v>
      </c>
    </row>
    <row r="1546" spans="1:41" x14ac:dyDescent="0.2">
      <c r="A1546">
        <v>1159699</v>
      </c>
      <c r="B1546">
        <v>30</v>
      </c>
      <c r="C1546" t="str" cm="1">
        <f t="array" ref="C1546">_xlfn.IFS(B1546&lt;=25,"15-25",B1546&lt;=35,"26-35",B1546&lt;=45,"36-45",B1546&lt;=55,"46-55",B1546&lt;=65,"56-65")</f>
        <v>26-35</v>
      </c>
      <c r="D1546" t="s">
        <v>35</v>
      </c>
      <c r="E1546" t="str">
        <f t="shared" si="48"/>
        <v>Current Employee</v>
      </c>
      <c r="F1546" t="s">
        <v>36</v>
      </c>
      <c r="G1546">
        <v>201</v>
      </c>
      <c r="H1546" t="s">
        <v>45</v>
      </c>
      <c r="I1546">
        <v>5</v>
      </c>
      <c r="J1546">
        <v>3</v>
      </c>
      <c r="K1546" t="s">
        <v>56</v>
      </c>
      <c r="L1546">
        <v>1</v>
      </c>
      <c r="M1546">
        <v>4</v>
      </c>
      <c r="N1546" t="s">
        <v>39</v>
      </c>
      <c r="O1546">
        <v>84</v>
      </c>
      <c r="P1546">
        <v>3</v>
      </c>
      <c r="Q1546">
        <v>1</v>
      </c>
      <c r="R1546" t="s">
        <v>40</v>
      </c>
      <c r="S1546">
        <v>1</v>
      </c>
      <c r="T1546" t="str" cm="1">
        <f t="array" ref="T1546">_xlfn.IFS(S1546&lt;=2,"Poor",S1546&lt;=3,"Fair",S1546&gt;=4,"Good")</f>
        <v>Poor</v>
      </c>
      <c r="U1546" t="s">
        <v>50</v>
      </c>
      <c r="V1546" s="1">
        <v>3204</v>
      </c>
      <c r="W1546" t="str" cm="1">
        <f t="array" ref="W1546">_xlfn.IFS(V1546&lt;=5000,"Low Salary",V1546&lt;=12000,"Good Salary",V1546&gt;12000,"High Salary")</f>
        <v>Low Salary</v>
      </c>
      <c r="X1546">
        <v>10415</v>
      </c>
      <c r="Y1546">
        <v>5</v>
      </c>
      <c r="Z1546" t="s">
        <v>42</v>
      </c>
      <c r="AA1546" t="s">
        <v>35</v>
      </c>
      <c r="AB1546">
        <v>14</v>
      </c>
      <c r="AC1546">
        <v>3</v>
      </c>
      <c r="AD1546" t="str">
        <f t="shared" si="49"/>
        <v>Low Performance</v>
      </c>
      <c r="AE1546">
        <v>4</v>
      </c>
      <c r="AF1546">
        <v>80</v>
      </c>
      <c r="AG1546">
        <v>1</v>
      </c>
      <c r="AH1546">
        <v>8</v>
      </c>
      <c r="AI1546">
        <v>3</v>
      </c>
      <c r="AJ1546">
        <v>3</v>
      </c>
      <c r="AK1546" t="str" cm="1">
        <f t="array" ref="AK1546">_xlfn.IFS(AJ1546&lt;=2,"Poor",AJ1546&lt;=3,"Fair",AJ1546&gt;3,"Good")</f>
        <v>Fair</v>
      </c>
      <c r="AL1546">
        <v>3</v>
      </c>
      <c r="AM1546">
        <v>2</v>
      </c>
      <c r="AN1546">
        <v>2</v>
      </c>
      <c r="AO1546">
        <v>2</v>
      </c>
    </row>
    <row r="1547" spans="1:41" x14ac:dyDescent="0.2">
      <c r="A1547">
        <v>1677368</v>
      </c>
      <c r="B1547">
        <v>34</v>
      </c>
      <c r="C1547" t="str" cm="1">
        <f t="array" ref="C1547">_xlfn.IFS(B1547&lt;=25,"15-25",B1547&lt;=35,"26-35",B1547&lt;=45,"36-45",B1547&lt;=55,"46-55",B1547&lt;=65,"56-65")</f>
        <v>26-35</v>
      </c>
      <c r="D1547" t="s">
        <v>35</v>
      </c>
      <c r="E1547" t="str">
        <f t="shared" si="48"/>
        <v>Current Employee</v>
      </c>
      <c r="F1547" t="s">
        <v>36</v>
      </c>
      <c r="G1547">
        <v>678</v>
      </c>
      <c r="H1547" t="s">
        <v>45</v>
      </c>
      <c r="I1547">
        <v>19</v>
      </c>
      <c r="J1547">
        <v>3</v>
      </c>
      <c r="K1547" t="s">
        <v>38</v>
      </c>
      <c r="L1547">
        <v>1</v>
      </c>
      <c r="M1547">
        <v>2</v>
      </c>
      <c r="N1547" t="s">
        <v>39</v>
      </c>
      <c r="O1547">
        <v>35</v>
      </c>
      <c r="P1547">
        <v>2</v>
      </c>
      <c r="Q1547">
        <v>1</v>
      </c>
      <c r="R1547" t="s">
        <v>40</v>
      </c>
      <c r="S1547">
        <v>4</v>
      </c>
      <c r="T1547" t="str" cm="1">
        <f t="array" ref="T1547">_xlfn.IFS(S1547&lt;=2,"Poor",S1547&lt;=3,"Fair",S1547&gt;=4,"Good")</f>
        <v>Good</v>
      </c>
      <c r="U1547" t="s">
        <v>48</v>
      </c>
      <c r="V1547" s="1">
        <v>2929</v>
      </c>
      <c r="W1547" t="str" cm="1">
        <f t="array" ref="W1547">_xlfn.IFS(V1547&lt;=5000,"Low Salary",V1547&lt;=12000,"Good Salary",V1547&gt;12000,"High Salary")</f>
        <v>Low Salary</v>
      </c>
      <c r="X1547">
        <v>20338</v>
      </c>
      <c r="Y1547">
        <v>1</v>
      </c>
      <c r="Z1547" t="s">
        <v>42</v>
      </c>
      <c r="AA1547" t="s">
        <v>35</v>
      </c>
      <c r="AB1547">
        <v>12</v>
      </c>
      <c r="AC1547">
        <v>3</v>
      </c>
      <c r="AD1547" t="str">
        <f t="shared" si="49"/>
        <v>Low Performance</v>
      </c>
      <c r="AE1547">
        <v>2</v>
      </c>
      <c r="AF1547">
        <v>80</v>
      </c>
      <c r="AG1547">
        <v>0</v>
      </c>
      <c r="AH1547">
        <v>10</v>
      </c>
      <c r="AI1547">
        <v>3</v>
      </c>
      <c r="AJ1547">
        <v>3</v>
      </c>
      <c r="AK1547" t="str" cm="1">
        <f t="array" ref="AK1547">_xlfn.IFS(AJ1547&lt;=2,"Poor",AJ1547&lt;=3,"Fair",AJ1547&gt;3,"Good")</f>
        <v>Fair</v>
      </c>
      <c r="AL1547">
        <v>10</v>
      </c>
      <c r="AM1547">
        <v>9</v>
      </c>
      <c r="AN1547">
        <v>8</v>
      </c>
      <c r="AO1547">
        <v>7</v>
      </c>
    </row>
    <row r="1548" spans="1:41" x14ac:dyDescent="0.2">
      <c r="A1548">
        <v>1030882</v>
      </c>
      <c r="B1548">
        <v>31</v>
      </c>
      <c r="C1548" t="str" cm="1">
        <f t="array" ref="C1548">_xlfn.IFS(B1548&lt;=25,"15-25",B1548&lt;=35,"26-35",B1548&lt;=45,"36-45",B1548&lt;=55,"46-55",B1548&lt;=65,"56-65")</f>
        <v>26-35</v>
      </c>
      <c r="D1548" t="s">
        <v>35</v>
      </c>
      <c r="E1548" t="str">
        <f t="shared" si="48"/>
        <v>Current Employee</v>
      </c>
      <c r="F1548" t="s">
        <v>36</v>
      </c>
      <c r="G1548">
        <v>670</v>
      </c>
      <c r="H1548" t="s">
        <v>45</v>
      </c>
      <c r="I1548">
        <v>26</v>
      </c>
      <c r="J1548">
        <v>1</v>
      </c>
      <c r="K1548" t="s">
        <v>38</v>
      </c>
      <c r="L1548">
        <v>1</v>
      </c>
      <c r="M1548">
        <v>1</v>
      </c>
      <c r="N1548" t="s">
        <v>46</v>
      </c>
      <c r="O1548">
        <v>31</v>
      </c>
      <c r="P1548">
        <v>3</v>
      </c>
      <c r="Q1548">
        <v>1</v>
      </c>
      <c r="R1548" t="s">
        <v>40</v>
      </c>
      <c r="S1548">
        <v>3</v>
      </c>
      <c r="T1548" t="str" cm="1">
        <f t="array" ref="T1548">_xlfn.IFS(S1548&lt;=2,"Poor",S1548&lt;=3,"Fair",S1548&gt;=4,"Good")</f>
        <v>Fair</v>
      </c>
      <c r="U1548" t="s">
        <v>50</v>
      </c>
      <c r="V1548" s="1">
        <v>2911</v>
      </c>
      <c r="W1548" t="str" cm="1">
        <f t="array" ref="W1548">_xlfn.IFS(V1548&lt;=5000,"Low Salary",V1548&lt;=12000,"Good Salary",V1548&gt;12000,"High Salary")</f>
        <v>Low Salary</v>
      </c>
      <c r="X1548">
        <v>15170</v>
      </c>
      <c r="Y1548">
        <v>1</v>
      </c>
      <c r="Z1548" t="s">
        <v>42</v>
      </c>
      <c r="AA1548" t="s">
        <v>35</v>
      </c>
      <c r="AB1548">
        <v>17</v>
      </c>
      <c r="AC1548">
        <v>3</v>
      </c>
      <c r="AD1548" t="str">
        <f t="shared" si="49"/>
        <v>Low Performance</v>
      </c>
      <c r="AE1548">
        <v>4</v>
      </c>
      <c r="AF1548">
        <v>80</v>
      </c>
      <c r="AG1548">
        <v>1</v>
      </c>
      <c r="AH1548">
        <v>5</v>
      </c>
      <c r="AI1548">
        <v>1</v>
      </c>
      <c r="AJ1548">
        <v>2</v>
      </c>
      <c r="AK1548" t="str" cm="1">
        <f t="array" ref="AK1548">_xlfn.IFS(AJ1548&lt;=2,"Poor",AJ1548&lt;=3,"Fair",AJ1548&gt;3,"Good")</f>
        <v>Poor</v>
      </c>
      <c r="AL1548">
        <v>5</v>
      </c>
      <c r="AM1548">
        <v>2</v>
      </c>
      <c r="AN1548">
        <v>4</v>
      </c>
      <c r="AO1548">
        <v>3</v>
      </c>
    </row>
    <row r="1549" spans="1:41" x14ac:dyDescent="0.2">
      <c r="A1549">
        <v>1597825</v>
      </c>
      <c r="B1549">
        <v>27</v>
      </c>
      <c r="C1549" t="str" cm="1">
        <f t="array" ref="C1549">_xlfn.IFS(B1549&lt;=25,"15-25",B1549&lt;=35,"26-35",B1549&lt;=45,"36-45",B1549&lt;=55,"46-55",B1549&lt;=65,"56-65")</f>
        <v>26-35</v>
      </c>
      <c r="D1549" t="s">
        <v>35</v>
      </c>
      <c r="E1549" t="str">
        <f t="shared" si="48"/>
        <v>Current Employee</v>
      </c>
      <c r="F1549" t="s">
        <v>44</v>
      </c>
      <c r="G1549">
        <v>829</v>
      </c>
      <c r="H1549" t="s">
        <v>37</v>
      </c>
      <c r="I1549">
        <v>8</v>
      </c>
      <c r="J1549">
        <v>1</v>
      </c>
      <c r="K1549" t="s">
        <v>55</v>
      </c>
      <c r="L1549">
        <v>1</v>
      </c>
      <c r="M1549">
        <v>3</v>
      </c>
      <c r="N1549" t="s">
        <v>46</v>
      </c>
      <c r="O1549">
        <v>84</v>
      </c>
      <c r="P1549">
        <v>3</v>
      </c>
      <c r="Q1549">
        <v>2</v>
      </c>
      <c r="R1549" t="s">
        <v>51</v>
      </c>
      <c r="S1549">
        <v>4</v>
      </c>
      <c r="T1549" t="str" cm="1">
        <f t="array" ref="T1549">_xlfn.IFS(S1549&lt;=2,"Poor",S1549&lt;=3,"Fair",S1549&gt;=4,"Good")</f>
        <v>Good</v>
      </c>
      <c r="U1549" t="s">
        <v>48</v>
      </c>
      <c r="V1549" s="1">
        <v>4342</v>
      </c>
      <c r="W1549" t="str" cm="1">
        <f t="array" ref="W1549">_xlfn.IFS(V1549&lt;=5000,"Low Salary",V1549&lt;=12000,"Good Salary",V1549&gt;12000,"High Salary")</f>
        <v>Low Salary</v>
      </c>
      <c r="X1549">
        <v>24008</v>
      </c>
      <c r="Y1549">
        <v>0</v>
      </c>
      <c r="Z1549" t="s">
        <v>42</v>
      </c>
      <c r="AA1549" t="s">
        <v>35</v>
      </c>
      <c r="AB1549">
        <v>19</v>
      </c>
      <c r="AC1549">
        <v>3</v>
      </c>
      <c r="AD1549" t="str">
        <f t="shared" si="49"/>
        <v>Low Performance</v>
      </c>
      <c r="AE1549">
        <v>2</v>
      </c>
      <c r="AF1549">
        <v>80</v>
      </c>
      <c r="AG1549">
        <v>1</v>
      </c>
      <c r="AH1549">
        <v>5</v>
      </c>
      <c r="AI1549">
        <v>3</v>
      </c>
      <c r="AJ1549">
        <v>3</v>
      </c>
      <c r="AK1549" t="str" cm="1">
        <f t="array" ref="AK1549">_xlfn.IFS(AJ1549&lt;=2,"Poor",AJ1549&lt;=3,"Fair",AJ1549&gt;3,"Good")</f>
        <v>Fair</v>
      </c>
      <c r="AL1549">
        <v>4</v>
      </c>
      <c r="AM1549">
        <v>2</v>
      </c>
      <c r="AN1549">
        <v>1</v>
      </c>
      <c r="AO1549">
        <v>1</v>
      </c>
    </row>
    <row r="1550" spans="1:41" x14ac:dyDescent="0.2">
      <c r="A1550">
        <v>1822734</v>
      </c>
      <c r="B1550">
        <v>38</v>
      </c>
      <c r="C1550" t="str" cm="1">
        <f t="array" ref="C1550">_xlfn.IFS(B1550&lt;=25,"15-25",B1550&lt;=35,"26-35",B1550&lt;=45,"36-45",B1550&lt;=55,"46-55",B1550&lt;=65,"56-65")</f>
        <v>36-45</v>
      </c>
      <c r="D1550" t="s">
        <v>35</v>
      </c>
      <c r="E1550" t="str">
        <f t="shared" si="48"/>
        <v>Current Employee</v>
      </c>
      <c r="F1550" t="s">
        <v>36</v>
      </c>
      <c r="G1550">
        <v>437</v>
      </c>
      <c r="H1550" t="s">
        <v>37</v>
      </c>
      <c r="I1550">
        <v>16</v>
      </c>
      <c r="J1550">
        <v>3</v>
      </c>
      <c r="K1550" t="s">
        <v>38</v>
      </c>
      <c r="L1550">
        <v>1</v>
      </c>
      <c r="M1550">
        <v>2</v>
      </c>
      <c r="N1550" t="s">
        <v>39</v>
      </c>
      <c r="O1550">
        <v>90</v>
      </c>
      <c r="P1550">
        <v>3</v>
      </c>
      <c r="Q1550">
        <v>2</v>
      </c>
      <c r="R1550" t="s">
        <v>51</v>
      </c>
      <c r="S1550">
        <v>2</v>
      </c>
      <c r="T1550" t="str" cm="1">
        <f t="array" ref="T1550">_xlfn.IFS(S1550&lt;=2,"Poor",S1550&lt;=3,"Fair",S1550&gt;=4,"Good")</f>
        <v>Poor</v>
      </c>
      <c r="U1550" t="s">
        <v>41</v>
      </c>
      <c r="V1550" s="1">
        <v>4198</v>
      </c>
      <c r="W1550" t="str" cm="1">
        <f t="array" ref="W1550">_xlfn.IFS(V1550&lt;=5000,"Low Salary",V1550&lt;=12000,"Good Salary",V1550&gt;12000,"High Salary")</f>
        <v>Low Salary</v>
      </c>
      <c r="X1550">
        <v>16379</v>
      </c>
      <c r="Y1550">
        <v>2</v>
      </c>
      <c r="Z1550" t="s">
        <v>42</v>
      </c>
      <c r="AA1550" t="s">
        <v>35</v>
      </c>
      <c r="AB1550">
        <v>12</v>
      </c>
      <c r="AC1550">
        <v>3</v>
      </c>
      <c r="AD1550" t="str">
        <f t="shared" si="49"/>
        <v>Low Performance</v>
      </c>
      <c r="AE1550">
        <v>2</v>
      </c>
      <c r="AF1550">
        <v>80</v>
      </c>
      <c r="AG1550">
        <v>0</v>
      </c>
      <c r="AH1550">
        <v>8</v>
      </c>
      <c r="AI1550">
        <v>5</v>
      </c>
      <c r="AJ1550">
        <v>4</v>
      </c>
      <c r="AK1550" t="str" cm="1">
        <f t="array" ref="AK1550">_xlfn.IFS(AJ1550&lt;=2,"Poor",AJ1550&lt;=3,"Fair",AJ1550&gt;3,"Good")</f>
        <v>Good</v>
      </c>
      <c r="AL1550">
        <v>3</v>
      </c>
      <c r="AM1550">
        <v>2</v>
      </c>
      <c r="AN1550">
        <v>1</v>
      </c>
      <c r="AO1550">
        <v>2</v>
      </c>
    </row>
    <row r="1551" spans="1:41" x14ac:dyDescent="0.2">
      <c r="A1551">
        <v>1237678</v>
      </c>
      <c r="B1551">
        <v>27</v>
      </c>
      <c r="C1551" t="str" cm="1">
        <f t="array" ref="C1551">_xlfn.IFS(B1551&lt;=25,"15-25",B1551&lt;=35,"26-35",B1551&lt;=45,"36-45",B1551&lt;=55,"46-55",B1551&lt;=65,"56-65")</f>
        <v>26-35</v>
      </c>
      <c r="D1551" t="s">
        <v>35</v>
      </c>
      <c r="E1551" t="str">
        <f t="shared" si="48"/>
        <v>Current Employee</v>
      </c>
      <c r="F1551" t="s">
        <v>44</v>
      </c>
      <c r="G1551">
        <v>1410</v>
      </c>
      <c r="H1551" t="s">
        <v>37</v>
      </c>
      <c r="I1551">
        <v>3</v>
      </c>
      <c r="J1551">
        <v>1</v>
      </c>
      <c r="K1551" t="s">
        <v>49</v>
      </c>
      <c r="L1551">
        <v>1</v>
      </c>
      <c r="M1551">
        <v>4</v>
      </c>
      <c r="N1551" t="s">
        <v>39</v>
      </c>
      <c r="O1551">
        <v>71</v>
      </c>
      <c r="P1551">
        <v>4</v>
      </c>
      <c r="Q1551">
        <v>2</v>
      </c>
      <c r="R1551" t="s">
        <v>51</v>
      </c>
      <c r="S1551">
        <v>4</v>
      </c>
      <c r="T1551" t="str" cm="1">
        <f t="array" ref="T1551">_xlfn.IFS(S1551&lt;=2,"Poor",S1551&lt;=3,"Fair",S1551&gt;=4,"Good")</f>
        <v>Good</v>
      </c>
      <c r="U1551" t="s">
        <v>50</v>
      </c>
      <c r="V1551" s="1">
        <v>4647</v>
      </c>
      <c r="W1551" t="str" cm="1">
        <f t="array" ref="W1551">_xlfn.IFS(V1551&lt;=5000,"Low Salary",V1551&lt;=12000,"Good Salary",V1551&gt;12000,"High Salary")</f>
        <v>Low Salary</v>
      </c>
      <c r="X1551">
        <v>16673</v>
      </c>
      <c r="Y1551">
        <v>1</v>
      </c>
      <c r="Z1551" t="s">
        <v>42</v>
      </c>
      <c r="AA1551" t="s">
        <v>43</v>
      </c>
      <c r="AB1551">
        <v>20</v>
      </c>
      <c r="AC1551">
        <v>4</v>
      </c>
      <c r="AD1551" t="str">
        <f t="shared" si="49"/>
        <v>High Performance</v>
      </c>
      <c r="AE1551">
        <v>2</v>
      </c>
      <c r="AF1551">
        <v>80</v>
      </c>
      <c r="AG1551">
        <v>2</v>
      </c>
      <c r="AH1551">
        <v>6</v>
      </c>
      <c r="AI1551">
        <v>3</v>
      </c>
      <c r="AJ1551">
        <v>3</v>
      </c>
      <c r="AK1551" t="str" cm="1">
        <f t="array" ref="AK1551">_xlfn.IFS(AJ1551&lt;=2,"Poor",AJ1551&lt;=3,"Fair",AJ1551&gt;3,"Good")</f>
        <v>Fair</v>
      </c>
      <c r="AL1551">
        <v>6</v>
      </c>
      <c r="AM1551">
        <v>5</v>
      </c>
      <c r="AN1551">
        <v>0</v>
      </c>
      <c r="AO1551">
        <v>4</v>
      </c>
    </row>
    <row r="1552" spans="1:41" x14ac:dyDescent="0.2">
      <c r="A1552">
        <v>1178700</v>
      </c>
      <c r="B1552">
        <v>55</v>
      </c>
      <c r="C1552" t="str" cm="1">
        <f t="array" ref="C1552">_xlfn.IFS(B1552&lt;=25,"15-25",B1552&lt;=35,"26-35",B1552&lt;=45,"36-45",B1552&lt;=55,"46-55",B1552&lt;=65,"56-65")</f>
        <v>46-55</v>
      </c>
      <c r="D1552" t="s">
        <v>35</v>
      </c>
      <c r="E1552" t="str">
        <f t="shared" si="48"/>
        <v>Current Employee</v>
      </c>
      <c r="F1552" t="s">
        <v>52</v>
      </c>
      <c r="G1552">
        <v>444</v>
      </c>
      <c r="H1552" t="s">
        <v>45</v>
      </c>
      <c r="I1552">
        <v>2</v>
      </c>
      <c r="J1552">
        <v>1</v>
      </c>
      <c r="K1552" t="s">
        <v>49</v>
      </c>
      <c r="L1552">
        <v>1</v>
      </c>
      <c r="M1552">
        <v>3</v>
      </c>
      <c r="N1552" t="s">
        <v>46</v>
      </c>
      <c r="O1552">
        <v>40</v>
      </c>
      <c r="P1552">
        <v>2</v>
      </c>
      <c r="Q1552">
        <v>4</v>
      </c>
      <c r="R1552" t="s">
        <v>58</v>
      </c>
      <c r="S1552">
        <v>1</v>
      </c>
      <c r="T1552" t="str" cm="1">
        <f t="array" ref="T1552">_xlfn.IFS(S1552&lt;=2,"Poor",S1552&lt;=3,"Fair",S1552&gt;=4,"Good")</f>
        <v>Poor</v>
      </c>
      <c r="U1552" t="s">
        <v>41</v>
      </c>
      <c r="V1552" s="1">
        <v>16756</v>
      </c>
      <c r="W1552" t="str" cm="1">
        <f t="array" ref="W1552">_xlfn.IFS(V1552&lt;=5000,"Low Salary",V1552&lt;=12000,"Good Salary",V1552&gt;12000,"High Salary")</f>
        <v>High Salary</v>
      </c>
      <c r="X1552">
        <v>17323</v>
      </c>
      <c r="Y1552">
        <v>7</v>
      </c>
      <c r="Z1552" t="s">
        <v>42</v>
      </c>
      <c r="AA1552" t="s">
        <v>35</v>
      </c>
      <c r="AB1552">
        <v>15</v>
      </c>
      <c r="AC1552">
        <v>3</v>
      </c>
      <c r="AD1552" t="str">
        <f t="shared" si="49"/>
        <v>Low Performance</v>
      </c>
      <c r="AE1552">
        <v>2</v>
      </c>
      <c r="AF1552">
        <v>80</v>
      </c>
      <c r="AG1552">
        <v>0</v>
      </c>
      <c r="AH1552">
        <v>31</v>
      </c>
      <c r="AI1552">
        <v>3</v>
      </c>
      <c r="AJ1552">
        <v>4</v>
      </c>
      <c r="AK1552" t="str" cm="1">
        <f t="array" ref="AK1552">_xlfn.IFS(AJ1552&lt;=2,"Poor",AJ1552&lt;=3,"Fair",AJ1552&gt;3,"Good")</f>
        <v>Good</v>
      </c>
      <c r="AL1552">
        <v>9</v>
      </c>
      <c r="AM1552">
        <v>7</v>
      </c>
      <c r="AN1552">
        <v>6</v>
      </c>
      <c r="AO1552">
        <v>2</v>
      </c>
    </row>
    <row r="1553" spans="1:41" x14ac:dyDescent="0.2">
      <c r="A1553">
        <v>1854050</v>
      </c>
      <c r="B1553">
        <v>52</v>
      </c>
      <c r="C1553" t="str" cm="1">
        <f t="array" ref="C1553">_xlfn.IFS(B1553&lt;=25,"15-25",B1553&lt;=35,"26-35",B1553&lt;=45,"36-45",B1553&lt;=55,"46-55",B1553&lt;=65,"56-65")</f>
        <v>46-55</v>
      </c>
      <c r="D1553" t="s">
        <v>35</v>
      </c>
      <c r="E1553" t="str">
        <f t="shared" si="48"/>
        <v>Current Employee</v>
      </c>
      <c r="F1553" t="s">
        <v>36</v>
      </c>
      <c r="G1553">
        <v>319</v>
      </c>
      <c r="H1553" t="s">
        <v>45</v>
      </c>
      <c r="I1553">
        <v>3</v>
      </c>
      <c r="J1553">
        <v>3</v>
      </c>
      <c r="K1553" t="s">
        <v>49</v>
      </c>
      <c r="L1553">
        <v>1</v>
      </c>
      <c r="M1553">
        <v>4</v>
      </c>
      <c r="N1553" t="s">
        <v>46</v>
      </c>
      <c r="O1553">
        <v>39</v>
      </c>
      <c r="P1553">
        <v>2</v>
      </c>
      <c r="Q1553">
        <v>3</v>
      </c>
      <c r="R1553" t="s">
        <v>51</v>
      </c>
      <c r="S1553">
        <v>3</v>
      </c>
      <c r="T1553" t="str" cm="1">
        <f t="array" ref="T1553">_xlfn.IFS(S1553&lt;=2,"Poor",S1553&lt;=3,"Fair",S1553&gt;=4,"Good")</f>
        <v>Fair</v>
      </c>
      <c r="U1553" t="s">
        <v>48</v>
      </c>
      <c r="V1553" s="1">
        <v>7969</v>
      </c>
      <c r="W1553" t="str" cm="1">
        <f t="array" ref="W1553">_xlfn.IFS(V1553&lt;=5000,"Low Salary",V1553&lt;=12000,"Good Salary",V1553&gt;12000,"High Salary")</f>
        <v>Good Salary</v>
      </c>
      <c r="X1553">
        <v>19609</v>
      </c>
      <c r="Y1553">
        <v>2</v>
      </c>
      <c r="Z1553" t="s">
        <v>42</v>
      </c>
      <c r="AA1553" t="s">
        <v>43</v>
      </c>
      <c r="AB1553">
        <v>14</v>
      </c>
      <c r="AC1553">
        <v>3</v>
      </c>
      <c r="AD1553" t="str">
        <f t="shared" si="49"/>
        <v>Low Performance</v>
      </c>
      <c r="AE1553">
        <v>3</v>
      </c>
      <c r="AF1553">
        <v>80</v>
      </c>
      <c r="AG1553">
        <v>0</v>
      </c>
      <c r="AH1553">
        <v>28</v>
      </c>
      <c r="AI1553">
        <v>4</v>
      </c>
      <c r="AJ1553">
        <v>3</v>
      </c>
      <c r="AK1553" t="str" cm="1">
        <f t="array" ref="AK1553">_xlfn.IFS(AJ1553&lt;=2,"Poor",AJ1553&lt;=3,"Fair",AJ1553&gt;3,"Good")</f>
        <v>Fair</v>
      </c>
      <c r="AL1553">
        <v>5</v>
      </c>
      <c r="AM1553">
        <v>4</v>
      </c>
      <c r="AN1553">
        <v>0</v>
      </c>
      <c r="AO1553">
        <v>4</v>
      </c>
    </row>
    <row r="1554" spans="1:41" x14ac:dyDescent="0.2">
      <c r="A1554">
        <v>1833939</v>
      </c>
      <c r="B1554">
        <v>35</v>
      </c>
      <c r="C1554" t="str" cm="1">
        <f t="array" ref="C1554">_xlfn.IFS(B1554&lt;=25,"15-25",B1554&lt;=35,"26-35",B1554&lt;=45,"36-45",B1554&lt;=55,"46-55",B1554&lt;=65,"56-65")</f>
        <v>26-35</v>
      </c>
      <c r="D1554" t="s">
        <v>35</v>
      </c>
      <c r="E1554" t="str">
        <f t="shared" si="48"/>
        <v>Current Employee</v>
      </c>
      <c r="F1554" t="s">
        <v>36</v>
      </c>
      <c r="G1554">
        <v>1029</v>
      </c>
      <c r="H1554" t="s">
        <v>45</v>
      </c>
      <c r="I1554">
        <v>16</v>
      </c>
      <c r="J1554">
        <v>3</v>
      </c>
      <c r="K1554" t="s">
        <v>38</v>
      </c>
      <c r="L1554">
        <v>1</v>
      </c>
      <c r="M1554">
        <v>4</v>
      </c>
      <c r="N1554" t="s">
        <v>39</v>
      </c>
      <c r="O1554">
        <v>91</v>
      </c>
      <c r="P1554">
        <v>2</v>
      </c>
      <c r="Q1554">
        <v>3</v>
      </c>
      <c r="R1554" t="s">
        <v>47</v>
      </c>
      <c r="S1554">
        <v>2</v>
      </c>
      <c r="T1554" t="str" cm="1">
        <f t="array" ref="T1554">_xlfn.IFS(S1554&lt;=2,"Poor",S1554&lt;=3,"Fair",S1554&gt;=4,"Good")</f>
        <v>Poor</v>
      </c>
      <c r="U1554" t="s">
        <v>41</v>
      </c>
      <c r="V1554" s="1">
        <v>8606</v>
      </c>
      <c r="W1554" t="str" cm="1">
        <f t="array" ref="W1554">_xlfn.IFS(V1554&lt;=5000,"Low Salary",V1554&lt;=12000,"Good Salary",V1554&gt;12000,"High Salary")</f>
        <v>Good Salary</v>
      </c>
      <c r="X1554">
        <v>21195</v>
      </c>
      <c r="Y1554">
        <v>1</v>
      </c>
      <c r="Z1554" t="s">
        <v>42</v>
      </c>
      <c r="AA1554" t="s">
        <v>35</v>
      </c>
      <c r="AB1554">
        <v>19</v>
      </c>
      <c r="AC1554">
        <v>3</v>
      </c>
      <c r="AD1554" t="str">
        <f t="shared" si="49"/>
        <v>Low Performance</v>
      </c>
      <c r="AE1554">
        <v>4</v>
      </c>
      <c r="AF1554">
        <v>80</v>
      </c>
      <c r="AG1554">
        <v>0</v>
      </c>
      <c r="AH1554">
        <v>11</v>
      </c>
      <c r="AI1554">
        <v>3</v>
      </c>
      <c r="AJ1554">
        <v>1</v>
      </c>
      <c r="AK1554" t="str" cm="1">
        <f t="array" ref="AK1554">_xlfn.IFS(AJ1554&lt;=2,"Poor",AJ1554&lt;=3,"Fair",AJ1554&gt;3,"Good")</f>
        <v>Poor</v>
      </c>
      <c r="AL1554">
        <v>11</v>
      </c>
      <c r="AM1554">
        <v>8</v>
      </c>
      <c r="AN1554">
        <v>3</v>
      </c>
      <c r="AO1554">
        <v>3</v>
      </c>
    </row>
    <row r="1555" spans="1:41" x14ac:dyDescent="0.2">
      <c r="A1555">
        <v>1822695</v>
      </c>
      <c r="B1555">
        <v>53</v>
      </c>
      <c r="C1555" t="str" cm="1">
        <f t="array" ref="C1555">_xlfn.IFS(B1555&lt;=25,"15-25",B1555&lt;=35,"26-35",B1555&lt;=45,"36-45",B1555&lt;=55,"46-55",B1555&lt;=65,"56-65")</f>
        <v>46-55</v>
      </c>
      <c r="D1555" t="s">
        <v>35</v>
      </c>
      <c r="E1555" t="str">
        <f t="shared" si="48"/>
        <v>Current Employee</v>
      </c>
      <c r="F1555" t="s">
        <v>36</v>
      </c>
      <c r="G1555">
        <v>346</v>
      </c>
      <c r="H1555" t="s">
        <v>54</v>
      </c>
      <c r="I1555">
        <v>6</v>
      </c>
      <c r="J1555">
        <v>3</v>
      </c>
      <c r="K1555" t="s">
        <v>38</v>
      </c>
      <c r="L1555">
        <v>1</v>
      </c>
      <c r="M1555">
        <v>4</v>
      </c>
      <c r="N1555" t="s">
        <v>46</v>
      </c>
      <c r="O1555">
        <v>86</v>
      </c>
      <c r="P1555">
        <v>3</v>
      </c>
      <c r="Q1555">
        <v>2</v>
      </c>
      <c r="R1555" t="s">
        <v>40</v>
      </c>
      <c r="S1555">
        <v>4</v>
      </c>
      <c r="T1555" t="str" cm="1">
        <f t="array" ref="T1555">_xlfn.IFS(S1555&lt;=2,"Poor",S1555&lt;=3,"Fair",S1555&gt;=4,"Good")</f>
        <v>Good</v>
      </c>
      <c r="U1555" t="s">
        <v>41</v>
      </c>
      <c r="V1555" s="1">
        <v>2450</v>
      </c>
      <c r="W1555" t="str" cm="1">
        <f t="array" ref="W1555">_xlfn.IFS(V1555&lt;=5000,"Low Salary",V1555&lt;=12000,"Good Salary",V1555&gt;12000,"High Salary")</f>
        <v>Low Salary</v>
      </c>
      <c r="X1555">
        <v>10919</v>
      </c>
      <c r="Y1555">
        <v>2</v>
      </c>
      <c r="Z1555" t="s">
        <v>42</v>
      </c>
      <c r="AA1555" t="s">
        <v>35</v>
      </c>
      <c r="AB1555">
        <v>17</v>
      </c>
      <c r="AC1555">
        <v>3</v>
      </c>
      <c r="AD1555" t="str">
        <f t="shared" si="49"/>
        <v>Low Performance</v>
      </c>
      <c r="AE1555">
        <v>4</v>
      </c>
      <c r="AF1555">
        <v>80</v>
      </c>
      <c r="AG1555">
        <v>0</v>
      </c>
      <c r="AH1555">
        <v>19</v>
      </c>
      <c r="AI1555">
        <v>4</v>
      </c>
      <c r="AJ1555">
        <v>3</v>
      </c>
      <c r="AK1555" t="str" cm="1">
        <f t="array" ref="AK1555">_xlfn.IFS(AJ1555&lt;=2,"Poor",AJ1555&lt;=3,"Fair",AJ1555&gt;3,"Good")</f>
        <v>Fair</v>
      </c>
      <c r="AL1555">
        <v>2</v>
      </c>
      <c r="AM1555">
        <v>2</v>
      </c>
      <c r="AN1555">
        <v>2</v>
      </c>
      <c r="AO1555">
        <v>2</v>
      </c>
    </row>
    <row r="1556" spans="1:41" x14ac:dyDescent="0.2">
      <c r="A1556">
        <v>1252779</v>
      </c>
      <c r="B1556">
        <v>43</v>
      </c>
      <c r="C1556" t="str" cm="1">
        <f t="array" ref="C1556">_xlfn.IFS(B1556&lt;=25,"15-25",B1556&lt;=35,"26-35",B1556&lt;=45,"36-45",B1556&lt;=55,"46-55",B1556&lt;=65,"56-65")</f>
        <v>36-45</v>
      </c>
      <c r="D1556" t="s">
        <v>35</v>
      </c>
      <c r="E1556" t="str">
        <f t="shared" si="48"/>
        <v>Current Employee</v>
      </c>
      <c r="F1556" t="s">
        <v>44</v>
      </c>
      <c r="G1556">
        <v>559</v>
      </c>
      <c r="H1556" t="s">
        <v>54</v>
      </c>
      <c r="I1556">
        <v>10</v>
      </c>
      <c r="J1556">
        <v>4</v>
      </c>
      <c r="K1556" t="s">
        <v>38</v>
      </c>
      <c r="L1556">
        <v>1</v>
      </c>
      <c r="M1556">
        <v>3</v>
      </c>
      <c r="N1556" t="s">
        <v>39</v>
      </c>
      <c r="O1556">
        <v>82</v>
      </c>
      <c r="P1556">
        <v>2</v>
      </c>
      <c r="Q1556">
        <v>2</v>
      </c>
      <c r="R1556" t="s">
        <v>40</v>
      </c>
      <c r="S1556">
        <v>3</v>
      </c>
      <c r="T1556" t="str" cm="1">
        <f t="array" ref="T1556">_xlfn.IFS(S1556&lt;=2,"Poor",S1556&lt;=3,"Fair",S1556&gt;=4,"Good")</f>
        <v>Fair</v>
      </c>
      <c r="U1556" t="s">
        <v>50</v>
      </c>
      <c r="V1556" s="1">
        <v>5257</v>
      </c>
      <c r="W1556" t="str" cm="1">
        <f t="array" ref="W1556">_xlfn.IFS(V1556&lt;=5000,"Low Salary",V1556&lt;=12000,"Good Salary",V1556&gt;12000,"High Salary")</f>
        <v>Good Salary</v>
      </c>
      <c r="X1556">
        <v>6227</v>
      </c>
      <c r="Y1556">
        <v>1</v>
      </c>
      <c r="Z1556" t="s">
        <v>42</v>
      </c>
      <c r="AA1556" t="s">
        <v>35</v>
      </c>
      <c r="AB1556">
        <v>11</v>
      </c>
      <c r="AC1556">
        <v>3</v>
      </c>
      <c r="AD1556" t="str">
        <f t="shared" si="49"/>
        <v>Low Performance</v>
      </c>
      <c r="AE1556">
        <v>2</v>
      </c>
      <c r="AF1556">
        <v>80</v>
      </c>
      <c r="AG1556">
        <v>1</v>
      </c>
      <c r="AH1556">
        <v>9</v>
      </c>
      <c r="AI1556">
        <v>3</v>
      </c>
      <c r="AJ1556">
        <v>4</v>
      </c>
      <c r="AK1556" t="str" cm="1">
        <f t="array" ref="AK1556">_xlfn.IFS(AJ1556&lt;=2,"Poor",AJ1556&lt;=3,"Fair",AJ1556&gt;3,"Good")</f>
        <v>Good</v>
      </c>
      <c r="AL1556">
        <v>9</v>
      </c>
      <c r="AM1556">
        <v>7</v>
      </c>
      <c r="AN1556">
        <v>0</v>
      </c>
      <c r="AO1556">
        <v>0</v>
      </c>
    </row>
    <row r="1557" spans="1:41" x14ac:dyDescent="0.2">
      <c r="A1557">
        <v>1831971</v>
      </c>
      <c r="B1557">
        <v>27</v>
      </c>
      <c r="C1557" t="str" cm="1">
        <f t="array" ref="C1557">_xlfn.IFS(B1557&lt;=25,"15-25",B1557&lt;=35,"26-35",B1557&lt;=45,"36-45",B1557&lt;=55,"46-55",B1557&lt;=65,"56-65")</f>
        <v>26-35</v>
      </c>
      <c r="D1557" t="s">
        <v>35</v>
      </c>
      <c r="E1557" t="str">
        <f t="shared" si="48"/>
        <v>Current Employee</v>
      </c>
      <c r="F1557" t="s">
        <v>36</v>
      </c>
      <c r="G1557">
        <v>1420</v>
      </c>
      <c r="H1557" t="s">
        <v>37</v>
      </c>
      <c r="I1557">
        <v>2</v>
      </c>
      <c r="J1557">
        <v>1</v>
      </c>
      <c r="K1557" t="s">
        <v>55</v>
      </c>
      <c r="L1557">
        <v>1</v>
      </c>
      <c r="M1557">
        <v>3</v>
      </c>
      <c r="N1557" t="s">
        <v>46</v>
      </c>
      <c r="O1557">
        <v>85</v>
      </c>
      <c r="P1557">
        <v>3</v>
      </c>
      <c r="Q1557">
        <v>1</v>
      </c>
      <c r="R1557" t="s">
        <v>47</v>
      </c>
      <c r="S1557">
        <v>1</v>
      </c>
      <c r="T1557" t="str" cm="1">
        <f t="array" ref="T1557">_xlfn.IFS(S1557&lt;=2,"Poor",S1557&lt;=3,"Fair",S1557&gt;=4,"Good")</f>
        <v>Poor</v>
      </c>
      <c r="U1557" t="s">
        <v>50</v>
      </c>
      <c r="V1557" s="1">
        <v>3041</v>
      </c>
      <c r="W1557" t="str" cm="1">
        <f t="array" ref="W1557">_xlfn.IFS(V1557&lt;=5000,"Low Salary",V1557&lt;=12000,"Good Salary",V1557&gt;12000,"High Salary")</f>
        <v>Low Salary</v>
      </c>
      <c r="X1557">
        <v>16346</v>
      </c>
      <c r="Y1557">
        <v>0</v>
      </c>
      <c r="Z1557" t="s">
        <v>42</v>
      </c>
      <c r="AA1557" t="s">
        <v>35</v>
      </c>
      <c r="AB1557">
        <v>11</v>
      </c>
      <c r="AC1557">
        <v>3</v>
      </c>
      <c r="AD1557" t="str">
        <f t="shared" si="49"/>
        <v>Low Performance</v>
      </c>
      <c r="AE1557">
        <v>2</v>
      </c>
      <c r="AF1557">
        <v>80</v>
      </c>
      <c r="AG1557">
        <v>1</v>
      </c>
      <c r="AH1557">
        <v>5</v>
      </c>
      <c r="AI1557">
        <v>3</v>
      </c>
      <c r="AJ1557">
        <v>3</v>
      </c>
      <c r="AK1557" t="str" cm="1">
        <f t="array" ref="AK1557">_xlfn.IFS(AJ1557&lt;=2,"Poor",AJ1557&lt;=3,"Fair",AJ1557&gt;3,"Good")</f>
        <v>Fair</v>
      </c>
      <c r="AL1557">
        <v>4</v>
      </c>
      <c r="AM1557">
        <v>3</v>
      </c>
      <c r="AN1557">
        <v>0</v>
      </c>
      <c r="AO1557">
        <v>2</v>
      </c>
    </row>
    <row r="1558" spans="1:41" x14ac:dyDescent="0.2">
      <c r="A1558">
        <v>1473219</v>
      </c>
      <c r="B1558">
        <v>38</v>
      </c>
      <c r="C1558" t="str" cm="1">
        <f t="array" ref="C1558">_xlfn.IFS(B1558&lt;=25,"15-25",B1558&lt;=35,"26-35",B1558&lt;=45,"36-45",B1558&lt;=55,"46-55",B1558&lt;=65,"56-65")</f>
        <v>36-45</v>
      </c>
      <c r="D1558" t="s">
        <v>35</v>
      </c>
      <c r="E1558" t="str">
        <f t="shared" si="48"/>
        <v>Current Employee</v>
      </c>
      <c r="F1558" t="s">
        <v>44</v>
      </c>
      <c r="G1558">
        <v>594</v>
      </c>
      <c r="H1558" t="s">
        <v>54</v>
      </c>
      <c r="I1558">
        <v>2</v>
      </c>
      <c r="J1558">
        <v>2</v>
      </c>
      <c r="K1558" t="s">
        <v>49</v>
      </c>
      <c r="L1558">
        <v>1</v>
      </c>
      <c r="M1558">
        <v>3</v>
      </c>
      <c r="N1558" t="s">
        <v>39</v>
      </c>
      <c r="O1558">
        <v>75</v>
      </c>
      <c r="P1558">
        <v>2</v>
      </c>
      <c r="Q1558">
        <v>1</v>
      </c>
      <c r="R1558" t="s">
        <v>40</v>
      </c>
      <c r="S1558">
        <v>2</v>
      </c>
      <c r="T1558" t="str" cm="1">
        <f t="array" ref="T1558">_xlfn.IFS(S1558&lt;=2,"Poor",S1558&lt;=3,"Fair",S1558&gt;=4,"Good")</f>
        <v>Poor</v>
      </c>
      <c r="U1558" t="s">
        <v>48</v>
      </c>
      <c r="V1558" s="1">
        <v>2468</v>
      </c>
      <c r="W1558" t="str" cm="1">
        <f t="array" ref="W1558">_xlfn.IFS(V1558&lt;=5000,"Low Salary",V1558&lt;=12000,"Good Salary",V1558&gt;12000,"High Salary")</f>
        <v>Low Salary</v>
      </c>
      <c r="X1558">
        <v>15963</v>
      </c>
      <c r="Y1558">
        <v>4</v>
      </c>
      <c r="Z1558" t="s">
        <v>42</v>
      </c>
      <c r="AA1558" t="s">
        <v>35</v>
      </c>
      <c r="AB1558">
        <v>14</v>
      </c>
      <c r="AC1558">
        <v>3</v>
      </c>
      <c r="AD1558" t="str">
        <f t="shared" si="49"/>
        <v>Low Performance</v>
      </c>
      <c r="AE1558">
        <v>2</v>
      </c>
      <c r="AF1558">
        <v>80</v>
      </c>
      <c r="AG1558">
        <v>1</v>
      </c>
      <c r="AH1558">
        <v>9</v>
      </c>
      <c r="AI1558">
        <v>4</v>
      </c>
      <c r="AJ1558">
        <v>2</v>
      </c>
      <c r="AK1558" t="str" cm="1">
        <f t="array" ref="AK1558">_xlfn.IFS(AJ1558&lt;=2,"Poor",AJ1558&lt;=3,"Fair",AJ1558&gt;3,"Good")</f>
        <v>Poor</v>
      </c>
      <c r="AL1558">
        <v>6</v>
      </c>
      <c r="AM1558">
        <v>1</v>
      </c>
      <c r="AN1558">
        <v>0</v>
      </c>
      <c r="AO1558">
        <v>5</v>
      </c>
    </row>
    <row r="1559" spans="1:41" x14ac:dyDescent="0.2">
      <c r="A1559">
        <v>1178469</v>
      </c>
      <c r="B1559">
        <v>36</v>
      </c>
      <c r="C1559" t="str" cm="1">
        <f t="array" ref="C1559">_xlfn.IFS(B1559&lt;=25,"15-25",B1559&lt;=35,"26-35",B1559&lt;=45,"36-45",B1559&lt;=55,"46-55",B1559&lt;=65,"56-65")</f>
        <v>36-45</v>
      </c>
      <c r="D1559" t="s">
        <v>35</v>
      </c>
      <c r="E1559" t="str">
        <f t="shared" si="48"/>
        <v>Current Employee</v>
      </c>
      <c r="F1559" t="s">
        <v>44</v>
      </c>
      <c r="G1559">
        <v>607</v>
      </c>
      <c r="H1559" t="s">
        <v>37</v>
      </c>
      <c r="I1559">
        <v>7</v>
      </c>
      <c r="J1559">
        <v>3</v>
      </c>
      <c r="K1559" t="s">
        <v>55</v>
      </c>
      <c r="L1559">
        <v>1</v>
      </c>
      <c r="M1559">
        <v>1</v>
      </c>
      <c r="N1559" t="s">
        <v>39</v>
      </c>
      <c r="O1559">
        <v>83</v>
      </c>
      <c r="P1559">
        <v>4</v>
      </c>
      <c r="Q1559">
        <v>2</v>
      </c>
      <c r="R1559" t="s">
        <v>51</v>
      </c>
      <c r="S1559">
        <v>1</v>
      </c>
      <c r="T1559" t="str" cm="1">
        <f t="array" ref="T1559">_xlfn.IFS(S1559&lt;=2,"Poor",S1559&lt;=3,"Fair",S1559&gt;=4,"Good")</f>
        <v>Poor</v>
      </c>
      <c r="U1559" t="s">
        <v>48</v>
      </c>
      <c r="V1559" s="1">
        <v>4639</v>
      </c>
      <c r="W1559" t="str" cm="1">
        <f t="array" ref="W1559">_xlfn.IFS(V1559&lt;=5000,"Low Salary",V1559&lt;=12000,"Good Salary",V1559&gt;12000,"High Salary")</f>
        <v>Low Salary</v>
      </c>
      <c r="X1559">
        <v>2261</v>
      </c>
      <c r="Y1559">
        <v>2</v>
      </c>
      <c r="Z1559" t="s">
        <v>42</v>
      </c>
      <c r="AA1559" t="s">
        <v>35</v>
      </c>
      <c r="AB1559">
        <v>16</v>
      </c>
      <c r="AC1559">
        <v>3</v>
      </c>
      <c r="AD1559" t="str">
        <f t="shared" si="49"/>
        <v>Low Performance</v>
      </c>
      <c r="AE1559">
        <v>4</v>
      </c>
      <c r="AF1559">
        <v>80</v>
      </c>
      <c r="AG1559">
        <v>1</v>
      </c>
      <c r="AH1559">
        <v>17</v>
      </c>
      <c r="AI1559">
        <v>2</v>
      </c>
      <c r="AJ1559">
        <v>2</v>
      </c>
      <c r="AK1559" t="str" cm="1">
        <f t="array" ref="AK1559">_xlfn.IFS(AJ1559&lt;=2,"Poor",AJ1559&lt;=3,"Fair",AJ1559&gt;3,"Good")</f>
        <v>Poor</v>
      </c>
      <c r="AL1559">
        <v>15</v>
      </c>
      <c r="AM1559">
        <v>7</v>
      </c>
      <c r="AN1559">
        <v>6</v>
      </c>
      <c r="AO1559">
        <v>13</v>
      </c>
    </row>
    <row r="1560" spans="1:41" x14ac:dyDescent="0.2">
      <c r="A1560">
        <v>1075883</v>
      </c>
      <c r="B1560">
        <v>46</v>
      </c>
      <c r="C1560" t="str" cm="1">
        <f t="array" ref="C1560">_xlfn.IFS(B1560&lt;=25,"15-25",B1560&lt;=35,"26-35",B1560&lt;=45,"36-45",B1560&lt;=55,"46-55",B1560&lt;=65,"56-65")</f>
        <v>46-55</v>
      </c>
      <c r="D1560" t="s">
        <v>35</v>
      </c>
      <c r="E1560" t="str">
        <f t="shared" si="48"/>
        <v>Current Employee</v>
      </c>
      <c r="F1560" t="s">
        <v>36</v>
      </c>
      <c r="G1560">
        <v>1125</v>
      </c>
      <c r="H1560" t="s">
        <v>37</v>
      </c>
      <c r="I1560">
        <v>10</v>
      </c>
      <c r="J1560">
        <v>3</v>
      </c>
      <c r="K1560" t="s">
        <v>55</v>
      </c>
      <c r="L1560">
        <v>1</v>
      </c>
      <c r="M1560">
        <v>3</v>
      </c>
      <c r="N1560" t="s">
        <v>39</v>
      </c>
      <c r="O1560">
        <v>94</v>
      </c>
      <c r="P1560">
        <v>2</v>
      </c>
      <c r="Q1560">
        <v>3</v>
      </c>
      <c r="R1560" t="s">
        <v>51</v>
      </c>
      <c r="S1560">
        <v>4</v>
      </c>
      <c r="T1560" t="str" cm="1">
        <f t="array" ref="T1560">_xlfn.IFS(S1560&lt;=2,"Poor",S1560&lt;=3,"Fair",S1560&gt;=4,"Good")</f>
        <v>Good</v>
      </c>
      <c r="U1560" t="s">
        <v>48</v>
      </c>
      <c r="V1560" s="1">
        <v>9071</v>
      </c>
      <c r="W1560" t="str" cm="1">
        <f t="array" ref="W1560">_xlfn.IFS(V1560&lt;=5000,"Low Salary",V1560&lt;=12000,"Good Salary",V1560&gt;12000,"High Salary")</f>
        <v>Good Salary</v>
      </c>
      <c r="X1560">
        <v>11563</v>
      </c>
      <c r="Y1560">
        <v>2</v>
      </c>
      <c r="Z1560" t="s">
        <v>42</v>
      </c>
      <c r="AA1560" t="s">
        <v>43</v>
      </c>
      <c r="AB1560">
        <v>19</v>
      </c>
      <c r="AC1560">
        <v>3</v>
      </c>
      <c r="AD1560" t="str">
        <f t="shared" si="49"/>
        <v>Low Performance</v>
      </c>
      <c r="AE1560">
        <v>3</v>
      </c>
      <c r="AF1560">
        <v>80</v>
      </c>
      <c r="AG1560">
        <v>1</v>
      </c>
      <c r="AH1560">
        <v>15</v>
      </c>
      <c r="AI1560">
        <v>3</v>
      </c>
      <c r="AJ1560">
        <v>3</v>
      </c>
      <c r="AK1560" t="str" cm="1">
        <f t="array" ref="AK1560">_xlfn.IFS(AJ1560&lt;=2,"Poor",AJ1560&lt;=3,"Fair",AJ1560&gt;3,"Good")</f>
        <v>Fair</v>
      </c>
      <c r="AL1560">
        <v>3</v>
      </c>
      <c r="AM1560">
        <v>2</v>
      </c>
      <c r="AN1560">
        <v>1</v>
      </c>
      <c r="AO1560">
        <v>2</v>
      </c>
    </row>
    <row r="1561" spans="1:41" x14ac:dyDescent="0.2">
      <c r="A1561">
        <v>1853111</v>
      </c>
      <c r="B1561">
        <v>51</v>
      </c>
      <c r="C1561" t="str" cm="1">
        <f t="array" ref="C1561">_xlfn.IFS(B1561&lt;=25,"15-25",B1561&lt;=35,"26-35",B1561&lt;=45,"36-45",B1561&lt;=55,"46-55",B1561&lt;=65,"56-65")</f>
        <v>46-55</v>
      </c>
      <c r="D1561" t="s">
        <v>35</v>
      </c>
      <c r="E1561" t="str">
        <f t="shared" si="48"/>
        <v>Current Employee</v>
      </c>
      <c r="F1561" t="s">
        <v>36</v>
      </c>
      <c r="G1561">
        <v>684</v>
      </c>
      <c r="H1561" t="s">
        <v>54</v>
      </c>
      <c r="I1561">
        <v>6</v>
      </c>
      <c r="J1561">
        <v>3</v>
      </c>
      <c r="K1561" t="s">
        <v>38</v>
      </c>
      <c r="L1561">
        <v>1</v>
      </c>
      <c r="M1561">
        <v>1</v>
      </c>
      <c r="N1561" t="s">
        <v>46</v>
      </c>
      <c r="O1561">
        <v>51</v>
      </c>
      <c r="P1561">
        <v>3</v>
      </c>
      <c r="Q1561">
        <v>5</v>
      </c>
      <c r="R1561" t="s">
        <v>51</v>
      </c>
      <c r="S1561">
        <v>3</v>
      </c>
      <c r="T1561" t="str" cm="1">
        <f t="array" ref="T1561">_xlfn.IFS(S1561&lt;=2,"Poor",S1561&lt;=3,"Fair",S1561&gt;=4,"Good")</f>
        <v>Fair</v>
      </c>
      <c r="U1561" t="s">
        <v>41</v>
      </c>
      <c r="V1561" s="1">
        <v>19537</v>
      </c>
      <c r="W1561" t="str" cm="1">
        <f t="array" ref="W1561">_xlfn.IFS(V1561&lt;=5000,"Low Salary",V1561&lt;=12000,"Good Salary",V1561&gt;12000,"High Salary")</f>
        <v>High Salary</v>
      </c>
      <c r="X1561">
        <v>6462</v>
      </c>
      <c r="Y1561">
        <v>7</v>
      </c>
      <c r="Z1561" t="s">
        <v>42</v>
      </c>
      <c r="AA1561" t="s">
        <v>35</v>
      </c>
      <c r="AB1561">
        <v>13</v>
      </c>
      <c r="AC1561">
        <v>3</v>
      </c>
      <c r="AD1561" t="str">
        <f t="shared" si="49"/>
        <v>Low Performance</v>
      </c>
      <c r="AE1561">
        <v>3</v>
      </c>
      <c r="AF1561">
        <v>80</v>
      </c>
      <c r="AG1561">
        <v>0</v>
      </c>
      <c r="AH1561">
        <v>23</v>
      </c>
      <c r="AI1561">
        <v>5</v>
      </c>
      <c r="AJ1561">
        <v>3</v>
      </c>
      <c r="AK1561" t="str" cm="1">
        <f t="array" ref="AK1561">_xlfn.IFS(AJ1561&lt;=2,"Poor",AJ1561&lt;=3,"Fair",AJ1561&gt;3,"Good")</f>
        <v>Fair</v>
      </c>
      <c r="AL1561">
        <v>20</v>
      </c>
      <c r="AM1561">
        <v>18</v>
      </c>
      <c r="AN1561">
        <v>15</v>
      </c>
      <c r="AO1561">
        <v>15</v>
      </c>
    </row>
    <row r="1562" spans="1:41" x14ac:dyDescent="0.2">
      <c r="A1562">
        <v>1455592</v>
      </c>
      <c r="B1562">
        <v>27</v>
      </c>
      <c r="C1562" t="str" cm="1">
        <f t="array" ref="C1562">_xlfn.IFS(B1562&lt;=25,"15-25",B1562&lt;=35,"26-35",B1562&lt;=45,"36-45",B1562&lt;=55,"46-55",B1562&lt;=65,"56-65")</f>
        <v>26-35</v>
      </c>
      <c r="D1562" t="s">
        <v>35</v>
      </c>
      <c r="E1562" t="str">
        <f t="shared" si="48"/>
        <v>Current Employee</v>
      </c>
      <c r="F1562" t="s">
        <v>36</v>
      </c>
      <c r="G1562">
        <v>954</v>
      </c>
      <c r="H1562" t="s">
        <v>37</v>
      </c>
      <c r="I1562">
        <v>9</v>
      </c>
      <c r="J1562">
        <v>3</v>
      </c>
      <c r="K1562" t="s">
        <v>55</v>
      </c>
      <c r="L1562">
        <v>1</v>
      </c>
      <c r="M1562">
        <v>4</v>
      </c>
      <c r="N1562" t="s">
        <v>46</v>
      </c>
      <c r="O1562">
        <v>44</v>
      </c>
      <c r="P1562">
        <v>3</v>
      </c>
      <c r="Q1562">
        <v>2</v>
      </c>
      <c r="R1562" t="s">
        <v>51</v>
      </c>
      <c r="S1562">
        <v>4</v>
      </c>
      <c r="T1562" t="str" cm="1">
        <f t="array" ref="T1562">_xlfn.IFS(S1562&lt;=2,"Poor",S1562&lt;=3,"Fair",S1562&gt;=4,"Good")</f>
        <v>Good</v>
      </c>
      <c r="U1562" t="s">
        <v>41</v>
      </c>
      <c r="V1562" s="1">
        <v>4105</v>
      </c>
      <c r="W1562" t="str" cm="1">
        <f t="array" ref="W1562">_xlfn.IFS(V1562&lt;=5000,"Low Salary",V1562&lt;=12000,"Good Salary",V1562&gt;12000,"High Salary")</f>
        <v>Low Salary</v>
      </c>
      <c r="X1562">
        <v>5099</v>
      </c>
      <c r="Y1562">
        <v>1</v>
      </c>
      <c r="Z1562" t="s">
        <v>42</v>
      </c>
      <c r="AA1562" t="s">
        <v>35</v>
      </c>
      <c r="AB1562">
        <v>14</v>
      </c>
      <c r="AC1562">
        <v>3</v>
      </c>
      <c r="AD1562" t="str">
        <f t="shared" si="49"/>
        <v>Low Performance</v>
      </c>
      <c r="AE1562">
        <v>1</v>
      </c>
      <c r="AF1562">
        <v>80</v>
      </c>
      <c r="AG1562">
        <v>0</v>
      </c>
      <c r="AH1562">
        <v>7</v>
      </c>
      <c r="AI1562">
        <v>5</v>
      </c>
      <c r="AJ1562">
        <v>3</v>
      </c>
      <c r="AK1562" t="str" cm="1">
        <f t="array" ref="AK1562">_xlfn.IFS(AJ1562&lt;=2,"Poor",AJ1562&lt;=3,"Fair",AJ1562&gt;3,"Good")</f>
        <v>Fair</v>
      </c>
      <c r="AL1562">
        <v>7</v>
      </c>
      <c r="AM1562">
        <v>7</v>
      </c>
      <c r="AN1562">
        <v>0</v>
      </c>
      <c r="AO1562">
        <v>7</v>
      </c>
    </row>
    <row r="1563" spans="1:41" x14ac:dyDescent="0.2">
      <c r="A1563">
        <v>1440762</v>
      </c>
      <c r="B1563">
        <v>30</v>
      </c>
      <c r="C1563" t="str" cm="1">
        <f t="array" ref="C1563">_xlfn.IFS(B1563&lt;=25,"15-25",B1563&lt;=35,"26-35",B1563&lt;=45,"36-45",B1563&lt;=55,"46-55",B1563&lt;=65,"56-65")</f>
        <v>26-35</v>
      </c>
      <c r="D1563" t="s">
        <v>35</v>
      </c>
      <c r="E1563" t="str">
        <f t="shared" si="48"/>
        <v>Current Employee</v>
      </c>
      <c r="F1563" t="s">
        <v>36</v>
      </c>
      <c r="G1563">
        <v>1138</v>
      </c>
      <c r="H1563" t="s">
        <v>54</v>
      </c>
      <c r="I1563">
        <v>6</v>
      </c>
      <c r="J1563">
        <v>3</v>
      </c>
      <c r="K1563" t="s">
        <v>56</v>
      </c>
      <c r="L1563">
        <v>1</v>
      </c>
      <c r="M1563">
        <v>1</v>
      </c>
      <c r="N1563" t="s">
        <v>39</v>
      </c>
      <c r="O1563">
        <v>48</v>
      </c>
      <c r="P1563">
        <v>2</v>
      </c>
      <c r="Q1563">
        <v>2</v>
      </c>
      <c r="R1563" t="s">
        <v>40</v>
      </c>
      <c r="S1563">
        <v>4</v>
      </c>
      <c r="T1563" t="str" cm="1">
        <f t="array" ref="T1563">_xlfn.IFS(S1563&lt;=2,"Poor",S1563&lt;=3,"Fair",S1563&gt;=4,"Good")</f>
        <v>Good</v>
      </c>
      <c r="U1563" t="s">
        <v>48</v>
      </c>
      <c r="V1563" s="1">
        <v>4627</v>
      </c>
      <c r="W1563" t="str" cm="1">
        <f t="array" ref="W1563">_xlfn.IFS(V1563&lt;=5000,"Low Salary",V1563&lt;=12000,"Good Salary",V1563&gt;12000,"High Salary")</f>
        <v>Low Salary</v>
      </c>
      <c r="X1563">
        <v>23631</v>
      </c>
      <c r="Y1563">
        <v>0</v>
      </c>
      <c r="Z1563" t="s">
        <v>42</v>
      </c>
      <c r="AA1563" t="s">
        <v>35</v>
      </c>
      <c r="AB1563">
        <v>12</v>
      </c>
      <c r="AC1563">
        <v>3</v>
      </c>
      <c r="AD1563" t="str">
        <f t="shared" si="49"/>
        <v>Low Performance</v>
      </c>
      <c r="AE1563">
        <v>1</v>
      </c>
      <c r="AF1563">
        <v>80</v>
      </c>
      <c r="AG1563">
        <v>1</v>
      </c>
      <c r="AH1563">
        <v>10</v>
      </c>
      <c r="AI1563">
        <v>6</v>
      </c>
      <c r="AJ1563">
        <v>3</v>
      </c>
      <c r="AK1563" t="str" cm="1">
        <f t="array" ref="AK1563">_xlfn.IFS(AJ1563&lt;=2,"Poor",AJ1563&lt;=3,"Fair",AJ1563&gt;3,"Good")</f>
        <v>Fair</v>
      </c>
      <c r="AL1563">
        <v>9</v>
      </c>
      <c r="AM1563">
        <v>2</v>
      </c>
      <c r="AN1563">
        <v>6</v>
      </c>
      <c r="AO1563">
        <v>7</v>
      </c>
    </row>
    <row r="1564" spans="1:41" x14ac:dyDescent="0.2">
      <c r="A1564">
        <v>1581448</v>
      </c>
      <c r="B1564">
        <v>28</v>
      </c>
      <c r="C1564" t="str" cm="1">
        <f t="array" ref="C1564">_xlfn.IFS(B1564&lt;=25,"15-25",B1564&lt;=35,"26-35",B1564&lt;=45,"36-45",B1564&lt;=55,"46-55",B1564&lt;=65,"56-65")</f>
        <v>26-35</v>
      </c>
      <c r="D1564" t="s">
        <v>35</v>
      </c>
      <c r="E1564" t="str">
        <f t="shared" si="48"/>
        <v>Current Employee</v>
      </c>
      <c r="F1564" t="s">
        <v>36</v>
      </c>
      <c r="G1564">
        <v>821</v>
      </c>
      <c r="H1564" t="s">
        <v>37</v>
      </c>
      <c r="I1564">
        <v>5</v>
      </c>
      <c r="J1564">
        <v>4</v>
      </c>
      <c r="K1564" t="s">
        <v>49</v>
      </c>
      <c r="L1564">
        <v>1</v>
      </c>
      <c r="M1564">
        <v>1</v>
      </c>
      <c r="N1564" t="s">
        <v>46</v>
      </c>
      <c r="O1564">
        <v>98</v>
      </c>
      <c r="P1564">
        <v>3</v>
      </c>
      <c r="Q1564">
        <v>2</v>
      </c>
      <c r="R1564" t="s">
        <v>51</v>
      </c>
      <c r="S1564">
        <v>4</v>
      </c>
      <c r="T1564" t="str" cm="1">
        <f t="array" ref="T1564">_xlfn.IFS(S1564&lt;=2,"Poor",S1564&lt;=3,"Fair",S1564&gt;=4,"Good")</f>
        <v>Good</v>
      </c>
      <c r="U1564" t="s">
        <v>41</v>
      </c>
      <c r="V1564" s="1">
        <v>4908</v>
      </c>
      <c r="W1564" t="str" cm="1">
        <f t="array" ref="W1564">_xlfn.IFS(V1564&lt;=5000,"Low Salary",V1564&lt;=12000,"Good Salary",V1564&gt;12000,"High Salary")</f>
        <v>Low Salary</v>
      </c>
      <c r="X1564">
        <v>24252</v>
      </c>
      <c r="Y1564">
        <v>1</v>
      </c>
      <c r="Z1564" t="s">
        <v>42</v>
      </c>
      <c r="AA1564" t="s">
        <v>35</v>
      </c>
      <c r="AB1564">
        <v>14</v>
      </c>
      <c r="AC1564">
        <v>3</v>
      </c>
      <c r="AD1564" t="str">
        <f t="shared" si="49"/>
        <v>Low Performance</v>
      </c>
      <c r="AE1564">
        <v>2</v>
      </c>
      <c r="AF1564">
        <v>80</v>
      </c>
      <c r="AG1564">
        <v>0</v>
      </c>
      <c r="AH1564">
        <v>4</v>
      </c>
      <c r="AI1564">
        <v>3</v>
      </c>
      <c r="AJ1564">
        <v>3</v>
      </c>
      <c r="AK1564" t="str" cm="1">
        <f t="array" ref="AK1564">_xlfn.IFS(AJ1564&lt;=2,"Poor",AJ1564&lt;=3,"Fair",AJ1564&gt;3,"Good")</f>
        <v>Fair</v>
      </c>
      <c r="AL1564">
        <v>4</v>
      </c>
      <c r="AM1564">
        <v>2</v>
      </c>
      <c r="AN1564">
        <v>0</v>
      </c>
      <c r="AO1564">
        <v>2</v>
      </c>
    </row>
    <row r="1565" spans="1:41" x14ac:dyDescent="0.2">
      <c r="A1565">
        <v>1085909</v>
      </c>
      <c r="B1565">
        <v>36</v>
      </c>
      <c r="C1565" t="str" cm="1">
        <f t="array" ref="C1565">_xlfn.IFS(B1565&lt;=25,"15-25",B1565&lt;=35,"26-35",B1565&lt;=45,"36-45",B1565&lt;=55,"46-55",B1565&lt;=65,"56-65")</f>
        <v>36-45</v>
      </c>
      <c r="D1565" t="s">
        <v>35</v>
      </c>
      <c r="E1565" t="str">
        <f t="shared" si="48"/>
        <v>Current Employee</v>
      </c>
      <c r="F1565" t="s">
        <v>44</v>
      </c>
      <c r="G1565">
        <v>884</v>
      </c>
      <c r="H1565" t="s">
        <v>54</v>
      </c>
      <c r="I1565">
        <v>23</v>
      </c>
      <c r="J1565">
        <v>2</v>
      </c>
      <c r="K1565" t="s">
        <v>49</v>
      </c>
      <c r="L1565">
        <v>1</v>
      </c>
      <c r="M1565">
        <v>3</v>
      </c>
      <c r="N1565" t="s">
        <v>46</v>
      </c>
      <c r="O1565">
        <v>41</v>
      </c>
      <c r="P1565">
        <v>4</v>
      </c>
      <c r="Q1565">
        <v>2</v>
      </c>
      <c r="R1565" t="s">
        <v>40</v>
      </c>
      <c r="S1565">
        <v>4</v>
      </c>
      <c r="T1565" t="str" cm="1">
        <f t="array" ref="T1565">_xlfn.IFS(S1565&lt;=2,"Poor",S1565&lt;=3,"Fair",S1565&gt;=4,"Good")</f>
        <v>Good</v>
      </c>
      <c r="U1565" t="s">
        <v>48</v>
      </c>
      <c r="V1565" s="1">
        <v>2571</v>
      </c>
      <c r="W1565" t="str" cm="1">
        <f t="array" ref="W1565">_xlfn.IFS(V1565&lt;=5000,"Low Salary",V1565&lt;=12000,"Good Salary",V1565&gt;12000,"High Salary")</f>
        <v>Low Salary</v>
      </c>
      <c r="X1565">
        <v>12290</v>
      </c>
      <c r="Y1565">
        <v>4</v>
      </c>
      <c r="Z1565" t="s">
        <v>42</v>
      </c>
      <c r="AA1565" t="s">
        <v>35</v>
      </c>
      <c r="AB1565">
        <v>17</v>
      </c>
      <c r="AC1565">
        <v>3</v>
      </c>
      <c r="AD1565" t="str">
        <f t="shared" si="49"/>
        <v>Low Performance</v>
      </c>
      <c r="AE1565">
        <v>3</v>
      </c>
      <c r="AF1565">
        <v>80</v>
      </c>
      <c r="AG1565">
        <v>1</v>
      </c>
      <c r="AH1565">
        <v>17</v>
      </c>
      <c r="AI1565">
        <v>3</v>
      </c>
      <c r="AJ1565">
        <v>3</v>
      </c>
      <c r="AK1565" t="str" cm="1">
        <f t="array" ref="AK1565">_xlfn.IFS(AJ1565&lt;=2,"Poor",AJ1565&lt;=3,"Fair",AJ1565&gt;3,"Good")</f>
        <v>Fair</v>
      </c>
      <c r="AL1565">
        <v>5</v>
      </c>
      <c r="AM1565">
        <v>2</v>
      </c>
      <c r="AN1565">
        <v>0</v>
      </c>
      <c r="AO1565">
        <v>3</v>
      </c>
    </row>
    <row r="1566" spans="1:41" x14ac:dyDescent="0.2">
      <c r="A1566">
        <v>1213892</v>
      </c>
      <c r="B1566">
        <v>31</v>
      </c>
      <c r="C1566" t="str" cm="1">
        <f t="array" ref="C1566">_xlfn.IFS(B1566&lt;=25,"15-25",B1566&lt;=35,"26-35",B1566&lt;=45,"36-45",B1566&lt;=55,"46-55",B1566&lt;=65,"56-65")</f>
        <v>26-35</v>
      </c>
      <c r="D1566" t="s">
        <v>35</v>
      </c>
      <c r="E1566" t="str">
        <f t="shared" si="48"/>
        <v>Current Employee</v>
      </c>
      <c r="F1566" t="s">
        <v>52</v>
      </c>
      <c r="G1566">
        <v>1188</v>
      </c>
      <c r="H1566" t="s">
        <v>37</v>
      </c>
      <c r="I1566">
        <v>20</v>
      </c>
      <c r="J1566">
        <v>2</v>
      </c>
      <c r="K1566" t="s">
        <v>55</v>
      </c>
      <c r="L1566">
        <v>1</v>
      </c>
      <c r="M1566">
        <v>4</v>
      </c>
      <c r="N1566" t="s">
        <v>39</v>
      </c>
      <c r="O1566">
        <v>45</v>
      </c>
      <c r="P1566">
        <v>3</v>
      </c>
      <c r="Q1566">
        <v>2</v>
      </c>
      <c r="R1566" t="s">
        <v>51</v>
      </c>
      <c r="S1566">
        <v>3</v>
      </c>
      <c r="T1566" t="str" cm="1">
        <f t="array" ref="T1566">_xlfn.IFS(S1566&lt;=2,"Poor",S1566&lt;=3,"Fair",S1566&gt;=4,"Good")</f>
        <v>Fair</v>
      </c>
      <c r="U1566" t="s">
        <v>48</v>
      </c>
      <c r="V1566" s="1">
        <v>6932</v>
      </c>
      <c r="W1566" t="str" cm="1">
        <f t="array" ref="W1566">_xlfn.IFS(V1566&lt;=5000,"Low Salary",V1566&lt;=12000,"Good Salary",V1566&gt;12000,"High Salary")</f>
        <v>Good Salary</v>
      </c>
      <c r="X1566">
        <v>24406</v>
      </c>
      <c r="Y1566">
        <v>1</v>
      </c>
      <c r="Z1566" t="s">
        <v>42</v>
      </c>
      <c r="AA1566" t="s">
        <v>35</v>
      </c>
      <c r="AB1566">
        <v>13</v>
      </c>
      <c r="AC1566">
        <v>3</v>
      </c>
      <c r="AD1566" t="str">
        <f t="shared" si="49"/>
        <v>Low Performance</v>
      </c>
      <c r="AE1566">
        <v>4</v>
      </c>
      <c r="AF1566">
        <v>80</v>
      </c>
      <c r="AG1566">
        <v>1</v>
      </c>
      <c r="AH1566">
        <v>9</v>
      </c>
      <c r="AI1566">
        <v>2</v>
      </c>
      <c r="AJ1566">
        <v>2</v>
      </c>
      <c r="AK1566" t="str" cm="1">
        <f t="array" ref="AK1566">_xlfn.IFS(AJ1566&lt;=2,"Poor",AJ1566&lt;=3,"Fair",AJ1566&gt;3,"Good")</f>
        <v>Poor</v>
      </c>
      <c r="AL1566">
        <v>9</v>
      </c>
      <c r="AM1566">
        <v>8</v>
      </c>
      <c r="AN1566">
        <v>0</v>
      </c>
      <c r="AO1566">
        <v>0</v>
      </c>
    </row>
    <row r="1567" spans="1:41" x14ac:dyDescent="0.2">
      <c r="A1567">
        <v>1461811</v>
      </c>
      <c r="B1567">
        <v>37</v>
      </c>
      <c r="C1567" t="str" cm="1">
        <f t="array" ref="C1567">_xlfn.IFS(B1567&lt;=25,"15-25",B1567&lt;=35,"26-35",B1567&lt;=45,"36-45",B1567&lt;=55,"46-55",B1567&lt;=65,"56-65")</f>
        <v>36-45</v>
      </c>
      <c r="D1567" t="s">
        <v>35</v>
      </c>
      <c r="E1567" t="str">
        <f t="shared" si="48"/>
        <v>Current Employee</v>
      </c>
      <c r="F1567" t="s">
        <v>36</v>
      </c>
      <c r="G1567">
        <v>342</v>
      </c>
      <c r="H1567" t="s">
        <v>37</v>
      </c>
      <c r="I1567">
        <v>16</v>
      </c>
      <c r="J1567">
        <v>4</v>
      </c>
      <c r="K1567" t="s">
        <v>55</v>
      </c>
      <c r="L1567">
        <v>1</v>
      </c>
      <c r="M1567">
        <v>4</v>
      </c>
      <c r="N1567" t="s">
        <v>46</v>
      </c>
      <c r="O1567">
        <v>66</v>
      </c>
      <c r="P1567">
        <v>2</v>
      </c>
      <c r="Q1567">
        <v>2</v>
      </c>
      <c r="R1567" t="s">
        <v>51</v>
      </c>
      <c r="S1567">
        <v>3</v>
      </c>
      <c r="T1567" t="str" cm="1">
        <f t="array" ref="T1567">_xlfn.IFS(S1567&lt;=2,"Poor",S1567&lt;=3,"Fair",S1567&gt;=4,"Good")</f>
        <v>Fair</v>
      </c>
      <c r="U1567" t="s">
        <v>50</v>
      </c>
      <c r="V1567" s="1">
        <v>6334</v>
      </c>
      <c r="W1567" t="str" cm="1">
        <f t="array" ref="W1567">_xlfn.IFS(V1567&lt;=5000,"Low Salary",V1567&lt;=12000,"Good Salary",V1567&gt;12000,"High Salary")</f>
        <v>Good Salary</v>
      </c>
      <c r="X1567">
        <v>24558</v>
      </c>
      <c r="Y1567">
        <v>4</v>
      </c>
      <c r="Z1567" t="s">
        <v>42</v>
      </c>
      <c r="AA1567" t="s">
        <v>35</v>
      </c>
      <c r="AB1567">
        <v>19</v>
      </c>
      <c r="AC1567">
        <v>3</v>
      </c>
      <c r="AD1567" t="str">
        <f t="shared" si="49"/>
        <v>Low Performance</v>
      </c>
      <c r="AE1567">
        <v>4</v>
      </c>
      <c r="AF1567">
        <v>80</v>
      </c>
      <c r="AG1567">
        <v>2</v>
      </c>
      <c r="AH1567">
        <v>9</v>
      </c>
      <c r="AI1567">
        <v>2</v>
      </c>
      <c r="AJ1567">
        <v>3</v>
      </c>
      <c r="AK1567" t="str" cm="1">
        <f t="array" ref="AK1567">_xlfn.IFS(AJ1567&lt;=2,"Poor",AJ1567&lt;=3,"Fair",AJ1567&gt;3,"Good")</f>
        <v>Fair</v>
      </c>
      <c r="AL1567">
        <v>1</v>
      </c>
      <c r="AM1567">
        <v>0</v>
      </c>
      <c r="AN1567">
        <v>0</v>
      </c>
      <c r="AO1567">
        <v>0</v>
      </c>
    </row>
    <row r="1568" spans="1:41" x14ac:dyDescent="0.2">
      <c r="A1568">
        <v>1501908</v>
      </c>
      <c r="B1568">
        <v>35</v>
      </c>
      <c r="C1568" t="str" cm="1">
        <f t="array" ref="C1568">_xlfn.IFS(B1568&lt;=25,"15-25",B1568&lt;=35,"26-35",B1568&lt;=45,"36-45",B1568&lt;=55,"46-55",B1568&lt;=65,"56-65")</f>
        <v>26-35</v>
      </c>
      <c r="D1568" t="s">
        <v>35</v>
      </c>
      <c r="E1568" t="str">
        <f t="shared" si="48"/>
        <v>Current Employee</v>
      </c>
      <c r="F1568" t="s">
        <v>36</v>
      </c>
      <c r="G1568">
        <v>1276</v>
      </c>
      <c r="H1568" t="s">
        <v>45</v>
      </c>
      <c r="I1568">
        <v>16</v>
      </c>
      <c r="J1568">
        <v>3</v>
      </c>
      <c r="K1568" t="s">
        <v>38</v>
      </c>
      <c r="L1568">
        <v>1</v>
      </c>
      <c r="M1568">
        <v>4</v>
      </c>
      <c r="N1568" t="s">
        <v>46</v>
      </c>
      <c r="O1568">
        <v>72</v>
      </c>
      <c r="P1568">
        <v>3</v>
      </c>
      <c r="Q1568">
        <v>3</v>
      </c>
      <c r="R1568" t="s">
        <v>47</v>
      </c>
      <c r="S1568">
        <v>3</v>
      </c>
      <c r="T1568" t="str" cm="1">
        <f t="array" ref="T1568">_xlfn.IFS(S1568&lt;=2,"Poor",S1568&lt;=3,"Fair",S1568&gt;=4,"Good")</f>
        <v>Fair</v>
      </c>
      <c r="U1568" t="s">
        <v>48</v>
      </c>
      <c r="V1568" s="1">
        <v>7632</v>
      </c>
      <c r="W1568" t="str" cm="1">
        <f t="array" ref="W1568">_xlfn.IFS(V1568&lt;=5000,"Low Salary",V1568&lt;=12000,"Good Salary",V1568&gt;12000,"High Salary")</f>
        <v>Good Salary</v>
      </c>
      <c r="X1568">
        <v>14295</v>
      </c>
      <c r="Y1568">
        <v>4</v>
      </c>
      <c r="Z1568" t="s">
        <v>42</v>
      </c>
      <c r="AA1568" t="s">
        <v>43</v>
      </c>
      <c r="AB1568">
        <v>12</v>
      </c>
      <c r="AC1568">
        <v>3</v>
      </c>
      <c r="AD1568" t="str">
        <f t="shared" si="49"/>
        <v>Low Performance</v>
      </c>
      <c r="AE1568">
        <v>3</v>
      </c>
      <c r="AF1568">
        <v>80</v>
      </c>
      <c r="AG1568">
        <v>0</v>
      </c>
      <c r="AH1568">
        <v>10</v>
      </c>
      <c r="AI1568">
        <v>2</v>
      </c>
      <c r="AJ1568">
        <v>3</v>
      </c>
      <c r="AK1568" t="str" cm="1">
        <f t="array" ref="AK1568">_xlfn.IFS(AJ1568&lt;=2,"Poor",AJ1568&lt;=3,"Fair",AJ1568&gt;3,"Good")</f>
        <v>Fair</v>
      </c>
      <c r="AL1568">
        <v>8</v>
      </c>
      <c r="AM1568">
        <v>7</v>
      </c>
      <c r="AN1568">
        <v>0</v>
      </c>
      <c r="AO1568">
        <v>0</v>
      </c>
    </row>
    <row r="1569" spans="1:41" x14ac:dyDescent="0.2">
      <c r="A1569">
        <v>1065186</v>
      </c>
      <c r="B1569">
        <v>49</v>
      </c>
      <c r="C1569" t="str" cm="1">
        <f t="array" ref="C1569">_xlfn.IFS(B1569&lt;=25,"15-25",B1569&lt;=35,"26-35",B1569&lt;=45,"36-45",B1569&lt;=55,"46-55",B1569&lt;=65,"56-65")</f>
        <v>46-55</v>
      </c>
      <c r="D1569" t="s">
        <v>35</v>
      </c>
      <c r="E1569" t="str">
        <f t="shared" si="48"/>
        <v>Current Employee</v>
      </c>
      <c r="F1569" t="s">
        <v>36</v>
      </c>
      <c r="G1569">
        <v>1098</v>
      </c>
      <c r="H1569" t="s">
        <v>45</v>
      </c>
      <c r="I1569">
        <v>4</v>
      </c>
      <c r="J1569">
        <v>2</v>
      </c>
      <c r="K1569" t="s">
        <v>49</v>
      </c>
      <c r="L1569">
        <v>1</v>
      </c>
      <c r="M1569">
        <v>1</v>
      </c>
      <c r="N1569" t="s">
        <v>46</v>
      </c>
      <c r="O1569">
        <v>85</v>
      </c>
      <c r="P1569">
        <v>2</v>
      </c>
      <c r="Q1569">
        <v>5</v>
      </c>
      <c r="R1569" t="s">
        <v>58</v>
      </c>
      <c r="S1569">
        <v>3</v>
      </c>
      <c r="T1569" t="str" cm="1">
        <f t="array" ref="T1569">_xlfn.IFS(S1569&lt;=2,"Poor",S1569&lt;=3,"Fair",S1569&gt;=4,"Good")</f>
        <v>Fair</v>
      </c>
      <c r="U1569" t="s">
        <v>48</v>
      </c>
      <c r="V1569" s="1">
        <v>18711</v>
      </c>
      <c r="W1569" t="str" cm="1">
        <f t="array" ref="W1569">_xlfn.IFS(V1569&lt;=5000,"Low Salary",V1569&lt;=12000,"Good Salary",V1569&gt;12000,"High Salary")</f>
        <v>High Salary</v>
      </c>
      <c r="X1569">
        <v>12124</v>
      </c>
      <c r="Y1569">
        <v>2</v>
      </c>
      <c r="Z1569" t="s">
        <v>42</v>
      </c>
      <c r="AA1569" t="s">
        <v>35</v>
      </c>
      <c r="AB1569">
        <v>13</v>
      </c>
      <c r="AC1569">
        <v>3</v>
      </c>
      <c r="AD1569" t="str">
        <f t="shared" si="49"/>
        <v>Low Performance</v>
      </c>
      <c r="AE1569">
        <v>3</v>
      </c>
      <c r="AF1569">
        <v>80</v>
      </c>
      <c r="AG1569">
        <v>1</v>
      </c>
      <c r="AH1569">
        <v>23</v>
      </c>
      <c r="AI1569">
        <v>2</v>
      </c>
      <c r="AJ1569">
        <v>4</v>
      </c>
      <c r="AK1569" t="str" cm="1">
        <f t="array" ref="AK1569">_xlfn.IFS(AJ1569&lt;=2,"Poor",AJ1569&lt;=3,"Fair",AJ1569&gt;3,"Good")</f>
        <v>Good</v>
      </c>
      <c r="AL1569">
        <v>1</v>
      </c>
      <c r="AM1569">
        <v>0</v>
      </c>
      <c r="AN1569">
        <v>0</v>
      </c>
      <c r="AO1569">
        <v>0</v>
      </c>
    </row>
    <row r="1570" spans="1:41" x14ac:dyDescent="0.2">
      <c r="A1570">
        <v>1382014</v>
      </c>
      <c r="B1570">
        <v>49</v>
      </c>
      <c r="C1570" t="str" cm="1">
        <f t="array" ref="C1570">_xlfn.IFS(B1570&lt;=25,"15-25",B1570&lt;=35,"26-35",B1570&lt;=45,"36-45",B1570&lt;=55,"46-55",B1570&lt;=65,"56-65")</f>
        <v>46-55</v>
      </c>
      <c r="D1570" t="s">
        <v>35</v>
      </c>
      <c r="E1570" t="str">
        <f t="shared" si="48"/>
        <v>Current Employee</v>
      </c>
      <c r="F1570" t="s">
        <v>36</v>
      </c>
      <c r="G1570">
        <v>722</v>
      </c>
      <c r="H1570" t="s">
        <v>54</v>
      </c>
      <c r="I1570">
        <v>25</v>
      </c>
      <c r="J1570">
        <v>4</v>
      </c>
      <c r="K1570" t="s">
        <v>38</v>
      </c>
      <c r="L1570">
        <v>1</v>
      </c>
      <c r="M1570">
        <v>3</v>
      </c>
      <c r="N1570" t="s">
        <v>39</v>
      </c>
      <c r="O1570">
        <v>84</v>
      </c>
      <c r="P1570">
        <v>3</v>
      </c>
      <c r="Q1570">
        <v>1</v>
      </c>
      <c r="R1570" t="s">
        <v>40</v>
      </c>
      <c r="S1570">
        <v>1</v>
      </c>
      <c r="T1570" t="str" cm="1">
        <f t="array" ref="T1570">_xlfn.IFS(S1570&lt;=2,"Poor",S1570&lt;=3,"Fair",S1570&gt;=4,"Good")</f>
        <v>Poor</v>
      </c>
      <c r="U1570" t="s">
        <v>48</v>
      </c>
      <c r="V1570" s="1">
        <v>3211</v>
      </c>
      <c r="W1570" t="str" cm="1">
        <f t="array" ref="W1570">_xlfn.IFS(V1570&lt;=5000,"Low Salary",V1570&lt;=12000,"Good Salary",V1570&gt;12000,"High Salary")</f>
        <v>Low Salary</v>
      </c>
      <c r="X1570">
        <v>22102</v>
      </c>
      <c r="Y1570">
        <v>1</v>
      </c>
      <c r="Z1570" t="s">
        <v>42</v>
      </c>
      <c r="AA1570" t="s">
        <v>35</v>
      </c>
      <c r="AB1570">
        <v>14</v>
      </c>
      <c r="AC1570">
        <v>3</v>
      </c>
      <c r="AD1570" t="str">
        <f t="shared" si="49"/>
        <v>Low Performance</v>
      </c>
      <c r="AE1570">
        <v>4</v>
      </c>
      <c r="AF1570">
        <v>80</v>
      </c>
      <c r="AG1570">
        <v>1</v>
      </c>
      <c r="AH1570">
        <v>10</v>
      </c>
      <c r="AI1570">
        <v>3</v>
      </c>
      <c r="AJ1570">
        <v>2</v>
      </c>
      <c r="AK1570" t="str" cm="1">
        <f t="array" ref="AK1570">_xlfn.IFS(AJ1570&lt;=2,"Poor",AJ1570&lt;=3,"Fair",AJ1570&gt;3,"Good")</f>
        <v>Poor</v>
      </c>
      <c r="AL1570">
        <v>9</v>
      </c>
      <c r="AM1570">
        <v>6</v>
      </c>
      <c r="AN1570">
        <v>1</v>
      </c>
      <c r="AO1570">
        <v>4</v>
      </c>
    </row>
    <row r="1571" spans="1:41" x14ac:dyDescent="0.2">
      <c r="A1571">
        <v>1850673</v>
      </c>
      <c r="B1571">
        <v>42</v>
      </c>
      <c r="C1571" t="str" cm="1">
        <f t="array" ref="C1571">_xlfn.IFS(B1571&lt;=25,"15-25",B1571&lt;=35,"26-35",B1571&lt;=45,"36-45",B1571&lt;=55,"46-55",B1571&lt;=65,"56-65")</f>
        <v>36-45</v>
      </c>
      <c r="D1571" t="s">
        <v>35</v>
      </c>
      <c r="E1571" t="str">
        <f t="shared" si="48"/>
        <v>Current Employee</v>
      </c>
      <c r="F1571" t="s">
        <v>44</v>
      </c>
      <c r="G1571">
        <v>748</v>
      </c>
      <c r="H1571" t="s">
        <v>54</v>
      </c>
      <c r="I1571">
        <v>9</v>
      </c>
      <c r="J1571">
        <v>2</v>
      </c>
      <c r="K1571" t="s">
        <v>49</v>
      </c>
      <c r="L1571">
        <v>1</v>
      </c>
      <c r="M1571">
        <v>1</v>
      </c>
      <c r="N1571" t="s">
        <v>39</v>
      </c>
      <c r="O1571">
        <v>74</v>
      </c>
      <c r="P1571">
        <v>3</v>
      </c>
      <c r="Q1571">
        <v>1</v>
      </c>
      <c r="R1571" t="s">
        <v>40</v>
      </c>
      <c r="S1571">
        <v>4</v>
      </c>
      <c r="T1571" t="str" cm="1">
        <f t="array" ref="T1571">_xlfn.IFS(S1571&lt;=2,"Poor",S1571&lt;=3,"Fair",S1571&gt;=4,"Good")</f>
        <v>Good</v>
      </c>
      <c r="U1571" t="s">
        <v>41</v>
      </c>
      <c r="V1571" s="1">
        <v>3673</v>
      </c>
      <c r="W1571" t="str" cm="1">
        <f t="array" ref="W1571">_xlfn.IFS(V1571&lt;=5000,"Low Salary",V1571&lt;=12000,"Good Salary",V1571&gt;12000,"High Salary")</f>
        <v>Low Salary</v>
      </c>
      <c r="X1571">
        <v>16458</v>
      </c>
      <c r="Y1571">
        <v>1</v>
      </c>
      <c r="Z1571" t="s">
        <v>42</v>
      </c>
      <c r="AA1571" t="s">
        <v>35</v>
      </c>
      <c r="AB1571">
        <v>13</v>
      </c>
      <c r="AC1571">
        <v>3</v>
      </c>
      <c r="AD1571" t="str">
        <f t="shared" si="49"/>
        <v>Low Performance</v>
      </c>
      <c r="AE1571">
        <v>3</v>
      </c>
      <c r="AF1571">
        <v>80</v>
      </c>
      <c r="AG1571">
        <v>0</v>
      </c>
      <c r="AH1571">
        <v>12</v>
      </c>
      <c r="AI1571">
        <v>3</v>
      </c>
      <c r="AJ1571">
        <v>3</v>
      </c>
      <c r="AK1571" t="str" cm="1">
        <f t="array" ref="AK1571">_xlfn.IFS(AJ1571&lt;=2,"Poor",AJ1571&lt;=3,"Fair",AJ1571&gt;3,"Good")</f>
        <v>Fair</v>
      </c>
      <c r="AL1571">
        <v>12</v>
      </c>
      <c r="AM1571">
        <v>9</v>
      </c>
      <c r="AN1571">
        <v>5</v>
      </c>
      <c r="AO1571">
        <v>8</v>
      </c>
    </row>
    <row r="1572" spans="1:41" x14ac:dyDescent="0.2">
      <c r="A1572">
        <v>1239516</v>
      </c>
      <c r="B1572">
        <v>31</v>
      </c>
      <c r="C1572" t="str" cm="1">
        <f t="array" ref="C1572">_xlfn.IFS(B1572&lt;=25,"15-25",B1572&lt;=35,"26-35",B1572&lt;=45,"36-45",B1572&lt;=55,"46-55",B1572&lt;=65,"56-65")</f>
        <v>26-35</v>
      </c>
      <c r="D1572" t="s">
        <v>35</v>
      </c>
      <c r="E1572" t="str">
        <f t="shared" si="48"/>
        <v>Current Employee</v>
      </c>
      <c r="F1572" t="s">
        <v>36</v>
      </c>
      <c r="G1572">
        <v>1332</v>
      </c>
      <c r="H1572" t="s">
        <v>45</v>
      </c>
      <c r="I1572">
        <v>11</v>
      </c>
      <c r="J1572">
        <v>2</v>
      </c>
      <c r="K1572" t="s">
        <v>49</v>
      </c>
      <c r="L1572">
        <v>1</v>
      </c>
      <c r="M1572">
        <v>3</v>
      </c>
      <c r="N1572" t="s">
        <v>46</v>
      </c>
      <c r="O1572">
        <v>80</v>
      </c>
      <c r="P1572">
        <v>3</v>
      </c>
      <c r="Q1572">
        <v>2</v>
      </c>
      <c r="R1572" t="s">
        <v>47</v>
      </c>
      <c r="S1572">
        <v>1</v>
      </c>
      <c r="T1572" t="str" cm="1">
        <f t="array" ref="T1572">_xlfn.IFS(S1572&lt;=2,"Poor",S1572&lt;=3,"Fair",S1572&gt;=4,"Good")</f>
        <v>Poor</v>
      </c>
      <c r="U1572" t="s">
        <v>48</v>
      </c>
      <c r="V1572" s="1">
        <v>6833</v>
      </c>
      <c r="W1572" t="str" cm="1">
        <f t="array" ref="W1572">_xlfn.IFS(V1572&lt;=5000,"Low Salary",V1572&lt;=12000,"Good Salary",V1572&gt;12000,"High Salary")</f>
        <v>Good Salary</v>
      </c>
      <c r="X1572">
        <v>17089</v>
      </c>
      <c r="Y1572">
        <v>1</v>
      </c>
      <c r="Z1572" t="s">
        <v>42</v>
      </c>
      <c r="AA1572" t="s">
        <v>43</v>
      </c>
      <c r="AB1572">
        <v>12</v>
      </c>
      <c r="AC1572">
        <v>3</v>
      </c>
      <c r="AD1572" t="str">
        <f t="shared" si="49"/>
        <v>Low Performance</v>
      </c>
      <c r="AE1572">
        <v>4</v>
      </c>
      <c r="AF1572">
        <v>80</v>
      </c>
      <c r="AG1572">
        <v>0</v>
      </c>
      <c r="AH1572">
        <v>6</v>
      </c>
      <c r="AI1572">
        <v>2</v>
      </c>
      <c r="AJ1572">
        <v>2</v>
      </c>
      <c r="AK1572" t="str" cm="1">
        <f t="array" ref="AK1572">_xlfn.IFS(AJ1572&lt;=2,"Poor",AJ1572&lt;=3,"Fair",AJ1572&gt;3,"Good")</f>
        <v>Poor</v>
      </c>
      <c r="AL1572">
        <v>6</v>
      </c>
      <c r="AM1572">
        <v>5</v>
      </c>
      <c r="AN1572">
        <v>0</v>
      </c>
      <c r="AO1572">
        <v>1</v>
      </c>
    </row>
    <row r="1573" spans="1:41" x14ac:dyDescent="0.2">
      <c r="A1573">
        <v>1290256</v>
      </c>
      <c r="B1573">
        <v>30</v>
      </c>
      <c r="C1573" t="str" cm="1">
        <f t="array" ref="C1573">_xlfn.IFS(B1573&lt;=25,"15-25",B1573&lt;=35,"26-35",B1573&lt;=45,"36-45",B1573&lt;=55,"46-55",B1573&lt;=65,"56-65")</f>
        <v>26-35</v>
      </c>
      <c r="D1573" t="s">
        <v>35</v>
      </c>
      <c r="E1573" t="str">
        <f t="shared" si="48"/>
        <v>Current Employee</v>
      </c>
      <c r="F1573" t="s">
        <v>36</v>
      </c>
      <c r="G1573">
        <v>1427</v>
      </c>
      <c r="H1573" t="s">
        <v>54</v>
      </c>
      <c r="I1573">
        <v>2</v>
      </c>
      <c r="J1573">
        <v>1</v>
      </c>
      <c r="K1573" t="s">
        <v>49</v>
      </c>
      <c r="L1573">
        <v>1</v>
      </c>
      <c r="M1573">
        <v>2</v>
      </c>
      <c r="N1573" t="s">
        <v>46</v>
      </c>
      <c r="O1573">
        <v>35</v>
      </c>
      <c r="P1573">
        <v>2</v>
      </c>
      <c r="Q1573">
        <v>1</v>
      </c>
      <c r="R1573" t="s">
        <v>40</v>
      </c>
      <c r="S1573">
        <v>4</v>
      </c>
      <c r="T1573" t="str" cm="1">
        <f t="array" ref="T1573">_xlfn.IFS(S1573&lt;=2,"Poor",S1573&lt;=3,"Fair",S1573&gt;=4,"Good")</f>
        <v>Good</v>
      </c>
      <c r="U1573" t="s">
        <v>41</v>
      </c>
      <c r="V1573" s="1">
        <v>2720</v>
      </c>
      <c r="W1573" t="str" cm="1">
        <f t="array" ref="W1573">_xlfn.IFS(V1573&lt;=5000,"Low Salary",V1573&lt;=12000,"Good Salary",V1573&gt;12000,"High Salary")</f>
        <v>Low Salary</v>
      </c>
      <c r="X1573">
        <v>11162</v>
      </c>
      <c r="Y1573">
        <v>0</v>
      </c>
      <c r="Z1573" t="s">
        <v>42</v>
      </c>
      <c r="AA1573" t="s">
        <v>35</v>
      </c>
      <c r="AB1573">
        <v>13</v>
      </c>
      <c r="AC1573">
        <v>3</v>
      </c>
      <c r="AD1573" t="str">
        <f t="shared" si="49"/>
        <v>Low Performance</v>
      </c>
      <c r="AE1573">
        <v>4</v>
      </c>
      <c r="AF1573">
        <v>80</v>
      </c>
      <c r="AG1573">
        <v>0</v>
      </c>
      <c r="AH1573">
        <v>6</v>
      </c>
      <c r="AI1573">
        <v>3</v>
      </c>
      <c r="AJ1573">
        <v>3</v>
      </c>
      <c r="AK1573" t="str" cm="1">
        <f t="array" ref="AK1573">_xlfn.IFS(AJ1573&lt;=2,"Poor",AJ1573&lt;=3,"Fair",AJ1573&gt;3,"Good")</f>
        <v>Fair</v>
      </c>
      <c r="AL1573">
        <v>5</v>
      </c>
      <c r="AM1573">
        <v>3</v>
      </c>
      <c r="AN1573">
        <v>1</v>
      </c>
      <c r="AO1573">
        <v>2</v>
      </c>
    </row>
    <row r="1574" spans="1:41" x14ac:dyDescent="0.2">
      <c r="A1574">
        <v>1239491</v>
      </c>
      <c r="B1574">
        <v>35</v>
      </c>
      <c r="C1574" t="str" cm="1">
        <f t="array" ref="C1574">_xlfn.IFS(B1574&lt;=25,"15-25",B1574&lt;=35,"26-35",B1574&lt;=45,"36-45",B1574&lt;=55,"46-55",B1574&lt;=65,"56-65")</f>
        <v>26-35</v>
      </c>
      <c r="D1574" t="s">
        <v>35</v>
      </c>
      <c r="E1574" t="str">
        <f t="shared" si="48"/>
        <v>Current Employee</v>
      </c>
      <c r="F1574" t="s">
        <v>36</v>
      </c>
      <c r="G1574">
        <v>619</v>
      </c>
      <c r="H1574" t="s">
        <v>37</v>
      </c>
      <c r="I1574">
        <v>1</v>
      </c>
      <c r="J1574">
        <v>3</v>
      </c>
      <c r="K1574" t="s">
        <v>55</v>
      </c>
      <c r="L1574">
        <v>1</v>
      </c>
      <c r="M1574">
        <v>2</v>
      </c>
      <c r="N1574" t="s">
        <v>46</v>
      </c>
      <c r="O1574">
        <v>85</v>
      </c>
      <c r="P1574">
        <v>3</v>
      </c>
      <c r="Q1574">
        <v>2</v>
      </c>
      <c r="R1574" t="s">
        <v>51</v>
      </c>
      <c r="S1574">
        <v>3</v>
      </c>
      <c r="T1574" t="str" cm="1">
        <f t="array" ref="T1574">_xlfn.IFS(S1574&lt;=2,"Poor",S1574&lt;=3,"Fair",S1574&gt;=4,"Good")</f>
        <v>Fair</v>
      </c>
      <c r="U1574" t="s">
        <v>48</v>
      </c>
      <c r="V1574" s="1">
        <v>4717</v>
      </c>
      <c r="W1574" t="str" cm="1">
        <f t="array" ref="W1574">_xlfn.IFS(V1574&lt;=5000,"Low Salary",V1574&lt;=12000,"Good Salary",V1574&gt;12000,"High Salary")</f>
        <v>Low Salary</v>
      </c>
      <c r="X1574">
        <v>18659</v>
      </c>
      <c r="Y1574">
        <v>9</v>
      </c>
      <c r="Z1574" t="s">
        <v>42</v>
      </c>
      <c r="AA1574" t="s">
        <v>35</v>
      </c>
      <c r="AB1574">
        <v>11</v>
      </c>
      <c r="AC1574">
        <v>3</v>
      </c>
      <c r="AD1574" t="str">
        <f t="shared" si="49"/>
        <v>Low Performance</v>
      </c>
      <c r="AE1574">
        <v>3</v>
      </c>
      <c r="AF1574">
        <v>80</v>
      </c>
      <c r="AG1574">
        <v>0</v>
      </c>
      <c r="AH1574">
        <v>15</v>
      </c>
      <c r="AI1574">
        <v>2</v>
      </c>
      <c r="AJ1574">
        <v>3</v>
      </c>
      <c r="AK1574" t="str" cm="1">
        <f t="array" ref="AK1574">_xlfn.IFS(AJ1574&lt;=2,"Poor",AJ1574&lt;=3,"Fair",AJ1574&gt;3,"Good")</f>
        <v>Fair</v>
      </c>
      <c r="AL1574">
        <v>11</v>
      </c>
      <c r="AM1574">
        <v>9</v>
      </c>
      <c r="AN1574">
        <v>6</v>
      </c>
      <c r="AO1574">
        <v>9</v>
      </c>
    </row>
    <row r="1575" spans="1:41" x14ac:dyDescent="0.2">
      <c r="A1575">
        <v>1822238</v>
      </c>
      <c r="B1575">
        <v>28</v>
      </c>
      <c r="C1575" t="str" cm="1">
        <f t="array" ref="C1575">_xlfn.IFS(B1575&lt;=25,"15-25",B1575&lt;=35,"26-35",B1575&lt;=45,"36-45",B1575&lt;=55,"46-55",B1575&lt;=65,"56-65")</f>
        <v>26-35</v>
      </c>
      <c r="D1575" t="s">
        <v>35</v>
      </c>
      <c r="E1575" t="str">
        <f t="shared" si="48"/>
        <v>Current Employee</v>
      </c>
      <c r="F1575" t="s">
        <v>36</v>
      </c>
      <c r="G1575">
        <v>857</v>
      </c>
      <c r="H1575" t="s">
        <v>45</v>
      </c>
      <c r="I1575">
        <v>10</v>
      </c>
      <c r="J1575">
        <v>3</v>
      </c>
      <c r="K1575" t="s">
        <v>47</v>
      </c>
      <c r="L1575">
        <v>1</v>
      </c>
      <c r="M1575">
        <v>3</v>
      </c>
      <c r="N1575" t="s">
        <v>39</v>
      </c>
      <c r="O1575">
        <v>59</v>
      </c>
      <c r="P1575">
        <v>3</v>
      </c>
      <c r="Q1575">
        <v>2</v>
      </c>
      <c r="R1575" t="s">
        <v>40</v>
      </c>
      <c r="S1575">
        <v>3</v>
      </c>
      <c r="T1575" t="str" cm="1">
        <f t="array" ref="T1575">_xlfn.IFS(S1575&lt;=2,"Poor",S1575&lt;=3,"Fair",S1575&gt;=4,"Good")</f>
        <v>Fair</v>
      </c>
      <c r="U1575" t="s">
        <v>41</v>
      </c>
      <c r="V1575" s="1">
        <v>3660</v>
      </c>
      <c r="W1575" t="str" cm="1">
        <f t="array" ref="W1575">_xlfn.IFS(V1575&lt;=5000,"Low Salary",V1575&lt;=12000,"Good Salary",V1575&gt;12000,"High Salary")</f>
        <v>Low Salary</v>
      </c>
      <c r="X1575">
        <v>7909</v>
      </c>
      <c r="Y1575">
        <v>3</v>
      </c>
      <c r="Z1575" t="s">
        <v>42</v>
      </c>
      <c r="AA1575" t="s">
        <v>35</v>
      </c>
      <c r="AB1575">
        <v>13</v>
      </c>
      <c r="AC1575">
        <v>3</v>
      </c>
      <c r="AD1575" t="str">
        <f t="shared" si="49"/>
        <v>Low Performance</v>
      </c>
      <c r="AE1575">
        <v>4</v>
      </c>
      <c r="AF1575">
        <v>80</v>
      </c>
      <c r="AG1575">
        <v>0</v>
      </c>
      <c r="AH1575">
        <v>10</v>
      </c>
      <c r="AI1575">
        <v>4</v>
      </c>
      <c r="AJ1575">
        <v>4</v>
      </c>
      <c r="AK1575" t="str" cm="1">
        <f t="array" ref="AK1575">_xlfn.IFS(AJ1575&lt;=2,"Poor",AJ1575&lt;=3,"Fair",AJ1575&gt;3,"Good")</f>
        <v>Good</v>
      </c>
      <c r="AL1575">
        <v>8</v>
      </c>
      <c r="AM1575">
        <v>7</v>
      </c>
      <c r="AN1575">
        <v>1</v>
      </c>
      <c r="AO1575">
        <v>7</v>
      </c>
    </row>
    <row r="1576" spans="1:41" x14ac:dyDescent="0.2">
      <c r="A1576">
        <v>1220579</v>
      </c>
      <c r="B1576">
        <v>39</v>
      </c>
      <c r="C1576" t="str" cm="1">
        <f t="array" ref="C1576">_xlfn.IFS(B1576&lt;=25,"15-25",B1576&lt;=35,"26-35",B1576&lt;=45,"36-45",B1576&lt;=55,"46-55",B1576&lt;=65,"56-65")</f>
        <v>36-45</v>
      </c>
      <c r="D1576" t="s">
        <v>35</v>
      </c>
      <c r="E1576" t="str">
        <f t="shared" si="48"/>
        <v>Current Employee</v>
      </c>
      <c r="F1576" t="s">
        <v>36</v>
      </c>
      <c r="G1576">
        <v>360</v>
      </c>
      <c r="H1576" t="s">
        <v>45</v>
      </c>
      <c r="I1576">
        <v>23</v>
      </c>
      <c r="J1576">
        <v>3</v>
      </c>
      <c r="K1576" t="s">
        <v>49</v>
      </c>
      <c r="L1576">
        <v>1</v>
      </c>
      <c r="M1576">
        <v>3</v>
      </c>
      <c r="N1576" t="s">
        <v>46</v>
      </c>
      <c r="O1576">
        <v>93</v>
      </c>
      <c r="P1576">
        <v>3</v>
      </c>
      <c r="Q1576">
        <v>1</v>
      </c>
      <c r="R1576" t="s">
        <v>40</v>
      </c>
      <c r="S1576">
        <v>1</v>
      </c>
      <c r="T1576" t="str" cm="1">
        <f t="array" ref="T1576">_xlfn.IFS(S1576&lt;=2,"Poor",S1576&lt;=3,"Fair",S1576&gt;=4,"Good")</f>
        <v>Poor</v>
      </c>
      <c r="U1576" t="s">
        <v>41</v>
      </c>
      <c r="V1576" s="1">
        <v>3904</v>
      </c>
      <c r="W1576" t="str" cm="1">
        <f t="array" ref="W1576">_xlfn.IFS(V1576&lt;=5000,"Low Salary",V1576&lt;=12000,"Good Salary",V1576&gt;12000,"High Salary")</f>
        <v>Low Salary</v>
      </c>
      <c r="X1576">
        <v>22154</v>
      </c>
      <c r="Y1576">
        <v>0</v>
      </c>
      <c r="Z1576" t="s">
        <v>42</v>
      </c>
      <c r="AA1576" t="s">
        <v>35</v>
      </c>
      <c r="AB1576">
        <v>13</v>
      </c>
      <c r="AC1576">
        <v>3</v>
      </c>
      <c r="AD1576" t="str">
        <f t="shared" si="49"/>
        <v>Low Performance</v>
      </c>
      <c r="AE1576">
        <v>1</v>
      </c>
      <c r="AF1576">
        <v>80</v>
      </c>
      <c r="AG1576">
        <v>0</v>
      </c>
      <c r="AH1576">
        <v>6</v>
      </c>
      <c r="AI1576">
        <v>2</v>
      </c>
      <c r="AJ1576">
        <v>3</v>
      </c>
      <c r="AK1576" t="str" cm="1">
        <f t="array" ref="AK1576">_xlfn.IFS(AJ1576&lt;=2,"Poor",AJ1576&lt;=3,"Fair",AJ1576&gt;3,"Good")</f>
        <v>Fair</v>
      </c>
      <c r="AL1576">
        <v>5</v>
      </c>
      <c r="AM1576">
        <v>2</v>
      </c>
      <c r="AN1576">
        <v>0</v>
      </c>
      <c r="AO1576">
        <v>3</v>
      </c>
    </row>
    <row r="1577" spans="1:41" x14ac:dyDescent="0.2">
      <c r="A1577">
        <v>1143606</v>
      </c>
      <c r="B1577">
        <v>48</v>
      </c>
      <c r="C1577" t="str" cm="1">
        <f t="array" ref="C1577">_xlfn.IFS(B1577&lt;=25,"15-25",B1577&lt;=35,"26-35",B1577&lt;=45,"36-45",B1577&lt;=55,"46-55",B1577&lt;=65,"56-65")</f>
        <v>46-55</v>
      </c>
      <c r="D1577" t="s">
        <v>35</v>
      </c>
      <c r="E1577" t="str">
        <f t="shared" si="48"/>
        <v>Current Employee</v>
      </c>
      <c r="F1577" t="s">
        <v>36</v>
      </c>
      <c r="G1577">
        <v>817</v>
      </c>
      <c r="H1577" t="s">
        <v>37</v>
      </c>
      <c r="I1577">
        <v>2</v>
      </c>
      <c r="J1577">
        <v>1</v>
      </c>
      <c r="K1577" t="s">
        <v>55</v>
      </c>
      <c r="L1577">
        <v>1</v>
      </c>
      <c r="M1577">
        <v>2</v>
      </c>
      <c r="N1577" t="s">
        <v>46</v>
      </c>
      <c r="O1577">
        <v>56</v>
      </c>
      <c r="P1577">
        <v>4</v>
      </c>
      <c r="Q1577">
        <v>2</v>
      </c>
      <c r="R1577" t="s">
        <v>51</v>
      </c>
      <c r="S1577">
        <v>2</v>
      </c>
      <c r="T1577" t="str" cm="1">
        <f t="array" ref="T1577">_xlfn.IFS(S1577&lt;=2,"Poor",S1577&lt;=3,"Fair",S1577&gt;=4,"Good")</f>
        <v>Poor</v>
      </c>
      <c r="U1577" t="s">
        <v>48</v>
      </c>
      <c r="V1577" s="1">
        <v>8120</v>
      </c>
      <c r="W1577" t="str" cm="1">
        <f t="array" ref="W1577">_xlfn.IFS(V1577&lt;=5000,"Low Salary",V1577&lt;=12000,"Good Salary",V1577&gt;12000,"High Salary")</f>
        <v>Good Salary</v>
      </c>
      <c r="X1577">
        <v>18597</v>
      </c>
      <c r="Y1577">
        <v>3</v>
      </c>
      <c r="Z1577" t="s">
        <v>42</v>
      </c>
      <c r="AA1577" t="s">
        <v>35</v>
      </c>
      <c r="AB1577">
        <v>12</v>
      </c>
      <c r="AC1577">
        <v>3</v>
      </c>
      <c r="AD1577" t="str">
        <f t="shared" si="49"/>
        <v>Low Performance</v>
      </c>
      <c r="AE1577">
        <v>4</v>
      </c>
      <c r="AF1577">
        <v>80</v>
      </c>
      <c r="AG1577">
        <v>0</v>
      </c>
      <c r="AH1577">
        <v>12</v>
      </c>
      <c r="AI1577">
        <v>3</v>
      </c>
      <c r="AJ1577">
        <v>3</v>
      </c>
      <c r="AK1577" t="str" cm="1">
        <f t="array" ref="AK1577">_xlfn.IFS(AJ1577&lt;=2,"Poor",AJ1577&lt;=3,"Fair",AJ1577&gt;3,"Good")</f>
        <v>Fair</v>
      </c>
      <c r="AL1577">
        <v>2</v>
      </c>
      <c r="AM1577">
        <v>2</v>
      </c>
      <c r="AN1577">
        <v>2</v>
      </c>
      <c r="AO1577">
        <v>2</v>
      </c>
    </row>
    <row r="1578" spans="1:41" x14ac:dyDescent="0.2">
      <c r="A1578">
        <v>1200749</v>
      </c>
      <c r="B1578">
        <v>34</v>
      </c>
      <c r="C1578" t="str" cm="1">
        <f t="array" ref="C1578">_xlfn.IFS(B1578&lt;=25,"15-25",B1578&lt;=35,"26-35",B1578&lt;=45,"36-45",B1578&lt;=55,"46-55",B1578&lt;=65,"56-65")</f>
        <v>26-35</v>
      </c>
      <c r="D1578" t="s">
        <v>35</v>
      </c>
      <c r="E1578" t="str">
        <f t="shared" si="48"/>
        <v>Current Employee</v>
      </c>
      <c r="F1578" t="s">
        <v>36</v>
      </c>
      <c r="G1578">
        <v>401</v>
      </c>
      <c r="H1578" t="s">
        <v>54</v>
      </c>
      <c r="I1578">
        <v>1</v>
      </c>
      <c r="J1578">
        <v>3</v>
      </c>
      <c r="K1578" t="s">
        <v>38</v>
      </c>
      <c r="L1578">
        <v>1</v>
      </c>
      <c r="M1578">
        <v>4</v>
      </c>
      <c r="N1578" t="s">
        <v>39</v>
      </c>
      <c r="O1578">
        <v>86</v>
      </c>
      <c r="P1578">
        <v>2</v>
      </c>
      <c r="Q1578">
        <v>1</v>
      </c>
      <c r="R1578" t="s">
        <v>40</v>
      </c>
      <c r="S1578">
        <v>2</v>
      </c>
      <c r="T1578" t="str" cm="1">
        <f t="array" ref="T1578">_xlfn.IFS(S1578&lt;=2,"Poor",S1578&lt;=3,"Fair",S1578&gt;=4,"Good")</f>
        <v>Poor</v>
      </c>
      <c r="U1578" t="s">
        <v>48</v>
      </c>
      <c r="V1578" s="1">
        <v>3294</v>
      </c>
      <c r="W1578" t="str" cm="1">
        <f t="array" ref="W1578">_xlfn.IFS(V1578&lt;=5000,"Low Salary",V1578&lt;=12000,"Good Salary",V1578&gt;12000,"High Salary")</f>
        <v>Low Salary</v>
      </c>
      <c r="X1578">
        <v>3708</v>
      </c>
      <c r="Y1578">
        <v>5</v>
      </c>
      <c r="Z1578" t="s">
        <v>42</v>
      </c>
      <c r="AA1578" t="s">
        <v>35</v>
      </c>
      <c r="AB1578">
        <v>17</v>
      </c>
      <c r="AC1578">
        <v>3</v>
      </c>
      <c r="AD1578" t="str">
        <f t="shared" si="49"/>
        <v>Low Performance</v>
      </c>
      <c r="AE1578">
        <v>1</v>
      </c>
      <c r="AF1578">
        <v>80</v>
      </c>
      <c r="AG1578">
        <v>1</v>
      </c>
      <c r="AH1578">
        <v>7</v>
      </c>
      <c r="AI1578">
        <v>2</v>
      </c>
      <c r="AJ1578">
        <v>2</v>
      </c>
      <c r="AK1578" t="str" cm="1">
        <f t="array" ref="AK1578">_xlfn.IFS(AJ1578&lt;=2,"Poor",AJ1578&lt;=3,"Fair",AJ1578&gt;3,"Good")</f>
        <v>Poor</v>
      </c>
      <c r="AL1578">
        <v>5</v>
      </c>
      <c r="AM1578">
        <v>4</v>
      </c>
      <c r="AN1578">
        <v>0</v>
      </c>
      <c r="AO1578">
        <v>2</v>
      </c>
    </row>
    <row r="1579" spans="1:41" x14ac:dyDescent="0.2">
      <c r="A1579">
        <v>1633070</v>
      </c>
      <c r="B1579">
        <v>55</v>
      </c>
      <c r="C1579" t="str" cm="1">
        <f t="array" ref="C1579">_xlfn.IFS(B1579&lt;=25,"15-25",B1579&lt;=35,"26-35",B1579&lt;=45,"36-45",B1579&lt;=55,"46-55",B1579&lt;=65,"56-65")</f>
        <v>46-55</v>
      </c>
      <c r="D1579" t="s">
        <v>35</v>
      </c>
      <c r="E1579" t="str">
        <f t="shared" si="48"/>
        <v>Current Employee</v>
      </c>
      <c r="F1579" t="s">
        <v>36</v>
      </c>
      <c r="G1579">
        <v>282</v>
      </c>
      <c r="H1579" t="s">
        <v>45</v>
      </c>
      <c r="I1579">
        <v>2</v>
      </c>
      <c r="J1579">
        <v>2</v>
      </c>
      <c r="K1579" t="s">
        <v>49</v>
      </c>
      <c r="L1579">
        <v>1</v>
      </c>
      <c r="M1579">
        <v>4</v>
      </c>
      <c r="N1579" t="s">
        <v>39</v>
      </c>
      <c r="O1579">
        <v>58</v>
      </c>
      <c r="P1579">
        <v>1</v>
      </c>
      <c r="Q1579">
        <v>5</v>
      </c>
      <c r="R1579" t="s">
        <v>58</v>
      </c>
      <c r="S1579">
        <v>3</v>
      </c>
      <c r="T1579" t="str" cm="1">
        <f t="array" ref="T1579">_xlfn.IFS(S1579&lt;=2,"Poor",S1579&lt;=3,"Fair",S1579&gt;=4,"Good")</f>
        <v>Fair</v>
      </c>
      <c r="U1579" t="s">
        <v>48</v>
      </c>
      <c r="V1579" s="1">
        <v>19187</v>
      </c>
      <c r="W1579" t="str" cm="1">
        <f t="array" ref="W1579">_xlfn.IFS(V1579&lt;=5000,"Low Salary",V1579&lt;=12000,"Good Salary",V1579&gt;12000,"High Salary")</f>
        <v>High Salary</v>
      </c>
      <c r="X1579">
        <v>6992</v>
      </c>
      <c r="Y1579">
        <v>4</v>
      </c>
      <c r="Z1579" t="s">
        <v>42</v>
      </c>
      <c r="AA1579" t="s">
        <v>35</v>
      </c>
      <c r="AB1579">
        <v>14</v>
      </c>
      <c r="AC1579">
        <v>3</v>
      </c>
      <c r="AD1579" t="str">
        <f t="shared" si="49"/>
        <v>Low Performance</v>
      </c>
      <c r="AE1579">
        <v>4</v>
      </c>
      <c r="AF1579">
        <v>80</v>
      </c>
      <c r="AG1579">
        <v>1</v>
      </c>
      <c r="AH1579">
        <v>23</v>
      </c>
      <c r="AI1579">
        <v>5</v>
      </c>
      <c r="AJ1579">
        <v>3</v>
      </c>
      <c r="AK1579" t="str" cm="1">
        <f t="array" ref="AK1579">_xlfn.IFS(AJ1579&lt;=2,"Poor",AJ1579&lt;=3,"Fair",AJ1579&gt;3,"Good")</f>
        <v>Fair</v>
      </c>
      <c r="AL1579">
        <v>19</v>
      </c>
      <c r="AM1579">
        <v>9</v>
      </c>
      <c r="AN1579">
        <v>9</v>
      </c>
      <c r="AO1579">
        <v>11</v>
      </c>
    </row>
    <row r="1580" spans="1:41" x14ac:dyDescent="0.2">
      <c r="A1580">
        <v>1066528</v>
      </c>
      <c r="B1580">
        <v>38</v>
      </c>
      <c r="C1580" t="str" cm="1">
        <f t="array" ref="C1580">_xlfn.IFS(B1580&lt;=25,"15-25",B1580&lt;=35,"26-35",B1580&lt;=45,"36-45",B1580&lt;=55,"46-55",B1580&lt;=65,"56-65")</f>
        <v>36-45</v>
      </c>
      <c r="D1580" t="s">
        <v>35</v>
      </c>
      <c r="E1580" t="str">
        <f t="shared" si="48"/>
        <v>Current Employee</v>
      </c>
      <c r="F1580" t="s">
        <v>52</v>
      </c>
      <c r="G1580">
        <v>1336</v>
      </c>
      <c r="H1580" t="s">
        <v>54</v>
      </c>
      <c r="I1580">
        <v>2</v>
      </c>
      <c r="J1580">
        <v>3</v>
      </c>
      <c r="K1580" t="s">
        <v>57</v>
      </c>
      <c r="L1580">
        <v>1</v>
      </c>
      <c r="M1580">
        <v>1</v>
      </c>
      <c r="N1580" t="s">
        <v>46</v>
      </c>
      <c r="O1580">
        <v>100</v>
      </c>
      <c r="P1580">
        <v>3</v>
      </c>
      <c r="Q1580">
        <v>1</v>
      </c>
      <c r="R1580" t="s">
        <v>47</v>
      </c>
      <c r="S1580">
        <v>2</v>
      </c>
      <c r="T1580" t="str" cm="1">
        <f t="array" ref="T1580">_xlfn.IFS(S1580&lt;=2,"Poor",S1580&lt;=3,"Fair",S1580&gt;=4,"Good")</f>
        <v>Poor</v>
      </c>
      <c r="U1580" t="s">
        <v>50</v>
      </c>
      <c r="V1580" s="1">
        <v>2592</v>
      </c>
      <c r="W1580" t="str" cm="1">
        <f t="array" ref="W1580">_xlfn.IFS(V1580&lt;=5000,"Low Salary",V1580&lt;=12000,"Good Salary",V1580&gt;12000,"High Salary")</f>
        <v>Low Salary</v>
      </c>
      <c r="X1580">
        <v>7129</v>
      </c>
      <c r="Y1580">
        <v>5</v>
      </c>
      <c r="Z1580" t="s">
        <v>42</v>
      </c>
      <c r="AA1580" t="s">
        <v>35</v>
      </c>
      <c r="AB1580">
        <v>13</v>
      </c>
      <c r="AC1580">
        <v>3</v>
      </c>
      <c r="AD1580" t="str">
        <f t="shared" si="49"/>
        <v>Low Performance</v>
      </c>
      <c r="AE1580">
        <v>4</v>
      </c>
      <c r="AF1580">
        <v>80</v>
      </c>
      <c r="AG1580">
        <v>3</v>
      </c>
      <c r="AH1580">
        <v>13</v>
      </c>
      <c r="AI1580">
        <v>3</v>
      </c>
      <c r="AJ1580">
        <v>3</v>
      </c>
      <c r="AK1580" t="str" cm="1">
        <f t="array" ref="AK1580">_xlfn.IFS(AJ1580&lt;=2,"Poor",AJ1580&lt;=3,"Fair",AJ1580&gt;3,"Good")</f>
        <v>Fair</v>
      </c>
      <c r="AL1580">
        <v>11</v>
      </c>
      <c r="AM1580">
        <v>10</v>
      </c>
      <c r="AN1580">
        <v>3</v>
      </c>
      <c r="AO1580">
        <v>8</v>
      </c>
    </row>
    <row r="1581" spans="1:41" x14ac:dyDescent="0.2">
      <c r="A1581">
        <v>1157111</v>
      </c>
      <c r="B1581">
        <v>37</v>
      </c>
      <c r="C1581" t="str" cm="1">
        <f t="array" ref="C1581">_xlfn.IFS(B1581&lt;=25,"15-25",B1581&lt;=35,"26-35",B1581&lt;=45,"36-45",B1581&lt;=55,"46-55",B1581&lt;=65,"56-65")</f>
        <v>36-45</v>
      </c>
      <c r="D1581" t="s">
        <v>35</v>
      </c>
      <c r="E1581" t="str">
        <f t="shared" si="48"/>
        <v>Current Employee</v>
      </c>
      <c r="F1581" t="s">
        <v>36</v>
      </c>
      <c r="G1581">
        <v>309</v>
      </c>
      <c r="H1581" t="s">
        <v>37</v>
      </c>
      <c r="I1581">
        <v>10</v>
      </c>
      <c r="J1581">
        <v>4</v>
      </c>
      <c r="K1581" t="s">
        <v>38</v>
      </c>
      <c r="L1581">
        <v>1</v>
      </c>
      <c r="M1581">
        <v>4</v>
      </c>
      <c r="N1581" t="s">
        <v>39</v>
      </c>
      <c r="O1581">
        <v>88</v>
      </c>
      <c r="P1581">
        <v>2</v>
      </c>
      <c r="Q1581">
        <v>2</v>
      </c>
      <c r="R1581" t="s">
        <v>40</v>
      </c>
      <c r="S1581">
        <v>4</v>
      </c>
      <c r="T1581" t="str" cm="1">
        <f t="array" ref="T1581">_xlfn.IFS(S1581&lt;=2,"Poor",S1581&lt;=3,"Fair",S1581&gt;=4,"Good")</f>
        <v>Good</v>
      </c>
      <c r="U1581" t="s">
        <v>50</v>
      </c>
      <c r="V1581" s="1">
        <v>6694</v>
      </c>
      <c r="W1581" t="str" cm="1">
        <f t="array" ref="W1581">_xlfn.IFS(V1581&lt;=5000,"Low Salary",V1581&lt;=12000,"Good Salary",V1581&gt;12000,"High Salary")</f>
        <v>Good Salary</v>
      </c>
      <c r="X1581">
        <v>24223</v>
      </c>
      <c r="Y1581">
        <v>2</v>
      </c>
      <c r="Z1581" t="s">
        <v>42</v>
      </c>
      <c r="AA1581" t="s">
        <v>43</v>
      </c>
      <c r="AB1581">
        <v>14</v>
      </c>
      <c r="AC1581">
        <v>3</v>
      </c>
      <c r="AD1581" t="str">
        <f t="shared" si="49"/>
        <v>Low Performance</v>
      </c>
      <c r="AE1581">
        <v>3</v>
      </c>
      <c r="AF1581">
        <v>80</v>
      </c>
      <c r="AG1581">
        <v>3</v>
      </c>
      <c r="AH1581">
        <v>8</v>
      </c>
      <c r="AI1581">
        <v>5</v>
      </c>
      <c r="AJ1581">
        <v>3</v>
      </c>
      <c r="AK1581" t="str" cm="1">
        <f t="array" ref="AK1581">_xlfn.IFS(AJ1581&lt;=2,"Poor",AJ1581&lt;=3,"Fair",AJ1581&gt;3,"Good")</f>
        <v>Fair</v>
      </c>
      <c r="AL1581">
        <v>1</v>
      </c>
      <c r="AM1581">
        <v>0</v>
      </c>
      <c r="AN1581">
        <v>0</v>
      </c>
      <c r="AO1581">
        <v>0</v>
      </c>
    </row>
    <row r="1582" spans="1:41" x14ac:dyDescent="0.2">
      <c r="A1582">
        <v>1792052</v>
      </c>
      <c r="B1582">
        <v>29</v>
      </c>
      <c r="C1582" t="str" cm="1">
        <f t="array" ref="C1582">_xlfn.IFS(B1582&lt;=25,"15-25",B1582&lt;=35,"26-35",B1582&lt;=45,"36-45",B1582&lt;=55,"46-55",B1582&lt;=65,"56-65")</f>
        <v>26-35</v>
      </c>
      <c r="D1582" t="s">
        <v>35</v>
      </c>
      <c r="E1582" t="str">
        <f t="shared" si="48"/>
        <v>Current Employee</v>
      </c>
      <c r="F1582" t="s">
        <v>36</v>
      </c>
      <c r="G1582">
        <v>665</v>
      </c>
      <c r="H1582" t="s">
        <v>45</v>
      </c>
      <c r="I1582">
        <v>15</v>
      </c>
      <c r="J1582">
        <v>3</v>
      </c>
      <c r="K1582" t="s">
        <v>38</v>
      </c>
      <c r="L1582">
        <v>1</v>
      </c>
      <c r="M1582">
        <v>3</v>
      </c>
      <c r="N1582" t="s">
        <v>46</v>
      </c>
      <c r="O1582">
        <v>60</v>
      </c>
      <c r="P1582">
        <v>3</v>
      </c>
      <c r="Q1582">
        <v>1</v>
      </c>
      <c r="R1582" t="s">
        <v>40</v>
      </c>
      <c r="S1582">
        <v>4</v>
      </c>
      <c r="T1582" t="str" cm="1">
        <f t="array" ref="T1582">_xlfn.IFS(S1582&lt;=2,"Poor",S1582&lt;=3,"Fair",S1582&gt;=4,"Good")</f>
        <v>Good</v>
      </c>
      <c r="U1582" t="s">
        <v>41</v>
      </c>
      <c r="V1582" s="1">
        <v>2340</v>
      </c>
      <c r="W1582" t="str" cm="1">
        <f t="array" ref="W1582">_xlfn.IFS(V1582&lt;=5000,"Low Salary",V1582&lt;=12000,"Good Salary",V1582&gt;12000,"High Salary")</f>
        <v>Low Salary</v>
      </c>
      <c r="X1582">
        <v>22673</v>
      </c>
      <c r="Y1582">
        <v>1</v>
      </c>
      <c r="Z1582" t="s">
        <v>42</v>
      </c>
      <c r="AA1582" t="s">
        <v>35</v>
      </c>
      <c r="AB1582">
        <v>19</v>
      </c>
      <c r="AC1582">
        <v>3</v>
      </c>
      <c r="AD1582" t="str">
        <f t="shared" si="49"/>
        <v>Low Performance</v>
      </c>
      <c r="AE1582">
        <v>1</v>
      </c>
      <c r="AF1582">
        <v>80</v>
      </c>
      <c r="AG1582">
        <v>0</v>
      </c>
      <c r="AH1582">
        <v>6</v>
      </c>
      <c r="AI1582">
        <v>1</v>
      </c>
      <c r="AJ1582">
        <v>3</v>
      </c>
      <c r="AK1582" t="str" cm="1">
        <f t="array" ref="AK1582">_xlfn.IFS(AJ1582&lt;=2,"Poor",AJ1582&lt;=3,"Fair",AJ1582&gt;3,"Good")</f>
        <v>Fair</v>
      </c>
      <c r="AL1582">
        <v>6</v>
      </c>
      <c r="AM1582">
        <v>5</v>
      </c>
      <c r="AN1582">
        <v>1</v>
      </c>
      <c r="AO1582">
        <v>5</v>
      </c>
    </row>
    <row r="1583" spans="1:41" x14ac:dyDescent="0.2">
      <c r="A1583">
        <v>1676128</v>
      </c>
      <c r="B1583">
        <v>35</v>
      </c>
      <c r="C1583" t="str" cm="1">
        <f t="array" ref="C1583">_xlfn.IFS(B1583&lt;=25,"15-25",B1583&lt;=35,"26-35",B1583&lt;=45,"36-45",B1583&lt;=55,"46-55",B1583&lt;=65,"56-65")</f>
        <v>26-35</v>
      </c>
      <c r="D1583" t="s">
        <v>35</v>
      </c>
      <c r="E1583" t="str">
        <f t="shared" si="48"/>
        <v>Current Employee</v>
      </c>
      <c r="F1583" t="s">
        <v>52</v>
      </c>
      <c r="G1583">
        <v>727</v>
      </c>
      <c r="H1583" t="s">
        <v>54</v>
      </c>
      <c r="I1583">
        <v>3</v>
      </c>
      <c r="J1583">
        <v>3</v>
      </c>
      <c r="K1583" t="s">
        <v>38</v>
      </c>
      <c r="L1583">
        <v>1</v>
      </c>
      <c r="M1583">
        <v>3</v>
      </c>
      <c r="N1583" t="s">
        <v>46</v>
      </c>
      <c r="O1583">
        <v>41</v>
      </c>
      <c r="P1583">
        <v>2</v>
      </c>
      <c r="Q1583">
        <v>1</v>
      </c>
      <c r="R1583" t="s">
        <v>40</v>
      </c>
      <c r="S1583">
        <v>3</v>
      </c>
      <c r="T1583" t="str" cm="1">
        <f t="array" ref="T1583">_xlfn.IFS(S1583&lt;=2,"Poor",S1583&lt;=3,"Fair",S1583&gt;=4,"Good")</f>
        <v>Fair</v>
      </c>
      <c r="U1583" t="s">
        <v>48</v>
      </c>
      <c r="V1583" s="1">
        <v>1281</v>
      </c>
      <c r="W1583" t="str" cm="1">
        <f t="array" ref="W1583">_xlfn.IFS(V1583&lt;=5000,"Low Salary",V1583&lt;=12000,"Good Salary",V1583&gt;12000,"High Salary")</f>
        <v>Low Salary</v>
      </c>
      <c r="X1583">
        <v>16900</v>
      </c>
      <c r="Y1583">
        <v>1</v>
      </c>
      <c r="Z1583" t="s">
        <v>42</v>
      </c>
      <c r="AA1583" t="s">
        <v>35</v>
      </c>
      <c r="AB1583">
        <v>18</v>
      </c>
      <c r="AC1583">
        <v>3</v>
      </c>
      <c r="AD1583" t="str">
        <f t="shared" si="49"/>
        <v>Low Performance</v>
      </c>
      <c r="AE1583">
        <v>3</v>
      </c>
      <c r="AF1583">
        <v>80</v>
      </c>
      <c r="AG1583">
        <v>2</v>
      </c>
      <c r="AH1583">
        <v>1</v>
      </c>
      <c r="AI1583">
        <v>3</v>
      </c>
      <c r="AJ1583">
        <v>3</v>
      </c>
      <c r="AK1583" t="str" cm="1">
        <f t="array" ref="AK1583">_xlfn.IFS(AJ1583&lt;=2,"Poor",AJ1583&lt;=3,"Fair",AJ1583&gt;3,"Good")</f>
        <v>Fair</v>
      </c>
      <c r="AL1583">
        <v>1</v>
      </c>
      <c r="AM1583">
        <v>0</v>
      </c>
      <c r="AN1583">
        <v>0</v>
      </c>
      <c r="AO1583">
        <v>0</v>
      </c>
    </row>
    <row r="1584" spans="1:41" x14ac:dyDescent="0.2">
      <c r="A1584">
        <v>1148181</v>
      </c>
      <c r="B1584">
        <v>33</v>
      </c>
      <c r="C1584" t="str" cm="1">
        <f t="array" ref="C1584">_xlfn.IFS(B1584&lt;=25,"15-25",B1584&lt;=35,"26-35",B1584&lt;=45,"36-45",B1584&lt;=55,"46-55",B1584&lt;=65,"56-65")</f>
        <v>26-35</v>
      </c>
      <c r="D1584" t="s">
        <v>35</v>
      </c>
      <c r="E1584" t="str">
        <f t="shared" si="48"/>
        <v>Current Employee</v>
      </c>
      <c r="F1584" t="s">
        <v>44</v>
      </c>
      <c r="G1584">
        <v>1146</v>
      </c>
      <c r="H1584" t="s">
        <v>37</v>
      </c>
      <c r="I1584">
        <v>25</v>
      </c>
      <c r="J1584">
        <v>3</v>
      </c>
      <c r="K1584" t="s">
        <v>49</v>
      </c>
      <c r="L1584">
        <v>1</v>
      </c>
      <c r="M1584">
        <v>2</v>
      </c>
      <c r="N1584" t="s">
        <v>39</v>
      </c>
      <c r="O1584">
        <v>82</v>
      </c>
      <c r="P1584">
        <v>3</v>
      </c>
      <c r="Q1584">
        <v>2</v>
      </c>
      <c r="R1584" t="s">
        <v>40</v>
      </c>
      <c r="S1584">
        <v>3</v>
      </c>
      <c r="T1584" t="str" cm="1">
        <f t="array" ref="T1584">_xlfn.IFS(S1584&lt;=2,"Poor",S1584&lt;=3,"Fair",S1584&gt;=4,"Good")</f>
        <v>Fair</v>
      </c>
      <c r="U1584" t="s">
        <v>48</v>
      </c>
      <c r="V1584" s="1">
        <v>4539</v>
      </c>
      <c r="W1584" t="str" cm="1">
        <f t="array" ref="W1584">_xlfn.IFS(V1584&lt;=5000,"Low Salary",V1584&lt;=12000,"Good Salary",V1584&gt;12000,"High Salary")</f>
        <v>Low Salary</v>
      </c>
      <c r="X1584">
        <v>4905</v>
      </c>
      <c r="Y1584">
        <v>1</v>
      </c>
      <c r="Z1584" t="s">
        <v>42</v>
      </c>
      <c r="AA1584" t="s">
        <v>35</v>
      </c>
      <c r="AB1584">
        <v>12</v>
      </c>
      <c r="AC1584">
        <v>3</v>
      </c>
      <c r="AD1584" t="str">
        <f t="shared" si="49"/>
        <v>Low Performance</v>
      </c>
      <c r="AE1584">
        <v>1</v>
      </c>
      <c r="AF1584">
        <v>80</v>
      </c>
      <c r="AG1584">
        <v>1</v>
      </c>
      <c r="AH1584">
        <v>10</v>
      </c>
      <c r="AI1584">
        <v>3</v>
      </c>
      <c r="AJ1584">
        <v>2</v>
      </c>
      <c r="AK1584" t="str" cm="1">
        <f t="array" ref="AK1584">_xlfn.IFS(AJ1584&lt;=2,"Poor",AJ1584&lt;=3,"Fair",AJ1584&gt;3,"Good")</f>
        <v>Poor</v>
      </c>
      <c r="AL1584">
        <v>10</v>
      </c>
      <c r="AM1584">
        <v>7</v>
      </c>
      <c r="AN1584">
        <v>0</v>
      </c>
      <c r="AO1584">
        <v>1</v>
      </c>
    </row>
    <row r="1585" spans="1:41" x14ac:dyDescent="0.2">
      <c r="A1585">
        <v>1844032</v>
      </c>
      <c r="B1585">
        <v>36</v>
      </c>
      <c r="C1585" t="str" cm="1">
        <f t="array" ref="C1585">_xlfn.IFS(B1585&lt;=25,"15-25",B1585&lt;=35,"26-35",B1585&lt;=45,"36-45",B1585&lt;=55,"46-55",B1585&lt;=65,"56-65")</f>
        <v>36-45</v>
      </c>
      <c r="D1585" t="s">
        <v>35</v>
      </c>
      <c r="E1585" t="str">
        <f t="shared" si="48"/>
        <v>Current Employee</v>
      </c>
      <c r="F1585" t="s">
        <v>36</v>
      </c>
      <c r="G1585">
        <v>530</v>
      </c>
      <c r="H1585" t="s">
        <v>37</v>
      </c>
      <c r="I1585">
        <v>2</v>
      </c>
      <c r="J1585">
        <v>4</v>
      </c>
      <c r="K1585" t="s">
        <v>38</v>
      </c>
      <c r="L1585">
        <v>1</v>
      </c>
      <c r="M1585">
        <v>3</v>
      </c>
      <c r="N1585" t="s">
        <v>39</v>
      </c>
      <c r="O1585">
        <v>51</v>
      </c>
      <c r="P1585">
        <v>3</v>
      </c>
      <c r="Q1585">
        <v>2</v>
      </c>
      <c r="R1585" t="s">
        <v>47</v>
      </c>
      <c r="S1585">
        <v>4</v>
      </c>
      <c r="T1585" t="str" cm="1">
        <f t="array" ref="T1585">_xlfn.IFS(S1585&lt;=2,"Poor",S1585&lt;=3,"Fair",S1585&gt;=4,"Good")</f>
        <v>Good</v>
      </c>
      <c r="U1585" t="s">
        <v>41</v>
      </c>
      <c r="V1585" s="1">
        <v>4502</v>
      </c>
      <c r="W1585" t="str" cm="1">
        <f t="array" ref="W1585">_xlfn.IFS(V1585&lt;=5000,"Low Salary",V1585&lt;=12000,"Good Salary",V1585&gt;12000,"High Salary")</f>
        <v>Low Salary</v>
      </c>
      <c r="X1585">
        <v>7439</v>
      </c>
      <c r="Y1585">
        <v>3</v>
      </c>
      <c r="Z1585" t="s">
        <v>42</v>
      </c>
      <c r="AA1585" t="s">
        <v>35</v>
      </c>
      <c r="AB1585">
        <v>15</v>
      </c>
      <c r="AC1585">
        <v>3</v>
      </c>
      <c r="AD1585" t="str">
        <f t="shared" si="49"/>
        <v>Low Performance</v>
      </c>
      <c r="AE1585">
        <v>3</v>
      </c>
      <c r="AF1585">
        <v>80</v>
      </c>
      <c r="AG1585">
        <v>0</v>
      </c>
      <c r="AH1585">
        <v>17</v>
      </c>
      <c r="AI1585">
        <v>2</v>
      </c>
      <c r="AJ1585">
        <v>2</v>
      </c>
      <c r="AK1585" t="str" cm="1">
        <f t="array" ref="AK1585">_xlfn.IFS(AJ1585&lt;=2,"Poor",AJ1585&lt;=3,"Fair",AJ1585&gt;3,"Good")</f>
        <v>Poor</v>
      </c>
      <c r="AL1585">
        <v>13</v>
      </c>
      <c r="AM1585">
        <v>7</v>
      </c>
      <c r="AN1585">
        <v>6</v>
      </c>
      <c r="AO1585">
        <v>7</v>
      </c>
    </row>
    <row r="1586" spans="1:41" x14ac:dyDescent="0.2">
      <c r="A1586">
        <v>1146009</v>
      </c>
      <c r="B1586">
        <v>23</v>
      </c>
      <c r="C1586" t="str" cm="1">
        <f t="array" ref="C1586">_xlfn.IFS(B1586&lt;=25,"15-25",B1586&lt;=35,"26-35",B1586&lt;=45,"36-45",B1586&lt;=55,"46-55",B1586&lt;=65,"56-65")</f>
        <v>15-25</v>
      </c>
      <c r="D1586" t="s">
        <v>35</v>
      </c>
      <c r="E1586" t="str">
        <f t="shared" si="48"/>
        <v>Current Employee</v>
      </c>
      <c r="F1586" t="s">
        <v>36</v>
      </c>
      <c r="G1586">
        <v>977</v>
      </c>
      <c r="H1586" t="s">
        <v>45</v>
      </c>
      <c r="I1586">
        <v>10</v>
      </c>
      <c r="J1586">
        <v>3</v>
      </c>
      <c r="K1586" t="s">
        <v>56</v>
      </c>
      <c r="L1586">
        <v>1</v>
      </c>
      <c r="M1586">
        <v>4</v>
      </c>
      <c r="N1586" t="s">
        <v>46</v>
      </c>
      <c r="O1586">
        <v>45</v>
      </c>
      <c r="P1586">
        <v>4</v>
      </c>
      <c r="Q1586">
        <v>1</v>
      </c>
      <c r="R1586" t="s">
        <v>40</v>
      </c>
      <c r="S1586">
        <v>3</v>
      </c>
      <c r="T1586" t="str" cm="1">
        <f t="array" ref="T1586">_xlfn.IFS(S1586&lt;=2,"Poor",S1586&lt;=3,"Fair",S1586&gt;=4,"Good")</f>
        <v>Fair</v>
      </c>
      <c r="U1586" t="s">
        <v>48</v>
      </c>
      <c r="V1586" s="1">
        <v>2073</v>
      </c>
      <c r="W1586" t="str" cm="1">
        <f t="array" ref="W1586">_xlfn.IFS(V1586&lt;=5000,"Low Salary",V1586&lt;=12000,"Good Salary",V1586&gt;12000,"High Salary")</f>
        <v>Low Salary</v>
      </c>
      <c r="X1586">
        <v>12826</v>
      </c>
      <c r="Y1586">
        <v>2</v>
      </c>
      <c r="Z1586" t="s">
        <v>42</v>
      </c>
      <c r="AA1586" t="s">
        <v>35</v>
      </c>
      <c r="AB1586">
        <v>16</v>
      </c>
      <c r="AC1586">
        <v>3</v>
      </c>
      <c r="AD1586" t="str">
        <f t="shared" si="49"/>
        <v>Low Performance</v>
      </c>
      <c r="AE1586">
        <v>4</v>
      </c>
      <c r="AF1586">
        <v>80</v>
      </c>
      <c r="AG1586">
        <v>1</v>
      </c>
      <c r="AH1586">
        <v>4</v>
      </c>
      <c r="AI1586">
        <v>2</v>
      </c>
      <c r="AJ1586">
        <v>3</v>
      </c>
      <c r="AK1586" t="str" cm="1">
        <f t="array" ref="AK1586">_xlfn.IFS(AJ1586&lt;=2,"Poor",AJ1586&lt;=3,"Fair",AJ1586&gt;3,"Good")</f>
        <v>Fair</v>
      </c>
      <c r="AL1586">
        <v>2</v>
      </c>
      <c r="AM1586">
        <v>2</v>
      </c>
      <c r="AN1586">
        <v>2</v>
      </c>
      <c r="AO1586">
        <v>2</v>
      </c>
    </row>
    <row r="1587" spans="1:41" x14ac:dyDescent="0.2">
      <c r="A1587">
        <v>1090887</v>
      </c>
      <c r="B1587">
        <v>32</v>
      </c>
      <c r="C1587" t="str" cm="1">
        <f t="array" ref="C1587">_xlfn.IFS(B1587&lt;=25,"15-25",B1587&lt;=35,"26-35",B1587&lt;=45,"36-45",B1587&lt;=55,"46-55",B1587&lt;=65,"56-65")</f>
        <v>26-35</v>
      </c>
      <c r="D1587" t="s">
        <v>35</v>
      </c>
      <c r="E1587" t="str">
        <f t="shared" si="48"/>
        <v>Current Employee</v>
      </c>
      <c r="F1587" t="s">
        <v>44</v>
      </c>
      <c r="G1587">
        <v>1005</v>
      </c>
      <c r="H1587" t="s">
        <v>54</v>
      </c>
      <c r="I1587">
        <v>2</v>
      </c>
      <c r="J1587">
        <v>2</v>
      </c>
      <c r="K1587" t="s">
        <v>38</v>
      </c>
      <c r="L1587">
        <v>1</v>
      </c>
      <c r="M1587">
        <v>4</v>
      </c>
      <c r="N1587" t="s">
        <v>46</v>
      </c>
      <c r="O1587">
        <v>79</v>
      </c>
      <c r="P1587">
        <v>3</v>
      </c>
      <c r="Q1587">
        <v>1</v>
      </c>
      <c r="R1587" t="s">
        <v>40</v>
      </c>
      <c r="S1587">
        <v>4</v>
      </c>
      <c r="T1587" t="str" cm="1">
        <f t="array" ref="T1587">_xlfn.IFS(S1587&lt;=2,"Poor",S1587&lt;=3,"Fair",S1587&gt;=4,"Good")</f>
        <v>Good</v>
      </c>
      <c r="U1587" t="s">
        <v>41</v>
      </c>
      <c r="V1587" s="1">
        <v>3068</v>
      </c>
      <c r="W1587" t="str" cm="1">
        <f t="array" ref="W1587">_xlfn.IFS(V1587&lt;=5000,"Low Salary",V1587&lt;=12000,"Good Salary",V1587&gt;12000,"High Salary")</f>
        <v>Low Salary</v>
      </c>
      <c r="X1587">
        <v>11864</v>
      </c>
      <c r="Y1587">
        <v>0</v>
      </c>
      <c r="Z1587" t="s">
        <v>42</v>
      </c>
      <c r="AA1587" t="s">
        <v>35</v>
      </c>
      <c r="AB1587">
        <v>13</v>
      </c>
      <c r="AC1587">
        <v>3</v>
      </c>
      <c r="AD1587" t="str">
        <f t="shared" si="49"/>
        <v>Low Performance</v>
      </c>
      <c r="AE1587">
        <v>3</v>
      </c>
      <c r="AF1587">
        <v>80</v>
      </c>
      <c r="AG1587">
        <v>0</v>
      </c>
      <c r="AH1587">
        <v>8</v>
      </c>
      <c r="AI1587">
        <v>2</v>
      </c>
      <c r="AJ1587">
        <v>2</v>
      </c>
      <c r="AK1587" t="str" cm="1">
        <f t="array" ref="AK1587">_xlfn.IFS(AJ1587&lt;=2,"Poor",AJ1587&lt;=3,"Fair",AJ1587&gt;3,"Good")</f>
        <v>Poor</v>
      </c>
      <c r="AL1587">
        <v>7</v>
      </c>
      <c r="AM1587">
        <v>7</v>
      </c>
      <c r="AN1587">
        <v>3</v>
      </c>
      <c r="AO1587">
        <v>6</v>
      </c>
    </row>
    <row r="1588" spans="1:41" x14ac:dyDescent="0.2">
      <c r="A1588">
        <v>1709085</v>
      </c>
      <c r="B1588">
        <v>36</v>
      </c>
      <c r="C1588" t="str" cm="1">
        <f t="array" ref="C1588">_xlfn.IFS(B1588&lt;=25,"15-25",B1588&lt;=35,"26-35",B1588&lt;=45,"36-45",B1588&lt;=55,"46-55",B1588&lt;=65,"56-65")</f>
        <v>36-45</v>
      </c>
      <c r="D1588" t="s">
        <v>35</v>
      </c>
      <c r="E1588" t="str">
        <f t="shared" si="48"/>
        <v>Current Employee</v>
      </c>
      <c r="F1588" t="s">
        <v>36</v>
      </c>
      <c r="G1588">
        <v>884</v>
      </c>
      <c r="H1588" t="s">
        <v>37</v>
      </c>
      <c r="I1588">
        <v>1</v>
      </c>
      <c r="J1588">
        <v>4</v>
      </c>
      <c r="K1588" t="s">
        <v>38</v>
      </c>
      <c r="L1588">
        <v>1</v>
      </c>
      <c r="M1588">
        <v>2</v>
      </c>
      <c r="N1588" t="s">
        <v>39</v>
      </c>
      <c r="O1588">
        <v>73</v>
      </c>
      <c r="P1588">
        <v>3</v>
      </c>
      <c r="Q1588">
        <v>2</v>
      </c>
      <c r="R1588" t="s">
        <v>40</v>
      </c>
      <c r="S1588">
        <v>3</v>
      </c>
      <c r="T1588" t="str" cm="1">
        <f t="array" ref="T1588">_xlfn.IFS(S1588&lt;=2,"Poor",S1588&lt;=3,"Fair",S1588&gt;=4,"Good")</f>
        <v>Fair</v>
      </c>
      <c r="U1588" t="s">
        <v>41</v>
      </c>
      <c r="V1588" s="1">
        <v>6815</v>
      </c>
      <c r="W1588" t="str" cm="1">
        <f t="array" ref="W1588">_xlfn.IFS(V1588&lt;=5000,"Low Salary",V1588&lt;=12000,"Good Salary",V1588&gt;12000,"High Salary")</f>
        <v>Good Salary</v>
      </c>
      <c r="X1588">
        <v>21447</v>
      </c>
      <c r="Y1588">
        <v>6</v>
      </c>
      <c r="Z1588" t="s">
        <v>42</v>
      </c>
      <c r="AA1588" t="s">
        <v>35</v>
      </c>
      <c r="AB1588">
        <v>13</v>
      </c>
      <c r="AC1588">
        <v>3</v>
      </c>
      <c r="AD1588" t="str">
        <f t="shared" si="49"/>
        <v>Low Performance</v>
      </c>
      <c r="AE1588">
        <v>1</v>
      </c>
      <c r="AF1588">
        <v>80</v>
      </c>
      <c r="AG1588">
        <v>0</v>
      </c>
      <c r="AH1588">
        <v>15</v>
      </c>
      <c r="AI1588">
        <v>5</v>
      </c>
      <c r="AJ1588">
        <v>3</v>
      </c>
      <c r="AK1588" t="str" cm="1">
        <f t="array" ref="AK1588">_xlfn.IFS(AJ1588&lt;=2,"Poor",AJ1588&lt;=3,"Fair",AJ1588&gt;3,"Good")</f>
        <v>Fair</v>
      </c>
      <c r="AL1588">
        <v>1</v>
      </c>
      <c r="AM1588">
        <v>0</v>
      </c>
      <c r="AN1588">
        <v>0</v>
      </c>
      <c r="AO1588">
        <v>0</v>
      </c>
    </row>
    <row r="1589" spans="1:41" x14ac:dyDescent="0.2">
      <c r="A1589">
        <v>1767733</v>
      </c>
      <c r="B1589">
        <v>42</v>
      </c>
      <c r="C1589" t="str" cm="1">
        <f t="array" ref="C1589">_xlfn.IFS(B1589&lt;=25,"15-25",B1589&lt;=35,"26-35",B1589&lt;=45,"36-45",B1589&lt;=55,"46-55",B1589&lt;=65,"56-65")</f>
        <v>36-45</v>
      </c>
      <c r="D1589" t="s">
        <v>35</v>
      </c>
      <c r="E1589" t="str">
        <f t="shared" si="48"/>
        <v>Current Employee</v>
      </c>
      <c r="F1589" t="s">
        <v>44</v>
      </c>
      <c r="G1589">
        <v>288</v>
      </c>
      <c r="H1589" t="s">
        <v>45</v>
      </c>
      <c r="I1589">
        <v>2</v>
      </c>
      <c r="J1589">
        <v>3</v>
      </c>
      <c r="K1589" t="s">
        <v>38</v>
      </c>
      <c r="L1589">
        <v>1</v>
      </c>
      <c r="M1589">
        <v>4</v>
      </c>
      <c r="N1589" t="s">
        <v>46</v>
      </c>
      <c r="O1589">
        <v>40</v>
      </c>
      <c r="P1589">
        <v>3</v>
      </c>
      <c r="Q1589">
        <v>3</v>
      </c>
      <c r="R1589" t="s">
        <v>47</v>
      </c>
      <c r="S1589">
        <v>4</v>
      </c>
      <c r="T1589" t="str" cm="1">
        <f t="array" ref="T1589">_xlfn.IFS(S1589&lt;=2,"Poor",S1589&lt;=3,"Fair",S1589&gt;=4,"Good")</f>
        <v>Good</v>
      </c>
      <c r="U1589" t="s">
        <v>48</v>
      </c>
      <c r="V1589" s="1">
        <v>10124</v>
      </c>
      <c r="W1589" t="str" cm="1">
        <f t="array" ref="W1589">_xlfn.IFS(V1589&lt;=5000,"Low Salary",V1589&lt;=12000,"Good Salary",V1589&gt;12000,"High Salary")</f>
        <v>Good Salary</v>
      </c>
      <c r="X1589">
        <v>18611</v>
      </c>
      <c r="Y1589">
        <v>2</v>
      </c>
      <c r="Z1589" t="s">
        <v>42</v>
      </c>
      <c r="AA1589" t="s">
        <v>43</v>
      </c>
      <c r="AB1589">
        <v>14</v>
      </c>
      <c r="AC1589">
        <v>3</v>
      </c>
      <c r="AD1589" t="str">
        <f t="shared" si="49"/>
        <v>Low Performance</v>
      </c>
      <c r="AE1589">
        <v>3</v>
      </c>
      <c r="AF1589">
        <v>80</v>
      </c>
      <c r="AG1589">
        <v>1</v>
      </c>
      <c r="AH1589">
        <v>24</v>
      </c>
      <c r="AI1589">
        <v>3</v>
      </c>
      <c r="AJ1589">
        <v>1</v>
      </c>
      <c r="AK1589" t="str" cm="1">
        <f t="array" ref="AK1589">_xlfn.IFS(AJ1589&lt;=2,"Poor",AJ1589&lt;=3,"Fair",AJ1589&gt;3,"Good")</f>
        <v>Poor</v>
      </c>
      <c r="AL1589">
        <v>20</v>
      </c>
      <c r="AM1589">
        <v>8</v>
      </c>
      <c r="AN1589">
        <v>13</v>
      </c>
      <c r="AO1589">
        <v>9</v>
      </c>
    </row>
    <row r="1590" spans="1:41" x14ac:dyDescent="0.2">
      <c r="A1590">
        <v>1790839</v>
      </c>
      <c r="B1590">
        <v>55</v>
      </c>
      <c r="C1590" t="str" cm="1">
        <f t="array" ref="C1590">_xlfn.IFS(B1590&lt;=25,"15-25",B1590&lt;=35,"26-35",B1590&lt;=45,"36-45",B1590&lt;=55,"46-55",B1590&lt;=65,"56-65")</f>
        <v>46-55</v>
      </c>
      <c r="D1590" t="s">
        <v>35</v>
      </c>
      <c r="E1590" t="str">
        <f t="shared" si="48"/>
        <v>Current Employee</v>
      </c>
      <c r="F1590" t="s">
        <v>44</v>
      </c>
      <c r="G1590">
        <v>135</v>
      </c>
      <c r="H1590" t="s">
        <v>45</v>
      </c>
      <c r="I1590">
        <v>18</v>
      </c>
      <c r="J1590">
        <v>4</v>
      </c>
      <c r="K1590" t="s">
        <v>49</v>
      </c>
      <c r="L1590">
        <v>1</v>
      </c>
      <c r="M1590">
        <v>3</v>
      </c>
      <c r="N1590" t="s">
        <v>46</v>
      </c>
      <c r="O1590">
        <v>62</v>
      </c>
      <c r="P1590">
        <v>3</v>
      </c>
      <c r="Q1590">
        <v>2</v>
      </c>
      <c r="R1590" t="s">
        <v>47</v>
      </c>
      <c r="S1590">
        <v>2</v>
      </c>
      <c r="T1590" t="str" cm="1">
        <f t="array" ref="T1590">_xlfn.IFS(S1590&lt;=2,"Poor",S1590&lt;=3,"Fair",S1590&gt;=4,"Good")</f>
        <v>Poor</v>
      </c>
      <c r="U1590" t="s">
        <v>48</v>
      </c>
      <c r="V1590" s="1">
        <v>6385</v>
      </c>
      <c r="W1590" t="str" cm="1">
        <f t="array" ref="W1590">_xlfn.IFS(V1590&lt;=5000,"Low Salary",V1590&lt;=12000,"Good Salary",V1590&gt;12000,"High Salary")</f>
        <v>Good Salary</v>
      </c>
      <c r="X1590">
        <v>12992</v>
      </c>
      <c r="Y1590">
        <v>3</v>
      </c>
      <c r="Z1590" t="s">
        <v>42</v>
      </c>
      <c r="AA1590" t="s">
        <v>43</v>
      </c>
      <c r="AB1590">
        <v>14</v>
      </c>
      <c r="AC1590">
        <v>3</v>
      </c>
      <c r="AD1590" t="str">
        <f t="shared" si="49"/>
        <v>Low Performance</v>
      </c>
      <c r="AE1590">
        <v>4</v>
      </c>
      <c r="AF1590">
        <v>80</v>
      </c>
      <c r="AG1590">
        <v>2</v>
      </c>
      <c r="AH1590">
        <v>17</v>
      </c>
      <c r="AI1590">
        <v>3</v>
      </c>
      <c r="AJ1590">
        <v>3</v>
      </c>
      <c r="AK1590" t="str" cm="1">
        <f t="array" ref="AK1590">_xlfn.IFS(AJ1590&lt;=2,"Poor",AJ1590&lt;=3,"Fair",AJ1590&gt;3,"Good")</f>
        <v>Fair</v>
      </c>
      <c r="AL1590">
        <v>8</v>
      </c>
      <c r="AM1590">
        <v>7</v>
      </c>
      <c r="AN1590">
        <v>6</v>
      </c>
      <c r="AO1590">
        <v>7</v>
      </c>
    </row>
    <row r="1591" spans="1:41" x14ac:dyDescent="0.2">
      <c r="A1591">
        <v>1629597</v>
      </c>
      <c r="B1591">
        <v>35</v>
      </c>
      <c r="C1591" t="str" cm="1">
        <f t="array" ref="C1591">_xlfn.IFS(B1591&lt;=25,"15-25",B1591&lt;=35,"26-35",B1591&lt;=45,"36-45",B1591&lt;=55,"46-55",B1591&lt;=65,"56-65")</f>
        <v>26-35</v>
      </c>
      <c r="D1591" t="s">
        <v>35</v>
      </c>
      <c r="E1591" t="str">
        <f t="shared" si="48"/>
        <v>Current Employee</v>
      </c>
      <c r="F1591" t="s">
        <v>36</v>
      </c>
      <c r="G1591">
        <v>735</v>
      </c>
      <c r="H1591" t="s">
        <v>45</v>
      </c>
      <c r="I1591">
        <v>6</v>
      </c>
      <c r="J1591">
        <v>1</v>
      </c>
      <c r="K1591" t="s">
        <v>38</v>
      </c>
      <c r="L1591">
        <v>1</v>
      </c>
      <c r="M1591">
        <v>3</v>
      </c>
      <c r="N1591" t="s">
        <v>46</v>
      </c>
      <c r="O1591">
        <v>66</v>
      </c>
      <c r="P1591">
        <v>3</v>
      </c>
      <c r="Q1591">
        <v>1</v>
      </c>
      <c r="R1591" t="s">
        <v>40</v>
      </c>
      <c r="S1591">
        <v>3</v>
      </c>
      <c r="T1591" t="str" cm="1">
        <f t="array" ref="T1591">_xlfn.IFS(S1591&lt;=2,"Poor",S1591&lt;=3,"Fair",S1591&gt;=4,"Good")</f>
        <v>Fair</v>
      </c>
      <c r="U1591" t="s">
        <v>48</v>
      </c>
      <c r="V1591" s="1">
        <v>3506</v>
      </c>
      <c r="W1591" t="str" cm="1">
        <f t="array" ref="W1591">_xlfn.IFS(V1591&lt;=5000,"Low Salary",V1591&lt;=12000,"Good Salary",V1591&gt;12000,"High Salary")</f>
        <v>Low Salary</v>
      </c>
      <c r="X1591">
        <v>6020</v>
      </c>
      <c r="Y1591">
        <v>0</v>
      </c>
      <c r="Z1591" t="s">
        <v>42</v>
      </c>
      <c r="AA1591" t="s">
        <v>43</v>
      </c>
      <c r="AB1591">
        <v>14</v>
      </c>
      <c r="AC1591">
        <v>3</v>
      </c>
      <c r="AD1591" t="str">
        <f t="shared" si="49"/>
        <v>Low Performance</v>
      </c>
      <c r="AE1591">
        <v>4</v>
      </c>
      <c r="AF1591">
        <v>80</v>
      </c>
      <c r="AG1591">
        <v>0</v>
      </c>
      <c r="AH1591">
        <v>4</v>
      </c>
      <c r="AI1591">
        <v>3</v>
      </c>
      <c r="AJ1591">
        <v>3</v>
      </c>
      <c r="AK1591" t="str" cm="1">
        <f t="array" ref="AK1591">_xlfn.IFS(AJ1591&lt;=2,"Poor",AJ1591&lt;=3,"Fair",AJ1591&gt;3,"Good")</f>
        <v>Fair</v>
      </c>
      <c r="AL1591">
        <v>3</v>
      </c>
      <c r="AM1591">
        <v>2</v>
      </c>
      <c r="AN1591">
        <v>2</v>
      </c>
      <c r="AO1591">
        <v>2</v>
      </c>
    </row>
    <row r="1592" spans="1:41" x14ac:dyDescent="0.2">
      <c r="A1592">
        <v>1209768</v>
      </c>
      <c r="B1592">
        <v>40</v>
      </c>
      <c r="C1592" t="str" cm="1">
        <f t="array" ref="C1592">_xlfn.IFS(B1592&lt;=25,"15-25",B1592&lt;=35,"26-35",B1592&lt;=45,"36-45",B1592&lt;=55,"46-55",B1592&lt;=65,"56-65")</f>
        <v>36-45</v>
      </c>
      <c r="D1592" t="s">
        <v>35</v>
      </c>
      <c r="E1592" t="str">
        <f t="shared" si="48"/>
        <v>Current Employee</v>
      </c>
      <c r="F1592" t="s">
        <v>44</v>
      </c>
      <c r="G1592">
        <v>692</v>
      </c>
      <c r="H1592" t="s">
        <v>54</v>
      </c>
      <c r="I1592">
        <v>11</v>
      </c>
      <c r="J1592">
        <v>3</v>
      </c>
      <c r="K1592" t="s">
        <v>56</v>
      </c>
      <c r="L1592">
        <v>1</v>
      </c>
      <c r="M1592">
        <v>4</v>
      </c>
      <c r="N1592" t="s">
        <v>39</v>
      </c>
      <c r="O1592">
        <v>73</v>
      </c>
      <c r="P1592">
        <v>3</v>
      </c>
      <c r="Q1592">
        <v>2</v>
      </c>
      <c r="R1592" t="s">
        <v>40</v>
      </c>
      <c r="S1592">
        <v>3</v>
      </c>
      <c r="T1592" t="str" cm="1">
        <f t="array" ref="T1592">_xlfn.IFS(S1592&lt;=2,"Poor",S1592&lt;=3,"Fair",S1592&gt;=4,"Good")</f>
        <v>Fair</v>
      </c>
      <c r="U1592" t="s">
        <v>48</v>
      </c>
      <c r="V1592" s="1">
        <v>6323</v>
      </c>
      <c r="W1592" t="str" cm="1">
        <f t="array" ref="W1592">_xlfn.IFS(V1592&lt;=5000,"Low Salary",V1592&lt;=12000,"Good Salary",V1592&gt;12000,"High Salary")</f>
        <v>Good Salary</v>
      </c>
      <c r="X1592">
        <v>26849</v>
      </c>
      <c r="Y1592">
        <v>1</v>
      </c>
      <c r="Z1592" t="s">
        <v>42</v>
      </c>
      <c r="AA1592" t="s">
        <v>35</v>
      </c>
      <c r="AB1592">
        <v>11</v>
      </c>
      <c r="AC1592">
        <v>3</v>
      </c>
      <c r="AD1592" t="str">
        <f t="shared" si="49"/>
        <v>Low Performance</v>
      </c>
      <c r="AE1592">
        <v>1</v>
      </c>
      <c r="AF1592">
        <v>80</v>
      </c>
      <c r="AG1592">
        <v>1</v>
      </c>
      <c r="AH1592">
        <v>10</v>
      </c>
      <c r="AI1592">
        <v>2</v>
      </c>
      <c r="AJ1592">
        <v>4</v>
      </c>
      <c r="AK1592" t="str" cm="1">
        <f t="array" ref="AK1592">_xlfn.IFS(AJ1592&lt;=2,"Poor",AJ1592&lt;=3,"Fair",AJ1592&gt;3,"Good")</f>
        <v>Good</v>
      </c>
      <c r="AL1592">
        <v>10</v>
      </c>
      <c r="AM1592">
        <v>9</v>
      </c>
      <c r="AN1592">
        <v>9</v>
      </c>
      <c r="AO1592">
        <v>4</v>
      </c>
    </row>
    <row r="1593" spans="1:41" x14ac:dyDescent="0.2">
      <c r="A1593">
        <v>1037474</v>
      </c>
      <c r="B1593">
        <v>28</v>
      </c>
      <c r="C1593" t="str" cm="1">
        <f t="array" ref="C1593">_xlfn.IFS(B1593&lt;=25,"15-25",B1593&lt;=35,"26-35",B1593&lt;=45,"36-45",B1593&lt;=55,"46-55",B1593&lt;=65,"56-65")</f>
        <v>26-35</v>
      </c>
      <c r="D1593" t="s">
        <v>35</v>
      </c>
      <c r="E1593" t="str">
        <f t="shared" si="48"/>
        <v>Current Employee</v>
      </c>
      <c r="F1593" t="s">
        <v>52</v>
      </c>
      <c r="G1593">
        <v>1366</v>
      </c>
      <c r="H1593" t="s">
        <v>45</v>
      </c>
      <c r="I1593">
        <v>24</v>
      </c>
      <c r="J1593">
        <v>2</v>
      </c>
      <c r="K1593" t="s">
        <v>56</v>
      </c>
      <c r="L1593">
        <v>1</v>
      </c>
      <c r="M1593">
        <v>2</v>
      </c>
      <c r="N1593" t="s">
        <v>46</v>
      </c>
      <c r="O1593">
        <v>72</v>
      </c>
      <c r="P1593">
        <v>2</v>
      </c>
      <c r="Q1593">
        <v>3</v>
      </c>
      <c r="R1593" t="s">
        <v>47</v>
      </c>
      <c r="S1593">
        <v>1</v>
      </c>
      <c r="T1593" t="str" cm="1">
        <f t="array" ref="T1593">_xlfn.IFS(S1593&lt;=2,"Poor",S1593&lt;=3,"Fair",S1593&gt;=4,"Good")</f>
        <v>Poor</v>
      </c>
      <c r="U1593" t="s">
        <v>41</v>
      </c>
      <c r="V1593" s="1">
        <v>8722</v>
      </c>
      <c r="W1593" t="str" cm="1">
        <f t="array" ref="W1593">_xlfn.IFS(V1593&lt;=5000,"Low Salary",V1593&lt;=12000,"Good Salary",V1593&gt;12000,"High Salary")</f>
        <v>Good Salary</v>
      </c>
      <c r="X1593">
        <v>12355</v>
      </c>
      <c r="Y1593">
        <v>1</v>
      </c>
      <c r="Z1593" t="s">
        <v>42</v>
      </c>
      <c r="AA1593" t="s">
        <v>35</v>
      </c>
      <c r="AB1593">
        <v>12</v>
      </c>
      <c r="AC1593">
        <v>3</v>
      </c>
      <c r="AD1593" t="str">
        <f t="shared" si="49"/>
        <v>Low Performance</v>
      </c>
      <c r="AE1593">
        <v>1</v>
      </c>
      <c r="AF1593">
        <v>80</v>
      </c>
      <c r="AG1593">
        <v>0</v>
      </c>
      <c r="AH1593">
        <v>10</v>
      </c>
      <c r="AI1593">
        <v>2</v>
      </c>
      <c r="AJ1593">
        <v>2</v>
      </c>
      <c r="AK1593" t="str" cm="1">
        <f t="array" ref="AK1593">_xlfn.IFS(AJ1593&lt;=2,"Poor",AJ1593&lt;=3,"Fair",AJ1593&gt;3,"Good")</f>
        <v>Poor</v>
      </c>
      <c r="AL1593">
        <v>10</v>
      </c>
      <c r="AM1593">
        <v>7</v>
      </c>
      <c r="AN1593">
        <v>1</v>
      </c>
      <c r="AO1593">
        <v>9</v>
      </c>
    </row>
    <row r="1594" spans="1:41" x14ac:dyDescent="0.2">
      <c r="A1594">
        <v>1110876</v>
      </c>
      <c r="B1594">
        <v>37</v>
      </c>
      <c r="C1594" t="str" cm="1">
        <f t="array" ref="C1594">_xlfn.IFS(B1594&lt;=25,"15-25",B1594&lt;=35,"26-35",B1594&lt;=45,"36-45",B1594&lt;=55,"46-55",B1594&lt;=65,"56-65")</f>
        <v>36-45</v>
      </c>
      <c r="D1594" t="s">
        <v>35</v>
      </c>
      <c r="E1594" t="str">
        <f t="shared" si="48"/>
        <v>Current Employee</v>
      </c>
      <c r="F1594" t="s">
        <v>44</v>
      </c>
      <c r="G1594">
        <v>504</v>
      </c>
      <c r="H1594" t="s">
        <v>45</v>
      </c>
      <c r="I1594">
        <v>10</v>
      </c>
      <c r="J1594">
        <v>3</v>
      </c>
      <c r="K1594" t="s">
        <v>49</v>
      </c>
      <c r="L1594">
        <v>1</v>
      </c>
      <c r="M1594">
        <v>1</v>
      </c>
      <c r="N1594" t="s">
        <v>46</v>
      </c>
      <c r="O1594">
        <v>61</v>
      </c>
      <c r="P1594">
        <v>3</v>
      </c>
      <c r="Q1594">
        <v>3</v>
      </c>
      <c r="R1594" t="s">
        <v>51</v>
      </c>
      <c r="S1594">
        <v>3</v>
      </c>
      <c r="T1594" t="str" cm="1">
        <f t="array" ref="T1594">_xlfn.IFS(S1594&lt;=2,"Poor",S1594&lt;=3,"Fair",S1594&gt;=4,"Good")</f>
        <v>Fair</v>
      </c>
      <c r="U1594" t="s">
        <v>50</v>
      </c>
      <c r="V1594" s="1">
        <v>10048</v>
      </c>
      <c r="W1594" t="str" cm="1">
        <f t="array" ref="W1594">_xlfn.IFS(V1594&lt;=5000,"Low Salary",V1594&lt;=12000,"Good Salary",V1594&gt;12000,"High Salary")</f>
        <v>Good Salary</v>
      </c>
      <c r="X1594">
        <v>22573</v>
      </c>
      <c r="Y1594">
        <v>6</v>
      </c>
      <c r="Z1594" t="s">
        <v>42</v>
      </c>
      <c r="AA1594" t="s">
        <v>35</v>
      </c>
      <c r="AB1594">
        <v>11</v>
      </c>
      <c r="AC1594">
        <v>3</v>
      </c>
      <c r="AD1594" t="str">
        <f t="shared" si="49"/>
        <v>Low Performance</v>
      </c>
      <c r="AE1594">
        <v>2</v>
      </c>
      <c r="AF1594">
        <v>80</v>
      </c>
      <c r="AG1594">
        <v>2</v>
      </c>
      <c r="AH1594">
        <v>17</v>
      </c>
      <c r="AI1594">
        <v>5</v>
      </c>
      <c r="AJ1594">
        <v>3</v>
      </c>
      <c r="AK1594" t="str" cm="1">
        <f t="array" ref="AK1594">_xlfn.IFS(AJ1594&lt;=2,"Poor",AJ1594&lt;=3,"Fair",AJ1594&gt;3,"Good")</f>
        <v>Fair</v>
      </c>
      <c r="AL1594">
        <v>1</v>
      </c>
      <c r="AM1594">
        <v>0</v>
      </c>
      <c r="AN1594">
        <v>0</v>
      </c>
      <c r="AO1594">
        <v>0</v>
      </c>
    </row>
    <row r="1595" spans="1:41" x14ac:dyDescent="0.2">
      <c r="A1595">
        <v>1302685</v>
      </c>
      <c r="B1595">
        <v>40</v>
      </c>
      <c r="C1595" t="str" cm="1">
        <f t="array" ref="C1595">_xlfn.IFS(B1595&lt;=25,"15-25",B1595&lt;=35,"26-35",B1595&lt;=45,"36-45",B1595&lt;=55,"46-55",B1595&lt;=65,"56-65")</f>
        <v>36-45</v>
      </c>
      <c r="D1595" t="s">
        <v>35</v>
      </c>
      <c r="E1595" t="str">
        <f t="shared" si="48"/>
        <v>Current Employee</v>
      </c>
      <c r="F1595" t="s">
        <v>36</v>
      </c>
      <c r="G1595">
        <v>898</v>
      </c>
      <c r="H1595" t="s">
        <v>54</v>
      </c>
      <c r="I1595">
        <v>6</v>
      </c>
      <c r="J1595">
        <v>2</v>
      </c>
      <c r="K1595" t="s">
        <v>49</v>
      </c>
      <c r="L1595">
        <v>1</v>
      </c>
      <c r="M1595">
        <v>3</v>
      </c>
      <c r="N1595" t="s">
        <v>46</v>
      </c>
      <c r="O1595">
        <v>38</v>
      </c>
      <c r="P1595">
        <v>3</v>
      </c>
      <c r="Q1595">
        <v>4</v>
      </c>
      <c r="R1595" t="s">
        <v>58</v>
      </c>
      <c r="S1595">
        <v>4</v>
      </c>
      <c r="T1595" t="str" cm="1">
        <f t="array" ref="T1595">_xlfn.IFS(S1595&lt;=2,"Poor",S1595&lt;=3,"Fair",S1595&gt;=4,"Good")</f>
        <v>Good</v>
      </c>
      <c r="U1595" t="s">
        <v>41</v>
      </c>
      <c r="V1595" s="1">
        <v>16437</v>
      </c>
      <c r="W1595" t="str" cm="1">
        <f t="array" ref="W1595">_xlfn.IFS(V1595&lt;=5000,"Low Salary",V1595&lt;=12000,"Good Salary",V1595&gt;12000,"High Salary")</f>
        <v>High Salary</v>
      </c>
      <c r="X1595">
        <v>17381</v>
      </c>
      <c r="Y1595">
        <v>1</v>
      </c>
      <c r="Z1595" t="s">
        <v>42</v>
      </c>
      <c r="AA1595" t="s">
        <v>43</v>
      </c>
      <c r="AB1595">
        <v>21</v>
      </c>
      <c r="AC1595">
        <v>4</v>
      </c>
      <c r="AD1595" t="str">
        <f t="shared" si="49"/>
        <v>High Performance</v>
      </c>
      <c r="AE1595">
        <v>4</v>
      </c>
      <c r="AF1595">
        <v>80</v>
      </c>
      <c r="AG1595">
        <v>0</v>
      </c>
      <c r="AH1595">
        <v>21</v>
      </c>
      <c r="AI1595">
        <v>2</v>
      </c>
      <c r="AJ1595">
        <v>3</v>
      </c>
      <c r="AK1595" t="str" cm="1">
        <f t="array" ref="AK1595">_xlfn.IFS(AJ1595&lt;=2,"Poor",AJ1595&lt;=3,"Fair",AJ1595&gt;3,"Good")</f>
        <v>Fair</v>
      </c>
      <c r="AL1595">
        <v>21</v>
      </c>
      <c r="AM1595">
        <v>7</v>
      </c>
      <c r="AN1595">
        <v>7</v>
      </c>
      <c r="AO1595">
        <v>7</v>
      </c>
    </row>
    <row r="1596" spans="1:41" x14ac:dyDescent="0.2">
      <c r="A1596">
        <v>1638565</v>
      </c>
      <c r="B1596">
        <v>28</v>
      </c>
      <c r="C1596" t="str" cm="1">
        <f t="array" ref="C1596">_xlfn.IFS(B1596&lt;=25,"15-25",B1596&lt;=35,"26-35",B1596&lt;=45,"36-45",B1596&lt;=55,"46-55",B1596&lt;=65,"56-65")</f>
        <v>26-35</v>
      </c>
      <c r="D1596" t="s">
        <v>35</v>
      </c>
      <c r="E1596" t="str">
        <f t="shared" si="48"/>
        <v>Current Employee</v>
      </c>
      <c r="F1596" t="s">
        <v>36</v>
      </c>
      <c r="G1596">
        <v>440</v>
      </c>
      <c r="H1596" t="s">
        <v>45</v>
      </c>
      <c r="I1596">
        <v>21</v>
      </c>
      <c r="J1596">
        <v>3</v>
      </c>
      <c r="K1596" t="s">
        <v>49</v>
      </c>
      <c r="L1596">
        <v>1</v>
      </c>
      <c r="M1596">
        <v>3</v>
      </c>
      <c r="N1596" t="s">
        <v>46</v>
      </c>
      <c r="O1596">
        <v>42</v>
      </c>
      <c r="P1596">
        <v>3</v>
      </c>
      <c r="Q1596">
        <v>1</v>
      </c>
      <c r="R1596" t="s">
        <v>40</v>
      </c>
      <c r="S1596">
        <v>4</v>
      </c>
      <c r="T1596" t="str" cm="1">
        <f t="array" ref="T1596">_xlfn.IFS(S1596&lt;=2,"Poor",S1596&lt;=3,"Fair",S1596&gt;=4,"Good")</f>
        <v>Good</v>
      </c>
      <c r="U1596" t="s">
        <v>48</v>
      </c>
      <c r="V1596" s="1">
        <v>2713</v>
      </c>
      <c r="W1596" t="str" cm="1">
        <f t="array" ref="W1596">_xlfn.IFS(V1596&lt;=5000,"Low Salary",V1596&lt;=12000,"Good Salary",V1596&gt;12000,"High Salary")</f>
        <v>Low Salary</v>
      </c>
      <c r="X1596">
        <v>6672</v>
      </c>
      <c r="Y1596">
        <v>1</v>
      </c>
      <c r="Z1596" t="s">
        <v>42</v>
      </c>
      <c r="AA1596" t="s">
        <v>35</v>
      </c>
      <c r="AB1596">
        <v>11</v>
      </c>
      <c r="AC1596">
        <v>3</v>
      </c>
      <c r="AD1596" t="str">
        <f t="shared" si="49"/>
        <v>Low Performance</v>
      </c>
      <c r="AE1596">
        <v>3</v>
      </c>
      <c r="AF1596">
        <v>80</v>
      </c>
      <c r="AG1596">
        <v>1</v>
      </c>
      <c r="AH1596">
        <v>5</v>
      </c>
      <c r="AI1596">
        <v>2</v>
      </c>
      <c r="AJ1596">
        <v>1</v>
      </c>
      <c r="AK1596" t="str" cm="1">
        <f t="array" ref="AK1596">_xlfn.IFS(AJ1596&lt;=2,"Poor",AJ1596&lt;=3,"Fair",AJ1596&gt;3,"Good")</f>
        <v>Poor</v>
      </c>
      <c r="AL1596">
        <v>5</v>
      </c>
      <c r="AM1596">
        <v>2</v>
      </c>
      <c r="AN1596">
        <v>0</v>
      </c>
      <c r="AO1596">
        <v>2</v>
      </c>
    </row>
    <row r="1597" spans="1:41" x14ac:dyDescent="0.2">
      <c r="A1597">
        <v>1075989</v>
      </c>
      <c r="B1597">
        <v>28</v>
      </c>
      <c r="C1597" t="str" cm="1">
        <f t="array" ref="C1597">_xlfn.IFS(B1597&lt;=25,"15-25",B1597&lt;=35,"26-35",B1597&lt;=45,"36-45",B1597&lt;=55,"46-55",B1597&lt;=65,"56-65")</f>
        <v>26-35</v>
      </c>
      <c r="D1597" t="s">
        <v>35</v>
      </c>
      <c r="E1597" t="str">
        <f t="shared" si="48"/>
        <v>Current Employee</v>
      </c>
      <c r="F1597" t="s">
        <v>52</v>
      </c>
      <c r="G1597">
        <v>1476</v>
      </c>
      <c r="H1597" t="s">
        <v>54</v>
      </c>
      <c r="I1597">
        <v>1</v>
      </c>
      <c r="J1597">
        <v>3</v>
      </c>
      <c r="K1597" t="s">
        <v>38</v>
      </c>
      <c r="L1597">
        <v>1</v>
      </c>
      <c r="M1597">
        <v>3</v>
      </c>
      <c r="N1597" t="s">
        <v>39</v>
      </c>
      <c r="O1597">
        <v>55</v>
      </c>
      <c r="P1597">
        <v>1</v>
      </c>
      <c r="Q1597">
        <v>2</v>
      </c>
      <c r="R1597" t="s">
        <v>40</v>
      </c>
      <c r="S1597">
        <v>4</v>
      </c>
      <c r="T1597" t="str" cm="1">
        <f t="array" ref="T1597">_xlfn.IFS(S1597&lt;=2,"Poor",S1597&lt;=3,"Fair",S1597&gt;=4,"Good")</f>
        <v>Good</v>
      </c>
      <c r="U1597" t="s">
        <v>48</v>
      </c>
      <c r="V1597" s="1">
        <v>6674</v>
      </c>
      <c r="W1597" t="str" cm="1">
        <f t="array" ref="W1597">_xlfn.IFS(V1597&lt;=5000,"Low Salary",V1597&lt;=12000,"Good Salary",V1597&gt;12000,"High Salary")</f>
        <v>Good Salary</v>
      </c>
      <c r="X1597">
        <v>16392</v>
      </c>
      <c r="Y1597">
        <v>0</v>
      </c>
      <c r="Z1597" t="s">
        <v>42</v>
      </c>
      <c r="AA1597" t="s">
        <v>35</v>
      </c>
      <c r="AB1597">
        <v>11</v>
      </c>
      <c r="AC1597">
        <v>3</v>
      </c>
      <c r="AD1597" t="str">
        <f t="shared" si="49"/>
        <v>Low Performance</v>
      </c>
      <c r="AE1597">
        <v>1</v>
      </c>
      <c r="AF1597">
        <v>80</v>
      </c>
      <c r="AG1597">
        <v>3</v>
      </c>
      <c r="AH1597">
        <v>10</v>
      </c>
      <c r="AI1597">
        <v>6</v>
      </c>
      <c r="AJ1597">
        <v>3</v>
      </c>
      <c r="AK1597" t="str" cm="1">
        <f t="array" ref="AK1597">_xlfn.IFS(AJ1597&lt;=2,"Poor",AJ1597&lt;=3,"Fair",AJ1597&gt;3,"Good")</f>
        <v>Fair</v>
      </c>
      <c r="AL1597">
        <v>9</v>
      </c>
      <c r="AM1597">
        <v>8</v>
      </c>
      <c r="AN1597">
        <v>7</v>
      </c>
      <c r="AO1597">
        <v>5</v>
      </c>
    </row>
    <row r="1598" spans="1:41" x14ac:dyDescent="0.2">
      <c r="A1598">
        <v>1440066</v>
      </c>
      <c r="B1598">
        <v>29</v>
      </c>
      <c r="C1598" t="str" cm="1">
        <f t="array" ref="C1598">_xlfn.IFS(B1598&lt;=25,"15-25",B1598&lt;=35,"26-35",B1598&lt;=45,"36-45",B1598&lt;=55,"46-55",B1598&lt;=65,"56-65")</f>
        <v>26-35</v>
      </c>
      <c r="D1598" t="s">
        <v>35</v>
      </c>
      <c r="E1598" t="str">
        <f t="shared" si="48"/>
        <v>Current Employee</v>
      </c>
      <c r="F1598" t="s">
        <v>36</v>
      </c>
      <c r="G1598">
        <v>1082</v>
      </c>
      <c r="H1598" t="s">
        <v>54</v>
      </c>
      <c r="I1598">
        <v>9</v>
      </c>
      <c r="J1598">
        <v>4</v>
      </c>
      <c r="K1598" t="s">
        <v>49</v>
      </c>
      <c r="L1598">
        <v>1</v>
      </c>
      <c r="M1598">
        <v>4</v>
      </c>
      <c r="N1598" t="s">
        <v>39</v>
      </c>
      <c r="O1598">
        <v>43</v>
      </c>
      <c r="P1598">
        <v>3</v>
      </c>
      <c r="Q1598">
        <v>1</v>
      </c>
      <c r="R1598" t="s">
        <v>40</v>
      </c>
      <c r="S1598">
        <v>3</v>
      </c>
      <c r="T1598" t="str" cm="1">
        <f t="array" ref="T1598">_xlfn.IFS(S1598&lt;=2,"Poor",S1598&lt;=3,"Fair",S1598&gt;=4,"Good")</f>
        <v>Fair</v>
      </c>
      <c r="U1598" t="s">
        <v>48</v>
      </c>
      <c r="V1598" s="1">
        <v>2974</v>
      </c>
      <c r="W1598" t="str" cm="1">
        <f t="array" ref="W1598">_xlfn.IFS(V1598&lt;=5000,"Low Salary",V1598&lt;=12000,"Good Salary",V1598&gt;12000,"High Salary")</f>
        <v>Low Salary</v>
      </c>
      <c r="X1598">
        <v>25412</v>
      </c>
      <c r="Y1598">
        <v>9</v>
      </c>
      <c r="Z1598" t="s">
        <v>42</v>
      </c>
      <c r="AA1598" t="s">
        <v>35</v>
      </c>
      <c r="AB1598">
        <v>17</v>
      </c>
      <c r="AC1598">
        <v>3</v>
      </c>
      <c r="AD1598" t="str">
        <f t="shared" si="49"/>
        <v>Low Performance</v>
      </c>
      <c r="AE1598">
        <v>3</v>
      </c>
      <c r="AF1598">
        <v>80</v>
      </c>
      <c r="AG1598">
        <v>1</v>
      </c>
      <c r="AH1598">
        <v>9</v>
      </c>
      <c r="AI1598">
        <v>2</v>
      </c>
      <c r="AJ1598">
        <v>3</v>
      </c>
      <c r="AK1598" t="str" cm="1">
        <f t="array" ref="AK1598">_xlfn.IFS(AJ1598&lt;=2,"Poor",AJ1598&lt;=3,"Fair",AJ1598&gt;3,"Good")</f>
        <v>Fair</v>
      </c>
      <c r="AL1598">
        <v>5</v>
      </c>
      <c r="AM1598">
        <v>3</v>
      </c>
      <c r="AN1598">
        <v>1</v>
      </c>
      <c r="AO1598">
        <v>2</v>
      </c>
    </row>
    <row r="1599" spans="1:41" x14ac:dyDescent="0.2">
      <c r="A1599">
        <v>1432464</v>
      </c>
      <c r="B1599">
        <v>36</v>
      </c>
      <c r="C1599" t="str" cm="1">
        <f t="array" ref="C1599">_xlfn.IFS(B1599&lt;=25,"15-25",B1599&lt;=35,"26-35",B1599&lt;=45,"36-45",B1599&lt;=55,"46-55",B1599&lt;=65,"56-65")</f>
        <v>36-45</v>
      </c>
      <c r="D1599" t="s">
        <v>35</v>
      </c>
      <c r="E1599" t="str">
        <f t="shared" si="48"/>
        <v>Current Employee</v>
      </c>
      <c r="F1599" t="s">
        <v>44</v>
      </c>
      <c r="G1599">
        <v>566</v>
      </c>
      <c r="H1599" t="s">
        <v>54</v>
      </c>
      <c r="I1599">
        <v>18</v>
      </c>
      <c r="J1599">
        <v>4</v>
      </c>
      <c r="K1599" t="s">
        <v>38</v>
      </c>
      <c r="L1599">
        <v>1</v>
      </c>
      <c r="M1599">
        <v>3</v>
      </c>
      <c r="N1599" t="s">
        <v>46</v>
      </c>
      <c r="O1599">
        <v>81</v>
      </c>
      <c r="P1599">
        <v>4</v>
      </c>
      <c r="Q1599">
        <v>1</v>
      </c>
      <c r="R1599" t="s">
        <v>40</v>
      </c>
      <c r="S1599">
        <v>4</v>
      </c>
      <c r="T1599" t="str" cm="1">
        <f t="array" ref="T1599">_xlfn.IFS(S1599&lt;=2,"Poor",S1599&lt;=3,"Fair",S1599&gt;=4,"Good")</f>
        <v>Good</v>
      </c>
      <c r="U1599" t="s">
        <v>48</v>
      </c>
      <c r="V1599" s="1">
        <v>3688</v>
      </c>
      <c r="W1599" t="str" cm="1">
        <f t="array" ref="W1599">_xlfn.IFS(V1599&lt;=5000,"Low Salary",V1599&lt;=12000,"Good Salary",V1599&gt;12000,"High Salary")</f>
        <v>Low Salary</v>
      </c>
      <c r="X1599">
        <v>7122</v>
      </c>
      <c r="Y1599">
        <v>4</v>
      </c>
      <c r="Z1599" t="s">
        <v>42</v>
      </c>
      <c r="AA1599" t="s">
        <v>35</v>
      </c>
      <c r="AB1599">
        <v>18</v>
      </c>
      <c r="AC1599">
        <v>3</v>
      </c>
      <c r="AD1599" t="str">
        <f t="shared" si="49"/>
        <v>Low Performance</v>
      </c>
      <c r="AE1599">
        <v>4</v>
      </c>
      <c r="AF1599">
        <v>80</v>
      </c>
      <c r="AG1599">
        <v>2</v>
      </c>
      <c r="AH1599">
        <v>4</v>
      </c>
      <c r="AI1599">
        <v>2</v>
      </c>
      <c r="AJ1599">
        <v>3</v>
      </c>
      <c r="AK1599" t="str" cm="1">
        <f t="array" ref="AK1599">_xlfn.IFS(AJ1599&lt;=2,"Poor",AJ1599&lt;=3,"Fair",AJ1599&gt;3,"Good")</f>
        <v>Fair</v>
      </c>
      <c r="AL1599">
        <v>1</v>
      </c>
      <c r="AM1599">
        <v>0</v>
      </c>
      <c r="AN1599">
        <v>0</v>
      </c>
      <c r="AO1599">
        <v>0</v>
      </c>
    </row>
    <row r="1600" spans="1:41" x14ac:dyDescent="0.2">
      <c r="A1600">
        <v>1051013</v>
      </c>
      <c r="B1600">
        <v>35</v>
      </c>
      <c r="C1600" t="str" cm="1">
        <f t="array" ref="C1600">_xlfn.IFS(B1600&lt;=25,"15-25",B1600&lt;=35,"26-35",B1600&lt;=45,"36-45",B1600&lt;=55,"46-55",B1600&lt;=65,"56-65")</f>
        <v>26-35</v>
      </c>
      <c r="D1600" t="s">
        <v>35</v>
      </c>
      <c r="E1600" t="str">
        <f t="shared" si="48"/>
        <v>Current Employee</v>
      </c>
      <c r="F1600" t="s">
        <v>36</v>
      </c>
      <c r="G1600">
        <v>1017</v>
      </c>
      <c r="H1600" t="s">
        <v>45</v>
      </c>
      <c r="I1600">
        <v>6</v>
      </c>
      <c r="J1600">
        <v>4</v>
      </c>
      <c r="K1600" t="s">
        <v>38</v>
      </c>
      <c r="L1600">
        <v>1</v>
      </c>
      <c r="M1600">
        <v>2</v>
      </c>
      <c r="N1600" t="s">
        <v>46</v>
      </c>
      <c r="O1600">
        <v>82</v>
      </c>
      <c r="P1600">
        <v>1</v>
      </c>
      <c r="Q1600">
        <v>2</v>
      </c>
      <c r="R1600" t="s">
        <v>40</v>
      </c>
      <c r="S1600">
        <v>4</v>
      </c>
      <c r="T1600" t="str" cm="1">
        <f t="array" ref="T1600">_xlfn.IFS(S1600&lt;=2,"Poor",S1600&lt;=3,"Fair",S1600&gt;=4,"Good")</f>
        <v>Good</v>
      </c>
      <c r="U1600" t="s">
        <v>41</v>
      </c>
      <c r="V1600" s="1">
        <v>6646</v>
      </c>
      <c r="W1600" t="str" cm="1">
        <f t="array" ref="W1600">_xlfn.IFS(V1600&lt;=5000,"Low Salary",V1600&lt;=12000,"Good Salary",V1600&gt;12000,"High Salary")</f>
        <v>Good Salary</v>
      </c>
      <c r="X1600">
        <v>19368</v>
      </c>
      <c r="Y1600">
        <v>1</v>
      </c>
      <c r="Z1600" t="s">
        <v>42</v>
      </c>
      <c r="AA1600" t="s">
        <v>35</v>
      </c>
      <c r="AB1600">
        <v>13</v>
      </c>
      <c r="AC1600">
        <v>3</v>
      </c>
      <c r="AD1600" t="str">
        <f t="shared" si="49"/>
        <v>Low Performance</v>
      </c>
      <c r="AE1600">
        <v>2</v>
      </c>
      <c r="AF1600">
        <v>80</v>
      </c>
      <c r="AG1600">
        <v>0</v>
      </c>
      <c r="AH1600">
        <v>17</v>
      </c>
      <c r="AI1600">
        <v>3</v>
      </c>
      <c r="AJ1600">
        <v>3</v>
      </c>
      <c r="AK1600" t="str" cm="1">
        <f t="array" ref="AK1600">_xlfn.IFS(AJ1600&lt;=2,"Poor",AJ1600&lt;=3,"Fair",AJ1600&gt;3,"Good")</f>
        <v>Fair</v>
      </c>
      <c r="AL1600">
        <v>17</v>
      </c>
      <c r="AM1600">
        <v>11</v>
      </c>
      <c r="AN1600">
        <v>11</v>
      </c>
      <c r="AO1600">
        <v>8</v>
      </c>
    </row>
    <row r="1601" spans="1:41" x14ac:dyDescent="0.2">
      <c r="A1601">
        <v>1800484</v>
      </c>
      <c r="B1601">
        <v>42</v>
      </c>
      <c r="C1601" t="str" cm="1">
        <f t="array" ref="C1601">_xlfn.IFS(B1601&lt;=25,"15-25",B1601&lt;=35,"26-35",B1601&lt;=45,"36-45",B1601&lt;=55,"46-55",B1601&lt;=65,"56-65")</f>
        <v>36-45</v>
      </c>
      <c r="D1601" t="s">
        <v>35</v>
      </c>
      <c r="E1601" t="str">
        <f t="shared" si="48"/>
        <v>Current Employee</v>
      </c>
      <c r="F1601" t="s">
        <v>44</v>
      </c>
      <c r="G1601">
        <v>1474</v>
      </c>
      <c r="H1601" t="s">
        <v>54</v>
      </c>
      <c r="I1601">
        <v>5</v>
      </c>
      <c r="J1601">
        <v>2</v>
      </c>
      <c r="K1601" t="s">
        <v>47</v>
      </c>
      <c r="L1601">
        <v>1</v>
      </c>
      <c r="M1601">
        <v>2</v>
      </c>
      <c r="N1601" t="s">
        <v>46</v>
      </c>
      <c r="O1601">
        <v>97</v>
      </c>
      <c r="P1601">
        <v>3</v>
      </c>
      <c r="Q1601">
        <v>1</v>
      </c>
      <c r="R1601" t="s">
        <v>40</v>
      </c>
      <c r="S1601">
        <v>3</v>
      </c>
      <c r="T1601" t="str" cm="1">
        <f t="array" ref="T1601">_xlfn.IFS(S1601&lt;=2,"Poor",S1601&lt;=3,"Fair",S1601&gt;=4,"Good")</f>
        <v>Fair</v>
      </c>
      <c r="U1601" t="s">
        <v>48</v>
      </c>
      <c r="V1601" s="1">
        <v>2093</v>
      </c>
      <c r="W1601" t="str" cm="1">
        <f t="array" ref="W1601">_xlfn.IFS(V1601&lt;=5000,"Low Salary",V1601&lt;=12000,"Good Salary",V1601&gt;12000,"High Salary")</f>
        <v>Low Salary</v>
      </c>
      <c r="X1601">
        <v>9260</v>
      </c>
      <c r="Y1601">
        <v>4</v>
      </c>
      <c r="Z1601" t="s">
        <v>42</v>
      </c>
      <c r="AA1601" t="s">
        <v>35</v>
      </c>
      <c r="AB1601">
        <v>17</v>
      </c>
      <c r="AC1601">
        <v>3</v>
      </c>
      <c r="AD1601" t="str">
        <f t="shared" si="49"/>
        <v>Low Performance</v>
      </c>
      <c r="AE1601">
        <v>4</v>
      </c>
      <c r="AF1601">
        <v>80</v>
      </c>
      <c r="AG1601">
        <v>1</v>
      </c>
      <c r="AH1601">
        <v>8</v>
      </c>
      <c r="AI1601">
        <v>4</v>
      </c>
      <c r="AJ1601">
        <v>3</v>
      </c>
      <c r="AK1601" t="str" cm="1">
        <f t="array" ref="AK1601">_xlfn.IFS(AJ1601&lt;=2,"Poor",AJ1601&lt;=3,"Fair",AJ1601&gt;3,"Good")</f>
        <v>Fair</v>
      </c>
      <c r="AL1601">
        <v>2</v>
      </c>
      <c r="AM1601">
        <v>2</v>
      </c>
      <c r="AN1601">
        <v>2</v>
      </c>
      <c r="AO1601">
        <v>0</v>
      </c>
    </row>
    <row r="1602" spans="1:41" x14ac:dyDescent="0.2">
      <c r="A1602">
        <v>1553672</v>
      </c>
      <c r="B1602">
        <v>47</v>
      </c>
      <c r="C1602" t="str" cm="1">
        <f t="array" ref="C1602">_xlfn.IFS(B1602&lt;=25,"15-25",B1602&lt;=35,"26-35",B1602&lt;=45,"36-45",B1602&lt;=55,"46-55",B1602&lt;=65,"56-65")</f>
        <v>46-55</v>
      </c>
      <c r="D1602" t="s">
        <v>35</v>
      </c>
      <c r="E1602" t="str">
        <f t="shared" si="48"/>
        <v>Current Employee</v>
      </c>
      <c r="F1602" t="s">
        <v>52</v>
      </c>
      <c r="G1602">
        <v>666</v>
      </c>
      <c r="H1602" t="s">
        <v>45</v>
      </c>
      <c r="I1602">
        <v>29</v>
      </c>
      <c r="J1602">
        <v>4</v>
      </c>
      <c r="K1602" t="s">
        <v>38</v>
      </c>
      <c r="L1602">
        <v>1</v>
      </c>
      <c r="M1602">
        <v>1</v>
      </c>
      <c r="N1602" t="s">
        <v>46</v>
      </c>
      <c r="O1602">
        <v>88</v>
      </c>
      <c r="P1602">
        <v>3</v>
      </c>
      <c r="Q1602">
        <v>3</v>
      </c>
      <c r="R1602" t="s">
        <v>58</v>
      </c>
      <c r="S1602">
        <v>2</v>
      </c>
      <c r="T1602" t="str" cm="1">
        <f t="array" ref="T1602">_xlfn.IFS(S1602&lt;=2,"Poor",S1602&lt;=3,"Fair",S1602&gt;=4,"Good")</f>
        <v>Poor</v>
      </c>
      <c r="U1602" t="s">
        <v>48</v>
      </c>
      <c r="V1602" s="1">
        <v>11849</v>
      </c>
      <c r="W1602" t="str" cm="1">
        <f t="array" ref="W1602">_xlfn.IFS(V1602&lt;=5000,"Low Salary",V1602&lt;=12000,"Good Salary",V1602&gt;12000,"High Salary")</f>
        <v>Good Salary</v>
      </c>
      <c r="X1602">
        <v>10268</v>
      </c>
      <c r="Y1602">
        <v>1</v>
      </c>
      <c r="Z1602" t="s">
        <v>42</v>
      </c>
      <c r="AA1602" t="s">
        <v>43</v>
      </c>
      <c r="AB1602">
        <v>12</v>
      </c>
      <c r="AC1602">
        <v>3</v>
      </c>
      <c r="AD1602" t="str">
        <f t="shared" si="49"/>
        <v>Low Performance</v>
      </c>
      <c r="AE1602">
        <v>4</v>
      </c>
      <c r="AF1602">
        <v>80</v>
      </c>
      <c r="AG1602">
        <v>1</v>
      </c>
      <c r="AH1602">
        <v>10</v>
      </c>
      <c r="AI1602">
        <v>2</v>
      </c>
      <c r="AJ1602">
        <v>2</v>
      </c>
      <c r="AK1602" t="str" cm="1">
        <f t="array" ref="AK1602">_xlfn.IFS(AJ1602&lt;=2,"Poor",AJ1602&lt;=3,"Fair",AJ1602&gt;3,"Good")</f>
        <v>Poor</v>
      </c>
      <c r="AL1602">
        <v>10</v>
      </c>
      <c r="AM1602">
        <v>7</v>
      </c>
      <c r="AN1602">
        <v>9</v>
      </c>
      <c r="AO1602">
        <v>9</v>
      </c>
    </row>
    <row r="1603" spans="1:41" x14ac:dyDescent="0.2">
      <c r="A1603">
        <v>1619511</v>
      </c>
      <c r="B1603">
        <v>31</v>
      </c>
      <c r="C1603" t="str" cm="1">
        <f t="array" ref="C1603">_xlfn.IFS(B1603&lt;=25,"15-25",B1603&lt;=35,"26-35",B1603&lt;=45,"36-45",B1603&lt;=55,"46-55",B1603&lt;=65,"56-65")</f>
        <v>26-35</v>
      </c>
      <c r="D1603" t="s">
        <v>35</v>
      </c>
      <c r="E1603" t="str">
        <f t="shared" ref="E1603:E1666" si="50">IF(D1603="No","Current Employee","Former Employee")</f>
        <v>Current Employee</v>
      </c>
      <c r="F1603" t="s">
        <v>36</v>
      </c>
      <c r="G1603">
        <v>1222</v>
      </c>
      <c r="H1603" t="s">
        <v>45</v>
      </c>
      <c r="I1603">
        <v>11</v>
      </c>
      <c r="J1603">
        <v>4</v>
      </c>
      <c r="K1603" t="s">
        <v>38</v>
      </c>
      <c r="L1603">
        <v>1</v>
      </c>
      <c r="M1603">
        <v>4</v>
      </c>
      <c r="N1603" t="s">
        <v>46</v>
      </c>
      <c r="O1603">
        <v>48</v>
      </c>
      <c r="P1603">
        <v>3</v>
      </c>
      <c r="Q1603">
        <v>1</v>
      </c>
      <c r="R1603" t="s">
        <v>40</v>
      </c>
      <c r="S1603">
        <v>4</v>
      </c>
      <c r="T1603" t="str" cm="1">
        <f t="array" ref="T1603">_xlfn.IFS(S1603&lt;=2,"Poor",S1603&lt;=3,"Fair",S1603&gt;=4,"Good")</f>
        <v>Good</v>
      </c>
      <c r="U1603" t="s">
        <v>48</v>
      </c>
      <c r="V1603" s="1">
        <v>2356</v>
      </c>
      <c r="W1603" t="str" cm="1">
        <f t="array" ref="W1603">_xlfn.IFS(V1603&lt;=5000,"Low Salary",V1603&lt;=12000,"Good Salary",V1603&gt;12000,"High Salary")</f>
        <v>Low Salary</v>
      </c>
      <c r="X1603">
        <v>14871</v>
      </c>
      <c r="Y1603">
        <v>3</v>
      </c>
      <c r="Z1603" t="s">
        <v>42</v>
      </c>
      <c r="AA1603" t="s">
        <v>43</v>
      </c>
      <c r="AB1603">
        <v>19</v>
      </c>
      <c r="AC1603">
        <v>3</v>
      </c>
      <c r="AD1603" t="str">
        <f t="shared" ref="AD1603:AD1666" si="51">IF(AC1603&lt;=3,"Low Performance","High Performance")</f>
        <v>Low Performance</v>
      </c>
      <c r="AE1603">
        <v>2</v>
      </c>
      <c r="AF1603">
        <v>80</v>
      </c>
      <c r="AG1603">
        <v>1</v>
      </c>
      <c r="AH1603">
        <v>8</v>
      </c>
      <c r="AI1603">
        <v>2</v>
      </c>
      <c r="AJ1603">
        <v>3</v>
      </c>
      <c r="AK1603" t="str" cm="1">
        <f t="array" ref="AK1603">_xlfn.IFS(AJ1603&lt;=2,"Poor",AJ1603&lt;=3,"Fair",AJ1603&gt;3,"Good")</f>
        <v>Fair</v>
      </c>
      <c r="AL1603">
        <v>6</v>
      </c>
      <c r="AM1603">
        <v>4</v>
      </c>
      <c r="AN1603">
        <v>0</v>
      </c>
      <c r="AO1603">
        <v>2</v>
      </c>
    </row>
    <row r="1604" spans="1:41" x14ac:dyDescent="0.2">
      <c r="A1604">
        <v>1575266</v>
      </c>
      <c r="B1604">
        <v>46</v>
      </c>
      <c r="C1604" t="str" cm="1">
        <f t="array" ref="C1604">_xlfn.IFS(B1604&lt;=25,"15-25",B1604&lt;=35,"26-35",B1604&lt;=45,"36-45",B1604&lt;=55,"46-55",B1604&lt;=65,"56-65")</f>
        <v>46-55</v>
      </c>
      <c r="D1604" t="s">
        <v>35</v>
      </c>
      <c r="E1604" t="str">
        <f t="shared" si="50"/>
        <v>Current Employee</v>
      </c>
      <c r="F1604" t="s">
        <v>36</v>
      </c>
      <c r="G1604">
        <v>991</v>
      </c>
      <c r="H1604" t="s">
        <v>54</v>
      </c>
      <c r="I1604">
        <v>1</v>
      </c>
      <c r="J1604">
        <v>2</v>
      </c>
      <c r="K1604" t="s">
        <v>38</v>
      </c>
      <c r="L1604">
        <v>1</v>
      </c>
      <c r="M1604">
        <v>4</v>
      </c>
      <c r="N1604" t="s">
        <v>39</v>
      </c>
      <c r="O1604">
        <v>44</v>
      </c>
      <c r="P1604">
        <v>3</v>
      </c>
      <c r="Q1604">
        <v>1</v>
      </c>
      <c r="R1604" t="s">
        <v>47</v>
      </c>
      <c r="S1604">
        <v>1</v>
      </c>
      <c r="T1604" t="str" cm="1">
        <f t="array" ref="T1604">_xlfn.IFS(S1604&lt;=2,"Poor",S1604&lt;=3,"Fair",S1604&gt;=4,"Good")</f>
        <v>Poor</v>
      </c>
      <c r="U1604" t="s">
        <v>41</v>
      </c>
      <c r="V1604" s="1">
        <v>3423</v>
      </c>
      <c r="W1604" t="str" cm="1">
        <f t="array" ref="W1604">_xlfn.IFS(V1604&lt;=5000,"Low Salary",V1604&lt;=12000,"Good Salary",V1604&gt;12000,"High Salary")</f>
        <v>Low Salary</v>
      </c>
      <c r="X1604">
        <v>22957</v>
      </c>
      <c r="Y1604">
        <v>6</v>
      </c>
      <c r="Z1604" t="s">
        <v>42</v>
      </c>
      <c r="AA1604" t="s">
        <v>35</v>
      </c>
      <c r="AB1604">
        <v>12</v>
      </c>
      <c r="AC1604">
        <v>3</v>
      </c>
      <c r="AD1604" t="str">
        <f t="shared" si="51"/>
        <v>Low Performance</v>
      </c>
      <c r="AE1604">
        <v>3</v>
      </c>
      <c r="AF1604">
        <v>80</v>
      </c>
      <c r="AG1604">
        <v>0</v>
      </c>
      <c r="AH1604">
        <v>10</v>
      </c>
      <c r="AI1604">
        <v>3</v>
      </c>
      <c r="AJ1604">
        <v>4</v>
      </c>
      <c r="AK1604" t="str" cm="1">
        <f t="array" ref="AK1604">_xlfn.IFS(AJ1604&lt;=2,"Poor",AJ1604&lt;=3,"Fair",AJ1604&gt;3,"Good")</f>
        <v>Good</v>
      </c>
      <c r="AL1604">
        <v>7</v>
      </c>
      <c r="AM1604">
        <v>6</v>
      </c>
      <c r="AN1604">
        <v>5</v>
      </c>
      <c r="AO1604">
        <v>7</v>
      </c>
    </row>
    <row r="1605" spans="1:41" x14ac:dyDescent="0.2">
      <c r="A1605">
        <v>1087770</v>
      </c>
      <c r="B1605">
        <v>45</v>
      </c>
      <c r="C1605" t="str" cm="1">
        <f t="array" ref="C1605">_xlfn.IFS(B1605&lt;=25,"15-25",B1605&lt;=35,"26-35",B1605&lt;=45,"36-45",B1605&lt;=55,"46-55",B1605&lt;=65,"56-65")</f>
        <v>36-45</v>
      </c>
      <c r="D1605" t="s">
        <v>35</v>
      </c>
      <c r="E1605" t="str">
        <f t="shared" si="50"/>
        <v>Current Employee</v>
      </c>
      <c r="F1605" t="s">
        <v>36</v>
      </c>
      <c r="G1605">
        <v>930</v>
      </c>
      <c r="H1605" t="s">
        <v>37</v>
      </c>
      <c r="I1605">
        <v>9</v>
      </c>
      <c r="J1605">
        <v>3</v>
      </c>
      <c r="K1605" t="s">
        <v>55</v>
      </c>
      <c r="L1605">
        <v>1</v>
      </c>
      <c r="M1605">
        <v>4</v>
      </c>
      <c r="N1605" t="s">
        <v>46</v>
      </c>
      <c r="O1605">
        <v>74</v>
      </c>
      <c r="P1605">
        <v>3</v>
      </c>
      <c r="Q1605">
        <v>3</v>
      </c>
      <c r="R1605" t="s">
        <v>40</v>
      </c>
      <c r="S1605">
        <v>1</v>
      </c>
      <c r="T1605" t="str" cm="1">
        <f t="array" ref="T1605">_xlfn.IFS(S1605&lt;=2,"Poor",S1605&lt;=3,"Fair",S1605&gt;=4,"Good")</f>
        <v>Poor</v>
      </c>
      <c r="U1605" t="s">
        <v>50</v>
      </c>
      <c r="V1605" s="1">
        <v>10761</v>
      </c>
      <c r="W1605" t="str" cm="1">
        <f t="array" ref="W1605">_xlfn.IFS(V1605&lt;=5000,"Low Salary",V1605&lt;=12000,"Good Salary",V1605&gt;12000,"High Salary")</f>
        <v>Good Salary</v>
      </c>
      <c r="X1605">
        <v>19239</v>
      </c>
      <c r="Y1605">
        <v>4</v>
      </c>
      <c r="Z1605" t="s">
        <v>42</v>
      </c>
      <c r="AA1605" t="s">
        <v>43</v>
      </c>
      <c r="AB1605">
        <v>12</v>
      </c>
      <c r="AC1605">
        <v>3</v>
      </c>
      <c r="AD1605" t="str">
        <f t="shared" si="51"/>
        <v>Low Performance</v>
      </c>
      <c r="AE1605">
        <v>3</v>
      </c>
      <c r="AF1605">
        <v>80</v>
      </c>
      <c r="AG1605">
        <v>1</v>
      </c>
      <c r="AH1605">
        <v>18</v>
      </c>
      <c r="AI1605">
        <v>2</v>
      </c>
      <c r="AJ1605">
        <v>3</v>
      </c>
      <c r="AK1605" t="str" cm="1">
        <f t="array" ref="AK1605">_xlfn.IFS(AJ1605&lt;=2,"Poor",AJ1605&lt;=3,"Fair",AJ1605&gt;3,"Good")</f>
        <v>Fair</v>
      </c>
      <c r="AL1605">
        <v>5</v>
      </c>
      <c r="AM1605">
        <v>4</v>
      </c>
      <c r="AN1605">
        <v>0</v>
      </c>
      <c r="AO1605">
        <v>2</v>
      </c>
    </row>
    <row r="1606" spans="1:41" x14ac:dyDescent="0.2">
      <c r="A1606">
        <v>1456073</v>
      </c>
      <c r="B1606">
        <v>38</v>
      </c>
      <c r="C1606" t="str" cm="1">
        <f t="array" ref="C1606">_xlfn.IFS(B1606&lt;=25,"15-25",B1606&lt;=35,"26-35",B1606&lt;=45,"36-45",B1606&lt;=55,"46-55",B1606&lt;=65,"56-65")</f>
        <v>36-45</v>
      </c>
      <c r="D1606" t="s">
        <v>35</v>
      </c>
      <c r="E1606" t="str">
        <f t="shared" si="50"/>
        <v>Current Employee</v>
      </c>
      <c r="F1606" t="s">
        <v>36</v>
      </c>
      <c r="G1606">
        <v>1180</v>
      </c>
      <c r="H1606" t="s">
        <v>45</v>
      </c>
      <c r="I1606">
        <v>29</v>
      </c>
      <c r="J1606">
        <v>1</v>
      </c>
      <c r="K1606" t="s">
        <v>49</v>
      </c>
      <c r="L1606">
        <v>1</v>
      </c>
      <c r="M1606">
        <v>2</v>
      </c>
      <c r="N1606" t="s">
        <v>46</v>
      </c>
      <c r="O1606">
        <v>70</v>
      </c>
      <c r="P1606">
        <v>3</v>
      </c>
      <c r="Q1606">
        <v>2</v>
      </c>
      <c r="R1606" t="s">
        <v>47</v>
      </c>
      <c r="S1606">
        <v>1</v>
      </c>
      <c r="T1606" t="str" cm="1">
        <f t="array" ref="T1606">_xlfn.IFS(S1606&lt;=2,"Poor",S1606&lt;=3,"Fair",S1606&gt;=4,"Good")</f>
        <v>Poor</v>
      </c>
      <c r="U1606" t="s">
        <v>48</v>
      </c>
      <c r="V1606" s="1">
        <v>6673</v>
      </c>
      <c r="W1606" t="str" cm="1">
        <f t="array" ref="W1606">_xlfn.IFS(V1606&lt;=5000,"Low Salary",V1606&lt;=12000,"Good Salary",V1606&gt;12000,"High Salary")</f>
        <v>Good Salary</v>
      </c>
      <c r="X1606">
        <v>11354</v>
      </c>
      <c r="Y1606">
        <v>7</v>
      </c>
      <c r="Z1606" t="s">
        <v>42</v>
      </c>
      <c r="AA1606" t="s">
        <v>43</v>
      </c>
      <c r="AB1606">
        <v>19</v>
      </c>
      <c r="AC1606">
        <v>3</v>
      </c>
      <c r="AD1606" t="str">
        <f t="shared" si="51"/>
        <v>Low Performance</v>
      </c>
      <c r="AE1606">
        <v>2</v>
      </c>
      <c r="AF1606">
        <v>80</v>
      </c>
      <c r="AG1606">
        <v>0</v>
      </c>
      <c r="AH1606">
        <v>17</v>
      </c>
      <c r="AI1606">
        <v>2</v>
      </c>
      <c r="AJ1606">
        <v>3</v>
      </c>
      <c r="AK1606" t="str" cm="1">
        <f t="array" ref="AK1606">_xlfn.IFS(AJ1606&lt;=2,"Poor",AJ1606&lt;=3,"Fair",AJ1606&gt;3,"Good")</f>
        <v>Fair</v>
      </c>
      <c r="AL1606">
        <v>1</v>
      </c>
      <c r="AM1606">
        <v>0</v>
      </c>
      <c r="AN1606">
        <v>0</v>
      </c>
      <c r="AO1606">
        <v>0</v>
      </c>
    </row>
    <row r="1607" spans="1:41" x14ac:dyDescent="0.2">
      <c r="A1607">
        <v>1637476</v>
      </c>
      <c r="B1607">
        <v>34</v>
      </c>
      <c r="C1607" t="str" cm="1">
        <f t="array" ref="C1607">_xlfn.IFS(B1607&lt;=25,"15-25",B1607&lt;=35,"26-35",B1607&lt;=45,"36-45",B1607&lt;=55,"46-55",B1607&lt;=65,"56-65")</f>
        <v>26-35</v>
      </c>
      <c r="D1607" t="s">
        <v>35</v>
      </c>
      <c r="E1607" t="str">
        <f t="shared" si="50"/>
        <v>Current Employee</v>
      </c>
      <c r="F1607" t="s">
        <v>36</v>
      </c>
      <c r="G1607">
        <v>1107</v>
      </c>
      <c r="H1607" t="s">
        <v>54</v>
      </c>
      <c r="I1607">
        <v>9</v>
      </c>
      <c r="J1607">
        <v>4</v>
      </c>
      <c r="K1607" t="s">
        <v>56</v>
      </c>
      <c r="L1607">
        <v>1</v>
      </c>
      <c r="M1607">
        <v>1</v>
      </c>
      <c r="N1607" t="s">
        <v>39</v>
      </c>
      <c r="O1607">
        <v>52</v>
      </c>
      <c r="P1607">
        <v>3</v>
      </c>
      <c r="Q1607">
        <v>1</v>
      </c>
      <c r="R1607" t="s">
        <v>47</v>
      </c>
      <c r="S1607">
        <v>3</v>
      </c>
      <c r="T1607" t="str" cm="1">
        <f t="array" ref="T1607">_xlfn.IFS(S1607&lt;=2,"Poor",S1607&lt;=3,"Fair",S1607&gt;=4,"Good")</f>
        <v>Fair</v>
      </c>
      <c r="U1607" t="s">
        <v>48</v>
      </c>
      <c r="V1607" s="1">
        <v>2742</v>
      </c>
      <c r="W1607" t="str" cm="1">
        <f t="array" ref="W1607">_xlfn.IFS(V1607&lt;=5000,"Low Salary",V1607&lt;=12000,"Good Salary",V1607&gt;12000,"High Salary")</f>
        <v>Low Salary</v>
      </c>
      <c r="X1607">
        <v>3072</v>
      </c>
      <c r="Y1607">
        <v>1</v>
      </c>
      <c r="Z1607" t="s">
        <v>42</v>
      </c>
      <c r="AA1607" t="s">
        <v>35</v>
      </c>
      <c r="AB1607">
        <v>15</v>
      </c>
      <c r="AC1607">
        <v>3</v>
      </c>
      <c r="AD1607" t="str">
        <f t="shared" si="51"/>
        <v>Low Performance</v>
      </c>
      <c r="AE1607">
        <v>4</v>
      </c>
      <c r="AF1607">
        <v>80</v>
      </c>
      <c r="AG1607">
        <v>0</v>
      </c>
      <c r="AH1607">
        <v>2</v>
      </c>
      <c r="AI1607">
        <v>0</v>
      </c>
      <c r="AJ1607">
        <v>3</v>
      </c>
      <c r="AK1607" t="str" cm="1">
        <f t="array" ref="AK1607">_xlfn.IFS(AJ1607&lt;=2,"Poor",AJ1607&lt;=3,"Fair",AJ1607&gt;3,"Good")</f>
        <v>Fair</v>
      </c>
      <c r="AL1607">
        <v>2</v>
      </c>
      <c r="AM1607">
        <v>2</v>
      </c>
      <c r="AN1607">
        <v>2</v>
      </c>
      <c r="AO1607">
        <v>2</v>
      </c>
    </row>
    <row r="1608" spans="1:41" x14ac:dyDescent="0.2">
      <c r="A1608">
        <v>1475807</v>
      </c>
      <c r="B1608">
        <v>46</v>
      </c>
      <c r="C1608" t="str" cm="1">
        <f t="array" ref="C1608">_xlfn.IFS(B1608&lt;=25,"15-25",B1608&lt;=35,"26-35",B1608&lt;=45,"36-45",B1608&lt;=55,"46-55",B1608&lt;=65,"56-65")</f>
        <v>46-55</v>
      </c>
      <c r="D1608" t="s">
        <v>35</v>
      </c>
      <c r="E1608" t="str">
        <f t="shared" si="50"/>
        <v>Current Employee</v>
      </c>
      <c r="F1608" t="s">
        <v>36</v>
      </c>
      <c r="G1608">
        <v>526</v>
      </c>
      <c r="H1608" t="s">
        <v>37</v>
      </c>
      <c r="I1608">
        <v>1</v>
      </c>
      <c r="J1608">
        <v>2</v>
      </c>
      <c r="K1608" t="s">
        <v>55</v>
      </c>
      <c r="L1608">
        <v>1</v>
      </c>
      <c r="M1608">
        <v>2</v>
      </c>
      <c r="N1608" t="s">
        <v>39</v>
      </c>
      <c r="O1608">
        <v>92</v>
      </c>
      <c r="P1608">
        <v>3</v>
      </c>
      <c r="Q1608">
        <v>3</v>
      </c>
      <c r="R1608" t="s">
        <v>40</v>
      </c>
      <c r="S1608">
        <v>1</v>
      </c>
      <c r="T1608" t="str" cm="1">
        <f t="array" ref="T1608">_xlfn.IFS(S1608&lt;=2,"Poor",S1608&lt;=3,"Fair",S1608&gt;=4,"Good")</f>
        <v>Poor</v>
      </c>
      <c r="U1608" t="s">
        <v>50</v>
      </c>
      <c r="V1608" s="1">
        <v>10453</v>
      </c>
      <c r="W1608" t="str" cm="1">
        <f t="array" ref="W1608">_xlfn.IFS(V1608&lt;=5000,"Low Salary",V1608&lt;=12000,"Good Salary",V1608&gt;12000,"High Salary")</f>
        <v>Good Salary</v>
      </c>
      <c r="X1608">
        <v>2137</v>
      </c>
      <c r="Y1608">
        <v>1</v>
      </c>
      <c r="Z1608" t="s">
        <v>42</v>
      </c>
      <c r="AA1608" t="s">
        <v>35</v>
      </c>
      <c r="AB1608">
        <v>25</v>
      </c>
      <c r="AC1608">
        <v>4</v>
      </c>
      <c r="AD1608" t="str">
        <f t="shared" si="51"/>
        <v>High Performance</v>
      </c>
      <c r="AE1608">
        <v>3</v>
      </c>
      <c r="AF1608">
        <v>80</v>
      </c>
      <c r="AG1608">
        <v>3</v>
      </c>
      <c r="AH1608">
        <v>24</v>
      </c>
      <c r="AI1608">
        <v>2</v>
      </c>
      <c r="AJ1608">
        <v>3</v>
      </c>
      <c r="AK1608" t="str" cm="1">
        <f t="array" ref="AK1608">_xlfn.IFS(AJ1608&lt;=2,"Poor",AJ1608&lt;=3,"Fair",AJ1608&gt;3,"Good")</f>
        <v>Fair</v>
      </c>
      <c r="AL1608">
        <v>24</v>
      </c>
      <c r="AM1608">
        <v>13</v>
      </c>
      <c r="AN1608">
        <v>15</v>
      </c>
      <c r="AO1608">
        <v>7</v>
      </c>
    </row>
    <row r="1609" spans="1:41" x14ac:dyDescent="0.2">
      <c r="A1609">
        <v>1085062</v>
      </c>
      <c r="B1609">
        <v>35</v>
      </c>
      <c r="C1609" t="str" cm="1">
        <f t="array" ref="C1609">_xlfn.IFS(B1609&lt;=25,"15-25",B1609&lt;=35,"26-35",B1609&lt;=45,"36-45",B1609&lt;=55,"46-55",B1609&lt;=65,"56-65")</f>
        <v>26-35</v>
      </c>
      <c r="D1609" t="s">
        <v>35</v>
      </c>
      <c r="E1609" t="str">
        <f t="shared" si="50"/>
        <v>Current Employee</v>
      </c>
      <c r="F1609" t="s">
        <v>36</v>
      </c>
      <c r="G1609">
        <v>556</v>
      </c>
      <c r="H1609" t="s">
        <v>45</v>
      </c>
      <c r="I1609">
        <v>23</v>
      </c>
      <c r="J1609">
        <v>2</v>
      </c>
      <c r="K1609" t="s">
        <v>38</v>
      </c>
      <c r="L1609">
        <v>1</v>
      </c>
      <c r="M1609">
        <v>2</v>
      </c>
      <c r="N1609" t="s">
        <v>46</v>
      </c>
      <c r="O1609">
        <v>50</v>
      </c>
      <c r="P1609">
        <v>2</v>
      </c>
      <c r="Q1609">
        <v>2</v>
      </c>
      <c r="R1609" t="s">
        <v>51</v>
      </c>
      <c r="S1609">
        <v>3</v>
      </c>
      <c r="T1609" t="str" cm="1">
        <f t="array" ref="T1609">_xlfn.IFS(S1609&lt;=2,"Poor",S1609&lt;=3,"Fair",S1609&gt;=4,"Good")</f>
        <v>Fair</v>
      </c>
      <c r="U1609" t="s">
        <v>48</v>
      </c>
      <c r="V1609" s="1">
        <v>5916</v>
      </c>
      <c r="W1609" t="str" cm="1">
        <f t="array" ref="W1609">_xlfn.IFS(V1609&lt;=5000,"Low Salary",V1609&lt;=12000,"Good Salary",V1609&gt;12000,"High Salary")</f>
        <v>Good Salary</v>
      </c>
      <c r="X1609">
        <v>15497</v>
      </c>
      <c r="Y1609">
        <v>3</v>
      </c>
      <c r="Z1609" t="s">
        <v>42</v>
      </c>
      <c r="AA1609" t="s">
        <v>43</v>
      </c>
      <c r="AB1609">
        <v>13</v>
      </c>
      <c r="AC1609">
        <v>3</v>
      </c>
      <c r="AD1609" t="str">
        <f t="shared" si="51"/>
        <v>Low Performance</v>
      </c>
      <c r="AE1609">
        <v>1</v>
      </c>
      <c r="AF1609">
        <v>80</v>
      </c>
      <c r="AG1609">
        <v>0</v>
      </c>
      <c r="AH1609">
        <v>8</v>
      </c>
      <c r="AI1609">
        <v>1</v>
      </c>
      <c r="AJ1609">
        <v>3</v>
      </c>
      <c r="AK1609" t="str" cm="1">
        <f t="array" ref="AK1609">_xlfn.IFS(AJ1609&lt;=2,"Poor",AJ1609&lt;=3,"Fair",AJ1609&gt;3,"Good")</f>
        <v>Fair</v>
      </c>
      <c r="AL1609">
        <v>1</v>
      </c>
      <c r="AM1609">
        <v>0</v>
      </c>
      <c r="AN1609">
        <v>0</v>
      </c>
      <c r="AO1609">
        <v>1</v>
      </c>
    </row>
    <row r="1610" spans="1:41" x14ac:dyDescent="0.2">
      <c r="A1610">
        <v>1640372</v>
      </c>
      <c r="B1610">
        <v>32</v>
      </c>
      <c r="C1610" t="str" cm="1">
        <f t="array" ref="C1610">_xlfn.IFS(B1610&lt;=25,"15-25",B1610&lt;=35,"26-35",B1610&lt;=45,"36-45",B1610&lt;=55,"46-55",B1610&lt;=65,"56-65")</f>
        <v>26-35</v>
      </c>
      <c r="D1610" t="s">
        <v>35</v>
      </c>
      <c r="E1610" t="str">
        <f t="shared" si="50"/>
        <v>Current Employee</v>
      </c>
      <c r="F1610" t="s">
        <v>44</v>
      </c>
      <c r="G1610">
        <v>585</v>
      </c>
      <c r="H1610" t="s">
        <v>45</v>
      </c>
      <c r="I1610">
        <v>10</v>
      </c>
      <c r="J1610">
        <v>3</v>
      </c>
      <c r="K1610" t="s">
        <v>38</v>
      </c>
      <c r="L1610">
        <v>1</v>
      </c>
      <c r="M1610">
        <v>1</v>
      </c>
      <c r="N1610" t="s">
        <v>46</v>
      </c>
      <c r="O1610">
        <v>56</v>
      </c>
      <c r="P1610">
        <v>3</v>
      </c>
      <c r="Q1610">
        <v>1</v>
      </c>
      <c r="R1610" t="s">
        <v>40</v>
      </c>
      <c r="S1610">
        <v>3</v>
      </c>
      <c r="T1610" t="str" cm="1">
        <f t="array" ref="T1610">_xlfn.IFS(S1610&lt;=2,"Poor",S1610&lt;=3,"Fair",S1610&gt;=4,"Good")</f>
        <v>Fair</v>
      </c>
      <c r="U1610" t="s">
        <v>48</v>
      </c>
      <c r="V1610" s="1">
        <v>3433</v>
      </c>
      <c r="W1610" t="str" cm="1">
        <f t="array" ref="W1610">_xlfn.IFS(V1610&lt;=5000,"Low Salary",V1610&lt;=12000,"Good Salary",V1610&gt;12000,"High Salary")</f>
        <v>Low Salary</v>
      </c>
      <c r="X1610">
        <v>17360</v>
      </c>
      <c r="Y1610">
        <v>6</v>
      </c>
      <c r="Z1610" t="s">
        <v>42</v>
      </c>
      <c r="AA1610" t="s">
        <v>35</v>
      </c>
      <c r="AB1610">
        <v>13</v>
      </c>
      <c r="AC1610">
        <v>3</v>
      </c>
      <c r="AD1610" t="str">
        <f t="shared" si="51"/>
        <v>Low Performance</v>
      </c>
      <c r="AE1610">
        <v>1</v>
      </c>
      <c r="AF1610">
        <v>80</v>
      </c>
      <c r="AG1610">
        <v>1</v>
      </c>
      <c r="AH1610">
        <v>10</v>
      </c>
      <c r="AI1610">
        <v>3</v>
      </c>
      <c r="AJ1610">
        <v>2</v>
      </c>
      <c r="AK1610" t="str" cm="1">
        <f t="array" ref="AK1610">_xlfn.IFS(AJ1610&lt;=2,"Poor",AJ1610&lt;=3,"Fair",AJ1610&gt;3,"Good")</f>
        <v>Poor</v>
      </c>
      <c r="AL1610">
        <v>5</v>
      </c>
      <c r="AM1610">
        <v>2</v>
      </c>
      <c r="AN1610">
        <v>1</v>
      </c>
      <c r="AO1610">
        <v>3</v>
      </c>
    </row>
    <row r="1611" spans="1:41" x14ac:dyDescent="0.2">
      <c r="A1611">
        <v>1309511</v>
      </c>
      <c r="B1611">
        <v>36</v>
      </c>
      <c r="C1611" t="str" cm="1">
        <f t="array" ref="C1611">_xlfn.IFS(B1611&lt;=25,"15-25",B1611&lt;=35,"26-35",B1611&lt;=45,"36-45",B1611&lt;=55,"46-55",B1611&lt;=65,"56-65")</f>
        <v>36-45</v>
      </c>
      <c r="D1611" t="s">
        <v>35</v>
      </c>
      <c r="E1611" t="str">
        <f t="shared" si="50"/>
        <v>Current Employee</v>
      </c>
      <c r="F1611" t="s">
        <v>44</v>
      </c>
      <c r="G1611">
        <v>1302</v>
      </c>
      <c r="H1611" t="s">
        <v>54</v>
      </c>
      <c r="I1611">
        <v>6</v>
      </c>
      <c r="J1611">
        <v>4</v>
      </c>
      <c r="K1611" t="s">
        <v>38</v>
      </c>
      <c r="L1611">
        <v>1</v>
      </c>
      <c r="M1611">
        <v>1</v>
      </c>
      <c r="N1611" t="s">
        <v>46</v>
      </c>
      <c r="O1611">
        <v>80</v>
      </c>
      <c r="P1611">
        <v>4</v>
      </c>
      <c r="Q1611">
        <v>2</v>
      </c>
      <c r="R1611" t="s">
        <v>40</v>
      </c>
      <c r="S1611">
        <v>1</v>
      </c>
      <c r="T1611" t="str" cm="1">
        <f t="array" ref="T1611">_xlfn.IFS(S1611&lt;=2,"Poor",S1611&lt;=3,"Fair",S1611&gt;=4,"Good")</f>
        <v>Poor</v>
      </c>
      <c r="U1611" t="s">
        <v>48</v>
      </c>
      <c r="V1611" s="1">
        <v>5562</v>
      </c>
      <c r="W1611" t="str" cm="1">
        <f t="array" ref="W1611">_xlfn.IFS(V1611&lt;=5000,"Low Salary",V1611&lt;=12000,"Good Salary",V1611&gt;12000,"High Salary")</f>
        <v>Good Salary</v>
      </c>
      <c r="X1611">
        <v>19711</v>
      </c>
      <c r="Y1611">
        <v>3</v>
      </c>
      <c r="Z1611" t="s">
        <v>42</v>
      </c>
      <c r="AA1611" t="s">
        <v>43</v>
      </c>
      <c r="AB1611">
        <v>13</v>
      </c>
      <c r="AC1611">
        <v>3</v>
      </c>
      <c r="AD1611" t="str">
        <f t="shared" si="51"/>
        <v>Low Performance</v>
      </c>
      <c r="AE1611">
        <v>4</v>
      </c>
      <c r="AF1611">
        <v>80</v>
      </c>
      <c r="AG1611">
        <v>1</v>
      </c>
      <c r="AH1611">
        <v>9</v>
      </c>
      <c r="AI1611">
        <v>3</v>
      </c>
      <c r="AJ1611">
        <v>3</v>
      </c>
      <c r="AK1611" t="str" cm="1">
        <f t="array" ref="AK1611">_xlfn.IFS(AJ1611&lt;=2,"Poor",AJ1611&lt;=3,"Fair",AJ1611&gt;3,"Good")</f>
        <v>Fair</v>
      </c>
      <c r="AL1611">
        <v>3</v>
      </c>
      <c r="AM1611">
        <v>2</v>
      </c>
      <c r="AN1611">
        <v>0</v>
      </c>
      <c r="AO1611">
        <v>2</v>
      </c>
    </row>
    <row r="1612" spans="1:41" x14ac:dyDescent="0.2">
      <c r="A1612">
        <v>1220459</v>
      </c>
      <c r="B1612">
        <v>49</v>
      </c>
      <c r="C1612" t="str" cm="1">
        <f t="array" ref="C1612">_xlfn.IFS(B1612&lt;=25,"15-25",B1612&lt;=35,"26-35",B1612&lt;=45,"36-45",B1612&lt;=55,"46-55",B1612&lt;=65,"56-65")</f>
        <v>46-55</v>
      </c>
      <c r="D1612" t="s">
        <v>35</v>
      </c>
      <c r="E1612" t="str">
        <f t="shared" si="50"/>
        <v>Current Employee</v>
      </c>
      <c r="F1612" t="s">
        <v>44</v>
      </c>
      <c r="G1612">
        <v>636</v>
      </c>
      <c r="H1612" t="s">
        <v>54</v>
      </c>
      <c r="I1612">
        <v>10</v>
      </c>
      <c r="J1612">
        <v>4</v>
      </c>
      <c r="K1612" t="s">
        <v>38</v>
      </c>
      <c r="L1612">
        <v>1</v>
      </c>
      <c r="M1612">
        <v>3</v>
      </c>
      <c r="N1612" t="s">
        <v>39</v>
      </c>
      <c r="O1612">
        <v>35</v>
      </c>
      <c r="P1612">
        <v>3</v>
      </c>
      <c r="Q1612">
        <v>5</v>
      </c>
      <c r="R1612" t="s">
        <v>51</v>
      </c>
      <c r="S1612">
        <v>1</v>
      </c>
      <c r="T1612" t="str" cm="1">
        <f t="array" ref="T1612">_xlfn.IFS(S1612&lt;=2,"Poor",S1612&lt;=3,"Fair",S1612&gt;=4,"Good")</f>
        <v>Poor</v>
      </c>
      <c r="U1612" t="s">
        <v>41</v>
      </c>
      <c r="V1612" s="1">
        <v>18665</v>
      </c>
      <c r="W1612" t="str" cm="1">
        <f t="array" ref="W1612">_xlfn.IFS(V1612&lt;=5000,"Low Salary",V1612&lt;=12000,"Good Salary",V1612&gt;12000,"High Salary")</f>
        <v>High Salary</v>
      </c>
      <c r="X1612">
        <v>25594</v>
      </c>
      <c r="Y1612">
        <v>9</v>
      </c>
      <c r="Z1612" t="s">
        <v>42</v>
      </c>
      <c r="AA1612" t="s">
        <v>43</v>
      </c>
      <c r="AB1612">
        <v>11</v>
      </c>
      <c r="AC1612">
        <v>3</v>
      </c>
      <c r="AD1612" t="str">
        <f t="shared" si="51"/>
        <v>Low Performance</v>
      </c>
      <c r="AE1612">
        <v>4</v>
      </c>
      <c r="AF1612">
        <v>80</v>
      </c>
      <c r="AG1612">
        <v>0</v>
      </c>
      <c r="AH1612">
        <v>22</v>
      </c>
      <c r="AI1612">
        <v>4</v>
      </c>
      <c r="AJ1612">
        <v>3</v>
      </c>
      <c r="AK1612" t="str" cm="1">
        <f t="array" ref="AK1612">_xlfn.IFS(AJ1612&lt;=2,"Poor",AJ1612&lt;=3,"Fair",AJ1612&gt;3,"Good")</f>
        <v>Fair</v>
      </c>
      <c r="AL1612">
        <v>3</v>
      </c>
      <c r="AM1612">
        <v>2</v>
      </c>
      <c r="AN1612">
        <v>1</v>
      </c>
      <c r="AO1612">
        <v>2</v>
      </c>
    </row>
    <row r="1613" spans="1:41" x14ac:dyDescent="0.2">
      <c r="A1613">
        <v>1048015</v>
      </c>
      <c r="B1613">
        <v>36</v>
      </c>
      <c r="C1613" t="str" cm="1">
        <f t="array" ref="C1613">_xlfn.IFS(B1613&lt;=25,"15-25",B1613&lt;=35,"26-35",B1613&lt;=45,"36-45",B1613&lt;=55,"46-55",B1613&lt;=65,"56-65")</f>
        <v>36-45</v>
      </c>
      <c r="D1613" t="s">
        <v>35</v>
      </c>
      <c r="E1613" t="str">
        <f t="shared" si="50"/>
        <v>Current Employee</v>
      </c>
      <c r="F1613" t="s">
        <v>36</v>
      </c>
      <c r="G1613">
        <v>311</v>
      </c>
      <c r="H1613" t="s">
        <v>54</v>
      </c>
      <c r="I1613">
        <v>7</v>
      </c>
      <c r="J1613">
        <v>3</v>
      </c>
      <c r="K1613" t="s">
        <v>38</v>
      </c>
      <c r="L1613">
        <v>1</v>
      </c>
      <c r="M1613">
        <v>1</v>
      </c>
      <c r="N1613" t="s">
        <v>46</v>
      </c>
      <c r="O1613">
        <v>77</v>
      </c>
      <c r="P1613">
        <v>3</v>
      </c>
      <c r="Q1613">
        <v>1</v>
      </c>
      <c r="R1613" t="s">
        <v>40</v>
      </c>
      <c r="S1613">
        <v>2</v>
      </c>
      <c r="T1613" t="str" cm="1">
        <f t="array" ref="T1613">_xlfn.IFS(S1613&lt;=2,"Poor",S1613&lt;=3,"Fair",S1613&gt;=4,"Good")</f>
        <v>Poor</v>
      </c>
      <c r="U1613" t="s">
        <v>41</v>
      </c>
      <c r="V1613" s="1">
        <v>2013</v>
      </c>
      <c r="W1613" t="str" cm="1">
        <f t="array" ref="W1613">_xlfn.IFS(V1613&lt;=5000,"Low Salary",V1613&lt;=12000,"Good Salary",V1613&gt;12000,"High Salary")</f>
        <v>Low Salary</v>
      </c>
      <c r="X1613">
        <v>10950</v>
      </c>
      <c r="Y1613">
        <v>2</v>
      </c>
      <c r="Z1613" t="s">
        <v>42</v>
      </c>
      <c r="AA1613" t="s">
        <v>35</v>
      </c>
      <c r="AB1613">
        <v>11</v>
      </c>
      <c r="AC1613">
        <v>3</v>
      </c>
      <c r="AD1613" t="str">
        <f t="shared" si="51"/>
        <v>Low Performance</v>
      </c>
      <c r="AE1613">
        <v>3</v>
      </c>
      <c r="AF1613">
        <v>80</v>
      </c>
      <c r="AG1613">
        <v>0</v>
      </c>
      <c r="AH1613">
        <v>15</v>
      </c>
      <c r="AI1613">
        <v>4</v>
      </c>
      <c r="AJ1613">
        <v>3</v>
      </c>
      <c r="AK1613" t="str" cm="1">
        <f t="array" ref="AK1613">_xlfn.IFS(AJ1613&lt;=2,"Poor",AJ1613&lt;=3,"Fair",AJ1613&gt;3,"Good")</f>
        <v>Fair</v>
      </c>
      <c r="AL1613">
        <v>4</v>
      </c>
      <c r="AM1613">
        <v>3</v>
      </c>
      <c r="AN1613">
        <v>1</v>
      </c>
      <c r="AO1613">
        <v>3</v>
      </c>
    </row>
    <row r="1614" spans="1:41" x14ac:dyDescent="0.2">
      <c r="A1614">
        <v>1659102</v>
      </c>
      <c r="B1614">
        <v>43</v>
      </c>
      <c r="C1614" t="str" cm="1">
        <f t="array" ref="C1614">_xlfn.IFS(B1614&lt;=25,"15-25",B1614&lt;=35,"26-35",B1614&lt;=45,"36-45",B1614&lt;=55,"46-55",B1614&lt;=65,"56-65")</f>
        <v>36-45</v>
      </c>
      <c r="D1614" t="s">
        <v>35</v>
      </c>
      <c r="E1614" t="str">
        <f t="shared" si="50"/>
        <v>Current Employee</v>
      </c>
      <c r="F1614" t="s">
        <v>44</v>
      </c>
      <c r="G1614">
        <v>957</v>
      </c>
      <c r="H1614" t="s">
        <v>45</v>
      </c>
      <c r="I1614">
        <v>28</v>
      </c>
      <c r="J1614">
        <v>3</v>
      </c>
      <c r="K1614" t="s">
        <v>49</v>
      </c>
      <c r="L1614">
        <v>1</v>
      </c>
      <c r="M1614">
        <v>2</v>
      </c>
      <c r="N1614" t="s">
        <v>39</v>
      </c>
      <c r="O1614">
        <v>72</v>
      </c>
      <c r="P1614">
        <v>4</v>
      </c>
      <c r="Q1614">
        <v>1</v>
      </c>
      <c r="R1614" t="s">
        <v>40</v>
      </c>
      <c r="S1614">
        <v>3</v>
      </c>
      <c r="T1614" t="str" cm="1">
        <f t="array" ref="T1614">_xlfn.IFS(S1614&lt;=2,"Poor",S1614&lt;=3,"Fair",S1614&gt;=4,"Good")</f>
        <v>Fair</v>
      </c>
      <c r="U1614" t="s">
        <v>41</v>
      </c>
      <c r="V1614" s="1">
        <v>4739</v>
      </c>
      <c r="W1614" t="str" cm="1">
        <f t="array" ref="W1614">_xlfn.IFS(V1614&lt;=5000,"Low Salary",V1614&lt;=12000,"Good Salary",V1614&gt;12000,"High Salary")</f>
        <v>Low Salary</v>
      </c>
      <c r="X1614">
        <v>16090</v>
      </c>
      <c r="Y1614">
        <v>4</v>
      </c>
      <c r="Z1614" t="s">
        <v>42</v>
      </c>
      <c r="AA1614" t="s">
        <v>35</v>
      </c>
      <c r="AB1614">
        <v>12</v>
      </c>
      <c r="AC1614">
        <v>3</v>
      </c>
      <c r="AD1614" t="str">
        <f t="shared" si="51"/>
        <v>Low Performance</v>
      </c>
      <c r="AE1614">
        <v>4</v>
      </c>
      <c r="AF1614">
        <v>80</v>
      </c>
      <c r="AG1614">
        <v>0</v>
      </c>
      <c r="AH1614">
        <v>18</v>
      </c>
      <c r="AI1614">
        <v>2</v>
      </c>
      <c r="AJ1614">
        <v>3</v>
      </c>
      <c r="AK1614" t="str" cm="1">
        <f t="array" ref="AK1614">_xlfn.IFS(AJ1614&lt;=2,"Poor",AJ1614&lt;=3,"Fair",AJ1614&gt;3,"Good")</f>
        <v>Fair</v>
      </c>
      <c r="AL1614">
        <v>3</v>
      </c>
      <c r="AM1614">
        <v>2</v>
      </c>
      <c r="AN1614">
        <v>1</v>
      </c>
      <c r="AO1614">
        <v>2</v>
      </c>
    </row>
    <row r="1615" spans="1:41" x14ac:dyDescent="0.2">
      <c r="A1615">
        <v>1857447</v>
      </c>
      <c r="B1615">
        <v>27</v>
      </c>
      <c r="C1615" t="str" cm="1">
        <f t="array" ref="C1615">_xlfn.IFS(B1615&lt;=25,"15-25",B1615&lt;=35,"26-35",B1615&lt;=45,"36-45",B1615&lt;=55,"46-55",B1615&lt;=65,"56-65")</f>
        <v>26-35</v>
      </c>
      <c r="D1615" t="s">
        <v>35</v>
      </c>
      <c r="E1615" t="str">
        <f t="shared" si="50"/>
        <v>Current Employee</v>
      </c>
      <c r="F1615" t="s">
        <v>52</v>
      </c>
      <c r="G1615">
        <v>1277</v>
      </c>
      <c r="H1615" t="s">
        <v>54</v>
      </c>
      <c r="I1615">
        <v>8</v>
      </c>
      <c r="J1615">
        <v>5</v>
      </c>
      <c r="K1615" t="s">
        <v>38</v>
      </c>
      <c r="L1615">
        <v>1</v>
      </c>
      <c r="M1615">
        <v>1</v>
      </c>
      <c r="N1615" t="s">
        <v>46</v>
      </c>
      <c r="O1615">
        <v>87</v>
      </c>
      <c r="P1615">
        <v>1</v>
      </c>
      <c r="Q1615">
        <v>1</v>
      </c>
      <c r="R1615" t="s">
        <v>40</v>
      </c>
      <c r="S1615">
        <v>3</v>
      </c>
      <c r="T1615" t="str" cm="1">
        <f t="array" ref="T1615">_xlfn.IFS(S1615&lt;=2,"Poor",S1615&lt;=3,"Fair",S1615&gt;=4,"Good")</f>
        <v>Fair</v>
      </c>
      <c r="U1615" t="s">
        <v>48</v>
      </c>
      <c r="V1615" s="1">
        <v>4621</v>
      </c>
      <c r="W1615" t="str" cm="1">
        <f t="array" ref="W1615">_xlfn.IFS(V1615&lt;=5000,"Low Salary",V1615&lt;=12000,"Good Salary",V1615&gt;12000,"High Salary")</f>
        <v>Low Salary</v>
      </c>
      <c r="X1615">
        <v>5869</v>
      </c>
      <c r="Y1615">
        <v>1</v>
      </c>
      <c r="Z1615" t="s">
        <v>42</v>
      </c>
      <c r="AA1615" t="s">
        <v>35</v>
      </c>
      <c r="AB1615">
        <v>19</v>
      </c>
      <c r="AC1615">
        <v>3</v>
      </c>
      <c r="AD1615" t="str">
        <f t="shared" si="51"/>
        <v>Low Performance</v>
      </c>
      <c r="AE1615">
        <v>4</v>
      </c>
      <c r="AF1615">
        <v>80</v>
      </c>
      <c r="AG1615">
        <v>3</v>
      </c>
      <c r="AH1615">
        <v>3</v>
      </c>
      <c r="AI1615">
        <v>4</v>
      </c>
      <c r="AJ1615">
        <v>3</v>
      </c>
      <c r="AK1615" t="str" cm="1">
        <f t="array" ref="AK1615">_xlfn.IFS(AJ1615&lt;=2,"Poor",AJ1615&lt;=3,"Fair",AJ1615&gt;3,"Good")</f>
        <v>Fair</v>
      </c>
      <c r="AL1615">
        <v>3</v>
      </c>
      <c r="AM1615">
        <v>2</v>
      </c>
      <c r="AN1615">
        <v>1</v>
      </c>
      <c r="AO1615">
        <v>2</v>
      </c>
    </row>
    <row r="1616" spans="1:41" x14ac:dyDescent="0.2">
      <c r="A1616">
        <v>1586182</v>
      </c>
      <c r="B1616">
        <v>52</v>
      </c>
      <c r="C1616" t="str" cm="1">
        <f t="array" ref="C1616">_xlfn.IFS(B1616&lt;=25,"15-25",B1616&lt;=35,"26-35",B1616&lt;=45,"36-45",B1616&lt;=55,"46-55",B1616&lt;=65,"56-65")</f>
        <v>46-55</v>
      </c>
      <c r="D1616" t="s">
        <v>35</v>
      </c>
      <c r="E1616" t="str">
        <f t="shared" si="50"/>
        <v>Current Employee</v>
      </c>
      <c r="F1616" t="s">
        <v>52</v>
      </c>
      <c r="G1616">
        <v>585</v>
      </c>
      <c r="H1616" t="s">
        <v>37</v>
      </c>
      <c r="I1616">
        <v>29</v>
      </c>
      <c r="J1616">
        <v>4</v>
      </c>
      <c r="K1616" t="s">
        <v>38</v>
      </c>
      <c r="L1616">
        <v>1</v>
      </c>
      <c r="M1616">
        <v>1</v>
      </c>
      <c r="N1616" t="s">
        <v>46</v>
      </c>
      <c r="O1616">
        <v>40</v>
      </c>
      <c r="P1616">
        <v>3</v>
      </c>
      <c r="Q1616">
        <v>1</v>
      </c>
      <c r="R1616" t="s">
        <v>47</v>
      </c>
      <c r="S1616">
        <v>4</v>
      </c>
      <c r="T1616" t="str" cm="1">
        <f t="array" ref="T1616">_xlfn.IFS(S1616&lt;=2,"Poor",S1616&lt;=3,"Fair",S1616&gt;=4,"Good")</f>
        <v>Good</v>
      </c>
      <c r="U1616" t="s">
        <v>50</v>
      </c>
      <c r="V1616" s="1">
        <v>3482</v>
      </c>
      <c r="W1616" t="str" cm="1">
        <f t="array" ref="W1616">_xlfn.IFS(V1616&lt;=5000,"Low Salary",V1616&lt;=12000,"Good Salary",V1616&gt;12000,"High Salary")</f>
        <v>Low Salary</v>
      </c>
      <c r="X1616">
        <v>19788</v>
      </c>
      <c r="Y1616">
        <v>2</v>
      </c>
      <c r="Z1616" t="s">
        <v>42</v>
      </c>
      <c r="AA1616" t="s">
        <v>35</v>
      </c>
      <c r="AB1616">
        <v>15</v>
      </c>
      <c r="AC1616">
        <v>3</v>
      </c>
      <c r="AD1616" t="str">
        <f t="shared" si="51"/>
        <v>Low Performance</v>
      </c>
      <c r="AE1616">
        <v>2</v>
      </c>
      <c r="AF1616">
        <v>80</v>
      </c>
      <c r="AG1616">
        <v>2</v>
      </c>
      <c r="AH1616">
        <v>16</v>
      </c>
      <c r="AI1616">
        <v>3</v>
      </c>
      <c r="AJ1616">
        <v>2</v>
      </c>
      <c r="AK1616" t="str" cm="1">
        <f t="array" ref="AK1616">_xlfn.IFS(AJ1616&lt;=2,"Poor",AJ1616&lt;=3,"Fair",AJ1616&gt;3,"Good")</f>
        <v>Poor</v>
      </c>
      <c r="AL1616">
        <v>9</v>
      </c>
      <c r="AM1616">
        <v>8</v>
      </c>
      <c r="AN1616">
        <v>0</v>
      </c>
      <c r="AO1616">
        <v>0</v>
      </c>
    </row>
    <row r="1617" spans="1:41" x14ac:dyDescent="0.2">
      <c r="A1617">
        <v>1585668</v>
      </c>
      <c r="B1617">
        <v>58</v>
      </c>
      <c r="C1617" t="str" cm="1">
        <f t="array" ref="C1617">_xlfn.IFS(B1617&lt;=25,"15-25",B1617&lt;=35,"26-35",B1617&lt;=45,"36-45",B1617&lt;=55,"46-55",B1617&lt;=65,"56-65")</f>
        <v>56-65</v>
      </c>
      <c r="D1617" t="s">
        <v>35</v>
      </c>
      <c r="E1617" t="str">
        <f t="shared" si="50"/>
        <v>Current Employee</v>
      </c>
      <c r="F1617" t="s">
        <v>36</v>
      </c>
      <c r="G1617">
        <v>601</v>
      </c>
      <c r="H1617" t="s">
        <v>45</v>
      </c>
      <c r="I1617">
        <v>7</v>
      </c>
      <c r="J1617">
        <v>4</v>
      </c>
      <c r="K1617" t="s">
        <v>49</v>
      </c>
      <c r="L1617">
        <v>1</v>
      </c>
      <c r="M1617">
        <v>3</v>
      </c>
      <c r="N1617" t="s">
        <v>39</v>
      </c>
      <c r="O1617">
        <v>53</v>
      </c>
      <c r="P1617">
        <v>2</v>
      </c>
      <c r="Q1617">
        <v>3</v>
      </c>
      <c r="R1617" t="s">
        <v>51</v>
      </c>
      <c r="S1617">
        <v>1</v>
      </c>
      <c r="T1617" t="str" cm="1">
        <f t="array" ref="T1617">_xlfn.IFS(S1617&lt;=2,"Poor",S1617&lt;=3,"Fair",S1617&gt;=4,"Good")</f>
        <v>Poor</v>
      </c>
      <c r="U1617" t="s">
        <v>48</v>
      </c>
      <c r="V1617" s="1">
        <v>10008</v>
      </c>
      <c r="W1617" t="str" cm="1">
        <f t="array" ref="W1617">_xlfn.IFS(V1617&lt;=5000,"Low Salary",V1617&lt;=12000,"Good Salary",V1617&gt;12000,"High Salary")</f>
        <v>Good Salary</v>
      </c>
      <c r="X1617">
        <v>12023</v>
      </c>
      <c r="Y1617">
        <v>7</v>
      </c>
      <c r="Z1617" t="s">
        <v>42</v>
      </c>
      <c r="AA1617" t="s">
        <v>43</v>
      </c>
      <c r="AB1617">
        <v>14</v>
      </c>
      <c r="AC1617">
        <v>3</v>
      </c>
      <c r="AD1617" t="str">
        <f t="shared" si="51"/>
        <v>Low Performance</v>
      </c>
      <c r="AE1617">
        <v>4</v>
      </c>
      <c r="AF1617">
        <v>80</v>
      </c>
      <c r="AG1617">
        <v>0</v>
      </c>
      <c r="AH1617">
        <v>31</v>
      </c>
      <c r="AI1617">
        <v>0</v>
      </c>
      <c r="AJ1617">
        <v>2</v>
      </c>
      <c r="AK1617" t="str" cm="1">
        <f t="array" ref="AK1617">_xlfn.IFS(AJ1617&lt;=2,"Poor",AJ1617&lt;=3,"Fair",AJ1617&gt;3,"Good")</f>
        <v>Poor</v>
      </c>
      <c r="AL1617">
        <v>10</v>
      </c>
      <c r="AM1617">
        <v>9</v>
      </c>
      <c r="AN1617">
        <v>5</v>
      </c>
      <c r="AO1617">
        <v>9</v>
      </c>
    </row>
    <row r="1618" spans="1:41" x14ac:dyDescent="0.2">
      <c r="A1618">
        <v>1522053</v>
      </c>
      <c r="B1618">
        <v>53</v>
      </c>
      <c r="C1618" t="str" cm="1">
        <f t="array" ref="C1618">_xlfn.IFS(B1618&lt;=25,"15-25",B1618&lt;=35,"26-35",B1618&lt;=45,"36-45",B1618&lt;=55,"46-55",B1618&lt;=65,"56-65")</f>
        <v>46-55</v>
      </c>
      <c r="D1618" t="s">
        <v>35</v>
      </c>
      <c r="E1618" t="str">
        <f t="shared" si="50"/>
        <v>Current Employee</v>
      </c>
      <c r="F1618" t="s">
        <v>36</v>
      </c>
      <c r="G1618">
        <v>661</v>
      </c>
      <c r="H1618" t="s">
        <v>37</v>
      </c>
      <c r="I1618">
        <v>7</v>
      </c>
      <c r="J1618">
        <v>2</v>
      </c>
      <c r="K1618" t="s">
        <v>55</v>
      </c>
      <c r="L1618">
        <v>1</v>
      </c>
      <c r="M1618">
        <v>1</v>
      </c>
      <c r="N1618" t="s">
        <v>39</v>
      </c>
      <c r="O1618">
        <v>78</v>
      </c>
      <c r="P1618">
        <v>2</v>
      </c>
      <c r="Q1618">
        <v>3</v>
      </c>
      <c r="R1618" t="s">
        <v>40</v>
      </c>
      <c r="S1618">
        <v>4</v>
      </c>
      <c r="T1618" t="str" cm="1">
        <f t="array" ref="T1618">_xlfn.IFS(S1618&lt;=2,"Poor",S1618&lt;=3,"Fair",S1618&gt;=4,"Good")</f>
        <v>Good</v>
      </c>
      <c r="U1618" t="s">
        <v>48</v>
      </c>
      <c r="V1618" s="1">
        <v>10934</v>
      </c>
      <c r="W1618" t="str" cm="1">
        <f t="array" ref="W1618">_xlfn.IFS(V1618&lt;=5000,"Low Salary",V1618&lt;=12000,"Good Salary",V1618&gt;12000,"High Salary")</f>
        <v>Good Salary</v>
      </c>
      <c r="X1618">
        <v>20715</v>
      </c>
      <c r="Y1618">
        <v>7</v>
      </c>
      <c r="Z1618" t="s">
        <v>42</v>
      </c>
      <c r="AA1618" t="s">
        <v>43</v>
      </c>
      <c r="AB1618">
        <v>18</v>
      </c>
      <c r="AC1618">
        <v>3</v>
      </c>
      <c r="AD1618" t="str">
        <f t="shared" si="51"/>
        <v>Low Performance</v>
      </c>
      <c r="AE1618">
        <v>4</v>
      </c>
      <c r="AF1618">
        <v>80</v>
      </c>
      <c r="AG1618">
        <v>1</v>
      </c>
      <c r="AH1618">
        <v>35</v>
      </c>
      <c r="AI1618">
        <v>3</v>
      </c>
      <c r="AJ1618">
        <v>3</v>
      </c>
      <c r="AK1618" t="str" cm="1">
        <f t="array" ref="AK1618">_xlfn.IFS(AJ1618&lt;=2,"Poor",AJ1618&lt;=3,"Fair",AJ1618&gt;3,"Good")</f>
        <v>Fair</v>
      </c>
      <c r="AL1618">
        <v>5</v>
      </c>
      <c r="AM1618">
        <v>2</v>
      </c>
      <c r="AN1618">
        <v>0</v>
      </c>
      <c r="AO1618">
        <v>4</v>
      </c>
    </row>
    <row r="1619" spans="1:41" x14ac:dyDescent="0.2">
      <c r="A1619">
        <v>1685220</v>
      </c>
      <c r="B1619">
        <v>36</v>
      </c>
      <c r="C1619" t="str" cm="1">
        <f t="array" ref="C1619">_xlfn.IFS(B1619&lt;=25,"15-25",B1619&lt;=35,"26-35",B1619&lt;=45,"36-45",B1619&lt;=55,"46-55",B1619&lt;=65,"56-65")</f>
        <v>36-45</v>
      </c>
      <c r="D1619" t="s">
        <v>35</v>
      </c>
      <c r="E1619" t="str">
        <f t="shared" si="50"/>
        <v>Current Employee</v>
      </c>
      <c r="F1619" t="s">
        <v>36</v>
      </c>
      <c r="G1619">
        <v>1456</v>
      </c>
      <c r="H1619" t="s">
        <v>37</v>
      </c>
      <c r="I1619">
        <v>13</v>
      </c>
      <c r="J1619">
        <v>5</v>
      </c>
      <c r="K1619" t="s">
        <v>55</v>
      </c>
      <c r="L1619">
        <v>1</v>
      </c>
      <c r="M1619">
        <v>2</v>
      </c>
      <c r="N1619" t="s">
        <v>46</v>
      </c>
      <c r="O1619">
        <v>96</v>
      </c>
      <c r="P1619">
        <v>2</v>
      </c>
      <c r="Q1619">
        <v>2</v>
      </c>
      <c r="R1619" t="s">
        <v>40</v>
      </c>
      <c r="S1619">
        <v>1</v>
      </c>
      <c r="T1619" t="str" cm="1">
        <f t="array" ref="T1619">_xlfn.IFS(S1619&lt;=2,"Poor",S1619&lt;=3,"Fair",S1619&gt;=4,"Good")</f>
        <v>Poor</v>
      </c>
      <c r="U1619" t="s">
        <v>50</v>
      </c>
      <c r="V1619" s="1">
        <v>6134</v>
      </c>
      <c r="W1619" t="str" cm="1">
        <f t="array" ref="W1619">_xlfn.IFS(V1619&lt;=5000,"Low Salary",V1619&lt;=12000,"Good Salary",V1619&gt;12000,"High Salary")</f>
        <v>Good Salary</v>
      </c>
      <c r="X1619">
        <v>8658</v>
      </c>
      <c r="Y1619">
        <v>5</v>
      </c>
      <c r="Z1619" t="s">
        <v>42</v>
      </c>
      <c r="AA1619" t="s">
        <v>43</v>
      </c>
      <c r="AB1619">
        <v>13</v>
      </c>
      <c r="AC1619">
        <v>3</v>
      </c>
      <c r="AD1619" t="str">
        <f t="shared" si="51"/>
        <v>Low Performance</v>
      </c>
      <c r="AE1619">
        <v>2</v>
      </c>
      <c r="AF1619">
        <v>80</v>
      </c>
      <c r="AG1619">
        <v>3</v>
      </c>
      <c r="AH1619">
        <v>16</v>
      </c>
      <c r="AI1619">
        <v>3</v>
      </c>
      <c r="AJ1619">
        <v>3</v>
      </c>
      <c r="AK1619" t="str" cm="1">
        <f t="array" ref="AK1619">_xlfn.IFS(AJ1619&lt;=2,"Poor",AJ1619&lt;=3,"Fair",AJ1619&gt;3,"Good")</f>
        <v>Fair</v>
      </c>
      <c r="AL1619">
        <v>2</v>
      </c>
      <c r="AM1619">
        <v>2</v>
      </c>
      <c r="AN1619">
        <v>2</v>
      </c>
      <c r="AO1619">
        <v>2</v>
      </c>
    </row>
    <row r="1620" spans="1:41" x14ac:dyDescent="0.2">
      <c r="A1620">
        <v>1249536</v>
      </c>
      <c r="B1620">
        <v>25</v>
      </c>
      <c r="C1620" t="str" cm="1">
        <f t="array" ref="C1620">_xlfn.IFS(B1620&lt;=25,"15-25",B1620&lt;=35,"26-35",B1620&lt;=45,"36-45",B1620&lt;=55,"46-55",B1620&lt;=65,"56-65")</f>
        <v>15-25</v>
      </c>
      <c r="D1620" t="s">
        <v>35</v>
      </c>
      <c r="E1620" t="str">
        <f t="shared" si="50"/>
        <v>Current Employee</v>
      </c>
      <c r="F1620" t="s">
        <v>36</v>
      </c>
      <c r="G1620">
        <v>583</v>
      </c>
      <c r="H1620" t="s">
        <v>37</v>
      </c>
      <c r="I1620">
        <v>4</v>
      </c>
      <c r="J1620">
        <v>1</v>
      </c>
      <c r="K1620" t="s">
        <v>55</v>
      </c>
      <c r="L1620">
        <v>1</v>
      </c>
      <c r="M1620">
        <v>3</v>
      </c>
      <c r="N1620" t="s">
        <v>46</v>
      </c>
      <c r="O1620">
        <v>87</v>
      </c>
      <c r="P1620">
        <v>2</v>
      </c>
      <c r="Q1620">
        <v>2</v>
      </c>
      <c r="R1620" t="s">
        <v>40</v>
      </c>
      <c r="S1620">
        <v>1</v>
      </c>
      <c r="T1620" t="str" cm="1">
        <f t="array" ref="T1620">_xlfn.IFS(S1620&lt;=2,"Poor",S1620&lt;=3,"Fair",S1620&gt;=4,"Good")</f>
        <v>Poor</v>
      </c>
      <c r="U1620" t="s">
        <v>48</v>
      </c>
      <c r="V1620" s="1">
        <v>4256</v>
      </c>
      <c r="W1620" t="str" cm="1">
        <f t="array" ref="W1620">_xlfn.IFS(V1620&lt;=5000,"Low Salary",V1620&lt;=12000,"Good Salary",V1620&gt;12000,"High Salary")</f>
        <v>Low Salary</v>
      </c>
      <c r="X1620">
        <v>18154</v>
      </c>
      <c r="Y1620">
        <v>1</v>
      </c>
      <c r="Z1620" t="s">
        <v>42</v>
      </c>
      <c r="AA1620" t="s">
        <v>35</v>
      </c>
      <c r="AB1620">
        <v>12</v>
      </c>
      <c r="AC1620">
        <v>3</v>
      </c>
      <c r="AD1620" t="str">
        <f t="shared" si="51"/>
        <v>Low Performance</v>
      </c>
      <c r="AE1620">
        <v>1</v>
      </c>
      <c r="AF1620">
        <v>80</v>
      </c>
      <c r="AG1620">
        <v>0</v>
      </c>
      <c r="AH1620">
        <v>5</v>
      </c>
      <c r="AI1620">
        <v>1</v>
      </c>
      <c r="AJ1620">
        <v>4</v>
      </c>
      <c r="AK1620" t="str" cm="1">
        <f t="array" ref="AK1620">_xlfn.IFS(AJ1620&lt;=2,"Poor",AJ1620&lt;=3,"Fair",AJ1620&gt;3,"Good")</f>
        <v>Good</v>
      </c>
      <c r="AL1620">
        <v>5</v>
      </c>
      <c r="AM1620">
        <v>2</v>
      </c>
      <c r="AN1620">
        <v>0</v>
      </c>
      <c r="AO1620">
        <v>3</v>
      </c>
    </row>
    <row r="1621" spans="1:41" x14ac:dyDescent="0.2">
      <c r="A1621">
        <v>1104176</v>
      </c>
      <c r="B1621">
        <v>29</v>
      </c>
      <c r="C1621" t="str" cm="1">
        <f t="array" ref="C1621">_xlfn.IFS(B1621&lt;=25,"15-25",B1621&lt;=35,"26-35",B1621&lt;=45,"36-45",B1621&lt;=55,"46-55",B1621&lt;=65,"56-65")</f>
        <v>26-35</v>
      </c>
      <c r="D1621" t="s">
        <v>35</v>
      </c>
      <c r="E1621" t="str">
        <f t="shared" si="50"/>
        <v>Current Employee</v>
      </c>
      <c r="F1621" t="s">
        <v>36</v>
      </c>
      <c r="G1621">
        <v>1283</v>
      </c>
      <c r="H1621" t="s">
        <v>45</v>
      </c>
      <c r="I1621">
        <v>23</v>
      </c>
      <c r="J1621">
        <v>3</v>
      </c>
      <c r="K1621" t="s">
        <v>38</v>
      </c>
      <c r="L1621">
        <v>1</v>
      </c>
      <c r="M1621">
        <v>4</v>
      </c>
      <c r="N1621" t="s">
        <v>46</v>
      </c>
      <c r="O1621">
        <v>54</v>
      </c>
      <c r="P1621">
        <v>3</v>
      </c>
      <c r="Q1621">
        <v>1</v>
      </c>
      <c r="R1621" t="s">
        <v>40</v>
      </c>
      <c r="S1621">
        <v>4</v>
      </c>
      <c r="T1621" t="str" cm="1">
        <f t="array" ref="T1621">_xlfn.IFS(S1621&lt;=2,"Poor",S1621&lt;=3,"Fair",S1621&gt;=4,"Good")</f>
        <v>Good</v>
      </c>
      <c r="U1621" t="s">
        <v>41</v>
      </c>
      <c r="V1621" s="1">
        <v>2201</v>
      </c>
      <c r="W1621" t="str" cm="1">
        <f t="array" ref="W1621">_xlfn.IFS(V1621&lt;=5000,"Low Salary",V1621&lt;=12000,"Good Salary",V1621&gt;12000,"High Salary")</f>
        <v>Low Salary</v>
      </c>
      <c r="X1621">
        <v>18168</v>
      </c>
      <c r="Y1621">
        <v>9</v>
      </c>
      <c r="Z1621" t="s">
        <v>42</v>
      </c>
      <c r="AA1621" t="s">
        <v>35</v>
      </c>
      <c r="AB1621">
        <v>16</v>
      </c>
      <c r="AC1621">
        <v>3</v>
      </c>
      <c r="AD1621" t="str">
        <f t="shared" si="51"/>
        <v>Low Performance</v>
      </c>
      <c r="AE1621">
        <v>4</v>
      </c>
      <c r="AF1621">
        <v>80</v>
      </c>
      <c r="AG1621">
        <v>0</v>
      </c>
      <c r="AH1621">
        <v>6</v>
      </c>
      <c r="AI1621">
        <v>4</v>
      </c>
      <c r="AJ1621">
        <v>3</v>
      </c>
      <c r="AK1621" t="str" cm="1">
        <f t="array" ref="AK1621">_xlfn.IFS(AJ1621&lt;=2,"Poor",AJ1621&lt;=3,"Fair",AJ1621&gt;3,"Good")</f>
        <v>Fair</v>
      </c>
      <c r="AL1621">
        <v>3</v>
      </c>
      <c r="AM1621">
        <v>2</v>
      </c>
      <c r="AN1621">
        <v>1</v>
      </c>
      <c r="AO1621">
        <v>2</v>
      </c>
    </row>
    <row r="1622" spans="1:41" x14ac:dyDescent="0.2">
      <c r="A1622">
        <v>1602545</v>
      </c>
      <c r="B1622">
        <v>27</v>
      </c>
      <c r="C1622" t="str" cm="1">
        <f t="array" ref="C1622">_xlfn.IFS(B1622&lt;=25,"15-25",B1622&lt;=35,"26-35",B1622&lt;=45,"36-45",B1622&lt;=55,"46-55",B1622&lt;=65,"56-65")</f>
        <v>26-35</v>
      </c>
      <c r="D1622" t="s">
        <v>35</v>
      </c>
      <c r="E1622" t="str">
        <f t="shared" si="50"/>
        <v>Current Employee</v>
      </c>
      <c r="F1622" t="s">
        <v>36</v>
      </c>
      <c r="G1622">
        <v>1240</v>
      </c>
      <c r="H1622" t="s">
        <v>54</v>
      </c>
      <c r="I1622">
        <v>2</v>
      </c>
      <c r="J1622">
        <v>4</v>
      </c>
      <c r="K1622" t="s">
        <v>38</v>
      </c>
      <c r="L1622">
        <v>1</v>
      </c>
      <c r="M1622">
        <v>4</v>
      </c>
      <c r="N1622" t="s">
        <v>39</v>
      </c>
      <c r="O1622">
        <v>33</v>
      </c>
      <c r="P1622">
        <v>3</v>
      </c>
      <c r="Q1622">
        <v>1</v>
      </c>
      <c r="R1622" t="s">
        <v>40</v>
      </c>
      <c r="S1622">
        <v>1</v>
      </c>
      <c r="T1622" t="str" cm="1">
        <f t="array" ref="T1622">_xlfn.IFS(S1622&lt;=2,"Poor",S1622&lt;=3,"Fair",S1622&gt;=4,"Good")</f>
        <v>Poor</v>
      </c>
      <c r="U1622" t="s">
        <v>50</v>
      </c>
      <c r="V1622" s="1">
        <v>2341</v>
      </c>
      <c r="W1622" t="str" cm="1">
        <f t="array" ref="W1622">_xlfn.IFS(V1622&lt;=5000,"Low Salary",V1622&lt;=12000,"Good Salary",V1622&gt;12000,"High Salary")</f>
        <v>Low Salary</v>
      </c>
      <c r="X1622">
        <v>19715</v>
      </c>
      <c r="Y1622">
        <v>1</v>
      </c>
      <c r="Z1622" t="s">
        <v>42</v>
      </c>
      <c r="AA1622" t="s">
        <v>35</v>
      </c>
      <c r="AB1622">
        <v>13</v>
      </c>
      <c r="AC1622">
        <v>3</v>
      </c>
      <c r="AD1622" t="str">
        <f t="shared" si="51"/>
        <v>Low Performance</v>
      </c>
      <c r="AE1622">
        <v>4</v>
      </c>
      <c r="AF1622">
        <v>80</v>
      </c>
      <c r="AG1622">
        <v>1</v>
      </c>
      <c r="AH1622">
        <v>1</v>
      </c>
      <c r="AI1622">
        <v>6</v>
      </c>
      <c r="AJ1622">
        <v>3</v>
      </c>
      <c r="AK1622" t="str" cm="1">
        <f t="array" ref="AK1622">_xlfn.IFS(AJ1622&lt;=2,"Poor",AJ1622&lt;=3,"Fair",AJ1622&gt;3,"Good")</f>
        <v>Fair</v>
      </c>
      <c r="AL1622">
        <v>1</v>
      </c>
      <c r="AM1622">
        <v>0</v>
      </c>
      <c r="AN1622">
        <v>0</v>
      </c>
      <c r="AO1622">
        <v>0</v>
      </c>
    </row>
    <row r="1623" spans="1:41" x14ac:dyDescent="0.2">
      <c r="A1623">
        <v>1433107</v>
      </c>
      <c r="B1623">
        <v>28</v>
      </c>
      <c r="C1623" t="str" cm="1">
        <f t="array" ref="C1623">_xlfn.IFS(B1623&lt;=25,"15-25",B1623&lt;=35,"26-35",B1623&lt;=45,"36-45",B1623&lt;=55,"46-55",B1623&lt;=65,"56-65")</f>
        <v>26-35</v>
      </c>
      <c r="D1623" t="s">
        <v>35</v>
      </c>
      <c r="E1623" t="str">
        <f t="shared" si="50"/>
        <v>Current Employee</v>
      </c>
      <c r="F1623" t="s">
        <v>36</v>
      </c>
      <c r="G1623">
        <v>1423</v>
      </c>
      <c r="H1623" t="s">
        <v>45</v>
      </c>
      <c r="I1623">
        <v>1</v>
      </c>
      <c r="J1623">
        <v>3</v>
      </c>
      <c r="K1623" t="s">
        <v>38</v>
      </c>
      <c r="L1623">
        <v>1</v>
      </c>
      <c r="M1623">
        <v>1</v>
      </c>
      <c r="N1623" t="s">
        <v>46</v>
      </c>
      <c r="O1623">
        <v>72</v>
      </c>
      <c r="P1623">
        <v>2</v>
      </c>
      <c r="Q1623">
        <v>1</v>
      </c>
      <c r="R1623" t="s">
        <v>40</v>
      </c>
      <c r="S1623">
        <v>3</v>
      </c>
      <c r="T1623" t="str" cm="1">
        <f t="array" ref="T1623">_xlfn.IFS(S1623&lt;=2,"Poor",S1623&lt;=3,"Fair",S1623&gt;=4,"Good")</f>
        <v>Fair</v>
      </c>
      <c r="U1623" t="s">
        <v>50</v>
      </c>
      <c r="V1623" s="1">
        <v>1563</v>
      </c>
      <c r="W1623" t="str" cm="1">
        <f t="array" ref="W1623">_xlfn.IFS(V1623&lt;=5000,"Low Salary",V1623&lt;=12000,"Good Salary",V1623&gt;12000,"High Salary")</f>
        <v>Low Salary</v>
      </c>
      <c r="X1623">
        <v>12530</v>
      </c>
      <c r="Y1623">
        <v>1</v>
      </c>
      <c r="Z1623" t="s">
        <v>42</v>
      </c>
      <c r="AA1623" t="s">
        <v>35</v>
      </c>
      <c r="AB1623">
        <v>14</v>
      </c>
      <c r="AC1623">
        <v>3</v>
      </c>
      <c r="AD1623" t="str">
        <f t="shared" si="51"/>
        <v>Low Performance</v>
      </c>
      <c r="AE1623">
        <v>4</v>
      </c>
      <c r="AF1623">
        <v>80</v>
      </c>
      <c r="AG1623">
        <v>1</v>
      </c>
      <c r="AH1623">
        <v>1</v>
      </c>
      <c r="AI1623">
        <v>2</v>
      </c>
      <c r="AJ1623">
        <v>1</v>
      </c>
      <c r="AK1623" t="str" cm="1">
        <f t="array" ref="AK1623">_xlfn.IFS(AJ1623&lt;=2,"Poor",AJ1623&lt;=3,"Fair",AJ1623&gt;3,"Good")</f>
        <v>Poor</v>
      </c>
      <c r="AL1623">
        <v>1</v>
      </c>
      <c r="AM1623">
        <v>0</v>
      </c>
      <c r="AN1623">
        <v>0</v>
      </c>
      <c r="AO1623">
        <v>0</v>
      </c>
    </row>
    <row r="1624" spans="1:41" x14ac:dyDescent="0.2">
      <c r="A1624">
        <v>1232119</v>
      </c>
      <c r="B1624">
        <v>27</v>
      </c>
      <c r="C1624" t="str" cm="1">
        <f t="array" ref="C1624">_xlfn.IFS(B1624&lt;=25,"15-25",B1624&lt;=35,"26-35",B1624&lt;=45,"36-45",B1624&lt;=55,"46-55",B1624&lt;=65,"56-65")</f>
        <v>26-35</v>
      </c>
      <c r="D1624" t="s">
        <v>35</v>
      </c>
      <c r="E1624" t="str">
        <f t="shared" si="50"/>
        <v>Current Employee</v>
      </c>
      <c r="F1624" t="s">
        <v>52</v>
      </c>
      <c r="G1624">
        <v>691</v>
      </c>
      <c r="H1624" t="s">
        <v>45</v>
      </c>
      <c r="I1624">
        <v>9</v>
      </c>
      <c r="J1624">
        <v>3</v>
      </c>
      <c r="K1624" t="s">
        <v>49</v>
      </c>
      <c r="L1624">
        <v>1</v>
      </c>
      <c r="M1624">
        <v>4</v>
      </c>
      <c r="N1624" t="s">
        <v>46</v>
      </c>
      <c r="O1624">
        <v>57</v>
      </c>
      <c r="P1624">
        <v>3</v>
      </c>
      <c r="Q1624">
        <v>1</v>
      </c>
      <c r="R1624" t="s">
        <v>40</v>
      </c>
      <c r="S1624">
        <v>2</v>
      </c>
      <c r="T1624" t="str" cm="1">
        <f t="array" ref="T1624">_xlfn.IFS(S1624&lt;=2,"Poor",S1624&lt;=3,"Fair",S1624&gt;=4,"Good")</f>
        <v>Poor</v>
      </c>
      <c r="U1624" t="s">
        <v>50</v>
      </c>
      <c r="V1624" s="1">
        <v>2024</v>
      </c>
      <c r="W1624" t="str" cm="1">
        <f t="array" ref="W1624">_xlfn.IFS(V1624&lt;=5000,"Low Salary",V1624&lt;=12000,"Good Salary",V1624&gt;12000,"High Salary")</f>
        <v>Low Salary</v>
      </c>
      <c r="X1624">
        <v>5970</v>
      </c>
      <c r="Y1624">
        <v>6</v>
      </c>
      <c r="Z1624" t="s">
        <v>42</v>
      </c>
      <c r="AA1624" t="s">
        <v>35</v>
      </c>
      <c r="AB1624">
        <v>18</v>
      </c>
      <c r="AC1624">
        <v>3</v>
      </c>
      <c r="AD1624" t="str">
        <f t="shared" si="51"/>
        <v>Low Performance</v>
      </c>
      <c r="AE1624">
        <v>4</v>
      </c>
      <c r="AF1624">
        <v>80</v>
      </c>
      <c r="AG1624">
        <v>1</v>
      </c>
      <c r="AH1624">
        <v>6</v>
      </c>
      <c r="AI1624">
        <v>1</v>
      </c>
      <c r="AJ1624">
        <v>1</v>
      </c>
      <c r="AK1624" t="str" cm="1">
        <f t="array" ref="AK1624">_xlfn.IFS(AJ1624&lt;=2,"Poor",AJ1624&lt;=3,"Fair",AJ1624&gt;3,"Good")</f>
        <v>Poor</v>
      </c>
      <c r="AL1624">
        <v>2</v>
      </c>
      <c r="AM1624">
        <v>2</v>
      </c>
      <c r="AN1624">
        <v>2</v>
      </c>
      <c r="AO1624">
        <v>2</v>
      </c>
    </row>
    <row r="1625" spans="1:41" x14ac:dyDescent="0.2">
      <c r="A1625">
        <v>1876599</v>
      </c>
      <c r="B1625">
        <v>29</v>
      </c>
      <c r="C1625" t="str" cm="1">
        <f t="array" ref="C1625">_xlfn.IFS(B1625&lt;=25,"15-25",B1625&lt;=35,"26-35",B1625&lt;=45,"36-45",B1625&lt;=55,"46-55",B1625&lt;=65,"56-65")</f>
        <v>26-35</v>
      </c>
      <c r="D1625" t="s">
        <v>35</v>
      </c>
      <c r="E1625" t="str">
        <f t="shared" si="50"/>
        <v>Current Employee</v>
      </c>
      <c r="F1625" t="s">
        <v>36</v>
      </c>
      <c r="G1625">
        <v>144</v>
      </c>
      <c r="H1625" t="s">
        <v>37</v>
      </c>
      <c r="I1625">
        <v>10</v>
      </c>
      <c r="J1625">
        <v>1</v>
      </c>
      <c r="K1625" t="s">
        <v>55</v>
      </c>
      <c r="L1625">
        <v>1</v>
      </c>
      <c r="M1625">
        <v>4</v>
      </c>
      <c r="N1625" t="s">
        <v>39</v>
      </c>
      <c r="O1625">
        <v>39</v>
      </c>
      <c r="P1625">
        <v>2</v>
      </c>
      <c r="Q1625">
        <v>2</v>
      </c>
      <c r="R1625" t="s">
        <v>40</v>
      </c>
      <c r="S1625">
        <v>2</v>
      </c>
      <c r="T1625" t="str" cm="1">
        <f t="array" ref="T1625">_xlfn.IFS(S1625&lt;=2,"Poor",S1625&lt;=3,"Fair",S1625&gt;=4,"Good")</f>
        <v>Poor</v>
      </c>
      <c r="U1625" t="s">
        <v>50</v>
      </c>
      <c r="V1625" s="1">
        <v>8268</v>
      </c>
      <c r="W1625" t="str" cm="1">
        <f t="array" ref="W1625">_xlfn.IFS(V1625&lt;=5000,"Low Salary",V1625&lt;=12000,"Good Salary",V1625&gt;12000,"High Salary")</f>
        <v>Good Salary</v>
      </c>
      <c r="X1625">
        <v>11866</v>
      </c>
      <c r="Y1625">
        <v>1</v>
      </c>
      <c r="Z1625" t="s">
        <v>42</v>
      </c>
      <c r="AA1625" t="s">
        <v>43</v>
      </c>
      <c r="AB1625">
        <v>14</v>
      </c>
      <c r="AC1625">
        <v>3</v>
      </c>
      <c r="AD1625" t="str">
        <f t="shared" si="51"/>
        <v>Low Performance</v>
      </c>
      <c r="AE1625">
        <v>1</v>
      </c>
      <c r="AF1625">
        <v>80</v>
      </c>
      <c r="AG1625">
        <v>2</v>
      </c>
      <c r="AH1625">
        <v>7</v>
      </c>
      <c r="AI1625">
        <v>2</v>
      </c>
      <c r="AJ1625">
        <v>3</v>
      </c>
      <c r="AK1625" t="str" cm="1">
        <f t="array" ref="AK1625">_xlfn.IFS(AJ1625&lt;=2,"Poor",AJ1625&lt;=3,"Fair",AJ1625&gt;3,"Good")</f>
        <v>Fair</v>
      </c>
      <c r="AL1625">
        <v>7</v>
      </c>
      <c r="AM1625">
        <v>7</v>
      </c>
      <c r="AN1625">
        <v>1</v>
      </c>
      <c r="AO1625">
        <v>7</v>
      </c>
    </row>
    <row r="1626" spans="1:41" x14ac:dyDescent="0.2">
      <c r="A1626">
        <v>1389456</v>
      </c>
      <c r="B1626">
        <v>24</v>
      </c>
      <c r="C1626" t="str" cm="1">
        <f t="array" ref="C1626">_xlfn.IFS(B1626&lt;=25,"15-25",B1626&lt;=35,"26-35",B1626&lt;=45,"36-45",B1626&lt;=55,"46-55",B1626&lt;=65,"56-65")</f>
        <v>15-25</v>
      </c>
      <c r="D1626" t="s">
        <v>35</v>
      </c>
      <c r="E1626" t="str">
        <f t="shared" si="50"/>
        <v>Current Employee</v>
      </c>
      <c r="F1626" t="s">
        <v>44</v>
      </c>
      <c r="G1626">
        <v>897</v>
      </c>
      <c r="H1626" t="s">
        <v>54</v>
      </c>
      <c r="I1626">
        <v>10</v>
      </c>
      <c r="J1626">
        <v>3</v>
      </c>
      <c r="K1626" t="s">
        <v>49</v>
      </c>
      <c r="L1626">
        <v>1</v>
      </c>
      <c r="M1626">
        <v>1</v>
      </c>
      <c r="N1626" t="s">
        <v>46</v>
      </c>
      <c r="O1626">
        <v>59</v>
      </c>
      <c r="P1626">
        <v>3</v>
      </c>
      <c r="Q1626">
        <v>1</v>
      </c>
      <c r="R1626" t="s">
        <v>47</v>
      </c>
      <c r="S1626">
        <v>4</v>
      </c>
      <c r="T1626" t="str" cm="1">
        <f t="array" ref="T1626">_xlfn.IFS(S1626&lt;=2,"Poor",S1626&lt;=3,"Fair",S1626&gt;=4,"Good")</f>
        <v>Good</v>
      </c>
      <c r="U1626" t="s">
        <v>48</v>
      </c>
      <c r="V1626" s="1">
        <v>2145</v>
      </c>
      <c r="W1626" t="str" cm="1">
        <f t="array" ref="W1626">_xlfn.IFS(V1626&lt;=5000,"Low Salary",V1626&lt;=12000,"Good Salary",V1626&gt;12000,"High Salary")</f>
        <v>Low Salary</v>
      </c>
      <c r="X1626">
        <v>2097</v>
      </c>
      <c r="Y1626">
        <v>0</v>
      </c>
      <c r="Z1626" t="s">
        <v>42</v>
      </c>
      <c r="AA1626" t="s">
        <v>35</v>
      </c>
      <c r="AB1626">
        <v>14</v>
      </c>
      <c r="AC1626">
        <v>3</v>
      </c>
      <c r="AD1626" t="str">
        <f t="shared" si="51"/>
        <v>Low Performance</v>
      </c>
      <c r="AE1626">
        <v>4</v>
      </c>
      <c r="AF1626">
        <v>80</v>
      </c>
      <c r="AG1626">
        <v>1</v>
      </c>
      <c r="AH1626">
        <v>3</v>
      </c>
      <c r="AI1626">
        <v>2</v>
      </c>
      <c r="AJ1626">
        <v>3</v>
      </c>
      <c r="AK1626" t="str" cm="1">
        <f t="array" ref="AK1626">_xlfn.IFS(AJ1626&lt;=2,"Poor",AJ1626&lt;=3,"Fair",AJ1626&gt;3,"Good")</f>
        <v>Fair</v>
      </c>
      <c r="AL1626">
        <v>2</v>
      </c>
      <c r="AM1626">
        <v>2</v>
      </c>
      <c r="AN1626">
        <v>2</v>
      </c>
      <c r="AO1626">
        <v>1</v>
      </c>
    </row>
    <row r="1627" spans="1:41" x14ac:dyDescent="0.2">
      <c r="A1627">
        <v>1197555</v>
      </c>
      <c r="B1627">
        <v>38</v>
      </c>
      <c r="C1627" t="str" cm="1">
        <f t="array" ref="C1627">_xlfn.IFS(B1627&lt;=25,"15-25",B1627&lt;=35,"26-35",B1627&lt;=45,"36-45",B1627&lt;=55,"46-55",B1627&lt;=65,"56-65")</f>
        <v>36-45</v>
      </c>
      <c r="D1627" t="s">
        <v>35</v>
      </c>
      <c r="E1627" t="str">
        <f t="shared" si="50"/>
        <v>Current Employee</v>
      </c>
      <c r="F1627" t="s">
        <v>36</v>
      </c>
      <c r="G1627">
        <v>364</v>
      </c>
      <c r="H1627" t="s">
        <v>45</v>
      </c>
      <c r="I1627">
        <v>3</v>
      </c>
      <c r="J1627">
        <v>5</v>
      </c>
      <c r="K1627" t="s">
        <v>56</v>
      </c>
      <c r="L1627">
        <v>1</v>
      </c>
      <c r="M1627">
        <v>4</v>
      </c>
      <c r="N1627" t="s">
        <v>39</v>
      </c>
      <c r="O1627">
        <v>32</v>
      </c>
      <c r="P1627">
        <v>3</v>
      </c>
      <c r="Q1627">
        <v>2</v>
      </c>
      <c r="R1627" t="s">
        <v>40</v>
      </c>
      <c r="S1627">
        <v>3</v>
      </c>
      <c r="T1627" t="str" cm="1">
        <f t="array" ref="T1627">_xlfn.IFS(S1627&lt;=2,"Poor",S1627&lt;=3,"Fair",S1627&gt;=4,"Good")</f>
        <v>Fair</v>
      </c>
      <c r="U1627" t="s">
        <v>41</v>
      </c>
      <c r="V1627" s="1">
        <v>4317</v>
      </c>
      <c r="W1627" t="str" cm="1">
        <f t="array" ref="W1627">_xlfn.IFS(V1627&lt;=5000,"Low Salary",V1627&lt;=12000,"Good Salary",V1627&gt;12000,"High Salary")</f>
        <v>Low Salary</v>
      </c>
      <c r="X1627">
        <v>2302</v>
      </c>
      <c r="Y1627">
        <v>3</v>
      </c>
      <c r="Z1627" t="s">
        <v>42</v>
      </c>
      <c r="AA1627" t="s">
        <v>43</v>
      </c>
      <c r="AB1627">
        <v>20</v>
      </c>
      <c r="AC1627">
        <v>4</v>
      </c>
      <c r="AD1627" t="str">
        <f t="shared" si="51"/>
        <v>High Performance</v>
      </c>
      <c r="AE1627">
        <v>2</v>
      </c>
      <c r="AF1627">
        <v>80</v>
      </c>
      <c r="AG1627">
        <v>0</v>
      </c>
      <c r="AH1627">
        <v>19</v>
      </c>
      <c r="AI1627">
        <v>2</v>
      </c>
      <c r="AJ1627">
        <v>3</v>
      </c>
      <c r="AK1627" t="str" cm="1">
        <f t="array" ref="AK1627">_xlfn.IFS(AJ1627&lt;=2,"Poor",AJ1627&lt;=3,"Fair",AJ1627&gt;3,"Good")</f>
        <v>Fair</v>
      </c>
      <c r="AL1627">
        <v>3</v>
      </c>
      <c r="AM1627">
        <v>2</v>
      </c>
      <c r="AN1627">
        <v>2</v>
      </c>
      <c r="AO1627">
        <v>2</v>
      </c>
    </row>
    <row r="1628" spans="1:41" x14ac:dyDescent="0.2">
      <c r="A1628">
        <v>1285943</v>
      </c>
      <c r="B1628">
        <v>50</v>
      </c>
      <c r="C1628" t="str" cm="1">
        <f t="array" ref="C1628">_xlfn.IFS(B1628&lt;=25,"15-25",B1628&lt;=35,"26-35",B1628&lt;=45,"36-45",B1628&lt;=55,"46-55",B1628&lt;=65,"56-65")</f>
        <v>46-55</v>
      </c>
      <c r="D1628" t="s">
        <v>35</v>
      </c>
      <c r="E1628" t="str">
        <f t="shared" si="50"/>
        <v>Current Employee</v>
      </c>
      <c r="F1628" t="s">
        <v>36</v>
      </c>
      <c r="G1628">
        <v>1207</v>
      </c>
      <c r="H1628" t="s">
        <v>54</v>
      </c>
      <c r="I1628">
        <v>28</v>
      </c>
      <c r="J1628">
        <v>1</v>
      </c>
      <c r="K1628" t="s">
        <v>49</v>
      </c>
      <c r="L1628">
        <v>1</v>
      </c>
      <c r="M1628">
        <v>4</v>
      </c>
      <c r="N1628" t="s">
        <v>46</v>
      </c>
      <c r="O1628">
        <v>74</v>
      </c>
      <c r="P1628">
        <v>4</v>
      </c>
      <c r="Q1628">
        <v>1</v>
      </c>
      <c r="R1628" t="s">
        <v>40</v>
      </c>
      <c r="S1628">
        <v>3</v>
      </c>
      <c r="T1628" t="str" cm="1">
        <f t="array" ref="T1628">_xlfn.IFS(S1628&lt;=2,"Poor",S1628&lt;=3,"Fair",S1628&gt;=4,"Good")</f>
        <v>Fair</v>
      </c>
      <c r="U1628" t="s">
        <v>48</v>
      </c>
      <c r="V1628" s="1">
        <v>3221</v>
      </c>
      <c r="W1628" t="str" cm="1">
        <f t="array" ref="W1628">_xlfn.IFS(V1628&lt;=5000,"Low Salary",V1628&lt;=12000,"Good Salary",V1628&gt;12000,"High Salary")</f>
        <v>Low Salary</v>
      </c>
      <c r="X1628">
        <v>3297</v>
      </c>
      <c r="Y1628">
        <v>1</v>
      </c>
      <c r="Z1628" t="s">
        <v>42</v>
      </c>
      <c r="AA1628" t="s">
        <v>43</v>
      </c>
      <c r="AB1628">
        <v>11</v>
      </c>
      <c r="AC1628">
        <v>3</v>
      </c>
      <c r="AD1628" t="str">
        <f t="shared" si="51"/>
        <v>Low Performance</v>
      </c>
      <c r="AE1628">
        <v>3</v>
      </c>
      <c r="AF1628">
        <v>80</v>
      </c>
      <c r="AG1628">
        <v>3</v>
      </c>
      <c r="AH1628">
        <v>20</v>
      </c>
      <c r="AI1628">
        <v>3</v>
      </c>
      <c r="AJ1628">
        <v>3</v>
      </c>
      <c r="AK1628" t="str" cm="1">
        <f t="array" ref="AK1628">_xlfn.IFS(AJ1628&lt;=2,"Poor",AJ1628&lt;=3,"Fair",AJ1628&gt;3,"Good")</f>
        <v>Fair</v>
      </c>
      <c r="AL1628">
        <v>20</v>
      </c>
      <c r="AM1628">
        <v>8</v>
      </c>
      <c r="AN1628">
        <v>3</v>
      </c>
      <c r="AO1628">
        <v>8</v>
      </c>
    </row>
    <row r="1629" spans="1:41" x14ac:dyDescent="0.2">
      <c r="A1629">
        <v>1108108</v>
      </c>
      <c r="B1629">
        <v>29</v>
      </c>
      <c r="C1629" t="str" cm="1">
        <f t="array" ref="C1629">_xlfn.IFS(B1629&lt;=25,"15-25",B1629&lt;=35,"26-35",B1629&lt;=45,"36-45",B1629&lt;=55,"46-55",B1629&lt;=65,"56-65")</f>
        <v>26-35</v>
      </c>
      <c r="D1629" t="s">
        <v>35</v>
      </c>
      <c r="E1629" t="str">
        <f t="shared" si="50"/>
        <v>Current Employee</v>
      </c>
      <c r="F1629" t="s">
        <v>44</v>
      </c>
      <c r="G1629">
        <v>574</v>
      </c>
      <c r="H1629" t="s">
        <v>54</v>
      </c>
      <c r="I1629">
        <v>20</v>
      </c>
      <c r="J1629">
        <v>1</v>
      </c>
      <c r="K1629" t="s">
        <v>49</v>
      </c>
      <c r="L1629">
        <v>1</v>
      </c>
      <c r="M1629">
        <v>4</v>
      </c>
      <c r="N1629" t="s">
        <v>46</v>
      </c>
      <c r="O1629">
        <v>40</v>
      </c>
      <c r="P1629">
        <v>3</v>
      </c>
      <c r="Q1629">
        <v>1</v>
      </c>
      <c r="R1629" t="s">
        <v>40</v>
      </c>
      <c r="S1629">
        <v>4</v>
      </c>
      <c r="T1629" t="str" cm="1">
        <f t="array" ref="T1629">_xlfn.IFS(S1629&lt;=2,"Poor",S1629&lt;=3,"Fair",S1629&gt;=4,"Good")</f>
        <v>Good</v>
      </c>
      <c r="U1629" t="s">
        <v>48</v>
      </c>
      <c r="V1629" s="1">
        <v>3812</v>
      </c>
      <c r="W1629" t="str" cm="1">
        <f t="array" ref="W1629">_xlfn.IFS(V1629&lt;=5000,"Low Salary",V1629&lt;=12000,"Good Salary",V1629&gt;12000,"High Salary")</f>
        <v>Low Salary</v>
      </c>
      <c r="X1629">
        <v>7003</v>
      </c>
      <c r="Y1629">
        <v>1</v>
      </c>
      <c r="Z1629" t="s">
        <v>42</v>
      </c>
      <c r="AA1629" t="s">
        <v>35</v>
      </c>
      <c r="AB1629">
        <v>13</v>
      </c>
      <c r="AC1629">
        <v>3</v>
      </c>
      <c r="AD1629" t="str">
        <f t="shared" si="51"/>
        <v>Low Performance</v>
      </c>
      <c r="AE1629">
        <v>2</v>
      </c>
      <c r="AF1629">
        <v>80</v>
      </c>
      <c r="AG1629">
        <v>0</v>
      </c>
      <c r="AH1629">
        <v>11</v>
      </c>
      <c r="AI1629">
        <v>3</v>
      </c>
      <c r="AJ1629">
        <v>4</v>
      </c>
      <c r="AK1629" t="str" cm="1">
        <f t="array" ref="AK1629">_xlfn.IFS(AJ1629&lt;=2,"Poor",AJ1629&lt;=3,"Fair",AJ1629&gt;3,"Good")</f>
        <v>Good</v>
      </c>
      <c r="AL1629">
        <v>11</v>
      </c>
      <c r="AM1629">
        <v>8</v>
      </c>
      <c r="AN1629">
        <v>3</v>
      </c>
      <c r="AO1629">
        <v>10</v>
      </c>
    </row>
    <row r="1630" spans="1:41" x14ac:dyDescent="0.2">
      <c r="A1630">
        <v>1215433</v>
      </c>
      <c r="B1630">
        <v>25</v>
      </c>
      <c r="C1630" t="str" cm="1">
        <f t="array" ref="C1630">_xlfn.IFS(B1630&lt;=25,"15-25",B1630&lt;=35,"26-35",B1630&lt;=45,"36-45",B1630&lt;=55,"46-55",B1630&lt;=65,"56-65")</f>
        <v>15-25</v>
      </c>
      <c r="D1630" t="s">
        <v>35</v>
      </c>
      <c r="E1630" t="str">
        <f t="shared" si="50"/>
        <v>Current Employee</v>
      </c>
      <c r="F1630" t="s">
        <v>36</v>
      </c>
      <c r="G1630">
        <v>622</v>
      </c>
      <c r="H1630" t="s">
        <v>37</v>
      </c>
      <c r="I1630">
        <v>13</v>
      </c>
      <c r="J1630">
        <v>1</v>
      </c>
      <c r="K1630" t="s">
        <v>49</v>
      </c>
      <c r="L1630">
        <v>1</v>
      </c>
      <c r="M1630">
        <v>2</v>
      </c>
      <c r="N1630" t="s">
        <v>46</v>
      </c>
      <c r="O1630">
        <v>40</v>
      </c>
      <c r="P1630">
        <v>3</v>
      </c>
      <c r="Q1630">
        <v>1</v>
      </c>
      <c r="R1630" t="s">
        <v>47</v>
      </c>
      <c r="S1630">
        <v>3</v>
      </c>
      <c r="T1630" t="str" cm="1">
        <f t="array" ref="T1630">_xlfn.IFS(S1630&lt;=2,"Poor",S1630&lt;=3,"Fair",S1630&gt;=4,"Good")</f>
        <v>Fair</v>
      </c>
      <c r="U1630" t="s">
        <v>48</v>
      </c>
      <c r="V1630" s="1">
        <v>2096</v>
      </c>
      <c r="W1630" t="str" cm="1">
        <f t="array" ref="W1630">_xlfn.IFS(V1630&lt;=5000,"Low Salary",V1630&lt;=12000,"Good Salary",V1630&gt;12000,"High Salary")</f>
        <v>Low Salary</v>
      </c>
      <c r="X1630">
        <v>26376</v>
      </c>
      <c r="Y1630">
        <v>1</v>
      </c>
      <c r="Z1630" t="s">
        <v>42</v>
      </c>
      <c r="AA1630" t="s">
        <v>35</v>
      </c>
      <c r="AB1630">
        <v>11</v>
      </c>
      <c r="AC1630">
        <v>3</v>
      </c>
      <c r="AD1630" t="str">
        <f t="shared" si="51"/>
        <v>Low Performance</v>
      </c>
      <c r="AE1630">
        <v>3</v>
      </c>
      <c r="AF1630">
        <v>80</v>
      </c>
      <c r="AG1630">
        <v>0</v>
      </c>
      <c r="AH1630">
        <v>7</v>
      </c>
      <c r="AI1630">
        <v>1</v>
      </c>
      <c r="AJ1630">
        <v>3</v>
      </c>
      <c r="AK1630" t="str" cm="1">
        <f t="array" ref="AK1630">_xlfn.IFS(AJ1630&lt;=2,"Poor",AJ1630&lt;=3,"Fair",AJ1630&gt;3,"Good")</f>
        <v>Fair</v>
      </c>
      <c r="AL1630">
        <v>7</v>
      </c>
      <c r="AM1630">
        <v>4</v>
      </c>
      <c r="AN1630">
        <v>0</v>
      </c>
      <c r="AO1630">
        <v>6</v>
      </c>
    </row>
    <row r="1631" spans="1:41" x14ac:dyDescent="0.2">
      <c r="A1631">
        <v>1565509</v>
      </c>
      <c r="B1631">
        <v>32</v>
      </c>
      <c r="C1631" t="str" cm="1">
        <f t="array" ref="C1631">_xlfn.IFS(B1631&lt;=25,"15-25",B1631&lt;=35,"26-35",B1631&lt;=45,"36-45",B1631&lt;=55,"46-55",B1631&lt;=65,"56-65")</f>
        <v>26-35</v>
      </c>
      <c r="D1631" t="s">
        <v>35</v>
      </c>
      <c r="E1631" t="str">
        <f t="shared" si="50"/>
        <v>Current Employee</v>
      </c>
      <c r="F1631" t="s">
        <v>52</v>
      </c>
      <c r="G1631">
        <v>1109</v>
      </c>
      <c r="H1631" t="s">
        <v>54</v>
      </c>
      <c r="I1631">
        <v>29</v>
      </c>
      <c r="J1631">
        <v>4</v>
      </c>
      <c r="K1631" t="s">
        <v>49</v>
      </c>
      <c r="L1631">
        <v>1</v>
      </c>
      <c r="M1631">
        <v>4</v>
      </c>
      <c r="N1631" t="s">
        <v>39</v>
      </c>
      <c r="O1631">
        <v>69</v>
      </c>
      <c r="P1631">
        <v>3</v>
      </c>
      <c r="Q1631">
        <v>1</v>
      </c>
      <c r="R1631" t="s">
        <v>40</v>
      </c>
      <c r="S1631">
        <v>3</v>
      </c>
      <c r="T1631" t="str" cm="1">
        <f t="array" ref="T1631">_xlfn.IFS(S1631&lt;=2,"Poor",S1631&lt;=3,"Fair",S1631&gt;=4,"Good")</f>
        <v>Fair</v>
      </c>
      <c r="U1631" t="s">
        <v>41</v>
      </c>
      <c r="V1631" s="1">
        <v>4025</v>
      </c>
      <c r="W1631" t="str" cm="1">
        <f t="array" ref="W1631">_xlfn.IFS(V1631&lt;=5000,"Low Salary",V1631&lt;=12000,"Good Salary",V1631&gt;12000,"High Salary")</f>
        <v>Low Salary</v>
      </c>
      <c r="X1631">
        <v>11135</v>
      </c>
      <c r="Y1631">
        <v>9</v>
      </c>
      <c r="Z1631" t="s">
        <v>42</v>
      </c>
      <c r="AA1631" t="s">
        <v>35</v>
      </c>
      <c r="AB1631">
        <v>12</v>
      </c>
      <c r="AC1631">
        <v>3</v>
      </c>
      <c r="AD1631" t="str">
        <f t="shared" si="51"/>
        <v>Low Performance</v>
      </c>
      <c r="AE1631">
        <v>2</v>
      </c>
      <c r="AF1631">
        <v>80</v>
      </c>
      <c r="AG1631">
        <v>0</v>
      </c>
      <c r="AH1631">
        <v>10</v>
      </c>
      <c r="AI1631">
        <v>2</v>
      </c>
      <c r="AJ1631">
        <v>3</v>
      </c>
      <c r="AK1631" t="str" cm="1">
        <f t="array" ref="AK1631">_xlfn.IFS(AJ1631&lt;=2,"Poor",AJ1631&lt;=3,"Fair",AJ1631&gt;3,"Good")</f>
        <v>Fair</v>
      </c>
      <c r="AL1631">
        <v>8</v>
      </c>
      <c r="AM1631">
        <v>7</v>
      </c>
      <c r="AN1631">
        <v>7</v>
      </c>
      <c r="AO1631">
        <v>7</v>
      </c>
    </row>
    <row r="1632" spans="1:41" x14ac:dyDescent="0.2">
      <c r="A1632">
        <v>1845170</v>
      </c>
      <c r="B1632">
        <v>24</v>
      </c>
      <c r="C1632" t="str" cm="1">
        <f t="array" ref="C1632">_xlfn.IFS(B1632&lt;=25,"15-25",B1632&lt;=35,"26-35",B1632&lt;=45,"36-45",B1632&lt;=55,"46-55",B1632&lt;=65,"56-65")</f>
        <v>15-25</v>
      </c>
      <c r="D1632" t="s">
        <v>35</v>
      </c>
      <c r="E1632" t="str">
        <f t="shared" si="50"/>
        <v>Current Employee</v>
      </c>
      <c r="F1632" t="s">
        <v>44</v>
      </c>
      <c r="G1632">
        <v>535</v>
      </c>
      <c r="H1632" t="s">
        <v>37</v>
      </c>
      <c r="I1632">
        <v>24</v>
      </c>
      <c r="J1632">
        <v>3</v>
      </c>
      <c r="K1632" t="s">
        <v>49</v>
      </c>
      <c r="L1632">
        <v>1</v>
      </c>
      <c r="M1632">
        <v>4</v>
      </c>
      <c r="N1632" t="s">
        <v>46</v>
      </c>
      <c r="O1632">
        <v>38</v>
      </c>
      <c r="P1632">
        <v>3</v>
      </c>
      <c r="Q1632">
        <v>1</v>
      </c>
      <c r="R1632" t="s">
        <v>47</v>
      </c>
      <c r="S1632">
        <v>4</v>
      </c>
      <c r="T1632" t="str" cm="1">
        <f t="array" ref="T1632">_xlfn.IFS(S1632&lt;=2,"Poor",S1632&lt;=3,"Fair",S1632&gt;=4,"Good")</f>
        <v>Good</v>
      </c>
      <c r="U1632" t="s">
        <v>48</v>
      </c>
      <c r="V1632" s="1">
        <v>2400</v>
      </c>
      <c r="W1632" t="str" cm="1">
        <f t="array" ref="W1632">_xlfn.IFS(V1632&lt;=5000,"Low Salary",V1632&lt;=12000,"Good Salary",V1632&gt;12000,"High Salary")</f>
        <v>Low Salary</v>
      </c>
      <c r="X1632">
        <v>5530</v>
      </c>
      <c r="Y1632">
        <v>0</v>
      </c>
      <c r="Z1632" t="s">
        <v>42</v>
      </c>
      <c r="AA1632" t="s">
        <v>35</v>
      </c>
      <c r="AB1632">
        <v>13</v>
      </c>
      <c r="AC1632">
        <v>3</v>
      </c>
      <c r="AD1632" t="str">
        <f t="shared" si="51"/>
        <v>Low Performance</v>
      </c>
      <c r="AE1632">
        <v>3</v>
      </c>
      <c r="AF1632">
        <v>80</v>
      </c>
      <c r="AG1632">
        <v>2</v>
      </c>
      <c r="AH1632">
        <v>3</v>
      </c>
      <c r="AI1632">
        <v>3</v>
      </c>
      <c r="AJ1632">
        <v>3</v>
      </c>
      <c r="AK1632" t="str" cm="1">
        <f t="array" ref="AK1632">_xlfn.IFS(AJ1632&lt;=2,"Poor",AJ1632&lt;=3,"Fair",AJ1632&gt;3,"Good")</f>
        <v>Fair</v>
      </c>
      <c r="AL1632">
        <v>2</v>
      </c>
      <c r="AM1632">
        <v>2</v>
      </c>
      <c r="AN1632">
        <v>2</v>
      </c>
      <c r="AO1632">
        <v>1</v>
      </c>
    </row>
    <row r="1633" spans="1:41" x14ac:dyDescent="0.2">
      <c r="A1633">
        <v>1188199</v>
      </c>
      <c r="B1633">
        <v>33</v>
      </c>
      <c r="C1633" t="str" cm="1">
        <f t="array" ref="C1633">_xlfn.IFS(B1633&lt;=25,"15-25",B1633&lt;=35,"26-35",B1633&lt;=45,"36-45",B1633&lt;=55,"46-55",B1633&lt;=65,"56-65")</f>
        <v>26-35</v>
      </c>
      <c r="D1633" t="s">
        <v>35</v>
      </c>
      <c r="E1633" t="str">
        <f t="shared" si="50"/>
        <v>Current Employee</v>
      </c>
      <c r="F1633" t="s">
        <v>36</v>
      </c>
      <c r="G1633">
        <v>118</v>
      </c>
      <c r="H1633" t="s">
        <v>37</v>
      </c>
      <c r="I1633">
        <v>16</v>
      </c>
      <c r="J1633">
        <v>3</v>
      </c>
      <c r="K1633" t="s">
        <v>55</v>
      </c>
      <c r="L1633">
        <v>1</v>
      </c>
      <c r="M1633">
        <v>1</v>
      </c>
      <c r="N1633" t="s">
        <v>39</v>
      </c>
      <c r="O1633">
        <v>69</v>
      </c>
      <c r="P1633">
        <v>3</v>
      </c>
      <c r="Q1633">
        <v>2</v>
      </c>
      <c r="R1633" t="s">
        <v>40</v>
      </c>
      <c r="S1633">
        <v>1</v>
      </c>
      <c r="T1633" t="str" cm="1">
        <f t="array" ref="T1633">_xlfn.IFS(S1633&lt;=2,"Poor",S1633&lt;=3,"Fair",S1633&gt;=4,"Good")</f>
        <v>Poor</v>
      </c>
      <c r="U1633" t="s">
        <v>41</v>
      </c>
      <c r="V1633" s="1">
        <v>5324</v>
      </c>
      <c r="W1633" t="str" cm="1">
        <f t="array" ref="W1633">_xlfn.IFS(V1633&lt;=5000,"Low Salary",V1633&lt;=12000,"Good Salary",V1633&gt;12000,"High Salary")</f>
        <v>Good Salary</v>
      </c>
      <c r="X1633">
        <v>26507</v>
      </c>
      <c r="Y1633">
        <v>5</v>
      </c>
      <c r="Z1633" t="s">
        <v>42</v>
      </c>
      <c r="AA1633" t="s">
        <v>35</v>
      </c>
      <c r="AB1633">
        <v>15</v>
      </c>
      <c r="AC1633">
        <v>3</v>
      </c>
      <c r="AD1633" t="str">
        <f t="shared" si="51"/>
        <v>Low Performance</v>
      </c>
      <c r="AE1633">
        <v>3</v>
      </c>
      <c r="AF1633">
        <v>80</v>
      </c>
      <c r="AG1633">
        <v>0</v>
      </c>
      <c r="AH1633">
        <v>6</v>
      </c>
      <c r="AI1633">
        <v>3</v>
      </c>
      <c r="AJ1633">
        <v>3</v>
      </c>
      <c r="AK1633" t="str" cm="1">
        <f t="array" ref="AK1633">_xlfn.IFS(AJ1633&lt;=2,"Poor",AJ1633&lt;=3,"Fair",AJ1633&gt;3,"Good")</f>
        <v>Fair</v>
      </c>
      <c r="AL1633">
        <v>3</v>
      </c>
      <c r="AM1633">
        <v>2</v>
      </c>
      <c r="AN1633">
        <v>0</v>
      </c>
      <c r="AO1633">
        <v>2</v>
      </c>
    </row>
    <row r="1634" spans="1:41" x14ac:dyDescent="0.2">
      <c r="A1634">
        <v>1548215</v>
      </c>
      <c r="B1634">
        <v>37</v>
      </c>
      <c r="C1634" t="str" cm="1">
        <f t="array" ref="C1634">_xlfn.IFS(B1634&lt;=25,"15-25",B1634&lt;=35,"26-35",B1634&lt;=45,"36-45",B1634&lt;=55,"46-55",B1634&lt;=65,"56-65")</f>
        <v>36-45</v>
      </c>
      <c r="D1634" t="s">
        <v>35</v>
      </c>
      <c r="E1634" t="str">
        <f t="shared" si="50"/>
        <v>Current Employee</v>
      </c>
      <c r="F1634" t="s">
        <v>36</v>
      </c>
      <c r="G1634">
        <v>290</v>
      </c>
      <c r="H1634" t="s">
        <v>45</v>
      </c>
      <c r="I1634">
        <v>21</v>
      </c>
      <c r="J1634">
        <v>3</v>
      </c>
      <c r="K1634" t="s">
        <v>38</v>
      </c>
      <c r="L1634">
        <v>1</v>
      </c>
      <c r="M1634">
        <v>2</v>
      </c>
      <c r="N1634" t="s">
        <v>46</v>
      </c>
      <c r="O1634">
        <v>65</v>
      </c>
      <c r="P1634">
        <v>4</v>
      </c>
      <c r="Q1634">
        <v>1</v>
      </c>
      <c r="R1634" t="s">
        <v>40</v>
      </c>
      <c r="S1634">
        <v>1</v>
      </c>
      <c r="T1634" t="str" cm="1">
        <f t="array" ref="T1634">_xlfn.IFS(S1634&lt;=2,"Poor",S1634&lt;=3,"Fair",S1634&gt;=4,"Good")</f>
        <v>Poor</v>
      </c>
      <c r="U1634" t="s">
        <v>48</v>
      </c>
      <c r="V1634" s="1">
        <v>3564</v>
      </c>
      <c r="W1634" t="str" cm="1">
        <f t="array" ref="W1634">_xlfn.IFS(V1634&lt;=5000,"Low Salary",V1634&lt;=12000,"Good Salary",V1634&gt;12000,"High Salary")</f>
        <v>Low Salary</v>
      </c>
      <c r="X1634">
        <v>22977</v>
      </c>
      <c r="Y1634">
        <v>1</v>
      </c>
      <c r="Z1634" t="s">
        <v>42</v>
      </c>
      <c r="AA1634" t="s">
        <v>43</v>
      </c>
      <c r="AB1634">
        <v>12</v>
      </c>
      <c r="AC1634">
        <v>3</v>
      </c>
      <c r="AD1634" t="str">
        <f t="shared" si="51"/>
        <v>Low Performance</v>
      </c>
      <c r="AE1634">
        <v>1</v>
      </c>
      <c r="AF1634">
        <v>80</v>
      </c>
      <c r="AG1634">
        <v>1</v>
      </c>
      <c r="AH1634">
        <v>8</v>
      </c>
      <c r="AI1634">
        <v>3</v>
      </c>
      <c r="AJ1634">
        <v>2</v>
      </c>
      <c r="AK1634" t="str" cm="1">
        <f t="array" ref="AK1634">_xlfn.IFS(AJ1634&lt;=2,"Poor",AJ1634&lt;=3,"Fair",AJ1634&gt;3,"Good")</f>
        <v>Poor</v>
      </c>
      <c r="AL1634">
        <v>8</v>
      </c>
      <c r="AM1634">
        <v>7</v>
      </c>
      <c r="AN1634">
        <v>1</v>
      </c>
      <c r="AO1634">
        <v>7</v>
      </c>
    </row>
    <row r="1635" spans="1:41" x14ac:dyDescent="0.2">
      <c r="A1635">
        <v>1698428</v>
      </c>
      <c r="B1635">
        <v>27</v>
      </c>
      <c r="C1635" t="str" cm="1">
        <f t="array" ref="C1635">_xlfn.IFS(B1635&lt;=25,"15-25",B1635&lt;=35,"26-35",B1635&lt;=45,"36-45",B1635&lt;=55,"46-55",B1635&lt;=65,"56-65")</f>
        <v>26-35</v>
      </c>
      <c r="D1635" t="s">
        <v>35</v>
      </c>
      <c r="E1635" t="str">
        <f t="shared" si="50"/>
        <v>Current Employee</v>
      </c>
      <c r="F1635" t="s">
        <v>36</v>
      </c>
      <c r="G1635">
        <v>975</v>
      </c>
      <c r="H1635" t="s">
        <v>45</v>
      </c>
      <c r="I1635">
        <v>7</v>
      </c>
      <c r="J1635">
        <v>3</v>
      </c>
      <c r="K1635" t="s">
        <v>49</v>
      </c>
      <c r="L1635">
        <v>1</v>
      </c>
      <c r="M1635">
        <v>4</v>
      </c>
      <c r="N1635" t="s">
        <v>39</v>
      </c>
      <c r="O1635">
        <v>55</v>
      </c>
      <c r="P1635">
        <v>2</v>
      </c>
      <c r="Q1635">
        <v>2</v>
      </c>
      <c r="R1635" t="s">
        <v>47</v>
      </c>
      <c r="S1635">
        <v>1</v>
      </c>
      <c r="T1635" t="str" cm="1">
        <f t="array" ref="T1635">_xlfn.IFS(S1635&lt;=2,"Poor",S1635&lt;=3,"Fair",S1635&gt;=4,"Good")</f>
        <v>Poor</v>
      </c>
      <c r="U1635" t="s">
        <v>41</v>
      </c>
      <c r="V1635" s="1">
        <v>6811</v>
      </c>
      <c r="W1635" t="str" cm="1">
        <f t="array" ref="W1635">_xlfn.IFS(V1635&lt;=5000,"Low Salary",V1635&lt;=12000,"Good Salary",V1635&gt;12000,"High Salary")</f>
        <v>Good Salary</v>
      </c>
      <c r="X1635">
        <v>23398</v>
      </c>
      <c r="Y1635">
        <v>8</v>
      </c>
      <c r="Z1635" t="s">
        <v>42</v>
      </c>
      <c r="AA1635" t="s">
        <v>35</v>
      </c>
      <c r="AB1635">
        <v>19</v>
      </c>
      <c r="AC1635">
        <v>3</v>
      </c>
      <c r="AD1635" t="str">
        <f t="shared" si="51"/>
        <v>Low Performance</v>
      </c>
      <c r="AE1635">
        <v>1</v>
      </c>
      <c r="AF1635">
        <v>80</v>
      </c>
      <c r="AG1635">
        <v>0</v>
      </c>
      <c r="AH1635">
        <v>9</v>
      </c>
      <c r="AI1635">
        <v>2</v>
      </c>
      <c r="AJ1635">
        <v>1</v>
      </c>
      <c r="AK1635" t="str" cm="1">
        <f t="array" ref="AK1635">_xlfn.IFS(AJ1635&lt;=2,"Poor",AJ1635&lt;=3,"Fair",AJ1635&gt;3,"Good")</f>
        <v>Poor</v>
      </c>
      <c r="AL1635">
        <v>7</v>
      </c>
      <c r="AM1635">
        <v>6</v>
      </c>
      <c r="AN1635">
        <v>0</v>
      </c>
      <c r="AO1635">
        <v>7</v>
      </c>
    </row>
    <row r="1636" spans="1:41" x14ac:dyDescent="0.2">
      <c r="A1636">
        <v>1389834</v>
      </c>
      <c r="B1636">
        <v>44</v>
      </c>
      <c r="C1636" t="str" cm="1">
        <f t="array" ref="C1636">_xlfn.IFS(B1636&lt;=25,"15-25",B1636&lt;=35,"26-35",B1636&lt;=45,"36-45",B1636&lt;=55,"46-55",B1636&lt;=65,"56-65")</f>
        <v>36-45</v>
      </c>
      <c r="D1636" t="s">
        <v>35</v>
      </c>
      <c r="E1636" t="str">
        <f t="shared" si="50"/>
        <v>Current Employee</v>
      </c>
      <c r="F1636" t="s">
        <v>44</v>
      </c>
      <c r="G1636">
        <v>383</v>
      </c>
      <c r="H1636" t="s">
        <v>37</v>
      </c>
      <c r="I1636">
        <v>1</v>
      </c>
      <c r="J1636">
        <v>5</v>
      </c>
      <c r="K1636" t="s">
        <v>55</v>
      </c>
      <c r="L1636">
        <v>1</v>
      </c>
      <c r="M1636">
        <v>1</v>
      </c>
      <c r="N1636" t="s">
        <v>39</v>
      </c>
      <c r="O1636">
        <v>79</v>
      </c>
      <c r="P1636">
        <v>3</v>
      </c>
      <c r="Q1636">
        <v>2</v>
      </c>
      <c r="R1636" t="s">
        <v>40</v>
      </c>
      <c r="S1636">
        <v>3</v>
      </c>
      <c r="T1636" t="str" cm="1">
        <f t="array" ref="T1636">_xlfn.IFS(S1636&lt;=2,"Poor",S1636&lt;=3,"Fair",S1636&gt;=4,"Good")</f>
        <v>Fair</v>
      </c>
      <c r="U1636" t="s">
        <v>48</v>
      </c>
      <c r="V1636" s="1">
        <v>4768</v>
      </c>
      <c r="W1636" t="str" cm="1">
        <f t="array" ref="W1636">_xlfn.IFS(V1636&lt;=5000,"Low Salary",V1636&lt;=12000,"Good Salary",V1636&gt;12000,"High Salary")</f>
        <v>Low Salary</v>
      </c>
      <c r="X1636">
        <v>9282</v>
      </c>
      <c r="Y1636">
        <v>7</v>
      </c>
      <c r="Z1636" t="s">
        <v>42</v>
      </c>
      <c r="AA1636" t="s">
        <v>35</v>
      </c>
      <c r="AB1636">
        <v>12</v>
      </c>
      <c r="AC1636">
        <v>3</v>
      </c>
      <c r="AD1636" t="str">
        <f t="shared" si="51"/>
        <v>Low Performance</v>
      </c>
      <c r="AE1636">
        <v>3</v>
      </c>
      <c r="AF1636">
        <v>80</v>
      </c>
      <c r="AG1636">
        <v>1</v>
      </c>
      <c r="AH1636">
        <v>11</v>
      </c>
      <c r="AI1636">
        <v>4</v>
      </c>
      <c r="AJ1636">
        <v>2</v>
      </c>
      <c r="AK1636" t="str" cm="1">
        <f t="array" ref="AK1636">_xlfn.IFS(AJ1636&lt;=2,"Poor",AJ1636&lt;=3,"Fair",AJ1636&gt;3,"Good")</f>
        <v>Poor</v>
      </c>
      <c r="AL1636">
        <v>1</v>
      </c>
      <c r="AM1636">
        <v>0</v>
      </c>
      <c r="AN1636">
        <v>0</v>
      </c>
      <c r="AO1636">
        <v>0</v>
      </c>
    </row>
    <row r="1637" spans="1:41" x14ac:dyDescent="0.2">
      <c r="A1637">
        <v>1533883</v>
      </c>
      <c r="B1637">
        <v>38</v>
      </c>
      <c r="C1637" t="str" cm="1">
        <f t="array" ref="C1637">_xlfn.IFS(B1637&lt;=25,"15-25",B1637&lt;=35,"26-35",B1637&lt;=45,"36-45",B1637&lt;=55,"46-55",B1637&lt;=65,"56-65")</f>
        <v>36-45</v>
      </c>
      <c r="D1637" t="s">
        <v>35</v>
      </c>
      <c r="E1637" t="str">
        <f t="shared" si="50"/>
        <v>Current Employee</v>
      </c>
      <c r="F1637" t="s">
        <v>36</v>
      </c>
      <c r="G1637">
        <v>723</v>
      </c>
      <c r="H1637" t="s">
        <v>37</v>
      </c>
      <c r="I1637">
        <v>2</v>
      </c>
      <c r="J1637">
        <v>4</v>
      </c>
      <c r="K1637" t="s">
        <v>55</v>
      </c>
      <c r="L1637">
        <v>1</v>
      </c>
      <c r="M1637">
        <v>2</v>
      </c>
      <c r="N1637" t="s">
        <v>39</v>
      </c>
      <c r="O1637">
        <v>77</v>
      </c>
      <c r="P1637">
        <v>1</v>
      </c>
      <c r="Q1637">
        <v>2</v>
      </c>
      <c r="R1637" t="s">
        <v>47</v>
      </c>
      <c r="S1637">
        <v>4</v>
      </c>
      <c r="T1637" t="str" cm="1">
        <f t="array" ref="T1637">_xlfn.IFS(S1637&lt;=2,"Poor",S1637&lt;=3,"Fair",S1637&gt;=4,"Good")</f>
        <v>Good</v>
      </c>
      <c r="U1637" t="s">
        <v>48</v>
      </c>
      <c r="V1637" s="1">
        <v>5405</v>
      </c>
      <c r="W1637" t="str" cm="1">
        <f t="array" ref="W1637">_xlfn.IFS(V1637&lt;=5000,"Low Salary",V1637&lt;=12000,"Good Salary",V1637&gt;12000,"High Salary")</f>
        <v>Good Salary</v>
      </c>
      <c r="X1637">
        <v>4244</v>
      </c>
      <c r="Y1637">
        <v>2</v>
      </c>
      <c r="Z1637" t="s">
        <v>42</v>
      </c>
      <c r="AA1637" t="s">
        <v>43</v>
      </c>
      <c r="AB1637">
        <v>20</v>
      </c>
      <c r="AC1637">
        <v>4</v>
      </c>
      <c r="AD1637" t="str">
        <f t="shared" si="51"/>
        <v>High Performance</v>
      </c>
      <c r="AE1637">
        <v>1</v>
      </c>
      <c r="AF1637">
        <v>80</v>
      </c>
      <c r="AG1637">
        <v>2</v>
      </c>
      <c r="AH1637">
        <v>20</v>
      </c>
      <c r="AI1637">
        <v>4</v>
      </c>
      <c r="AJ1637">
        <v>2</v>
      </c>
      <c r="AK1637" t="str" cm="1">
        <f t="array" ref="AK1637">_xlfn.IFS(AJ1637&lt;=2,"Poor",AJ1637&lt;=3,"Fair",AJ1637&gt;3,"Good")</f>
        <v>Poor</v>
      </c>
      <c r="AL1637">
        <v>4</v>
      </c>
      <c r="AM1637">
        <v>2</v>
      </c>
      <c r="AN1637">
        <v>0</v>
      </c>
      <c r="AO1637">
        <v>3</v>
      </c>
    </row>
    <row r="1638" spans="1:41" x14ac:dyDescent="0.2">
      <c r="A1638">
        <v>1746047</v>
      </c>
      <c r="B1638">
        <v>36</v>
      </c>
      <c r="C1638" t="str" cm="1">
        <f t="array" ref="C1638">_xlfn.IFS(B1638&lt;=25,"15-25",B1638&lt;=35,"26-35",B1638&lt;=45,"36-45",B1638&lt;=55,"46-55",B1638&lt;=65,"56-65")</f>
        <v>36-45</v>
      </c>
      <c r="D1638" t="s">
        <v>35</v>
      </c>
      <c r="E1638" t="str">
        <f t="shared" si="50"/>
        <v>Current Employee</v>
      </c>
      <c r="F1638" t="s">
        <v>36</v>
      </c>
      <c r="G1638">
        <v>318</v>
      </c>
      <c r="H1638" t="s">
        <v>45</v>
      </c>
      <c r="I1638">
        <v>9</v>
      </c>
      <c r="J1638">
        <v>3</v>
      </c>
      <c r="K1638" t="s">
        <v>49</v>
      </c>
      <c r="L1638">
        <v>1</v>
      </c>
      <c r="M1638">
        <v>4</v>
      </c>
      <c r="N1638" t="s">
        <v>46</v>
      </c>
      <c r="O1638">
        <v>79</v>
      </c>
      <c r="P1638">
        <v>2</v>
      </c>
      <c r="Q1638">
        <v>1</v>
      </c>
      <c r="R1638" t="s">
        <v>40</v>
      </c>
      <c r="S1638">
        <v>3</v>
      </c>
      <c r="T1638" t="str" cm="1">
        <f t="array" ref="T1638">_xlfn.IFS(S1638&lt;=2,"Poor",S1638&lt;=3,"Fair",S1638&gt;=4,"Good")</f>
        <v>Fair</v>
      </c>
      <c r="U1638" t="s">
        <v>48</v>
      </c>
      <c r="V1638" s="1">
        <v>3388</v>
      </c>
      <c r="W1638" t="str" cm="1">
        <f t="array" ref="W1638">_xlfn.IFS(V1638&lt;=5000,"Low Salary",V1638&lt;=12000,"Good Salary",V1638&gt;12000,"High Salary")</f>
        <v>Low Salary</v>
      </c>
      <c r="X1638">
        <v>21777</v>
      </c>
      <c r="Y1638">
        <v>0</v>
      </c>
      <c r="Z1638" t="s">
        <v>42</v>
      </c>
      <c r="AA1638" t="s">
        <v>43</v>
      </c>
      <c r="AB1638">
        <v>17</v>
      </c>
      <c r="AC1638">
        <v>3</v>
      </c>
      <c r="AD1638" t="str">
        <f t="shared" si="51"/>
        <v>Low Performance</v>
      </c>
      <c r="AE1638">
        <v>1</v>
      </c>
      <c r="AF1638">
        <v>80</v>
      </c>
      <c r="AG1638">
        <v>1</v>
      </c>
      <c r="AH1638">
        <v>2</v>
      </c>
      <c r="AI1638">
        <v>0</v>
      </c>
      <c r="AJ1638">
        <v>2</v>
      </c>
      <c r="AK1638" t="str" cm="1">
        <f t="array" ref="AK1638">_xlfn.IFS(AJ1638&lt;=2,"Poor",AJ1638&lt;=3,"Fair",AJ1638&gt;3,"Good")</f>
        <v>Poor</v>
      </c>
      <c r="AL1638">
        <v>1</v>
      </c>
      <c r="AM1638">
        <v>0</v>
      </c>
      <c r="AN1638">
        <v>0</v>
      </c>
      <c r="AO1638">
        <v>0</v>
      </c>
    </row>
    <row r="1639" spans="1:41" x14ac:dyDescent="0.2">
      <c r="A1639">
        <v>1431094</v>
      </c>
      <c r="B1639">
        <v>26</v>
      </c>
      <c r="C1639" t="str" cm="1">
        <f t="array" ref="C1639">_xlfn.IFS(B1639&lt;=25,"15-25",B1639&lt;=35,"26-35",B1639&lt;=45,"36-45",B1639&lt;=55,"46-55",B1639&lt;=65,"56-65")</f>
        <v>26-35</v>
      </c>
      <c r="D1639" t="s">
        <v>35</v>
      </c>
      <c r="E1639" t="str">
        <f t="shared" si="50"/>
        <v>Current Employee</v>
      </c>
      <c r="F1639" t="s">
        <v>36</v>
      </c>
      <c r="G1639">
        <v>583</v>
      </c>
      <c r="H1639" t="s">
        <v>45</v>
      </c>
      <c r="I1639">
        <v>4</v>
      </c>
      <c r="J1639">
        <v>2</v>
      </c>
      <c r="K1639" t="s">
        <v>38</v>
      </c>
      <c r="L1639">
        <v>1</v>
      </c>
      <c r="M1639">
        <v>3</v>
      </c>
      <c r="N1639" t="s">
        <v>46</v>
      </c>
      <c r="O1639">
        <v>53</v>
      </c>
      <c r="P1639">
        <v>3</v>
      </c>
      <c r="Q1639">
        <v>1</v>
      </c>
      <c r="R1639" t="s">
        <v>40</v>
      </c>
      <c r="S1639">
        <v>4</v>
      </c>
      <c r="T1639" t="str" cm="1">
        <f t="array" ref="T1639">_xlfn.IFS(S1639&lt;=2,"Poor",S1639&lt;=3,"Fair",S1639&gt;=4,"Good")</f>
        <v>Good</v>
      </c>
      <c r="U1639" t="s">
        <v>41</v>
      </c>
      <c r="V1639" s="1">
        <v>2875</v>
      </c>
      <c r="W1639" t="str" cm="1">
        <f t="array" ref="W1639">_xlfn.IFS(V1639&lt;=5000,"Low Salary",V1639&lt;=12000,"Good Salary",V1639&gt;12000,"High Salary")</f>
        <v>Low Salary</v>
      </c>
      <c r="X1639">
        <v>9973</v>
      </c>
      <c r="Y1639">
        <v>1</v>
      </c>
      <c r="Z1639" t="s">
        <v>42</v>
      </c>
      <c r="AA1639" t="s">
        <v>43</v>
      </c>
      <c r="AB1639">
        <v>20</v>
      </c>
      <c r="AC1639">
        <v>4</v>
      </c>
      <c r="AD1639" t="str">
        <f t="shared" si="51"/>
        <v>High Performance</v>
      </c>
      <c r="AE1639">
        <v>2</v>
      </c>
      <c r="AF1639">
        <v>80</v>
      </c>
      <c r="AG1639">
        <v>0</v>
      </c>
      <c r="AH1639">
        <v>8</v>
      </c>
      <c r="AI1639">
        <v>2</v>
      </c>
      <c r="AJ1639">
        <v>2</v>
      </c>
      <c r="AK1639" t="str" cm="1">
        <f t="array" ref="AK1639">_xlfn.IFS(AJ1639&lt;=2,"Poor",AJ1639&lt;=3,"Fair",AJ1639&gt;3,"Good")</f>
        <v>Poor</v>
      </c>
      <c r="AL1639">
        <v>8</v>
      </c>
      <c r="AM1639">
        <v>5</v>
      </c>
      <c r="AN1639">
        <v>2</v>
      </c>
      <c r="AO1639">
        <v>2</v>
      </c>
    </row>
    <row r="1640" spans="1:41" x14ac:dyDescent="0.2">
      <c r="A1640">
        <v>1173245</v>
      </c>
      <c r="B1640">
        <v>31</v>
      </c>
      <c r="C1640" t="str" cm="1">
        <f t="array" ref="C1640">_xlfn.IFS(B1640&lt;=25,"15-25",B1640&lt;=35,"26-35",B1640&lt;=45,"36-45",B1640&lt;=55,"46-55",B1640&lt;=65,"56-65")</f>
        <v>26-35</v>
      </c>
      <c r="D1640" t="s">
        <v>35</v>
      </c>
      <c r="E1640" t="str">
        <f t="shared" si="50"/>
        <v>Current Employee</v>
      </c>
      <c r="F1640" t="s">
        <v>44</v>
      </c>
      <c r="G1640">
        <v>444</v>
      </c>
      <c r="H1640" t="s">
        <v>37</v>
      </c>
      <c r="I1640">
        <v>5</v>
      </c>
      <c r="J1640">
        <v>3</v>
      </c>
      <c r="K1640" t="s">
        <v>55</v>
      </c>
      <c r="L1640">
        <v>1</v>
      </c>
      <c r="M1640">
        <v>4</v>
      </c>
      <c r="N1640" t="s">
        <v>39</v>
      </c>
      <c r="O1640">
        <v>84</v>
      </c>
      <c r="P1640">
        <v>3</v>
      </c>
      <c r="Q1640">
        <v>1</v>
      </c>
      <c r="R1640" t="s">
        <v>47</v>
      </c>
      <c r="S1640">
        <v>2</v>
      </c>
      <c r="T1640" t="str" cm="1">
        <f t="array" ref="T1640">_xlfn.IFS(S1640&lt;=2,"Poor",S1640&lt;=3,"Fair",S1640&gt;=4,"Good")</f>
        <v>Poor</v>
      </c>
      <c r="U1640" t="s">
        <v>50</v>
      </c>
      <c r="V1640" s="1">
        <v>2789</v>
      </c>
      <c r="W1640" t="str" cm="1">
        <f t="array" ref="W1640">_xlfn.IFS(V1640&lt;=5000,"Low Salary",V1640&lt;=12000,"Good Salary",V1640&gt;12000,"High Salary")</f>
        <v>Low Salary</v>
      </c>
      <c r="X1640">
        <v>3909</v>
      </c>
      <c r="Y1640">
        <v>1</v>
      </c>
      <c r="Z1640" t="s">
        <v>42</v>
      </c>
      <c r="AA1640" t="s">
        <v>35</v>
      </c>
      <c r="AB1640">
        <v>11</v>
      </c>
      <c r="AC1640">
        <v>3</v>
      </c>
      <c r="AD1640" t="str">
        <f t="shared" si="51"/>
        <v>Low Performance</v>
      </c>
      <c r="AE1640">
        <v>3</v>
      </c>
      <c r="AF1640">
        <v>80</v>
      </c>
      <c r="AG1640">
        <v>1</v>
      </c>
      <c r="AH1640">
        <v>2</v>
      </c>
      <c r="AI1640">
        <v>5</v>
      </c>
      <c r="AJ1640">
        <v>2</v>
      </c>
      <c r="AK1640" t="str" cm="1">
        <f t="array" ref="AK1640">_xlfn.IFS(AJ1640&lt;=2,"Poor",AJ1640&lt;=3,"Fair",AJ1640&gt;3,"Good")</f>
        <v>Poor</v>
      </c>
      <c r="AL1640">
        <v>2</v>
      </c>
      <c r="AM1640">
        <v>2</v>
      </c>
      <c r="AN1640">
        <v>2</v>
      </c>
      <c r="AO1640">
        <v>2</v>
      </c>
    </row>
    <row r="1641" spans="1:41" x14ac:dyDescent="0.2">
      <c r="A1641">
        <v>1309082</v>
      </c>
      <c r="B1641">
        <v>29</v>
      </c>
      <c r="C1641" t="str" cm="1">
        <f t="array" ref="C1641">_xlfn.IFS(B1641&lt;=25,"15-25",B1641&lt;=35,"26-35",B1641&lt;=45,"36-45",B1641&lt;=55,"46-55",B1641&lt;=65,"56-65")</f>
        <v>26-35</v>
      </c>
      <c r="D1641" t="s">
        <v>35</v>
      </c>
      <c r="E1641" t="str">
        <f t="shared" si="50"/>
        <v>Current Employee</v>
      </c>
      <c r="F1641" t="s">
        <v>36</v>
      </c>
      <c r="G1641">
        <v>352</v>
      </c>
      <c r="H1641" t="s">
        <v>54</v>
      </c>
      <c r="I1641">
        <v>6</v>
      </c>
      <c r="J1641">
        <v>1</v>
      </c>
      <c r="K1641" t="s">
        <v>49</v>
      </c>
      <c r="L1641">
        <v>1</v>
      </c>
      <c r="M1641">
        <v>4</v>
      </c>
      <c r="N1641" t="s">
        <v>46</v>
      </c>
      <c r="O1641">
        <v>87</v>
      </c>
      <c r="P1641">
        <v>2</v>
      </c>
      <c r="Q1641">
        <v>1</v>
      </c>
      <c r="R1641" t="s">
        <v>47</v>
      </c>
      <c r="S1641">
        <v>2</v>
      </c>
      <c r="T1641" t="str" cm="1">
        <f t="array" ref="T1641">_xlfn.IFS(S1641&lt;=2,"Poor",S1641&lt;=3,"Fair",S1641&gt;=4,"Good")</f>
        <v>Poor</v>
      </c>
      <c r="U1641" t="s">
        <v>48</v>
      </c>
      <c r="V1641" s="1">
        <v>2804</v>
      </c>
      <c r="W1641" t="str" cm="1">
        <f t="array" ref="W1641">_xlfn.IFS(V1641&lt;=5000,"Low Salary",V1641&lt;=12000,"Good Salary",V1641&gt;12000,"High Salary")</f>
        <v>Low Salary</v>
      </c>
      <c r="X1641">
        <v>15434</v>
      </c>
      <c r="Y1641">
        <v>1</v>
      </c>
      <c r="Z1641" t="s">
        <v>42</v>
      </c>
      <c r="AA1641" t="s">
        <v>35</v>
      </c>
      <c r="AB1641">
        <v>11</v>
      </c>
      <c r="AC1641">
        <v>3</v>
      </c>
      <c r="AD1641" t="str">
        <f t="shared" si="51"/>
        <v>Low Performance</v>
      </c>
      <c r="AE1641">
        <v>4</v>
      </c>
      <c r="AF1641">
        <v>80</v>
      </c>
      <c r="AG1641">
        <v>0</v>
      </c>
      <c r="AH1641">
        <v>1</v>
      </c>
      <c r="AI1641">
        <v>3</v>
      </c>
      <c r="AJ1641">
        <v>3</v>
      </c>
      <c r="AK1641" t="str" cm="1">
        <f t="array" ref="AK1641">_xlfn.IFS(AJ1641&lt;=2,"Poor",AJ1641&lt;=3,"Fair",AJ1641&gt;3,"Good")</f>
        <v>Fair</v>
      </c>
      <c r="AL1641">
        <v>1</v>
      </c>
      <c r="AM1641">
        <v>0</v>
      </c>
      <c r="AN1641">
        <v>0</v>
      </c>
      <c r="AO1641">
        <v>0</v>
      </c>
    </row>
    <row r="1642" spans="1:41" x14ac:dyDescent="0.2">
      <c r="A1642">
        <v>1545418</v>
      </c>
      <c r="B1642">
        <v>35</v>
      </c>
      <c r="C1642" t="str" cm="1">
        <f t="array" ref="C1642">_xlfn.IFS(B1642&lt;=25,"15-25",B1642&lt;=35,"26-35",B1642&lt;=45,"36-45",B1642&lt;=55,"46-55",B1642&lt;=65,"56-65")</f>
        <v>26-35</v>
      </c>
      <c r="D1642" t="s">
        <v>35</v>
      </c>
      <c r="E1642" t="str">
        <f t="shared" si="50"/>
        <v>Current Employee</v>
      </c>
      <c r="F1642" t="s">
        <v>36</v>
      </c>
      <c r="G1642">
        <v>144</v>
      </c>
      <c r="H1642" t="s">
        <v>54</v>
      </c>
      <c r="I1642">
        <v>22</v>
      </c>
      <c r="J1642">
        <v>3</v>
      </c>
      <c r="K1642" t="s">
        <v>38</v>
      </c>
      <c r="L1642">
        <v>1</v>
      </c>
      <c r="M1642">
        <v>4</v>
      </c>
      <c r="N1642" t="s">
        <v>46</v>
      </c>
      <c r="O1642">
        <v>46</v>
      </c>
      <c r="P1642">
        <v>1</v>
      </c>
      <c r="Q1642">
        <v>1</v>
      </c>
      <c r="R1642" t="s">
        <v>40</v>
      </c>
      <c r="S1642">
        <v>3</v>
      </c>
      <c r="T1642" t="str" cm="1">
        <f t="array" ref="T1642">_xlfn.IFS(S1642&lt;=2,"Poor",S1642&lt;=3,"Fair",S1642&gt;=4,"Good")</f>
        <v>Fair</v>
      </c>
      <c r="U1642" t="s">
        <v>41</v>
      </c>
      <c r="V1642" s="1">
        <v>4230</v>
      </c>
      <c r="W1642" t="str" cm="1">
        <f t="array" ref="W1642">_xlfn.IFS(V1642&lt;=5000,"Low Salary",V1642&lt;=12000,"Good Salary",V1642&gt;12000,"High Salary")</f>
        <v>Low Salary</v>
      </c>
      <c r="X1642">
        <v>19225</v>
      </c>
      <c r="Y1642">
        <v>0</v>
      </c>
      <c r="Z1642" t="s">
        <v>42</v>
      </c>
      <c r="AA1642" t="s">
        <v>35</v>
      </c>
      <c r="AB1642">
        <v>15</v>
      </c>
      <c r="AC1642">
        <v>3</v>
      </c>
      <c r="AD1642" t="str">
        <f t="shared" si="51"/>
        <v>Low Performance</v>
      </c>
      <c r="AE1642">
        <v>3</v>
      </c>
      <c r="AF1642">
        <v>80</v>
      </c>
      <c r="AG1642">
        <v>0</v>
      </c>
      <c r="AH1642">
        <v>6</v>
      </c>
      <c r="AI1642">
        <v>2</v>
      </c>
      <c r="AJ1642">
        <v>3</v>
      </c>
      <c r="AK1642" t="str" cm="1">
        <f t="array" ref="AK1642">_xlfn.IFS(AJ1642&lt;=2,"Poor",AJ1642&lt;=3,"Fair",AJ1642&gt;3,"Good")</f>
        <v>Fair</v>
      </c>
      <c r="AL1642">
        <v>5</v>
      </c>
      <c r="AM1642">
        <v>4</v>
      </c>
      <c r="AN1642">
        <v>4</v>
      </c>
      <c r="AO1642">
        <v>3</v>
      </c>
    </row>
    <row r="1643" spans="1:41" x14ac:dyDescent="0.2">
      <c r="A1643">
        <v>1655170</v>
      </c>
      <c r="B1643">
        <v>47</v>
      </c>
      <c r="C1643" t="str" cm="1">
        <f t="array" ref="C1643">_xlfn.IFS(B1643&lt;=25,"15-25",B1643&lt;=35,"26-35",B1643&lt;=45,"36-45",B1643&lt;=55,"46-55",B1643&lt;=65,"56-65")</f>
        <v>46-55</v>
      </c>
      <c r="D1643" t="s">
        <v>35</v>
      </c>
      <c r="E1643" t="str">
        <f t="shared" si="50"/>
        <v>Current Employee</v>
      </c>
      <c r="F1643" t="s">
        <v>44</v>
      </c>
      <c r="G1643">
        <v>217</v>
      </c>
      <c r="H1643" t="s">
        <v>37</v>
      </c>
      <c r="I1643">
        <v>3</v>
      </c>
      <c r="J1643">
        <v>3</v>
      </c>
      <c r="K1643" t="s">
        <v>49</v>
      </c>
      <c r="L1643">
        <v>1</v>
      </c>
      <c r="M1643">
        <v>4</v>
      </c>
      <c r="N1643" t="s">
        <v>39</v>
      </c>
      <c r="O1643">
        <v>49</v>
      </c>
      <c r="P1643">
        <v>3</v>
      </c>
      <c r="Q1643">
        <v>4</v>
      </c>
      <c r="R1643" t="s">
        <v>40</v>
      </c>
      <c r="S1643">
        <v>3</v>
      </c>
      <c r="T1643" t="str" cm="1">
        <f t="array" ref="T1643">_xlfn.IFS(S1643&lt;=2,"Poor",S1643&lt;=3,"Fair",S1643&gt;=4,"Good")</f>
        <v>Fair</v>
      </c>
      <c r="U1643" t="s">
        <v>50</v>
      </c>
      <c r="V1643" s="1">
        <v>13770</v>
      </c>
      <c r="W1643" t="str" cm="1">
        <f t="array" ref="W1643">_xlfn.IFS(V1643&lt;=5000,"Low Salary",V1643&lt;=12000,"Good Salary",V1643&gt;12000,"High Salary")</f>
        <v>High Salary</v>
      </c>
      <c r="X1643">
        <v>10225</v>
      </c>
      <c r="Y1643">
        <v>9</v>
      </c>
      <c r="Z1643" t="s">
        <v>42</v>
      </c>
      <c r="AA1643" t="s">
        <v>43</v>
      </c>
      <c r="AB1643">
        <v>12</v>
      </c>
      <c r="AC1643">
        <v>3</v>
      </c>
      <c r="AD1643" t="str">
        <f t="shared" si="51"/>
        <v>Low Performance</v>
      </c>
      <c r="AE1643">
        <v>4</v>
      </c>
      <c r="AF1643">
        <v>80</v>
      </c>
      <c r="AG1643">
        <v>2</v>
      </c>
      <c r="AH1643">
        <v>28</v>
      </c>
      <c r="AI1643">
        <v>2</v>
      </c>
      <c r="AJ1643">
        <v>2</v>
      </c>
      <c r="AK1643" t="str" cm="1">
        <f t="array" ref="AK1643">_xlfn.IFS(AJ1643&lt;=2,"Poor",AJ1643&lt;=3,"Fair",AJ1643&gt;3,"Good")</f>
        <v>Poor</v>
      </c>
      <c r="AL1643">
        <v>22</v>
      </c>
      <c r="AM1643">
        <v>2</v>
      </c>
      <c r="AN1643">
        <v>11</v>
      </c>
      <c r="AO1643">
        <v>13</v>
      </c>
    </row>
    <row r="1644" spans="1:41" x14ac:dyDescent="0.2">
      <c r="A1644">
        <v>1293281</v>
      </c>
      <c r="B1644">
        <v>20</v>
      </c>
      <c r="C1644" t="str" cm="1">
        <f t="array" ref="C1644">_xlfn.IFS(B1644&lt;=25,"15-25",B1644&lt;=35,"26-35",B1644&lt;=45,"36-45",B1644&lt;=55,"46-55",B1644&lt;=65,"56-65")</f>
        <v>15-25</v>
      </c>
      <c r="D1644" t="s">
        <v>35</v>
      </c>
      <c r="E1644" t="str">
        <f t="shared" si="50"/>
        <v>Current Employee</v>
      </c>
      <c r="F1644" t="s">
        <v>36</v>
      </c>
      <c r="G1644">
        <v>500</v>
      </c>
      <c r="H1644" t="s">
        <v>37</v>
      </c>
      <c r="I1644">
        <v>2</v>
      </c>
      <c r="J1644">
        <v>3</v>
      </c>
      <c r="K1644" t="s">
        <v>49</v>
      </c>
      <c r="L1644">
        <v>1</v>
      </c>
      <c r="M1644">
        <v>3</v>
      </c>
      <c r="N1644" t="s">
        <v>39</v>
      </c>
      <c r="O1644">
        <v>49</v>
      </c>
      <c r="P1644">
        <v>2</v>
      </c>
      <c r="Q1644">
        <v>1</v>
      </c>
      <c r="R1644" t="s">
        <v>47</v>
      </c>
      <c r="S1644">
        <v>3</v>
      </c>
      <c r="T1644" t="str" cm="1">
        <f t="array" ref="T1644">_xlfn.IFS(S1644&lt;=2,"Poor",S1644&lt;=3,"Fair",S1644&gt;=4,"Good")</f>
        <v>Fair</v>
      </c>
      <c r="U1644" t="s">
        <v>41</v>
      </c>
      <c r="V1644" s="1">
        <v>2044</v>
      </c>
      <c r="W1644" t="str" cm="1">
        <f t="array" ref="W1644">_xlfn.IFS(V1644&lt;=5000,"Low Salary",V1644&lt;=12000,"Good Salary",V1644&gt;12000,"High Salary")</f>
        <v>Low Salary</v>
      </c>
      <c r="X1644">
        <v>22052</v>
      </c>
      <c r="Y1644">
        <v>1</v>
      </c>
      <c r="Z1644" t="s">
        <v>42</v>
      </c>
      <c r="AA1644" t="s">
        <v>35</v>
      </c>
      <c r="AB1644">
        <v>13</v>
      </c>
      <c r="AC1644">
        <v>3</v>
      </c>
      <c r="AD1644" t="str">
        <f t="shared" si="51"/>
        <v>Low Performance</v>
      </c>
      <c r="AE1644">
        <v>4</v>
      </c>
      <c r="AF1644">
        <v>80</v>
      </c>
      <c r="AG1644">
        <v>0</v>
      </c>
      <c r="AH1644">
        <v>2</v>
      </c>
      <c r="AI1644">
        <v>3</v>
      </c>
      <c r="AJ1644">
        <v>2</v>
      </c>
      <c r="AK1644" t="str" cm="1">
        <f t="array" ref="AK1644">_xlfn.IFS(AJ1644&lt;=2,"Poor",AJ1644&lt;=3,"Fair",AJ1644&gt;3,"Good")</f>
        <v>Poor</v>
      </c>
      <c r="AL1644">
        <v>2</v>
      </c>
      <c r="AM1644">
        <v>2</v>
      </c>
      <c r="AN1644">
        <v>0</v>
      </c>
      <c r="AO1644">
        <v>2</v>
      </c>
    </row>
    <row r="1645" spans="1:41" x14ac:dyDescent="0.2">
      <c r="A1645">
        <v>1031059</v>
      </c>
      <c r="B1645">
        <v>42</v>
      </c>
      <c r="C1645" t="str" cm="1">
        <f t="array" ref="C1645">_xlfn.IFS(B1645&lt;=25,"15-25",B1645&lt;=35,"26-35",B1645&lt;=45,"36-45",B1645&lt;=55,"46-55",B1645&lt;=65,"56-65")</f>
        <v>36-45</v>
      </c>
      <c r="D1645" t="s">
        <v>35</v>
      </c>
      <c r="E1645" t="str">
        <f t="shared" si="50"/>
        <v>Current Employee</v>
      </c>
      <c r="F1645" t="s">
        <v>36</v>
      </c>
      <c r="G1645">
        <v>916</v>
      </c>
      <c r="H1645" t="s">
        <v>45</v>
      </c>
      <c r="I1645">
        <v>17</v>
      </c>
      <c r="J1645">
        <v>2</v>
      </c>
      <c r="K1645" t="s">
        <v>38</v>
      </c>
      <c r="L1645">
        <v>1</v>
      </c>
      <c r="M1645">
        <v>4</v>
      </c>
      <c r="N1645" t="s">
        <v>39</v>
      </c>
      <c r="O1645">
        <v>82</v>
      </c>
      <c r="P1645">
        <v>4</v>
      </c>
      <c r="Q1645">
        <v>2</v>
      </c>
      <c r="R1645" t="s">
        <v>40</v>
      </c>
      <c r="S1645">
        <v>1</v>
      </c>
      <c r="T1645" t="str" cm="1">
        <f t="array" ref="T1645">_xlfn.IFS(S1645&lt;=2,"Poor",S1645&lt;=3,"Fair",S1645&gt;=4,"Good")</f>
        <v>Poor</v>
      </c>
      <c r="U1645" t="s">
        <v>41</v>
      </c>
      <c r="V1645" s="1">
        <v>6545</v>
      </c>
      <c r="W1645" t="str" cm="1">
        <f t="array" ref="W1645">_xlfn.IFS(V1645&lt;=5000,"Low Salary",V1645&lt;=12000,"Good Salary",V1645&gt;12000,"High Salary")</f>
        <v>Good Salary</v>
      </c>
      <c r="X1645">
        <v>23016</v>
      </c>
      <c r="Y1645">
        <v>3</v>
      </c>
      <c r="Z1645" t="s">
        <v>42</v>
      </c>
      <c r="AA1645" t="s">
        <v>43</v>
      </c>
      <c r="AB1645">
        <v>13</v>
      </c>
      <c r="AC1645">
        <v>3</v>
      </c>
      <c r="AD1645" t="str">
        <f t="shared" si="51"/>
        <v>Low Performance</v>
      </c>
      <c r="AE1645">
        <v>3</v>
      </c>
      <c r="AF1645">
        <v>80</v>
      </c>
      <c r="AG1645">
        <v>0</v>
      </c>
      <c r="AH1645">
        <v>10</v>
      </c>
      <c r="AI1645">
        <v>1</v>
      </c>
      <c r="AJ1645">
        <v>3</v>
      </c>
      <c r="AK1645" t="str" cm="1">
        <f t="array" ref="AK1645">_xlfn.IFS(AJ1645&lt;=2,"Poor",AJ1645&lt;=3,"Fair",AJ1645&gt;3,"Good")</f>
        <v>Fair</v>
      </c>
      <c r="AL1645">
        <v>3</v>
      </c>
      <c r="AM1645">
        <v>2</v>
      </c>
      <c r="AN1645">
        <v>0</v>
      </c>
      <c r="AO1645">
        <v>2</v>
      </c>
    </row>
    <row r="1646" spans="1:41" x14ac:dyDescent="0.2">
      <c r="A1646">
        <v>1505419</v>
      </c>
      <c r="B1646">
        <v>50</v>
      </c>
      <c r="C1646" t="str" cm="1">
        <f t="array" ref="C1646">_xlfn.IFS(B1646&lt;=25,"15-25",B1646&lt;=35,"26-35",B1646&lt;=45,"36-45",B1646&lt;=55,"46-55",B1646&lt;=65,"56-65")</f>
        <v>46-55</v>
      </c>
      <c r="D1646" t="s">
        <v>35</v>
      </c>
      <c r="E1646" t="str">
        <f t="shared" si="50"/>
        <v>Current Employee</v>
      </c>
      <c r="F1646" t="s">
        <v>36</v>
      </c>
      <c r="G1646">
        <v>410</v>
      </c>
      <c r="H1646" t="s">
        <v>37</v>
      </c>
      <c r="I1646">
        <v>28</v>
      </c>
      <c r="J1646">
        <v>3</v>
      </c>
      <c r="K1646" t="s">
        <v>55</v>
      </c>
      <c r="L1646">
        <v>1</v>
      </c>
      <c r="M1646">
        <v>4</v>
      </c>
      <c r="N1646" t="s">
        <v>46</v>
      </c>
      <c r="O1646">
        <v>39</v>
      </c>
      <c r="P1646">
        <v>2</v>
      </c>
      <c r="Q1646">
        <v>3</v>
      </c>
      <c r="R1646" t="s">
        <v>40</v>
      </c>
      <c r="S1646">
        <v>1</v>
      </c>
      <c r="T1646" t="str" cm="1">
        <f t="array" ref="T1646">_xlfn.IFS(S1646&lt;=2,"Poor",S1646&lt;=3,"Fair",S1646&gt;=4,"Good")</f>
        <v>Poor</v>
      </c>
      <c r="U1646" t="s">
        <v>50</v>
      </c>
      <c r="V1646" s="1">
        <v>10854</v>
      </c>
      <c r="W1646" t="str" cm="1">
        <f t="array" ref="W1646">_xlfn.IFS(V1646&lt;=5000,"Low Salary",V1646&lt;=12000,"Good Salary",V1646&gt;12000,"High Salary")</f>
        <v>Good Salary</v>
      </c>
      <c r="X1646">
        <v>16586</v>
      </c>
      <c r="Y1646">
        <v>4</v>
      </c>
      <c r="Z1646" t="s">
        <v>42</v>
      </c>
      <c r="AA1646" t="s">
        <v>43</v>
      </c>
      <c r="AB1646">
        <v>13</v>
      </c>
      <c r="AC1646">
        <v>3</v>
      </c>
      <c r="AD1646" t="str">
        <f t="shared" si="51"/>
        <v>Low Performance</v>
      </c>
      <c r="AE1646">
        <v>2</v>
      </c>
      <c r="AF1646">
        <v>80</v>
      </c>
      <c r="AG1646">
        <v>1</v>
      </c>
      <c r="AH1646">
        <v>20</v>
      </c>
      <c r="AI1646">
        <v>3</v>
      </c>
      <c r="AJ1646">
        <v>3</v>
      </c>
      <c r="AK1646" t="str" cm="1">
        <f t="array" ref="AK1646">_xlfn.IFS(AJ1646&lt;=2,"Poor",AJ1646&lt;=3,"Fair",AJ1646&gt;3,"Good")</f>
        <v>Fair</v>
      </c>
      <c r="AL1646">
        <v>3</v>
      </c>
      <c r="AM1646">
        <v>2</v>
      </c>
      <c r="AN1646">
        <v>2</v>
      </c>
      <c r="AO1646">
        <v>0</v>
      </c>
    </row>
    <row r="1647" spans="1:41" x14ac:dyDescent="0.2">
      <c r="A1647">
        <v>1222421</v>
      </c>
      <c r="B1647">
        <v>32</v>
      </c>
      <c r="C1647" t="str" cm="1">
        <f t="array" ref="C1647">_xlfn.IFS(B1647&lt;=25,"15-25",B1647&lt;=35,"26-35",B1647&lt;=45,"36-45",B1647&lt;=55,"46-55",B1647&lt;=65,"56-65")</f>
        <v>26-35</v>
      </c>
      <c r="D1647" t="s">
        <v>35</v>
      </c>
      <c r="E1647" t="str">
        <f t="shared" si="50"/>
        <v>Current Employee</v>
      </c>
      <c r="F1647" t="s">
        <v>36</v>
      </c>
      <c r="G1647">
        <v>371</v>
      </c>
      <c r="H1647" t="s">
        <v>37</v>
      </c>
      <c r="I1647">
        <v>19</v>
      </c>
      <c r="J1647">
        <v>3</v>
      </c>
      <c r="K1647" t="s">
        <v>38</v>
      </c>
      <c r="L1647">
        <v>1</v>
      </c>
      <c r="M1647">
        <v>4</v>
      </c>
      <c r="N1647" t="s">
        <v>46</v>
      </c>
      <c r="O1647">
        <v>80</v>
      </c>
      <c r="P1647">
        <v>1</v>
      </c>
      <c r="Q1647">
        <v>3</v>
      </c>
      <c r="R1647" t="s">
        <v>40</v>
      </c>
      <c r="S1647">
        <v>3</v>
      </c>
      <c r="T1647" t="str" cm="1">
        <f t="array" ref="T1647">_xlfn.IFS(S1647&lt;=2,"Poor",S1647&lt;=3,"Fair",S1647&gt;=4,"Good")</f>
        <v>Fair</v>
      </c>
      <c r="U1647" t="s">
        <v>48</v>
      </c>
      <c r="V1647" s="1">
        <v>9610</v>
      </c>
      <c r="W1647" t="str" cm="1">
        <f t="array" ref="W1647">_xlfn.IFS(V1647&lt;=5000,"Low Salary",V1647&lt;=12000,"Good Salary",V1647&gt;12000,"High Salary")</f>
        <v>Good Salary</v>
      </c>
      <c r="X1647">
        <v>3840</v>
      </c>
      <c r="Y1647">
        <v>3</v>
      </c>
      <c r="Z1647" t="s">
        <v>42</v>
      </c>
      <c r="AA1647" t="s">
        <v>35</v>
      </c>
      <c r="AB1647">
        <v>13</v>
      </c>
      <c r="AC1647">
        <v>3</v>
      </c>
      <c r="AD1647" t="str">
        <f t="shared" si="51"/>
        <v>Low Performance</v>
      </c>
      <c r="AE1647">
        <v>3</v>
      </c>
      <c r="AF1647">
        <v>80</v>
      </c>
      <c r="AG1647">
        <v>1</v>
      </c>
      <c r="AH1647">
        <v>10</v>
      </c>
      <c r="AI1647">
        <v>2</v>
      </c>
      <c r="AJ1647">
        <v>1</v>
      </c>
      <c r="AK1647" t="str" cm="1">
        <f t="array" ref="AK1647">_xlfn.IFS(AJ1647&lt;=2,"Poor",AJ1647&lt;=3,"Fair",AJ1647&gt;3,"Good")</f>
        <v>Poor</v>
      </c>
      <c r="AL1647">
        <v>4</v>
      </c>
      <c r="AM1647">
        <v>3</v>
      </c>
      <c r="AN1647">
        <v>0</v>
      </c>
      <c r="AO1647">
        <v>2</v>
      </c>
    </row>
    <row r="1648" spans="1:41" x14ac:dyDescent="0.2">
      <c r="A1648">
        <v>1620322</v>
      </c>
      <c r="B1648">
        <v>26</v>
      </c>
      <c r="C1648" t="str" cm="1">
        <f t="array" ref="C1648">_xlfn.IFS(B1648&lt;=25,"15-25",B1648&lt;=35,"26-35",B1648&lt;=45,"36-45",B1648&lt;=55,"46-55",B1648&lt;=65,"56-65")</f>
        <v>26-35</v>
      </c>
      <c r="D1648" t="s">
        <v>35</v>
      </c>
      <c r="E1648" t="str">
        <f t="shared" si="50"/>
        <v>Current Employee</v>
      </c>
      <c r="F1648" t="s">
        <v>36</v>
      </c>
      <c r="G1648">
        <v>1330</v>
      </c>
      <c r="H1648" t="s">
        <v>54</v>
      </c>
      <c r="I1648">
        <v>21</v>
      </c>
      <c r="J1648">
        <v>3</v>
      </c>
      <c r="K1648" t="s">
        <v>49</v>
      </c>
      <c r="L1648">
        <v>1</v>
      </c>
      <c r="M1648">
        <v>1</v>
      </c>
      <c r="N1648" t="s">
        <v>46</v>
      </c>
      <c r="O1648">
        <v>37</v>
      </c>
      <c r="P1648">
        <v>3</v>
      </c>
      <c r="Q1648">
        <v>1</v>
      </c>
      <c r="R1648" t="s">
        <v>40</v>
      </c>
      <c r="S1648">
        <v>3</v>
      </c>
      <c r="T1648" t="str" cm="1">
        <f t="array" ref="T1648">_xlfn.IFS(S1648&lt;=2,"Poor",S1648&lt;=3,"Fair",S1648&gt;=4,"Good")</f>
        <v>Fair</v>
      </c>
      <c r="U1648" t="s">
        <v>50</v>
      </c>
      <c r="V1648" s="1">
        <v>2377</v>
      </c>
      <c r="W1648" t="str" cm="1">
        <f t="array" ref="W1648">_xlfn.IFS(V1648&lt;=5000,"Low Salary",V1648&lt;=12000,"Good Salary",V1648&gt;12000,"High Salary")</f>
        <v>Low Salary</v>
      </c>
      <c r="X1648">
        <v>19373</v>
      </c>
      <c r="Y1648">
        <v>1</v>
      </c>
      <c r="Z1648" t="s">
        <v>42</v>
      </c>
      <c r="AA1648" t="s">
        <v>35</v>
      </c>
      <c r="AB1648">
        <v>20</v>
      </c>
      <c r="AC1648">
        <v>4</v>
      </c>
      <c r="AD1648" t="str">
        <f t="shared" si="51"/>
        <v>High Performance</v>
      </c>
      <c r="AE1648">
        <v>3</v>
      </c>
      <c r="AF1648">
        <v>80</v>
      </c>
      <c r="AG1648">
        <v>1</v>
      </c>
      <c r="AH1648">
        <v>1</v>
      </c>
      <c r="AI1648">
        <v>0</v>
      </c>
      <c r="AJ1648">
        <v>2</v>
      </c>
      <c r="AK1648" t="str" cm="1">
        <f t="array" ref="AK1648">_xlfn.IFS(AJ1648&lt;=2,"Poor",AJ1648&lt;=3,"Fair",AJ1648&gt;3,"Good")</f>
        <v>Poor</v>
      </c>
      <c r="AL1648">
        <v>1</v>
      </c>
      <c r="AM1648">
        <v>1</v>
      </c>
      <c r="AN1648">
        <v>0</v>
      </c>
      <c r="AO1648">
        <v>0</v>
      </c>
    </row>
    <row r="1649" spans="1:41" x14ac:dyDescent="0.2">
      <c r="A1649">
        <v>1474227</v>
      </c>
      <c r="B1649">
        <v>25</v>
      </c>
      <c r="C1649" t="str" cm="1">
        <f t="array" ref="C1649">_xlfn.IFS(B1649&lt;=25,"15-25",B1649&lt;=35,"26-35",B1649&lt;=45,"36-45",B1649&lt;=55,"46-55",B1649&lt;=65,"56-65")</f>
        <v>15-25</v>
      </c>
      <c r="D1649" t="s">
        <v>35</v>
      </c>
      <c r="E1649" t="str">
        <f t="shared" si="50"/>
        <v>Current Employee</v>
      </c>
      <c r="F1649" t="s">
        <v>36</v>
      </c>
      <c r="G1649">
        <v>383</v>
      </c>
      <c r="H1649" t="s">
        <v>37</v>
      </c>
      <c r="I1649">
        <v>9</v>
      </c>
      <c r="J1649">
        <v>2</v>
      </c>
      <c r="K1649" t="s">
        <v>38</v>
      </c>
      <c r="L1649">
        <v>1</v>
      </c>
      <c r="M1649">
        <v>1</v>
      </c>
      <c r="N1649" t="s">
        <v>46</v>
      </c>
      <c r="O1649">
        <v>68</v>
      </c>
      <c r="P1649">
        <v>2</v>
      </c>
      <c r="Q1649">
        <v>1</v>
      </c>
      <c r="R1649" t="s">
        <v>47</v>
      </c>
      <c r="S1649">
        <v>1</v>
      </c>
      <c r="T1649" t="str" cm="1">
        <f t="array" ref="T1649">_xlfn.IFS(S1649&lt;=2,"Poor",S1649&lt;=3,"Fair",S1649&gt;=4,"Good")</f>
        <v>Poor</v>
      </c>
      <c r="U1649" t="s">
        <v>48</v>
      </c>
      <c r="V1649" s="1">
        <v>4400</v>
      </c>
      <c r="W1649" t="str" cm="1">
        <f t="array" ref="W1649">_xlfn.IFS(V1649&lt;=5000,"Low Salary",V1649&lt;=12000,"Good Salary",V1649&gt;12000,"High Salary")</f>
        <v>Low Salary</v>
      </c>
      <c r="X1649">
        <v>15182</v>
      </c>
      <c r="Y1649">
        <v>3</v>
      </c>
      <c r="Z1649" t="s">
        <v>42</v>
      </c>
      <c r="AA1649" t="s">
        <v>35</v>
      </c>
      <c r="AB1649">
        <v>12</v>
      </c>
      <c r="AC1649">
        <v>3</v>
      </c>
      <c r="AD1649" t="str">
        <f t="shared" si="51"/>
        <v>Low Performance</v>
      </c>
      <c r="AE1649">
        <v>1</v>
      </c>
      <c r="AF1649">
        <v>80</v>
      </c>
      <c r="AG1649">
        <v>0</v>
      </c>
      <c r="AH1649">
        <v>6</v>
      </c>
      <c r="AI1649">
        <v>2</v>
      </c>
      <c r="AJ1649">
        <v>3</v>
      </c>
      <c r="AK1649" t="str" cm="1">
        <f t="array" ref="AK1649">_xlfn.IFS(AJ1649&lt;=2,"Poor",AJ1649&lt;=3,"Fair",AJ1649&gt;3,"Good")</f>
        <v>Fair</v>
      </c>
      <c r="AL1649">
        <v>3</v>
      </c>
      <c r="AM1649">
        <v>2</v>
      </c>
      <c r="AN1649">
        <v>2</v>
      </c>
      <c r="AO1649">
        <v>2</v>
      </c>
    </row>
    <row r="1650" spans="1:41" x14ac:dyDescent="0.2">
      <c r="A1650">
        <v>1101293</v>
      </c>
      <c r="B1650">
        <v>44</v>
      </c>
      <c r="C1650" t="str" cm="1">
        <f t="array" ref="C1650">_xlfn.IFS(B1650&lt;=25,"15-25",B1650&lt;=35,"26-35",B1650&lt;=45,"36-45",B1650&lt;=55,"46-55",B1650&lt;=65,"56-65")</f>
        <v>36-45</v>
      </c>
      <c r="D1650" t="s">
        <v>35</v>
      </c>
      <c r="E1650" t="str">
        <f t="shared" si="50"/>
        <v>Current Employee</v>
      </c>
      <c r="F1650" t="s">
        <v>52</v>
      </c>
      <c r="G1650">
        <v>381</v>
      </c>
      <c r="H1650" t="s">
        <v>54</v>
      </c>
      <c r="I1650">
        <v>24</v>
      </c>
      <c r="J1650">
        <v>3</v>
      </c>
      <c r="K1650" t="s">
        <v>49</v>
      </c>
      <c r="L1650">
        <v>1</v>
      </c>
      <c r="M1650">
        <v>1</v>
      </c>
      <c r="N1650" t="s">
        <v>46</v>
      </c>
      <c r="O1650">
        <v>49</v>
      </c>
      <c r="P1650">
        <v>1</v>
      </c>
      <c r="Q1650">
        <v>1</v>
      </c>
      <c r="R1650" t="s">
        <v>40</v>
      </c>
      <c r="S1650">
        <v>3</v>
      </c>
      <c r="T1650" t="str" cm="1">
        <f t="array" ref="T1650">_xlfn.IFS(S1650&lt;=2,"Poor",S1650&lt;=3,"Fair",S1650&gt;=4,"Good")</f>
        <v>Fair</v>
      </c>
      <c r="U1650" t="s">
        <v>41</v>
      </c>
      <c r="V1650" s="1">
        <v>3708</v>
      </c>
      <c r="W1650" t="str" cm="1">
        <f t="array" ref="W1650">_xlfn.IFS(V1650&lt;=5000,"Low Salary",V1650&lt;=12000,"Good Salary",V1650&gt;12000,"High Salary")</f>
        <v>Low Salary</v>
      </c>
      <c r="X1650">
        <v>2104</v>
      </c>
      <c r="Y1650">
        <v>2</v>
      </c>
      <c r="Z1650" t="s">
        <v>42</v>
      </c>
      <c r="AA1650" t="s">
        <v>35</v>
      </c>
      <c r="AB1650">
        <v>14</v>
      </c>
      <c r="AC1650">
        <v>3</v>
      </c>
      <c r="AD1650" t="str">
        <f t="shared" si="51"/>
        <v>Low Performance</v>
      </c>
      <c r="AE1650">
        <v>3</v>
      </c>
      <c r="AF1650">
        <v>80</v>
      </c>
      <c r="AG1650">
        <v>0</v>
      </c>
      <c r="AH1650">
        <v>9</v>
      </c>
      <c r="AI1650">
        <v>5</v>
      </c>
      <c r="AJ1650">
        <v>3</v>
      </c>
      <c r="AK1650" t="str" cm="1">
        <f t="array" ref="AK1650">_xlfn.IFS(AJ1650&lt;=2,"Poor",AJ1650&lt;=3,"Fair",AJ1650&gt;3,"Good")</f>
        <v>Fair</v>
      </c>
      <c r="AL1650">
        <v>5</v>
      </c>
      <c r="AM1650">
        <v>2</v>
      </c>
      <c r="AN1650">
        <v>1</v>
      </c>
      <c r="AO1650">
        <v>4</v>
      </c>
    </row>
    <row r="1651" spans="1:41" x14ac:dyDescent="0.2">
      <c r="A1651">
        <v>1327800</v>
      </c>
      <c r="B1651">
        <v>34</v>
      </c>
      <c r="C1651" t="str" cm="1">
        <f t="array" ref="C1651">_xlfn.IFS(B1651&lt;=25,"15-25",B1651&lt;=35,"26-35",B1651&lt;=45,"36-45",B1651&lt;=55,"46-55",B1651&lt;=65,"56-65")</f>
        <v>26-35</v>
      </c>
      <c r="D1651" t="s">
        <v>35</v>
      </c>
      <c r="E1651" t="str">
        <f t="shared" si="50"/>
        <v>Current Employee</v>
      </c>
      <c r="F1651" t="s">
        <v>36</v>
      </c>
      <c r="G1651">
        <v>204</v>
      </c>
      <c r="H1651" t="s">
        <v>37</v>
      </c>
      <c r="I1651">
        <v>14</v>
      </c>
      <c r="J1651">
        <v>3</v>
      </c>
      <c r="K1651" t="s">
        <v>56</v>
      </c>
      <c r="L1651">
        <v>1</v>
      </c>
      <c r="M1651">
        <v>3</v>
      </c>
      <c r="N1651" t="s">
        <v>39</v>
      </c>
      <c r="O1651">
        <v>31</v>
      </c>
      <c r="P1651">
        <v>3</v>
      </c>
      <c r="Q1651">
        <v>1</v>
      </c>
      <c r="R1651" t="s">
        <v>47</v>
      </c>
      <c r="S1651">
        <v>3</v>
      </c>
      <c r="T1651" t="str" cm="1">
        <f t="array" ref="T1651">_xlfn.IFS(S1651&lt;=2,"Poor",S1651&lt;=3,"Fair",S1651&gt;=4,"Good")</f>
        <v>Fair</v>
      </c>
      <c r="U1651" t="s">
        <v>50</v>
      </c>
      <c r="V1651" s="1">
        <v>2579</v>
      </c>
      <c r="W1651" t="str" cm="1">
        <f t="array" ref="W1651">_xlfn.IFS(V1651&lt;=5000,"Low Salary",V1651&lt;=12000,"Good Salary",V1651&gt;12000,"High Salary")</f>
        <v>Low Salary</v>
      </c>
      <c r="X1651">
        <v>2912</v>
      </c>
      <c r="Y1651">
        <v>1</v>
      </c>
      <c r="Z1651" t="s">
        <v>42</v>
      </c>
      <c r="AA1651" t="s">
        <v>43</v>
      </c>
      <c r="AB1651">
        <v>18</v>
      </c>
      <c r="AC1651">
        <v>3</v>
      </c>
      <c r="AD1651" t="str">
        <f t="shared" si="51"/>
        <v>Low Performance</v>
      </c>
      <c r="AE1651">
        <v>4</v>
      </c>
      <c r="AF1651">
        <v>80</v>
      </c>
      <c r="AG1651">
        <v>2</v>
      </c>
      <c r="AH1651">
        <v>8</v>
      </c>
      <c r="AI1651">
        <v>3</v>
      </c>
      <c r="AJ1651">
        <v>3</v>
      </c>
      <c r="AK1651" t="str" cm="1">
        <f t="array" ref="AK1651">_xlfn.IFS(AJ1651&lt;=2,"Poor",AJ1651&lt;=3,"Fair",AJ1651&gt;3,"Good")</f>
        <v>Fair</v>
      </c>
      <c r="AL1651">
        <v>8</v>
      </c>
      <c r="AM1651">
        <v>2</v>
      </c>
      <c r="AN1651">
        <v>0</v>
      </c>
      <c r="AO1651">
        <v>6</v>
      </c>
    </row>
    <row r="1652" spans="1:41" x14ac:dyDescent="0.2">
      <c r="A1652">
        <v>1162185</v>
      </c>
      <c r="B1652">
        <v>28</v>
      </c>
      <c r="C1652" t="str" cm="1">
        <f t="array" ref="C1652">_xlfn.IFS(B1652&lt;=25,"15-25",B1652&lt;=35,"26-35",B1652&lt;=45,"36-45",B1652&lt;=55,"46-55",B1652&lt;=65,"56-65")</f>
        <v>26-35</v>
      </c>
      <c r="D1652" t="s">
        <v>43</v>
      </c>
      <c r="E1652" t="str">
        <f t="shared" si="50"/>
        <v>Former Employee</v>
      </c>
      <c r="F1652" t="s">
        <v>44</v>
      </c>
      <c r="G1652">
        <v>773</v>
      </c>
      <c r="H1652" t="s">
        <v>45</v>
      </c>
      <c r="I1652">
        <v>6</v>
      </c>
      <c r="J1652">
        <v>3</v>
      </c>
      <c r="K1652" t="s">
        <v>38</v>
      </c>
      <c r="L1652">
        <v>1</v>
      </c>
      <c r="M1652">
        <v>3</v>
      </c>
      <c r="N1652" t="s">
        <v>46</v>
      </c>
      <c r="O1652">
        <v>39</v>
      </c>
      <c r="P1652">
        <v>2</v>
      </c>
      <c r="Q1652">
        <v>1</v>
      </c>
      <c r="R1652" t="s">
        <v>40</v>
      </c>
      <c r="S1652">
        <v>3</v>
      </c>
      <c r="T1652" t="str" cm="1">
        <f t="array" ref="T1652">_xlfn.IFS(S1652&lt;=2,"Poor",S1652&lt;=3,"Fair",S1652&gt;=4,"Good")</f>
        <v>Fair</v>
      </c>
      <c r="U1652" t="s">
        <v>50</v>
      </c>
      <c r="V1652" s="1">
        <v>2703</v>
      </c>
      <c r="W1652" t="str" cm="1">
        <f t="array" ref="W1652">_xlfn.IFS(V1652&lt;=5000,"Low Salary",V1652&lt;=12000,"Good Salary",V1652&gt;12000,"High Salary")</f>
        <v>Low Salary</v>
      </c>
      <c r="X1652">
        <v>22088</v>
      </c>
      <c r="Y1652">
        <v>1</v>
      </c>
      <c r="Z1652" t="s">
        <v>42</v>
      </c>
      <c r="AA1652" t="s">
        <v>43</v>
      </c>
      <c r="AB1652">
        <v>14</v>
      </c>
      <c r="AC1652">
        <v>3</v>
      </c>
      <c r="AD1652" t="str">
        <f t="shared" si="51"/>
        <v>Low Performance</v>
      </c>
      <c r="AE1652">
        <v>4</v>
      </c>
      <c r="AF1652">
        <v>80</v>
      </c>
      <c r="AG1652">
        <v>1</v>
      </c>
      <c r="AH1652">
        <v>3</v>
      </c>
      <c r="AI1652">
        <v>2</v>
      </c>
      <c r="AJ1652">
        <v>3</v>
      </c>
      <c r="AK1652" t="str" cm="1">
        <f t="array" ref="AK1652">_xlfn.IFS(AJ1652&lt;=2,"Poor",AJ1652&lt;=3,"Fair",AJ1652&gt;3,"Good")</f>
        <v>Fair</v>
      </c>
      <c r="AL1652">
        <v>3</v>
      </c>
      <c r="AM1652">
        <v>1</v>
      </c>
      <c r="AN1652">
        <v>0</v>
      </c>
      <c r="AO1652">
        <v>2</v>
      </c>
    </row>
    <row r="1653" spans="1:41" x14ac:dyDescent="0.2">
      <c r="A1653">
        <v>1168729</v>
      </c>
      <c r="B1653">
        <v>19</v>
      </c>
      <c r="C1653" t="str" cm="1">
        <f t="array" ref="C1653">_xlfn.IFS(B1653&lt;=25,"15-25",B1653&lt;=35,"26-35",B1653&lt;=45,"36-45",B1653&lt;=55,"46-55",B1653&lt;=65,"56-65")</f>
        <v>15-25</v>
      </c>
      <c r="D1653" t="s">
        <v>43</v>
      </c>
      <c r="E1653" t="str">
        <f t="shared" si="50"/>
        <v>Former Employee</v>
      </c>
      <c r="F1653" t="s">
        <v>36</v>
      </c>
      <c r="G1653">
        <v>303</v>
      </c>
      <c r="H1653" t="s">
        <v>54</v>
      </c>
      <c r="I1653">
        <v>2</v>
      </c>
      <c r="J1653">
        <v>3</v>
      </c>
      <c r="K1653" t="s">
        <v>38</v>
      </c>
      <c r="L1653">
        <v>1</v>
      </c>
      <c r="M1653">
        <v>2</v>
      </c>
      <c r="N1653" t="s">
        <v>46</v>
      </c>
      <c r="O1653">
        <v>47</v>
      </c>
      <c r="P1653">
        <v>2</v>
      </c>
      <c r="Q1653">
        <v>1</v>
      </c>
      <c r="R1653" t="s">
        <v>40</v>
      </c>
      <c r="S1653">
        <v>4</v>
      </c>
      <c r="T1653" t="str" cm="1">
        <f t="array" ref="T1653">_xlfn.IFS(S1653&lt;=2,"Poor",S1653&lt;=3,"Fair",S1653&gt;=4,"Good")</f>
        <v>Good</v>
      </c>
      <c r="U1653" t="s">
        <v>41</v>
      </c>
      <c r="V1653" s="1">
        <v>1102</v>
      </c>
      <c r="W1653" t="str" cm="1">
        <f t="array" ref="W1653">_xlfn.IFS(V1653&lt;=5000,"Low Salary",V1653&lt;=12000,"Good Salary",V1653&gt;12000,"High Salary")</f>
        <v>Low Salary</v>
      </c>
      <c r="X1653">
        <v>9241</v>
      </c>
      <c r="Y1653">
        <v>1</v>
      </c>
      <c r="Z1653" t="s">
        <v>42</v>
      </c>
      <c r="AA1653" t="s">
        <v>35</v>
      </c>
      <c r="AB1653">
        <v>22</v>
      </c>
      <c r="AC1653">
        <v>4</v>
      </c>
      <c r="AD1653" t="str">
        <f t="shared" si="51"/>
        <v>High Performance</v>
      </c>
      <c r="AE1653">
        <v>3</v>
      </c>
      <c r="AF1653">
        <v>80</v>
      </c>
      <c r="AG1653">
        <v>0</v>
      </c>
      <c r="AH1653">
        <v>1</v>
      </c>
      <c r="AI1653">
        <v>3</v>
      </c>
      <c r="AJ1653">
        <v>2</v>
      </c>
      <c r="AK1653" t="str" cm="1">
        <f t="array" ref="AK1653">_xlfn.IFS(AJ1653&lt;=2,"Poor",AJ1653&lt;=3,"Fair",AJ1653&gt;3,"Good")</f>
        <v>Poor</v>
      </c>
      <c r="AL1653">
        <v>1</v>
      </c>
      <c r="AM1653">
        <v>0</v>
      </c>
      <c r="AN1653">
        <v>1</v>
      </c>
      <c r="AO1653">
        <v>0</v>
      </c>
    </row>
    <row r="1654" spans="1:41" x14ac:dyDescent="0.2">
      <c r="A1654">
        <v>1544044</v>
      </c>
      <c r="B1654">
        <v>31</v>
      </c>
      <c r="C1654" t="str" cm="1">
        <f t="array" ref="C1654">_xlfn.IFS(B1654&lt;=25,"15-25",B1654&lt;=35,"26-35",B1654&lt;=45,"36-45",B1654&lt;=55,"46-55",B1654&lt;=65,"56-65")</f>
        <v>26-35</v>
      </c>
      <c r="D1654" t="s">
        <v>43</v>
      </c>
      <c r="E1654" t="str">
        <f t="shared" si="50"/>
        <v>Former Employee</v>
      </c>
      <c r="F1654" t="s">
        <v>44</v>
      </c>
      <c r="G1654">
        <v>754</v>
      </c>
      <c r="H1654" t="s">
        <v>37</v>
      </c>
      <c r="I1654">
        <v>26</v>
      </c>
      <c r="J1654">
        <v>4</v>
      </c>
      <c r="K1654" t="s">
        <v>55</v>
      </c>
      <c r="L1654">
        <v>1</v>
      </c>
      <c r="M1654">
        <v>1</v>
      </c>
      <c r="N1654" t="s">
        <v>46</v>
      </c>
      <c r="O1654">
        <v>63</v>
      </c>
      <c r="P1654">
        <v>3</v>
      </c>
      <c r="Q1654">
        <v>2</v>
      </c>
      <c r="R1654" t="s">
        <v>40</v>
      </c>
      <c r="S1654">
        <v>4</v>
      </c>
      <c r="T1654" t="str" cm="1">
        <f t="array" ref="T1654">_xlfn.IFS(S1654&lt;=2,"Poor",S1654&lt;=3,"Fair",S1654&gt;=4,"Good")</f>
        <v>Good</v>
      </c>
      <c r="U1654" t="s">
        <v>48</v>
      </c>
      <c r="V1654" s="1">
        <v>5617</v>
      </c>
      <c r="W1654" t="str" cm="1">
        <f t="array" ref="W1654">_xlfn.IFS(V1654&lt;=5000,"Low Salary",V1654&lt;=12000,"Good Salary",V1654&gt;12000,"High Salary")</f>
        <v>Good Salary</v>
      </c>
      <c r="X1654">
        <v>21075</v>
      </c>
      <c r="Y1654">
        <v>1</v>
      </c>
      <c r="Z1654" t="s">
        <v>42</v>
      </c>
      <c r="AA1654" t="s">
        <v>43</v>
      </c>
      <c r="AB1654">
        <v>11</v>
      </c>
      <c r="AC1654">
        <v>3</v>
      </c>
      <c r="AD1654" t="str">
        <f t="shared" si="51"/>
        <v>Low Performance</v>
      </c>
      <c r="AE1654">
        <v>3</v>
      </c>
      <c r="AF1654">
        <v>80</v>
      </c>
      <c r="AG1654">
        <v>0</v>
      </c>
      <c r="AH1654">
        <v>10</v>
      </c>
      <c r="AI1654">
        <v>4</v>
      </c>
      <c r="AJ1654">
        <v>3</v>
      </c>
      <c r="AK1654" t="str" cm="1">
        <f t="array" ref="AK1654">_xlfn.IFS(AJ1654&lt;=2,"Poor",AJ1654&lt;=3,"Fair",AJ1654&gt;3,"Good")</f>
        <v>Fair</v>
      </c>
      <c r="AL1654">
        <v>10</v>
      </c>
      <c r="AM1654">
        <v>7</v>
      </c>
      <c r="AN1654">
        <v>0</v>
      </c>
      <c r="AO1654">
        <v>8</v>
      </c>
    </row>
    <row r="1655" spans="1:41" x14ac:dyDescent="0.2">
      <c r="A1655">
        <v>1114030</v>
      </c>
      <c r="B1655">
        <v>37</v>
      </c>
      <c r="C1655" t="str" cm="1">
        <f t="array" ref="C1655">_xlfn.IFS(B1655&lt;=25,"15-25",B1655&lt;=35,"26-35",B1655&lt;=45,"36-45",B1655&lt;=55,"46-55",B1655&lt;=65,"56-65")</f>
        <v>36-45</v>
      </c>
      <c r="D1655" t="s">
        <v>43</v>
      </c>
      <c r="E1655" t="str">
        <f t="shared" si="50"/>
        <v>Former Employee</v>
      </c>
      <c r="F1655" t="s">
        <v>52</v>
      </c>
      <c r="G1655">
        <v>1252</v>
      </c>
      <c r="H1655" t="s">
        <v>37</v>
      </c>
      <c r="I1655">
        <v>19</v>
      </c>
      <c r="J1655">
        <v>2</v>
      </c>
      <c r="K1655" t="s">
        <v>49</v>
      </c>
      <c r="L1655">
        <v>1</v>
      </c>
      <c r="M1655">
        <v>1</v>
      </c>
      <c r="N1655" t="s">
        <v>46</v>
      </c>
      <c r="O1655">
        <v>32</v>
      </c>
      <c r="P1655">
        <v>3</v>
      </c>
      <c r="Q1655">
        <v>3</v>
      </c>
      <c r="R1655" t="s">
        <v>40</v>
      </c>
      <c r="S1655">
        <v>2</v>
      </c>
      <c r="T1655" t="str" cm="1">
        <f t="array" ref="T1655">_xlfn.IFS(S1655&lt;=2,"Poor",S1655&lt;=3,"Fair",S1655&gt;=4,"Good")</f>
        <v>Poor</v>
      </c>
      <c r="U1655" t="s">
        <v>41</v>
      </c>
      <c r="V1655" s="1">
        <v>7642</v>
      </c>
      <c r="W1655" t="str" cm="1">
        <f t="array" ref="W1655">_xlfn.IFS(V1655&lt;=5000,"Low Salary",V1655&lt;=12000,"Good Salary",V1655&gt;12000,"High Salary")</f>
        <v>Good Salary</v>
      </c>
      <c r="X1655">
        <v>4814</v>
      </c>
      <c r="Y1655">
        <v>1</v>
      </c>
      <c r="Z1655" t="s">
        <v>42</v>
      </c>
      <c r="AA1655" t="s">
        <v>43</v>
      </c>
      <c r="AB1655">
        <v>13</v>
      </c>
      <c r="AC1655">
        <v>3</v>
      </c>
      <c r="AD1655" t="str">
        <f t="shared" si="51"/>
        <v>Low Performance</v>
      </c>
      <c r="AE1655">
        <v>4</v>
      </c>
      <c r="AF1655">
        <v>80</v>
      </c>
      <c r="AG1655">
        <v>0</v>
      </c>
      <c r="AH1655">
        <v>10</v>
      </c>
      <c r="AI1655">
        <v>2</v>
      </c>
      <c r="AJ1655">
        <v>3</v>
      </c>
      <c r="AK1655" t="str" cm="1">
        <f t="array" ref="AK1655">_xlfn.IFS(AJ1655&lt;=2,"Poor",AJ1655&lt;=3,"Fair",AJ1655&gt;3,"Good")</f>
        <v>Fair</v>
      </c>
      <c r="AL1655">
        <v>10</v>
      </c>
      <c r="AM1655">
        <v>0</v>
      </c>
      <c r="AN1655">
        <v>0</v>
      </c>
      <c r="AO1655">
        <v>9</v>
      </c>
    </row>
    <row r="1656" spans="1:41" x14ac:dyDescent="0.2">
      <c r="A1656">
        <v>1751929</v>
      </c>
      <c r="B1656">
        <v>22</v>
      </c>
      <c r="C1656" t="str" cm="1">
        <f t="array" ref="C1656">_xlfn.IFS(B1656&lt;=25,"15-25",B1656&lt;=35,"26-35",B1656&lt;=45,"36-45",B1656&lt;=55,"46-55",B1656&lt;=65,"56-65")</f>
        <v>15-25</v>
      </c>
      <c r="D1656" t="s">
        <v>43</v>
      </c>
      <c r="E1656" t="str">
        <f t="shared" si="50"/>
        <v>Former Employee</v>
      </c>
      <c r="F1656" t="s">
        <v>44</v>
      </c>
      <c r="G1656">
        <v>1256</v>
      </c>
      <c r="H1656" t="s">
        <v>45</v>
      </c>
      <c r="I1656">
        <v>3</v>
      </c>
      <c r="J1656">
        <v>4</v>
      </c>
      <c r="K1656" t="s">
        <v>38</v>
      </c>
      <c r="L1656">
        <v>1</v>
      </c>
      <c r="M1656">
        <v>3</v>
      </c>
      <c r="N1656" t="s">
        <v>46</v>
      </c>
      <c r="O1656">
        <v>48</v>
      </c>
      <c r="P1656">
        <v>2</v>
      </c>
      <c r="Q1656">
        <v>1</v>
      </c>
      <c r="R1656" t="s">
        <v>40</v>
      </c>
      <c r="S1656">
        <v>4</v>
      </c>
      <c r="T1656" t="str" cm="1">
        <f t="array" ref="T1656">_xlfn.IFS(S1656&lt;=2,"Poor",S1656&lt;=3,"Fair",S1656&gt;=4,"Good")</f>
        <v>Good</v>
      </c>
      <c r="U1656" t="s">
        <v>48</v>
      </c>
      <c r="V1656" s="1">
        <v>2853</v>
      </c>
      <c r="W1656" t="str" cm="1">
        <f t="array" ref="W1656">_xlfn.IFS(V1656&lt;=5000,"Low Salary",V1656&lt;=12000,"Good Salary",V1656&gt;12000,"High Salary")</f>
        <v>Low Salary</v>
      </c>
      <c r="X1656">
        <v>4223</v>
      </c>
      <c r="Y1656">
        <v>0</v>
      </c>
      <c r="Z1656" t="s">
        <v>42</v>
      </c>
      <c r="AA1656" t="s">
        <v>43</v>
      </c>
      <c r="AB1656">
        <v>11</v>
      </c>
      <c r="AC1656">
        <v>3</v>
      </c>
      <c r="AD1656" t="str">
        <f t="shared" si="51"/>
        <v>Low Performance</v>
      </c>
      <c r="AE1656">
        <v>2</v>
      </c>
      <c r="AF1656">
        <v>80</v>
      </c>
      <c r="AG1656">
        <v>1</v>
      </c>
      <c r="AH1656">
        <v>1</v>
      </c>
      <c r="AI1656">
        <v>5</v>
      </c>
      <c r="AJ1656">
        <v>3</v>
      </c>
      <c r="AK1656" t="str" cm="1">
        <f t="array" ref="AK1656">_xlfn.IFS(AJ1656&lt;=2,"Poor",AJ1656&lt;=3,"Fair",AJ1656&gt;3,"Good")</f>
        <v>Fair</v>
      </c>
      <c r="AL1656">
        <v>0</v>
      </c>
      <c r="AM1656">
        <v>0</v>
      </c>
      <c r="AN1656">
        <v>0</v>
      </c>
      <c r="AO1656">
        <v>0</v>
      </c>
    </row>
    <row r="1657" spans="1:41" x14ac:dyDescent="0.2">
      <c r="A1657">
        <v>1267282</v>
      </c>
      <c r="B1657">
        <v>31</v>
      </c>
      <c r="C1657" t="str" cm="1">
        <f t="array" ref="C1657">_xlfn.IFS(B1657&lt;=25,"15-25",B1657&lt;=35,"26-35",B1657&lt;=45,"36-45",B1657&lt;=55,"46-55",B1657&lt;=65,"56-65")</f>
        <v>26-35</v>
      </c>
      <c r="D1657" t="s">
        <v>43</v>
      </c>
      <c r="E1657" t="str">
        <f t="shared" si="50"/>
        <v>Former Employee</v>
      </c>
      <c r="F1657" t="s">
        <v>36</v>
      </c>
      <c r="G1657">
        <v>202</v>
      </c>
      <c r="H1657" t="s">
        <v>45</v>
      </c>
      <c r="I1657">
        <v>8</v>
      </c>
      <c r="J1657">
        <v>3</v>
      </c>
      <c r="K1657" t="s">
        <v>38</v>
      </c>
      <c r="L1657">
        <v>1</v>
      </c>
      <c r="M1657">
        <v>1</v>
      </c>
      <c r="N1657" t="s">
        <v>39</v>
      </c>
      <c r="O1657">
        <v>34</v>
      </c>
      <c r="P1657">
        <v>2</v>
      </c>
      <c r="Q1657">
        <v>1</v>
      </c>
      <c r="R1657" t="s">
        <v>40</v>
      </c>
      <c r="S1657">
        <v>2</v>
      </c>
      <c r="T1657" t="str" cm="1">
        <f t="array" ref="T1657">_xlfn.IFS(S1657&lt;=2,"Poor",S1657&lt;=3,"Fair",S1657&gt;=4,"Good")</f>
        <v>Poor</v>
      </c>
      <c r="U1657" t="s">
        <v>41</v>
      </c>
      <c r="V1657" s="1">
        <v>1261</v>
      </c>
      <c r="W1657" t="str" cm="1">
        <f t="array" ref="W1657">_xlfn.IFS(V1657&lt;=5000,"Low Salary",V1657&lt;=12000,"Good Salary",V1657&gt;12000,"High Salary")</f>
        <v>Low Salary</v>
      </c>
      <c r="X1657">
        <v>22262</v>
      </c>
      <c r="Y1657">
        <v>1</v>
      </c>
      <c r="Z1657" t="s">
        <v>42</v>
      </c>
      <c r="AA1657" t="s">
        <v>35</v>
      </c>
      <c r="AB1657">
        <v>12</v>
      </c>
      <c r="AC1657">
        <v>3</v>
      </c>
      <c r="AD1657" t="str">
        <f t="shared" si="51"/>
        <v>Low Performance</v>
      </c>
      <c r="AE1657">
        <v>3</v>
      </c>
      <c r="AF1657">
        <v>80</v>
      </c>
      <c r="AG1657">
        <v>0</v>
      </c>
      <c r="AH1657">
        <v>1</v>
      </c>
      <c r="AI1657">
        <v>3</v>
      </c>
      <c r="AJ1657">
        <v>4</v>
      </c>
      <c r="AK1657" t="str" cm="1">
        <f t="array" ref="AK1657">_xlfn.IFS(AJ1657&lt;=2,"Poor",AJ1657&lt;=3,"Fair",AJ1657&gt;3,"Good")</f>
        <v>Good</v>
      </c>
      <c r="AL1657">
        <v>1</v>
      </c>
      <c r="AM1657">
        <v>0</v>
      </c>
      <c r="AN1657">
        <v>0</v>
      </c>
      <c r="AO1657">
        <v>0</v>
      </c>
    </row>
    <row r="1658" spans="1:41" x14ac:dyDescent="0.2">
      <c r="A1658">
        <v>1855095</v>
      </c>
      <c r="B1658">
        <v>27</v>
      </c>
      <c r="C1658" t="str" cm="1">
        <f t="array" ref="C1658">_xlfn.IFS(B1658&lt;=25,"15-25",B1658&lt;=35,"26-35",B1658&lt;=45,"36-45",B1658&lt;=55,"46-55",B1658&lt;=65,"56-65")</f>
        <v>26-35</v>
      </c>
      <c r="D1658" t="s">
        <v>43</v>
      </c>
      <c r="E1658" t="str">
        <f t="shared" si="50"/>
        <v>Former Employee</v>
      </c>
      <c r="F1658" t="s">
        <v>44</v>
      </c>
      <c r="G1658">
        <v>1297</v>
      </c>
      <c r="H1658" t="s">
        <v>54</v>
      </c>
      <c r="I1658">
        <v>5</v>
      </c>
      <c r="J1658">
        <v>2</v>
      </c>
      <c r="K1658" t="s">
        <v>38</v>
      </c>
      <c r="L1658">
        <v>1</v>
      </c>
      <c r="M1658">
        <v>4</v>
      </c>
      <c r="N1658" t="s">
        <v>39</v>
      </c>
      <c r="O1658">
        <v>53</v>
      </c>
      <c r="P1658">
        <v>3</v>
      </c>
      <c r="Q1658">
        <v>1</v>
      </c>
      <c r="R1658" t="s">
        <v>40</v>
      </c>
      <c r="S1658">
        <v>4</v>
      </c>
      <c r="T1658" t="str" cm="1">
        <f t="array" ref="T1658">_xlfn.IFS(S1658&lt;=2,"Poor",S1658&lt;=3,"Fair",S1658&gt;=4,"Good")</f>
        <v>Good</v>
      </c>
      <c r="U1658" t="s">
        <v>41</v>
      </c>
      <c r="V1658" s="1">
        <v>2379</v>
      </c>
      <c r="W1658" t="str" cm="1">
        <f t="array" ref="W1658">_xlfn.IFS(V1658&lt;=5000,"Low Salary",V1658&lt;=12000,"Good Salary",V1658&gt;12000,"High Salary")</f>
        <v>Low Salary</v>
      </c>
      <c r="X1658">
        <v>19826</v>
      </c>
      <c r="Y1658">
        <v>0</v>
      </c>
      <c r="Z1658" t="s">
        <v>42</v>
      </c>
      <c r="AA1658" t="s">
        <v>43</v>
      </c>
      <c r="AB1658">
        <v>14</v>
      </c>
      <c r="AC1658">
        <v>3</v>
      </c>
      <c r="AD1658" t="str">
        <f t="shared" si="51"/>
        <v>Low Performance</v>
      </c>
      <c r="AE1658">
        <v>3</v>
      </c>
      <c r="AF1658">
        <v>80</v>
      </c>
      <c r="AG1658">
        <v>0</v>
      </c>
      <c r="AH1658">
        <v>6</v>
      </c>
      <c r="AI1658">
        <v>3</v>
      </c>
      <c r="AJ1658">
        <v>2</v>
      </c>
      <c r="AK1658" t="str" cm="1">
        <f t="array" ref="AK1658">_xlfn.IFS(AJ1658&lt;=2,"Poor",AJ1658&lt;=3,"Fair",AJ1658&gt;3,"Good")</f>
        <v>Poor</v>
      </c>
      <c r="AL1658">
        <v>5</v>
      </c>
      <c r="AM1658">
        <v>4</v>
      </c>
      <c r="AN1658">
        <v>0</v>
      </c>
      <c r="AO1658">
        <v>2</v>
      </c>
    </row>
    <row r="1659" spans="1:41" x14ac:dyDescent="0.2">
      <c r="A1659">
        <v>1837772</v>
      </c>
      <c r="B1659">
        <v>26</v>
      </c>
      <c r="C1659" t="str" cm="1">
        <f t="array" ref="C1659">_xlfn.IFS(B1659&lt;=25,"15-25",B1659&lt;=35,"26-35",B1659&lt;=45,"36-45",B1659&lt;=55,"46-55",B1659&lt;=65,"56-65")</f>
        <v>26-35</v>
      </c>
      <c r="D1659" t="s">
        <v>43</v>
      </c>
      <c r="E1659" t="str">
        <f t="shared" si="50"/>
        <v>Former Employee</v>
      </c>
      <c r="F1659" t="s">
        <v>36</v>
      </c>
      <c r="G1659">
        <v>1443</v>
      </c>
      <c r="H1659" t="s">
        <v>37</v>
      </c>
      <c r="I1659">
        <v>23</v>
      </c>
      <c r="J1659">
        <v>3</v>
      </c>
      <c r="K1659" t="s">
        <v>55</v>
      </c>
      <c r="L1659">
        <v>1</v>
      </c>
      <c r="M1659">
        <v>3</v>
      </c>
      <c r="N1659" t="s">
        <v>39</v>
      </c>
      <c r="O1659">
        <v>47</v>
      </c>
      <c r="P1659">
        <v>2</v>
      </c>
      <c r="Q1659">
        <v>2</v>
      </c>
      <c r="R1659" t="s">
        <v>40</v>
      </c>
      <c r="S1659">
        <v>4</v>
      </c>
      <c r="T1659" t="str" cm="1">
        <f t="array" ref="T1659">_xlfn.IFS(S1659&lt;=2,"Poor",S1659&lt;=3,"Fair",S1659&gt;=4,"Good")</f>
        <v>Good</v>
      </c>
      <c r="U1659" t="s">
        <v>48</v>
      </c>
      <c r="V1659" s="1">
        <v>4157</v>
      </c>
      <c r="W1659" t="str" cm="1">
        <f t="array" ref="W1659">_xlfn.IFS(V1659&lt;=5000,"Low Salary",V1659&lt;=12000,"Good Salary",V1659&gt;12000,"High Salary")</f>
        <v>Low Salary</v>
      </c>
      <c r="X1659">
        <v>21436</v>
      </c>
      <c r="Y1659">
        <v>7</v>
      </c>
      <c r="Z1659" t="s">
        <v>42</v>
      </c>
      <c r="AA1659" t="s">
        <v>43</v>
      </c>
      <c r="AB1659">
        <v>19</v>
      </c>
      <c r="AC1659">
        <v>3</v>
      </c>
      <c r="AD1659" t="str">
        <f t="shared" si="51"/>
        <v>Low Performance</v>
      </c>
      <c r="AE1659">
        <v>3</v>
      </c>
      <c r="AF1659">
        <v>80</v>
      </c>
      <c r="AG1659">
        <v>1</v>
      </c>
      <c r="AH1659">
        <v>5</v>
      </c>
      <c r="AI1659">
        <v>2</v>
      </c>
      <c r="AJ1659">
        <v>2</v>
      </c>
      <c r="AK1659" t="str" cm="1">
        <f t="array" ref="AK1659">_xlfn.IFS(AJ1659&lt;=2,"Poor",AJ1659&lt;=3,"Fair",AJ1659&gt;3,"Good")</f>
        <v>Poor</v>
      </c>
      <c r="AL1659">
        <v>2</v>
      </c>
      <c r="AM1659">
        <v>2</v>
      </c>
      <c r="AN1659">
        <v>0</v>
      </c>
      <c r="AO1659">
        <v>0</v>
      </c>
    </row>
    <row r="1660" spans="1:41" x14ac:dyDescent="0.2">
      <c r="A1660">
        <v>1704323</v>
      </c>
      <c r="B1660">
        <v>29</v>
      </c>
      <c r="C1660" t="str" cm="1">
        <f t="array" ref="C1660">_xlfn.IFS(B1660&lt;=25,"15-25",B1660&lt;=35,"26-35",B1660&lt;=45,"36-45",B1660&lt;=55,"46-55",B1660&lt;=65,"56-65")</f>
        <v>26-35</v>
      </c>
      <c r="D1660" t="s">
        <v>43</v>
      </c>
      <c r="E1660" t="str">
        <f t="shared" si="50"/>
        <v>Former Employee</v>
      </c>
      <c r="F1660" t="s">
        <v>36</v>
      </c>
      <c r="G1660">
        <v>341</v>
      </c>
      <c r="H1660" t="s">
        <v>37</v>
      </c>
      <c r="I1660">
        <v>1</v>
      </c>
      <c r="J1660">
        <v>3</v>
      </c>
      <c r="K1660" t="s">
        <v>49</v>
      </c>
      <c r="L1660">
        <v>1</v>
      </c>
      <c r="M1660">
        <v>2</v>
      </c>
      <c r="N1660" t="s">
        <v>39</v>
      </c>
      <c r="O1660">
        <v>48</v>
      </c>
      <c r="P1660">
        <v>2</v>
      </c>
      <c r="Q1660">
        <v>1</v>
      </c>
      <c r="R1660" t="s">
        <v>47</v>
      </c>
      <c r="S1660">
        <v>3</v>
      </c>
      <c r="T1660" t="str" cm="1">
        <f t="array" ref="T1660">_xlfn.IFS(S1660&lt;=2,"Poor",S1660&lt;=3,"Fair",S1660&gt;=4,"Good")</f>
        <v>Fair</v>
      </c>
      <c r="U1660" t="s">
        <v>50</v>
      </c>
      <c r="V1660" s="1">
        <v>2800</v>
      </c>
      <c r="W1660" t="str" cm="1">
        <f t="array" ref="W1660">_xlfn.IFS(V1660&lt;=5000,"Low Salary",V1660&lt;=12000,"Good Salary",V1660&gt;12000,"High Salary")</f>
        <v>Low Salary</v>
      </c>
      <c r="X1660">
        <v>23522</v>
      </c>
      <c r="Y1660">
        <v>6</v>
      </c>
      <c r="Z1660" t="s">
        <v>42</v>
      </c>
      <c r="AA1660" t="s">
        <v>43</v>
      </c>
      <c r="AB1660">
        <v>19</v>
      </c>
      <c r="AC1660">
        <v>3</v>
      </c>
      <c r="AD1660" t="str">
        <f t="shared" si="51"/>
        <v>Low Performance</v>
      </c>
      <c r="AE1660">
        <v>3</v>
      </c>
      <c r="AF1660">
        <v>80</v>
      </c>
      <c r="AG1660">
        <v>3</v>
      </c>
      <c r="AH1660">
        <v>5</v>
      </c>
      <c r="AI1660">
        <v>3</v>
      </c>
      <c r="AJ1660">
        <v>3</v>
      </c>
      <c r="AK1660" t="str" cm="1">
        <f t="array" ref="AK1660">_xlfn.IFS(AJ1660&lt;=2,"Poor",AJ1660&lt;=3,"Fair",AJ1660&gt;3,"Good")</f>
        <v>Fair</v>
      </c>
      <c r="AL1660">
        <v>3</v>
      </c>
      <c r="AM1660">
        <v>2</v>
      </c>
      <c r="AN1660">
        <v>0</v>
      </c>
      <c r="AO1660">
        <v>2</v>
      </c>
    </row>
    <row r="1661" spans="1:41" x14ac:dyDescent="0.2">
      <c r="A1661">
        <v>1622091</v>
      </c>
      <c r="B1661">
        <v>26</v>
      </c>
      <c r="C1661" t="str" cm="1">
        <f t="array" ref="C1661">_xlfn.IFS(B1661&lt;=25,"15-25",B1661&lt;=35,"26-35",B1661&lt;=45,"36-45",B1661&lt;=55,"46-55",B1661&lt;=65,"56-65")</f>
        <v>26-35</v>
      </c>
      <c r="D1661" t="s">
        <v>43</v>
      </c>
      <c r="E1661" t="str">
        <f t="shared" si="50"/>
        <v>Former Employee</v>
      </c>
      <c r="F1661" t="s">
        <v>52</v>
      </c>
      <c r="G1661">
        <v>265</v>
      </c>
      <c r="H1661" t="s">
        <v>37</v>
      </c>
      <c r="I1661">
        <v>29</v>
      </c>
      <c r="J1661">
        <v>2</v>
      </c>
      <c r="K1661" t="s">
        <v>49</v>
      </c>
      <c r="L1661">
        <v>1</v>
      </c>
      <c r="M1661">
        <v>2</v>
      </c>
      <c r="N1661" t="s">
        <v>46</v>
      </c>
      <c r="O1661">
        <v>79</v>
      </c>
      <c r="P1661">
        <v>1</v>
      </c>
      <c r="Q1661">
        <v>2</v>
      </c>
      <c r="R1661" t="s">
        <v>40</v>
      </c>
      <c r="S1661">
        <v>1</v>
      </c>
      <c r="T1661" t="str" cm="1">
        <f t="array" ref="T1661">_xlfn.IFS(S1661&lt;=2,"Poor",S1661&lt;=3,"Fair",S1661&gt;=4,"Good")</f>
        <v>Poor</v>
      </c>
      <c r="U1661" t="s">
        <v>41</v>
      </c>
      <c r="V1661" s="1">
        <v>4969</v>
      </c>
      <c r="W1661" t="str" cm="1">
        <f t="array" ref="W1661">_xlfn.IFS(V1661&lt;=5000,"Low Salary",V1661&lt;=12000,"Good Salary",V1661&gt;12000,"High Salary")</f>
        <v>Low Salary</v>
      </c>
      <c r="X1661">
        <v>21813</v>
      </c>
      <c r="Y1661">
        <v>8</v>
      </c>
      <c r="Z1661" t="s">
        <v>42</v>
      </c>
      <c r="AA1661" t="s">
        <v>35</v>
      </c>
      <c r="AB1661">
        <v>18</v>
      </c>
      <c r="AC1661">
        <v>3</v>
      </c>
      <c r="AD1661" t="str">
        <f t="shared" si="51"/>
        <v>Low Performance</v>
      </c>
      <c r="AE1661">
        <v>4</v>
      </c>
      <c r="AF1661">
        <v>80</v>
      </c>
      <c r="AG1661">
        <v>0</v>
      </c>
      <c r="AH1661">
        <v>7</v>
      </c>
      <c r="AI1661">
        <v>6</v>
      </c>
      <c r="AJ1661">
        <v>3</v>
      </c>
      <c r="AK1661" t="str" cm="1">
        <f t="array" ref="AK1661">_xlfn.IFS(AJ1661&lt;=2,"Poor",AJ1661&lt;=3,"Fair",AJ1661&gt;3,"Good")</f>
        <v>Fair</v>
      </c>
      <c r="AL1661">
        <v>2</v>
      </c>
      <c r="AM1661">
        <v>2</v>
      </c>
      <c r="AN1661">
        <v>2</v>
      </c>
      <c r="AO1661">
        <v>2</v>
      </c>
    </row>
    <row r="1662" spans="1:41" x14ac:dyDescent="0.2">
      <c r="A1662">
        <v>1734708</v>
      </c>
      <c r="B1662">
        <v>31</v>
      </c>
      <c r="C1662" t="str" cm="1">
        <f t="array" ref="C1662">_xlfn.IFS(B1662&lt;=25,"15-25",B1662&lt;=35,"26-35",B1662&lt;=45,"36-45",B1662&lt;=55,"46-55",B1662&lt;=65,"56-65")</f>
        <v>26-35</v>
      </c>
      <c r="D1662" t="s">
        <v>43</v>
      </c>
      <c r="E1662" t="str">
        <f t="shared" si="50"/>
        <v>Former Employee</v>
      </c>
      <c r="F1662" t="s">
        <v>44</v>
      </c>
      <c r="G1662">
        <v>1060</v>
      </c>
      <c r="H1662" t="s">
        <v>37</v>
      </c>
      <c r="I1662">
        <v>1</v>
      </c>
      <c r="J1662">
        <v>3</v>
      </c>
      <c r="K1662" t="s">
        <v>38</v>
      </c>
      <c r="L1662">
        <v>1</v>
      </c>
      <c r="M1662">
        <v>4</v>
      </c>
      <c r="N1662" t="s">
        <v>39</v>
      </c>
      <c r="O1662">
        <v>54</v>
      </c>
      <c r="P1662">
        <v>3</v>
      </c>
      <c r="Q1662">
        <v>1</v>
      </c>
      <c r="R1662" t="s">
        <v>47</v>
      </c>
      <c r="S1662">
        <v>2</v>
      </c>
      <c r="T1662" t="str" cm="1">
        <f t="array" ref="T1662">_xlfn.IFS(S1662&lt;=2,"Poor",S1662&lt;=3,"Fair",S1662&gt;=4,"Good")</f>
        <v>Poor</v>
      </c>
      <c r="U1662" t="s">
        <v>41</v>
      </c>
      <c r="V1662" s="1">
        <v>2302</v>
      </c>
      <c r="W1662" t="str" cm="1">
        <f t="array" ref="W1662">_xlfn.IFS(V1662&lt;=5000,"Low Salary",V1662&lt;=12000,"Good Salary",V1662&gt;12000,"High Salary")</f>
        <v>Low Salary</v>
      </c>
      <c r="X1662">
        <v>8319</v>
      </c>
      <c r="Y1662">
        <v>1</v>
      </c>
      <c r="Z1662" t="s">
        <v>42</v>
      </c>
      <c r="AA1662" t="s">
        <v>43</v>
      </c>
      <c r="AB1662">
        <v>11</v>
      </c>
      <c r="AC1662">
        <v>3</v>
      </c>
      <c r="AD1662" t="str">
        <f t="shared" si="51"/>
        <v>Low Performance</v>
      </c>
      <c r="AE1662">
        <v>1</v>
      </c>
      <c r="AF1662">
        <v>80</v>
      </c>
      <c r="AG1662">
        <v>0</v>
      </c>
      <c r="AH1662">
        <v>3</v>
      </c>
      <c r="AI1662">
        <v>2</v>
      </c>
      <c r="AJ1662">
        <v>4</v>
      </c>
      <c r="AK1662" t="str" cm="1">
        <f t="array" ref="AK1662">_xlfn.IFS(AJ1662&lt;=2,"Poor",AJ1662&lt;=3,"Fair",AJ1662&gt;3,"Good")</f>
        <v>Good</v>
      </c>
      <c r="AL1662">
        <v>3</v>
      </c>
      <c r="AM1662">
        <v>2</v>
      </c>
      <c r="AN1662">
        <v>2</v>
      </c>
      <c r="AO1662">
        <v>2</v>
      </c>
    </row>
    <row r="1663" spans="1:41" x14ac:dyDescent="0.2">
      <c r="A1663">
        <v>1747750</v>
      </c>
      <c r="B1663">
        <v>29</v>
      </c>
      <c r="C1663" t="str" cm="1">
        <f t="array" ref="C1663">_xlfn.IFS(B1663&lt;=25,"15-25",B1663&lt;=35,"26-35",B1663&lt;=45,"36-45",B1663&lt;=55,"46-55",B1663&lt;=65,"56-65")</f>
        <v>26-35</v>
      </c>
      <c r="D1663" t="s">
        <v>43</v>
      </c>
      <c r="E1663" t="str">
        <f t="shared" si="50"/>
        <v>Former Employee</v>
      </c>
      <c r="F1663" t="s">
        <v>36</v>
      </c>
      <c r="G1663">
        <v>942</v>
      </c>
      <c r="H1663" t="s">
        <v>45</v>
      </c>
      <c r="I1663">
        <v>15</v>
      </c>
      <c r="J1663">
        <v>1</v>
      </c>
      <c r="K1663" t="s">
        <v>38</v>
      </c>
      <c r="L1663">
        <v>1</v>
      </c>
      <c r="M1663">
        <v>2</v>
      </c>
      <c r="N1663" t="s">
        <v>39</v>
      </c>
      <c r="O1663">
        <v>69</v>
      </c>
      <c r="P1663">
        <v>1</v>
      </c>
      <c r="Q1663">
        <v>1</v>
      </c>
      <c r="R1663" t="s">
        <v>40</v>
      </c>
      <c r="S1663">
        <v>4</v>
      </c>
      <c r="T1663" t="str" cm="1">
        <f t="array" ref="T1663">_xlfn.IFS(S1663&lt;=2,"Poor",S1663&lt;=3,"Fair",S1663&gt;=4,"Good")</f>
        <v>Good</v>
      </c>
      <c r="U1663" t="s">
        <v>48</v>
      </c>
      <c r="V1663" s="1">
        <v>2168</v>
      </c>
      <c r="W1663" t="str" cm="1">
        <f t="array" ref="W1663">_xlfn.IFS(V1663&lt;=5000,"Low Salary",V1663&lt;=12000,"Good Salary",V1663&gt;12000,"High Salary")</f>
        <v>Low Salary</v>
      </c>
      <c r="X1663">
        <v>26933</v>
      </c>
      <c r="Y1663">
        <v>0</v>
      </c>
      <c r="Z1663" t="s">
        <v>42</v>
      </c>
      <c r="AA1663" t="s">
        <v>43</v>
      </c>
      <c r="AB1663">
        <v>18</v>
      </c>
      <c r="AC1663">
        <v>3</v>
      </c>
      <c r="AD1663" t="str">
        <f t="shared" si="51"/>
        <v>Low Performance</v>
      </c>
      <c r="AE1663">
        <v>1</v>
      </c>
      <c r="AF1663">
        <v>80</v>
      </c>
      <c r="AG1663">
        <v>1</v>
      </c>
      <c r="AH1663">
        <v>6</v>
      </c>
      <c r="AI1663">
        <v>2</v>
      </c>
      <c r="AJ1663">
        <v>2</v>
      </c>
      <c r="AK1663" t="str" cm="1">
        <f t="array" ref="AK1663">_xlfn.IFS(AJ1663&lt;=2,"Poor",AJ1663&lt;=3,"Fair",AJ1663&gt;3,"Good")</f>
        <v>Poor</v>
      </c>
      <c r="AL1663">
        <v>5</v>
      </c>
      <c r="AM1663">
        <v>4</v>
      </c>
      <c r="AN1663">
        <v>1</v>
      </c>
      <c r="AO1663">
        <v>3</v>
      </c>
    </row>
    <row r="1664" spans="1:41" x14ac:dyDescent="0.2">
      <c r="A1664">
        <v>1341748</v>
      </c>
      <c r="B1664">
        <v>26</v>
      </c>
      <c r="C1664" t="str" cm="1">
        <f t="array" ref="C1664">_xlfn.IFS(B1664&lt;=25,"15-25",B1664&lt;=35,"26-35",B1664&lt;=45,"36-45",B1664&lt;=55,"46-55",B1664&lt;=65,"56-65")</f>
        <v>26-35</v>
      </c>
      <c r="D1664" t="s">
        <v>43</v>
      </c>
      <c r="E1664" t="str">
        <f t="shared" si="50"/>
        <v>Former Employee</v>
      </c>
      <c r="F1664" t="s">
        <v>44</v>
      </c>
      <c r="G1664">
        <v>426</v>
      </c>
      <c r="H1664" t="s">
        <v>54</v>
      </c>
      <c r="I1664">
        <v>17</v>
      </c>
      <c r="J1664">
        <v>4</v>
      </c>
      <c r="K1664" t="s">
        <v>38</v>
      </c>
      <c r="L1664">
        <v>1</v>
      </c>
      <c r="M1664">
        <v>2</v>
      </c>
      <c r="N1664" t="s">
        <v>39</v>
      </c>
      <c r="O1664">
        <v>58</v>
      </c>
      <c r="P1664">
        <v>3</v>
      </c>
      <c r="Q1664">
        <v>1</v>
      </c>
      <c r="R1664" t="s">
        <v>47</v>
      </c>
      <c r="S1664">
        <v>3</v>
      </c>
      <c r="T1664" t="str" cm="1">
        <f t="array" ref="T1664">_xlfn.IFS(S1664&lt;=2,"Poor",S1664&lt;=3,"Fair",S1664&gt;=4,"Good")</f>
        <v>Fair</v>
      </c>
      <c r="U1664" t="s">
        <v>50</v>
      </c>
      <c r="V1664" s="1">
        <v>2741</v>
      </c>
      <c r="W1664" t="str" cm="1">
        <f t="array" ref="W1664">_xlfn.IFS(V1664&lt;=5000,"Low Salary",V1664&lt;=12000,"Good Salary",V1664&gt;12000,"High Salary")</f>
        <v>Low Salary</v>
      </c>
      <c r="X1664">
        <v>22808</v>
      </c>
      <c r="Y1664">
        <v>0</v>
      </c>
      <c r="Z1664" t="s">
        <v>42</v>
      </c>
      <c r="AA1664" t="s">
        <v>43</v>
      </c>
      <c r="AB1664">
        <v>11</v>
      </c>
      <c r="AC1664">
        <v>3</v>
      </c>
      <c r="AD1664" t="str">
        <f t="shared" si="51"/>
        <v>Low Performance</v>
      </c>
      <c r="AE1664">
        <v>2</v>
      </c>
      <c r="AF1664">
        <v>80</v>
      </c>
      <c r="AG1664">
        <v>1</v>
      </c>
      <c r="AH1664">
        <v>8</v>
      </c>
      <c r="AI1664">
        <v>2</v>
      </c>
      <c r="AJ1664">
        <v>2</v>
      </c>
      <c r="AK1664" t="str" cm="1">
        <f t="array" ref="AK1664">_xlfn.IFS(AJ1664&lt;=2,"Poor",AJ1664&lt;=3,"Fair",AJ1664&gt;3,"Good")</f>
        <v>Poor</v>
      </c>
      <c r="AL1664">
        <v>7</v>
      </c>
      <c r="AM1664">
        <v>7</v>
      </c>
      <c r="AN1664">
        <v>1</v>
      </c>
      <c r="AO1664">
        <v>0</v>
      </c>
    </row>
    <row r="1665" spans="1:41" x14ac:dyDescent="0.2">
      <c r="A1665">
        <v>1415325</v>
      </c>
      <c r="B1665">
        <v>23</v>
      </c>
      <c r="C1665" t="str" cm="1">
        <f t="array" ref="C1665">_xlfn.IFS(B1665&lt;=25,"15-25",B1665&lt;=35,"26-35",B1665&lt;=45,"36-45",B1665&lt;=55,"46-55",B1665&lt;=65,"56-65")</f>
        <v>15-25</v>
      </c>
      <c r="D1665" t="s">
        <v>43</v>
      </c>
      <c r="E1665" t="str">
        <f t="shared" si="50"/>
        <v>Former Employee</v>
      </c>
      <c r="F1665" t="s">
        <v>36</v>
      </c>
      <c r="G1665">
        <v>1243</v>
      </c>
      <c r="H1665" t="s">
        <v>54</v>
      </c>
      <c r="I1665">
        <v>6</v>
      </c>
      <c r="J1665">
        <v>3</v>
      </c>
      <c r="K1665" t="s">
        <v>38</v>
      </c>
      <c r="L1665">
        <v>1</v>
      </c>
      <c r="M1665">
        <v>3</v>
      </c>
      <c r="N1665" t="s">
        <v>46</v>
      </c>
      <c r="O1665">
        <v>63</v>
      </c>
      <c r="P1665">
        <v>4</v>
      </c>
      <c r="Q1665">
        <v>1</v>
      </c>
      <c r="R1665" t="s">
        <v>40</v>
      </c>
      <c r="S1665">
        <v>1</v>
      </c>
      <c r="T1665" t="str" cm="1">
        <f t="array" ref="T1665">_xlfn.IFS(S1665&lt;=2,"Poor",S1665&lt;=3,"Fair",S1665&gt;=4,"Good")</f>
        <v>Poor</v>
      </c>
      <c r="U1665" t="s">
        <v>48</v>
      </c>
      <c r="V1665" s="1">
        <v>1601</v>
      </c>
      <c r="W1665" t="str" cm="1">
        <f t="array" ref="W1665">_xlfn.IFS(V1665&lt;=5000,"Low Salary",V1665&lt;=12000,"Good Salary",V1665&gt;12000,"High Salary")</f>
        <v>Low Salary</v>
      </c>
      <c r="X1665">
        <v>3445</v>
      </c>
      <c r="Y1665">
        <v>1</v>
      </c>
      <c r="Z1665" t="s">
        <v>42</v>
      </c>
      <c r="AA1665" t="s">
        <v>43</v>
      </c>
      <c r="AB1665">
        <v>21</v>
      </c>
      <c r="AC1665">
        <v>4</v>
      </c>
      <c r="AD1665" t="str">
        <f t="shared" si="51"/>
        <v>High Performance</v>
      </c>
      <c r="AE1665">
        <v>3</v>
      </c>
      <c r="AF1665">
        <v>80</v>
      </c>
      <c r="AG1665">
        <v>2</v>
      </c>
      <c r="AH1665">
        <v>1</v>
      </c>
      <c r="AI1665">
        <v>2</v>
      </c>
      <c r="AJ1665">
        <v>3</v>
      </c>
      <c r="AK1665" t="str" cm="1">
        <f t="array" ref="AK1665">_xlfn.IFS(AJ1665&lt;=2,"Poor",AJ1665&lt;=3,"Fair",AJ1665&gt;3,"Good")</f>
        <v>Fair</v>
      </c>
      <c r="AL1665">
        <v>0</v>
      </c>
      <c r="AM1665">
        <v>0</v>
      </c>
      <c r="AN1665">
        <v>0</v>
      </c>
      <c r="AO1665">
        <v>0</v>
      </c>
    </row>
    <row r="1666" spans="1:41" x14ac:dyDescent="0.2">
      <c r="A1666">
        <v>1663404</v>
      </c>
      <c r="B1666">
        <v>34</v>
      </c>
      <c r="C1666" t="str" cm="1">
        <f t="array" ref="C1666">_xlfn.IFS(B1666&lt;=25,"15-25",B1666&lt;=35,"26-35",B1666&lt;=45,"36-45",B1666&lt;=55,"46-55",B1666&lt;=65,"56-65")</f>
        <v>26-35</v>
      </c>
      <c r="D1666" t="s">
        <v>43</v>
      </c>
      <c r="E1666" t="str">
        <f t="shared" si="50"/>
        <v>Former Employee</v>
      </c>
      <c r="F1666" t="s">
        <v>36</v>
      </c>
      <c r="G1666">
        <v>790</v>
      </c>
      <c r="H1666" t="s">
        <v>37</v>
      </c>
      <c r="I1666">
        <v>24</v>
      </c>
      <c r="J1666">
        <v>4</v>
      </c>
      <c r="K1666" t="s">
        <v>49</v>
      </c>
      <c r="L1666">
        <v>1</v>
      </c>
      <c r="M1666">
        <v>1</v>
      </c>
      <c r="N1666" t="s">
        <v>39</v>
      </c>
      <c r="O1666">
        <v>40</v>
      </c>
      <c r="P1666">
        <v>2</v>
      </c>
      <c r="Q1666">
        <v>2</v>
      </c>
      <c r="R1666" t="s">
        <v>40</v>
      </c>
      <c r="S1666">
        <v>2</v>
      </c>
      <c r="T1666" t="str" cm="1">
        <f t="array" ref="T1666">_xlfn.IFS(S1666&lt;=2,"Poor",S1666&lt;=3,"Fair",S1666&gt;=4,"Good")</f>
        <v>Poor</v>
      </c>
      <c r="U1666" t="s">
        <v>41</v>
      </c>
      <c r="V1666" s="1">
        <v>4599</v>
      </c>
      <c r="W1666" t="str" cm="1">
        <f t="array" ref="W1666">_xlfn.IFS(V1666&lt;=5000,"Low Salary",V1666&lt;=12000,"Good Salary",V1666&gt;12000,"High Salary")</f>
        <v>Low Salary</v>
      </c>
      <c r="X1666">
        <v>7815</v>
      </c>
      <c r="Y1666">
        <v>0</v>
      </c>
      <c r="Z1666" t="s">
        <v>42</v>
      </c>
      <c r="AA1666" t="s">
        <v>43</v>
      </c>
      <c r="AB1666">
        <v>23</v>
      </c>
      <c r="AC1666">
        <v>4</v>
      </c>
      <c r="AD1666" t="str">
        <f t="shared" si="51"/>
        <v>High Performance</v>
      </c>
      <c r="AE1666">
        <v>3</v>
      </c>
      <c r="AF1666">
        <v>80</v>
      </c>
      <c r="AG1666">
        <v>0</v>
      </c>
      <c r="AH1666">
        <v>16</v>
      </c>
      <c r="AI1666">
        <v>2</v>
      </c>
      <c r="AJ1666">
        <v>4</v>
      </c>
      <c r="AK1666" t="str" cm="1">
        <f t="array" ref="AK1666">_xlfn.IFS(AJ1666&lt;=2,"Poor",AJ1666&lt;=3,"Fair",AJ1666&gt;3,"Good")</f>
        <v>Good</v>
      </c>
      <c r="AL1666">
        <v>15</v>
      </c>
      <c r="AM1666">
        <v>9</v>
      </c>
      <c r="AN1666">
        <v>10</v>
      </c>
      <c r="AO1666">
        <v>10</v>
      </c>
    </row>
    <row r="1667" spans="1:41" x14ac:dyDescent="0.2">
      <c r="A1667">
        <v>1549806</v>
      </c>
      <c r="B1667">
        <v>21</v>
      </c>
      <c r="C1667" t="str" cm="1">
        <f t="array" ref="C1667">_xlfn.IFS(B1667&lt;=25,"15-25",B1667&lt;=35,"26-35",B1667&lt;=45,"36-45",B1667&lt;=55,"46-55",B1667&lt;=65,"56-65")</f>
        <v>15-25</v>
      </c>
      <c r="D1667" t="s">
        <v>43</v>
      </c>
      <c r="E1667" t="str">
        <f t="shared" ref="E1667:E1677" si="52">IF(D1667="No","Current Employee","Former Employee")</f>
        <v>Former Employee</v>
      </c>
      <c r="F1667" t="s">
        <v>44</v>
      </c>
      <c r="G1667">
        <v>251</v>
      </c>
      <c r="H1667" t="s">
        <v>54</v>
      </c>
      <c r="I1667">
        <v>10</v>
      </c>
      <c r="J1667">
        <v>2</v>
      </c>
      <c r="K1667" t="s">
        <v>38</v>
      </c>
      <c r="L1667">
        <v>1</v>
      </c>
      <c r="M1667">
        <v>1</v>
      </c>
      <c r="N1667" t="s">
        <v>39</v>
      </c>
      <c r="O1667">
        <v>45</v>
      </c>
      <c r="P1667">
        <v>2</v>
      </c>
      <c r="Q1667">
        <v>1</v>
      </c>
      <c r="R1667" t="s">
        <v>40</v>
      </c>
      <c r="S1667">
        <v>3</v>
      </c>
      <c r="T1667" t="str" cm="1">
        <f t="array" ref="T1667">_xlfn.IFS(S1667&lt;=2,"Poor",S1667&lt;=3,"Fair",S1667&gt;=4,"Good")</f>
        <v>Fair</v>
      </c>
      <c r="U1667" t="s">
        <v>41</v>
      </c>
      <c r="V1667" s="1">
        <v>2625</v>
      </c>
      <c r="W1667" t="str" cm="1">
        <f t="array" ref="W1667">_xlfn.IFS(V1667&lt;=5000,"Low Salary",V1667&lt;=12000,"Good Salary",V1667&gt;12000,"High Salary")</f>
        <v>Low Salary</v>
      </c>
      <c r="X1667">
        <v>25308</v>
      </c>
      <c r="Y1667">
        <v>1</v>
      </c>
      <c r="Z1667" t="s">
        <v>42</v>
      </c>
      <c r="AA1667" t="s">
        <v>35</v>
      </c>
      <c r="AB1667">
        <v>20</v>
      </c>
      <c r="AC1667">
        <v>4</v>
      </c>
      <c r="AD1667" t="str">
        <f t="shared" ref="AD1667:AD1677" si="53">IF(AC1667&lt;=3,"Low Performance","High Performance")</f>
        <v>High Performance</v>
      </c>
      <c r="AE1667">
        <v>3</v>
      </c>
      <c r="AF1667">
        <v>80</v>
      </c>
      <c r="AG1667">
        <v>0</v>
      </c>
      <c r="AH1667">
        <v>2</v>
      </c>
      <c r="AI1667">
        <v>2</v>
      </c>
      <c r="AJ1667">
        <v>1</v>
      </c>
      <c r="AK1667" t="str" cm="1">
        <f t="array" ref="AK1667">_xlfn.IFS(AJ1667&lt;=2,"Poor",AJ1667&lt;=3,"Fair",AJ1667&gt;3,"Good")</f>
        <v>Poor</v>
      </c>
      <c r="AL1667">
        <v>2</v>
      </c>
      <c r="AM1667">
        <v>2</v>
      </c>
      <c r="AN1667">
        <v>2</v>
      </c>
      <c r="AO1667">
        <v>2</v>
      </c>
    </row>
    <row r="1668" spans="1:41" x14ac:dyDescent="0.2">
      <c r="A1668">
        <v>1874133</v>
      </c>
      <c r="B1668">
        <v>31</v>
      </c>
      <c r="C1668" t="str" cm="1">
        <f t="array" ref="C1668">_xlfn.IFS(B1668&lt;=25,"15-25",B1668&lt;=35,"26-35",B1668&lt;=45,"36-45",B1668&lt;=55,"46-55",B1668&lt;=65,"56-65")</f>
        <v>26-35</v>
      </c>
      <c r="D1668" t="s">
        <v>43</v>
      </c>
      <c r="E1668" t="str">
        <f t="shared" si="52"/>
        <v>Former Employee</v>
      </c>
      <c r="F1668" t="s">
        <v>36</v>
      </c>
      <c r="G1668">
        <v>1276</v>
      </c>
      <c r="H1668" t="s">
        <v>54</v>
      </c>
      <c r="I1668">
        <v>2</v>
      </c>
      <c r="J1668">
        <v>1</v>
      </c>
      <c r="K1668" t="s">
        <v>49</v>
      </c>
      <c r="L1668">
        <v>1</v>
      </c>
      <c r="M1668">
        <v>4</v>
      </c>
      <c r="N1668" t="s">
        <v>39</v>
      </c>
      <c r="O1668">
        <v>59</v>
      </c>
      <c r="P1668">
        <v>1</v>
      </c>
      <c r="Q1668">
        <v>1</v>
      </c>
      <c r="R1668" t="s">
        <v>40</v>
      </c>
      <c r="S1668">
        <v>4</v>
      </c>
      <c r="T1668" t="str" cm="1">
        <f t="array" ref="T1668">_xlfn.IFS(S1668&lt;=2,"Poor",S1668&lt;=3,"Fair",S1668&gt;=4,"Good")</f>
        <v>Good</v>
      </c>
      <c r="U1668" t="s">
        <v>50</v>
      </c>
      <c r="V1668" s="1">
        <v>1129</v>
      </c>
      <c r="W1668" t="str" cm="1">
        <f t="array" ref="W1668">_xlfn.IFS(V1668&lt;=5000,"Low Salary",V1668&lt;=12000,"Good Salary",V1668&gt;12000,"High Salary")</f>
        <v>Low Salary</v>
      </c>
      <c r="X1668">
        <v>17536</v>
      </c>
      <c r="Y1668">
        <v>1</v>
      </c>
      <c r="Z1668" t="s">
        <v>42</v>
      </c>
      <c r="AA1668" t="s">
        <v>43</v>
      </c>
      <c r="AB1668">
        <v>11</v>
      </c>
      <c r="AC1668">
        <v>3</v>
      </c>
      <c r="AD1668" t="str">
        <f t="shared" si="53"/>
        <v>Low Performance</v>
      </c>
      <c r="AE1668">
        <v>3</v>
      </c>
      <c r="AF1668">
        <v>80</v>
      </c>
      <c r="AG1668">
        <v>3</v>
      </c>
      <c r="AH1668">
        <v>1</v>
      </c>
      <c r="AI1668">
        <v>4</v>
      </c>
      <c r="AJ1668">
        <v>3</v>
      </c>
      <c r="AK1668" t="str" cm="1">
        <f t="array" ref="AK1668">_xlfn.IFS(AJ1668&lt;=2,"Poor",AJ1668&lt;=3,"Fair",AJ1668&gt;3,"Good")</f>
        <v>Fair</v>
      </c>
      <c r="AL1668">
        <v>1</v>
      </c>
      <c r="AM1668">
        <v>0</v>
      </c>
      <c r="AN1668">
        <v>0</v>
      </c>
      <c r="AO1668">
        <v>0</v>
      </c>
    </row>
    <row r="1669" spans="1:41" x14ac:dyDescent="0.2">
      <c r="A1669">
        <v>1175959</v>
      </c>
      <c r="B1669">
        <v>28</v>
      </c>
      <c r="C1669" t="str" cm="1">
        <f t="array" ref="C1669">_xlfn.IFS(B1669&lt;=25,"15-25",B1669&lt;=35,"26-35",B1669&lt;=45,"36-45",B1669&lt;=55,"46-55",B1669&lt;=65,"56-65")</f>
        <v>26-35</v>
      </c>
      <c r="D1669" t="s">
        <v>43</v>
      </c>
      <c r="E1669" t="str">
        <f t="shared" si="52"/>
        <v>Former Employee</v>
      </c>
      <c r="F1669" t="s">
        <v>36</v>
      </c>
      <c r="G1669">
        <v>329</v>
      </c>
      <c r="H1669" t="s">
        <v>54</v>
      </c>
      <c r="I1669">
        <v>24</v>
      </c>
      <c r="J1669">
        <v>3</v>
      </c>
      <c r="K1669" t="s">
        <v>49</v>
      </c>
      <c r="L1669">
        <v>1</v>
      </c>
      <c r="M1669">
        <v>3</v>
      </c>
      <c r="N1669" t="s">
        <v>46</v>
      </c>
      <c r="O1669">
        <v>51</v>
      </c>
      <c r="P1669">
        <v>3</v>
      </c>
      <c r="Q1669">
        <v>1</v>
      </c>
      <c r="R1669" t="s">
        <v>40</v>
      </c>
      <c r="S1669">
        <v>2</v>
      </c>
      <c r="T1669" t="str" cm="1">
        <f t="array" ref="T1669">_xlfn.IFS(S1669&lt;=2,"Poor",S1669&lt;=3,"Fair",S1669&gt;=4,"Good")</f>
        <v>Poor</v>
      </c>
      <c r="U1669" t="s">
        <v>48</v>
      </c>
      <c r="V1669" s="1">
        <v>2408</v>
      </c>
      <c r="W1669" t="str" cm="1">
        <f t="array" ref="W1669">_xlfn.IFS(V1669&lt;=5000,"Low Salary",V1669&lt;=12000,"Good Salary",V1669&gt;12000,"High Salary")</f>
        <v>Low Salary</v>
      </c>
      <c r="X1669">
        <v>7324</v>
      </c>
      <c r="Y1669">
        <v>1</v>
      </c>
      <c r="Z1669" t="s">
        <v>42</v>
      </c>
      <c r="AA1669" t="s">
        <v>43</v>
      </c>
      <c r="AB1669">
        <v>17</v>
      </c>
      <c r="AC1669">
        <v>3</v>
      </c>
      <c r="AD1669" t="str">
        <f t="shared" si="53"/>
        <v>Low Performance</v>
      </c>
      <c r="AE1669">
        <v>3</v>
      </c>
      <c r="AF1669">
        <v>80</v>
      </c>
      <c r="AG1669">
        <v>3</v>
      </c>
      <c r="AH1669">
        <v>1</v>
      </c>
      <c r="AI1669">
        <v>3</v>
      </c>
      <c r="AJ1669">
        <v>3</v>
      </c>
      <c r="AK1669" t="str" cm="1">
        <f t="array" ref="AK1669">_xlfn.IFS(AJ1669&lt;=2,"Poor",AJ1669&lt;=3,"Fair",AJ1669&gt;3,"Good")</f>
        <v>Fair</v>
      </c>
      <c r="AL1669">
        <v>1</v>
      </c>
      <c r="AM1669">
        <v>1</v>
      </c>
      <c r="AN1669">
        <v>0</v>
      </c>
      <c r="AO1669">
        <v>0</v>
      </c>
    </row>
    <row r="1670" spans="1:41" x14ac:dyDescent="0.2">
      <c r="A1670">
        <v>1655666</v>
      </c>
      <c r="B1670">
        <v>20</v>
      </c>
      <c r="C1670" t="str" cm="1">
        <f t="array" ref="C1670">_xlfn.IFS(B1670&lt;=25,"15-25",B1670&lt;=35,"26-35",B1670&lt;=45,"36-45",B1670&lt;=55,"46-55",B1670&lt;=65,"56-65")</f>
        <v>15-25</v>
      </c>
      <c r="D1670" t="s">
        <v>43</v>
      </c>
      <c r="E1670" t="str">
        <f t="shared" si="52"/>
        <v>Former Employee</v>
      </c>
      <c r="F1670" t="s">
        <v>44</v>
      </c>
      <c r="G1670">
        <v>871</v>
      </c>
      <c r="H1670" t="s">
        <v>54</v>
      </c>
      <c r="I1670">
        <v>6</v>
      </c>
      <c r="J1670">
        <v>3</v>
      </c>
      <c r="K1670" t="s">
        <v>38</v>
      </c>
      <c r="L1670">
        <v>1</v>
      </c>
      <c r="M1670">
        <v>4</v>
      </c>
      <c r="N1670" t="s">
        <v>39</v>
      </c>
      <c r="O1670">
        <v>66</v>
      </c>
      <c r="P1670">
        <v>2</v>
      </c>
      <c r="Q1670">
        <v>1</v>
      </c>
      <c r="R1670" t="s">
        <v>40</v>
      </c>
      <c r="S1670">
        <v>4</v>
      </c>
      <c r="T1670" t="str" cm="1">
        <f t="array" ref="T1670">_xlfn.IFS(S1670&lt;=2,"Poor",S1670&lt;=3,"Fair",S1670&gt;=4,"Good")</f>
        <v>Good</v>
      </c>
      <c r="U1670" t="s">
        <v>41</v>
      </c>
      <c r="V1670" s="1">
        <v>2926</v>
      </c>
      <c r="W1670" t="str" cm="1">
        <f t="array" ref="W1670">_xlfn.IFS(V1670&lt;=5000,"Low Salary",V1670&lt;=12000,"Good Salary",V1670&gt;12000,"High Salary")</f>
        <v>Low Salary</v>
      </c>
      <c r="X1670">
        <v>19783</v>
      </c>
      <c r="Y1670">
        <v>1</v>
      </c>
      <c r="Z1670" t="s">
        <v>42</v>
      </c>
      <c r="AA1670" t="s">
        <v>43</v>
      </c>
      <c r="AB1670">
        <v>18</v>
      </c>
      <c r="AC1670">
        <v>3</v>
      </c>
      <c r="AD1670" t="str">
        <f t="shared" si="53"/>
        <v>Low Performance</v>
      </c>
      <c r="AE1670">
        <v>2</v>
      </c>
      <c r="AF1670">
        <v>80</v>
      </c>
      <c r="AG1670">
        <v>0</v>
      </c>
      <c r="AH1670">
        <v>1</v>
      </c>
      <c r="AI1670">
        <v>5</v>
      </c>
      <c r="AJ1670">
        <v>3</v>
      </c>
      <c r="AK1670" t="str" cm="1">
        <f t="array" ref="AK1670">_xlfn.IFS(AJ1670&lt;=2,"Poor",AJ1670&lt;=3,"Fair",AJ1670&gt;3,"Good")</f>
        <v>Fair</v>
      </c>
      <c r="AL1670">
        <v>1</v>
      </c>
      <c r="AM1670">
        <v>0</v>
      </c>
      <c r="AN1670">
        <v>1</v>
      </c>
      <c r="AO1670">
        <v>0</v>
      </c>
    </row>
    <row r="1671" spans="1:41" x14ac:dyDescent="0.2">
      <c r="A1671">
        <v>1602218</v>
      </c>
      <c r="B1671">
        <v>33</v>
      </c>
      <c r="C1671" t="str" cm="1">
        <f t="array" ref="C1671">_xlfn.IFS(B1671&lt;=25,"15-25",B1671&lt;=35,"26-35",B1671&lt;=45,"36-45",B1671&lt;=55,"46-55",B1671&lt;=65,"56-65")</f>
        <v>26-35</v>
      </c>
      <c r="D1671" t="s">
        <v>43</v>
      </c>
      <c r="E1671" t="str">
        <f t="shared" si="52"/>
        <v>Former Employee</v>
      </c>
      <c r="F1671" t="s">
        <v>36</v>
      </c>
      <c r="G1671">
        <v>1017</v>
      </c>
      <c r="H1671" t="s">
        <v>45</v>
      </c>
      <c r="I1671">
        <v>25</v>
      </c>
      <c r="J1671">
        <v>3</v>
      </c>
      <c r="K1671" t="s">
        <v>49</v>
      </c>
      <c r="L1671">
        <v>1</v>
      </c>
      <c r="M1671">
        <v>1</v>
      </c>
      <c r="N1671" t="s">
        <v>46</v>
      </c>
      <c r="O1671">
        <v>55</v>
      </c>
      <c r="P1671">
        <v>2</v>
      </c>
      <c r="Q1671">
        <v>1</v>
      </c>
      <c r="R1671" t="s">
        <v>40</v>
      </c>
      <c r="S1671">
        <v>2</v>
      </c>
      <c r="T1671" t="str" cm="1">
        <f t="array" ref="T1671">_xlfn.IFS(S1671&lt;=2,"Poor",S1671&lt;=3,"Fair",S1671&gt;=4,"Good")</f>
        <v>Poor</v>
      </c>
      <c r="U1671" t="s">
        <v>41</v>
      </c>
      <c r="V1671" s="1">
        <v>2313</v>
      </c>
      <c r="W1671" t="str" cm="1">
        <f t="array" ref="W1671">_xlfn.IFS(V1671&lt;=5000,"Low Salary",V1671&lt;=12000,"Good Salary",V1671&gt;12000,"High Salary")</f>
        <v>Low Salary</v>
      </c>
      <c r="X1671">
        <v>2993</v>
      </c>
      <c r="Y1671">
        <v>4</v>
      </c>
      <c r="Z1671" t="s">
        <v>42</v>
      </c>
      <c r="AA1671" t="s">
        <v>43</v>
      </c>
      <c r="AB1671">
        <v>20</v>
      </c>
      <c r="AC1671">
        <v>4</v>
      </c>
      <c r="AD1671" t="str">
        <f t="shared" si="53"/>
        <v>High Performance</v>
      </c>
      <c r="AE1671">
        <v>2</v>
      </c>
      <c r="AF1671">
        <v>80</v>
      </c>
      <c r="AG1671">
        <v>0</v>
      </c>
      <c r="AH1671">
        <v>5</v>
      </c>
      <c r="AI1671">
        <v>0</v>
      </c>
      <c r="AJ1671">
        <v>3</v>
      </c>
      <c r="AK1671" t="str" cm="1">
        <f t="array" ref="AK1671">_xlfn.IFS(AJ1671&lt;=2,"Poor",AJ1671&lt;=3,"Fair",AJ1671&gt;3,"Good")</f>
        <v>Fair</v>
      </c>
      <c r="AL1671">
        <v>2</v>
      </c>
      <c r="AM1671">
        <v>2</v>
      </c>
      <c r="AN1671">
        <v>2</v>
      </c>
      <c r="AO1671">
        <v>2</v>
      </c>
    </row>
    <row r="1672" spans="1:41" x14ac:dyDescent="0.2">
      <c r="A1672">
        <v>1336016</v>
      </c>
      <c r="B1672">
        <v>28</v>
      </c>
      <c r="C1672" t="str" cm="1">
        <f t="array" ref="C1672">_xlfn.IFS(B1672&lt;=25,"15-25",B1672&lt;=35,"26-35",B1672&lt;=45,"36-45",B1672&lt;=55,"46-55",B1672&lt;=65,"56-65")</f>
        <v>26-35</v>
      </c>
      <c r="D1672" t="s">
        <v>43</v>
      </c>
      <c r="E1672" t="str">
        <f t="shared" si="52"/>
        <v>Former Employee</v>
      </c>
      <c r="F1672" t="s">
        <v>36</v>
      </c>
      <c r="G1672">
        <v>654</v>
      </c>
      <c r="H1672" t="s">
        <v>45</v>
      </c>
      <c r="I1672">
        <v>1</v>
      </c>
      <c r="J1672">
        <v>2</v>
      </c>
      <c r="K1672" t="s">
        <v>38</v>
      </c>
      <c r="L1672">
        <v>1</v>
      </c>
      <c r="M1672">
        <v>1</v>
      </c>
      <c r="N1672" t="s">
        <v>39</v>
      </c>
      <c r="O1672">
        <v>67</v>
      </c>
      <c r="P1672">
        <v>1</v>
      </c>
      <c r="Q1672">
        <v>1</v>
      </c>
      <c r="R1672" t="s">
        <v>40</v>
      </c>
      <c r="S1672">
        <v>2</v>
      </c>
      <c r="T1672" t="str" cm="1">
        <f t="array" ref="T1672">_xlfn.IFS(S1672&lt;=2,"Poor",S1672&lt;=3,"Fair",S1672&gt;=4,"Good")</f>
        <v>Poor</v>
      </c>
      <c r="U1672" t="s">
        <v>41</v>
      </c>
      <c r="V1672" s="1">
        <v>2216</v>
      </c>
      <c r="W1672" t="str" cm="1">
        <f t="array" ref="W1672">_xlfn.IFS(V1672&lt;=5000,"Low Salary",V1672&lt;=12000,"Good Salary",V1672&gt;12000,"High Salary")</f>
        <v>Low Salary</v>
      </c>
      <c r="X1672">
        <v>3872</v>
      </c>
      <c r="Y1672">
        <v>7</v>
      </c>
      <c r="Z1672" t="s">
        <v>42</v>
      </c>
      <c r="AA1672" t="s">
        <v>43</v>
      </c>
      <c r="AB1672">
        <v>13</v>
      </c>
      <c r="AC1672">
        <v>3</v>
      </c>
      <c r="AD1672" t="str">
        <f t="shared" si="53"/>
        <v>Low Performance</v>
      </c>
      <c r="AE1672">
        <v>4</v>
      </c>
      <c r="AF1672">
        <v>80</v>
      </c>
      <c r="AG1672">
        <v>0</v>
      </c>
      <c r="AH1672">
        <v>10</v>
      </c>
      <c r="AI1672">
        <v>4</v>
      </c>
      <c r="AJ1672">
        <v>3</v>
      </c>
      <c r="AK1672" t="str" cm="1">
        <f t="array" ref="AK1672">_xlfn.IFS(AJ1672&lt;=2,"Poor",AJ1672&lt;=3,"Fair",AJ1672&gt;3,"Good")</f>
        <v>Fair</v>
      </c>
      <c r="AL1672">
        <v>7</v>
      </c>
      <c r="AM1672">
        <v>7</v>
      </c>
      <c r="AN1672">
        <v>3</v>
      </c>
      <c r="AO1672">
        <v>7</v>
      </c>
    </row>
    <row r="1673" spans="1:41" x14ac:dyDescent="0.2">
      <c r="A1673">
        <v>1117656</v>
      </c>
      <c r="B1673">
        <v>26</v>
      </c>
      <c r="C1673" t="str" cm="1">
        <f t="array" ref="C1673">_xlfn.IFS(B1673&lt;=25,"15-25",B1673&lt;=35,"26-35",B1673&lt;=45,"36-45",B1673&lt;=55,"46-55",B1673&lt;=65,"56-65")</f>
        <v>26-35</v>
      </c>
      <c r="D1673" t="s">
        <v>43</v>
      </c>
      <c r="E1673" t="str">
        <f t="shared" si="52"/>
        <v>Former Employee</v>
      </c>
      <c r="F1673" t="s">
        <v>36</v>
      </c>
      <c r="G1673">
        <v>471</v>
      </c>
      <c r="H1673" t="s">
        <v>54</v>
      </c>
      <c r="I1673">
        <v>24</v>
      </c>
      <c r="J1673">
        <v>3</v>
      </c>
      <c r="K1673" t="s">
        <v>56</v>
      </c>
      <c r="L1673">
        <v>1</v>
      </c>
      <c r="M1673">
        <v>3</v>
      </c>
      <c r="N1673" t="s">
        <v>46</v>
      </c>
      <c r="O1673">
        <v>66</v>
      </c>
      <c r="P1673">
        <v>1</v>
      </c>
      <c r="Q1673">
        <v>1</v>
      </c>
      <c r="R1673" t="s">
        <v>40</v>
      </c>
      <c r="S1673">
        <v>4</v>
      </c>
      <c r="T1673" t="str" cm="1">
        <f t="array" ref="T1673">_xlfn.IFS(S1673&lt;=2,"Poor",S1673&lt;=3,"Fair",S1673&gt;=4,"Good")</f>
        <v>Good</v>
      </c>
      <c r="U1673" t="s">
        <v>41</v>
      </c>
      <c r="V1673" s="1">
        <v>2340</v>
      </c>
      <c r="W1673" t="str" cm="1">
        <f t="array" ref="W1673">_xlfn.IFS(V1673&lt;=5000,"Low Salary",V1673&lt;=12000,"Good Salary",V1673&gt;12000,"High Salary")</f>
        <v>Low Salary</v>
      </c>
      <c r="X1673">
        <v>23213</v>
      </c>
      <c r="Y1673">
        <v>1</v>
      </c>
      <c r="Z1673" t="s">
        <v>42</v>
      </c>
      <c r="AA1673" t="s">
        <v>43</v>
      </c>
      <c r="AB1673">
        <v>18</v>
      </c>
      <c r="AC1673">
        <v>3</v>
      </c>
      <c r="AD1673" t="str">
        <f t="shared" si="53"/>
        <v>Low Performance</v>
      </c>
      <c r="AE1673">
        <v>2</v>
      </c>
      <c r="AF1673">
        <v>80</v>
      </c>
      <c r="AG1673">
        <v>0</v>
      </c>
      <c r="AH1673">
        <v>1</v>
      </c>
      <c r="AI1673">
        <v>3</v>
      </c>
      <c r="AJ1673">
        <v>1</v>
      </c>
      <c r="AK1673" t="str" cm="1">
        <f t="array" ref="AK1673">_xlfn.IFS(AJ1673&lt;=2,"Poor",AJ1673&lt;=3,"Fair",AJ1673&gt;3,"Good")</f>
        <v>Poor</v>
      </c>
      <c r="AL1673">
        <v>1</v>
      </c>
      <c r="AM1673">
        <v>0</v>
      </c>
      <c r="AN1673">
        <v>0</v>
      </c>
      <c r="AO1673">
        <v>0</v>
      </c>
    </row>
    <row r="1674" spans="1:41" x14ac:dyDescent="0.2">
      <c r="A1674">
        <v>1152327</v>
      </c>
      <c r="B1674">
        <v>46</v>
      </c>
      <c r="C1674" t="str" cm="1">
        <f t="array" ref="C1674">_xlfn.IFS(B1674&lt;=25,"15-25",B1674&lt;=35,"26-35",B1674&lt;=45,"36-45",B1674&lt;=55,"46-55",B1674&lt;=65,"56-65")</f>
        <v>46-55</v>
      </c>
      <c r="D1674" t="s">
        <v>35</v>
      </c>
      <c r="E1674" t="str">
        <f t="shared" si="52"/>
        <v>Current Employee</v>
      </c>
      <c r="F1674" t="s">
        <v>36</v>
      </c>
      <c r="G1674">
        <v>1125</v>
      </c>
      <c r="H1674" t="s">
        <v>37</v>
      </c>
      <c r="I1674">
        <v>10</v>
      </c>
      <c r="J1674">
        <v>3</v>
      </c>
      <c r="K1674" t="s">
        <v>55</v>
      </c>
      <c r="L1674">
        <v>1</v>
      </c>
      <c r="M1674">
        <v>3</v>
      </c>
      <c r="N1674" t="s">
        <v>39</v>
      </c>
      <c r="O1674">
        <v>94</v>
      </c>
      <c r="P1674">
        <v>2</v>
      </c>
      <c r="Q1674">
        <v>3</v>
      </c>
      <c r="R1674" t="s">
        <v>40</v>
      </c>
      <c r="S1674">
        <v>4</v>
      </c>
      <c r="T1674" t="str" cm="1">
        <f t="array" ref="T1674">_xlfn.IFS(S1674&lt;=2,"Poor",S1674&lt;=3,"Fair",S1674&gt;=4,"Good")</f>
        <v>Good</v>
      </c>
      <c r="U1674" t="s">
        <v>48</v>
      </c>
      <c r="V1674" s="1">
        <v>9071</v>
      </c>
      <c r="W1674" t="str" cm="1">
        <f t="array" ref="W1674">_xlfn.IFS(V1674&lt;=5000,"Low Salary",V1674&lt;=12000,"Good Salary",V1674&gt;12000,"High Salary")</f>
        <v>Good Salary</v>
      </c>
      <c r="X1674">
        <v>11563</v>
      </c>
      <c r="Y1674">
        <v>2</v>
      </c>
      <c r="Z1674" t="s">
        <v>42</v>
      </c>
      <c r="AA1674" t="s">
        <v>43</v>
      </c>
      <c r="AB1674">
        <v>19</v>
      </c>
      <c r="AC1674">
        <v>3</v>
      </c>
      <c r="AD1674" t="str">
        <f t="shared" si="53"/>
        <v>Low Performance</v>
      </c>
      <c r="AE1674">
        <v>3</v>
      </c>
      <c r="AF1674">
        <v>80</v>
      </c>
      <c r="AG1674">
        <v>1</v>
      </c>
      <c r="AH1674">
        <v>15</v>
      </c>
      <c r="AI1674">
        <v>3</v>
      </c>
      <c r="AJ1674">
        <v>3</v>
      </c>
      <c r="AK1674" t="str" cm="1">
        <f t="array" ref="AK1674">_xlfn.IFS(AJ1674&lt;=2,"Poor",AJ1674&lt;=3,"Fair",AJ1674&gt;3,"Good")</f>
        <v>Fair</v>
      </c>
      <c r="AL1674">
        <v>3</v>
      </c>
      <c r="AM1674">
        <v>2</v>
      </c>
      <c r="AN1674">
        <v>1</v>
      </c>
      <c r="AO1674">
        <v>2</v>
      </c>
    </row>
    <row r="1675" spans="1:41" x14ac:dyDescent="0.2">
      <c r="A1675">
        <v>1812428</v>
      </c>
      <c r="B1675">
        <v>20</v>
      </c>
      <c r="C1675" t="str" cm="1">
        <f t="array" ref="C1675">_xlfn.IFS(B1675&lt;=25,"15-25",B1675&lt;=35,"26-35",B1675&lt;=45,"36-45",B1675&lt;=55,"46-55",B1675&lt;=65,"56-65")</f>
        <v>15-25</v>
      </c>
      <c r="D1675" t="s">
        <v>35</v>
      </c>
      <c r="E1675" t="str">
        <f t="shared" si="52"/>
        <v>Current Employee</v>
      </c>
      <c r="F1675" t="s">
        <v>36</v>
      </c>
      <c r="G1675">
        <v>959</v>
      </c>
      <c r="H1675" t="s">
        <v>45</v>
      </c>
      <c r="I1675">
        <v>1</v>
      </c>
      <c r="J1675">
        <v>3</v>
      </c>
      <c r="K1675" t="s">
        <v>38</v>
      </c>
      <c r="L1675">
        <v>1</v>
      </c>
      <c r="M1675">
        <v>4</v>
      </c>
      <c r="N1675" t="s">
        <v>39</v>
      </c>
      <c r="O1675">
        <v>83</v>
      </c>
      <c r="P1675">
        <v>2</v>
      </c>
      <c r="Q1675">
        <v>1</v>
      </c>
      <c r="R1675" t="s">
        <v>47</v>
      </c>
      <c r="S1675">
        <v>2</v>
      </c>
      <c r="T1675" t="str" cm="1">
        <f t="array" ref="T1675">_xlfn.IFS(S1675&lt;=2,"Poor",S1675&lt;=3,"Fair",S1675&gt;=4,"Good")</f>
        <v>Poor</v>
      </c>
      <c r="U1675" t="s">
        <v>41</v>
      </c>
      <c r="V1675" s="1">
        <v>2836</v>
      </c>
      <c r="W1675" t="str" cm="1">
        <f t="array" ref="W1675">_xlfn.IFS(V1675&lt;=5000,"Low Salary",V1675&lt;=12000,"Good Salary",V1675&gt;12000,"High Salary")</f>
        <v>Low Salary</v>
      </c>
      <c r="X1675">
        <v>11757</v>
      </c>
      <c r="Y1675">
        <v>1</v>
      </c>
      <c r="Z1675" t="s">
        <v>42</v>
      </c>
      <c r="AA1675" t="s">
        <v>35</v>
      </c>
      <c r="AB1675">
        <v>13</v>
      </c>
      <c r="AC1675">
        <v>3</v>
      </c>
      <c r="AD1675" t="str">
        <f t="shared" si="53"/>
        <v>Low Performance</v>
      </c>
      <c r="AE1675">
        <v>4</v>
      </c>
      <c r="AF1675">
        <v>80</v>
      </c>
      <c r="AG1675">
        <v>0</v>
      </c>
      <c r="AH1675">
        <v>1</v>
      </c>
      <c r="AI1675">
        <v>0</v>
      </c>
      <c r="AJ1675">
        <v>4</v>
      </c>
      <c r="AK1675" t="str" cm="1">
        <f t="array" ref="AK1675">_xlfn.IFS(AJ1675&lt;=2,"Poor",AJ1675&lt;=3,"Fair",AJ1675&gt;3,"Good")</f>
        <v>Good</v>
      </c>
      <c r="AL1675">
        <v>1</v>
      </c>
      <c r="AM1675">
        <v>0</v>
      </c>
      <c r="AN1675">
        <v>0</v>
      </c>
      <c r="AO1675">
        <v>0</v>
      </c>
    </row>
    <row r="1676" spans="1:41" x14ac:dyDescent="0.2">
      <c r="A1676">
        <v>1812429</v>
      </c>
      <c r="B1676">
        <v>39</v>
      </c>
      <c r="C1676" t="str" cm="1">
        <f t="array" ref="C1676">_xlfn.IFS(B1676&lt;=25,"15-25",B1676&lt;=35,"26-35",B1676&lt;=45,"36-45",B1676&lt;=55,"46-55",B1676&lt;=65,"56-65")</f>
        <v>36-45</v>
      </c>
      <c r="D1676" t="s">
        <v>35</v>
      </c>
      <c r="E1676" t="str">
        <f t="shared" si="52"/>
        <v>Current Employee</v>
      </c>
      <c r="F1676" t="s">
        <v>36</v>
      </c>
      <c r="G1676">
        <v>466</v>
      </c>
      <c r="H1676" t="s">
        <v>54</v>
      </c>
      <c r="I1676">
        <v>1</v>
      </c>
      <c r="J1676">
        <v>1</v>
      </c>
      <c r="K1676" t="s">
        <v>38</v>
      </c>
      <c r="L1676">
        <v>1</v>
      </c>
      <c r="M1676">
        <v>4</v>
      </c>
      <c r="N1676" t="s">
        <v>39</v>
      </c>
      <c r="O1676">
        <v>65</v>
      </c>
      <c r="P1676">
        <v>2</v>
      </c>
      <c r="Q1676">
        <v>4</v>
      </c>
      <c r="R1676" t="s">
        <v>51</v>
      </c>
      <c r="S1676">
        <v>4</v>
      </c>
      <c r="T1676" t="str" cm="1">
        <f t="array" ref="T1676">_xlfn.IFS(S1676&lt;=2,"Poor",S1676&lt;=3,"Fair",S1676&gt;=4,"Good")</f>
        <v>Good</v>
      </c>
      <c r="U1676" t="s">
        <v>48</v>
      </c>
      <c r="V1676" s="1">
        <v>12742</v>
      </c>
      <c r="W1676" t="str" cm="1">
        <f t="array" ref="W1676">_xlfn.IFS(V1676&lt;=5000,"Low Salary",V1676&lt;=12000,"Good Salary",V1676&gt;12000,"High Salary")</f>
        <v>High Salary</v>
      </c>
      <c r="X1676">
        <v>7060</v>
      </c>
      <c r="Y1676">
        <v>1</v>
      </c>
      <c r="Z1676" t="s">
        <v>42</v>
      </c>
      <c r="AA1676" t="s">
        <v>35</v>
      </c>
      <c r="AB1676">
        <v>16</v>
      </c>
      <c r="AC1676">
        <v>3</v>
      </c>
      <c r="AD1676" t="str">
        <f t="shared" si="53"/>
        <v>Low Performance</v>
      </c>
      <c r="AE1676">
        <v>3</v>
      </c>
      <c r="AF1676">
        <v>80</v>
      </c>
      <c r="AG1676">
        <v>1</v>
      </c>
      <c r="AH1676">
        <v>21</v>
      </c>
      <c r="AI1676">
        <v>3</v>
      </c>
      <c r="AJ1676">
        <v>3</v>
      </c>
      <c r="AK1676" t="str" cm="1">
        <f t="array" ref="AK1676">_xlfn.IFS(AJ1676&lt;=2,"Poor",AJ1676&lt;=3,"Fair",AJ1676&gt;3,"Good")</f>
        <v>Fair</v>
      </c>
      <c r="AL1676">
        <v>21</v>
      </c>
      <c r="AM1676">
        <v>6</v>
      </c>
      <c r="AN1676">
        <v>11</v>
      </c>
      <c r="AO1676">
        <v>8</v>
      </c>
    </row>
    <row r="1677" spans="1:41" x14ac:dyDescent="0.2">
      <c r="A1677">
        <v>1152329</v>
      </c>
      <c r="B1677">
        <v>27</v>
      </c>
      <c r="C1677" t="str" cm="1">
        <f t="array" ref="C1677">_xlfn.IFS(B1677&lt;=25,"15-25",B1677&lt;=35,"26-35",B1677&lt;=45,"36-45",B1677&lt;=55,"46-55",B1677&lt;=65,"56-65")</f>
        <v>26-35</v>
      </c>
      <c r="D1677" t="s">
        <v>35</v>
      </c>
      <c r="E1677" t="str">
        <f t="shared" si="52"/>
        <v>Current Employee</v>
      </c>
      <c r="F1677" t="s">
        <v>36</v>
      </c>
      <c r="G1677">
        <v>511</v>
      </c>
      <c r="H1677" t="s">
        <v>37</v>
      </c>
      <c r="I1677">
        <v>2</v>
      </c>
      <c r="J1677">
        <v>2</v>
      </c>
      <c r="K1677" t="s">
        <v>49</v>
      </c>
      <c r="L1677">
        <v>1</v>
      </c>
      <c r="M1677">
        <v>1</v>
      </c>
      <c r="N1677" t="s">
        <v>39</v>
      </c>
      <c r="O1677">
        <v>89</v>
      </c>
      <c r="P1677">
        <v>4</v>
      </c>
      <c r="Q1677">
        <v>2</v>
      </c>
      <c r="R1677" t="s">
        <v>40</v>
      </c>
      <c r="S1677">
        <v>3</v>
      </c>
      <c r="T1677" t="str" cm="1">
        <f t="array" ref="T1677">_xlfn.IFS(S1677&lt;=2,"Poor",S1677&lt;=3,"Fair",S1677&gt;=4,"Good")</f>
        <v>Fair</v>
      </c>
      <c r="U1677" t="s">
        <v>41</v>
      </c>
      <c r="V1677" s="1">
        <v>6500</v>
      </c>
      <c r="W1677" t="str" cm="1">
        <f t="array" ref="W1677">_xlfn.IFS(V1677&lt;=5000,"Low Salary",V1677&lt;=12000,"Good Salary",V1677&gt;12000,"High Salary")</f>
        <v>Good Salary</v>
      </c>
      <c r="X1677">
        <v>26997</v>
      </c>
      <c r="Y1677">
        <v>0</v>
      </c>
      <c r="Z1677" t="s">
        <v>42</v>
      </c>
      <c r="AA1677" t="s">
        <v>35</v>
      </c>
      <c r="AB1677">
        <v>14</v>
      </c>
      <c r="AC1677">
        <v>3</v>
      </c>
      <c r="AD1677" t="str">
        <f t="shared" si="53"/>
        <v>Low Performance</v>
      </c>
      <c r="AE1677">
        <v>2</v>
      </c>
      <c r="AF1677">
        <v>80</v>
      </c>
      <c r="AG1677">
        <v>0</v>
      </c>
      <c r="AH1677">
        <v>9</v>
      </c>
      <c r="AI1677">
        <v>5</v>
      </c>
      <c r="AJ1677">
        <v>2</v>
      </c>
      <c r="AK1677" t="str" cm="1">
        <f t="array" ref="AK1677">_xlfn.IFS(AJ1677&lt;=2,"Poor",AJ1677&lt;=3,"Fair",AJ1677&gt;3,"Good")</f>
        <v>Poor</v>
      </c>
      <c r="AL1677">
        <v>8</v>
      </c>
      <c r="AM1677">
        <v>7</v>
      </c>
      <c r="AN1677">
        <v>0</v>
      </c>
      <c r="AO1677">
        <v>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93E4-034F-FD4E-A1AA-1DBE8862AABD}">
  <dimension ref="A1:U39"/>
  <sheetViews>
    <sheetView showGridLines="0" workbookViewId="0">
      <selection activeCell="U14" sqref="U14"/>
    </sheetView>
  </sheetViews>
  <sheetFormatPr baseColWidth="10" defaultRowHeight="16" x14ac:dyDescent="0.2"/>
  <sheetData>
    <row r="1" spans="1:21" x14ac:dyDescent="0.2">
      <c r="A1" s="7"/>
      <c r="B1" s="7"/>
      <c r="C1" s="7"/>
      <c r="D1" s="7"/>
      <c r="E1" s="7"/>
      <c r="F1" s="7"/>
      <c r="G1" s="7"/>
      <c r="H1" s="7"/>
      <c r="I1" s="7"/>
      <c r="J1" s="7"/>
      <c r="K1" s="7"/>
      <c r="L1" s="7"/>
      <c r="M1" s="7"/>
      <c r="N1" s="7"/>
      <c r="O1" s="7"/>
      <c r="P1" s="7"/>
      <c r="Q1" s="7"/>
      <c r="R1" s="7"/>
      <c r="S1" s="7"/>
      <c r="T1" s="7"/>
      <c r="U1" s="7"/>
    </row>
    <row r="2" spans="1:21" x14ac:dyDescent="0.2">
      <c r="A2" s="7"/>
      <c r="B2" s="7"/>
      <c r="C2" s="7"/>
      <c r="D2" s="7"/>
      <c r="E2" s="7"/>
      <c r="F2" s="7"/>
      <c r="G2" s="7"/>
      <c r="H2" s="7"/>
      <c r="I2" s="7"/>
      <c r="J2" s="7"/>
      <c r="K2" s="7"/>
      <c r="L2" s="7"/>
      <c r="M2" s="7"/>
      <c r="N2" s="7"/>
      <c r="O2" s="7"/>
      <c r="P2" s="7"/>
      <c r="Q2" s="7"/>
      <c r="R2" s="7"/>
      <c r="S2" s="7"/>
      <c r="T2" s="7"/>
      <c r="U2" s="7"/>
    </row>
    <row r="3" spans="1:21" x14ac:dyDescent="0.2">
      <c r="A3" s="7"/>
      <c r="B3" s="7"/>
      <c r="C3" s="7"/>
      <c r="D3" s="7"/>
      <c r="E3" s="7"/>
      <c r="F3" s="7"/>
      <c r="G3" s="7"/>
      <c r="H3" s="7"/>
      <c r="I3" s="7"/>
      <c r="J3" s="7"/>
      <c r="K3" s="7"/>
      <c r="L3" s="7"/>
      <c r="M3" s="7"/>
      <c r="N3" s="7"/>
      <c r="O3" s="7"/>
      <c r="P3" s="7"/>
      <c r="Q3" s="7"/>
      <c r="R3" s="7"/>
      <c r="S3" s="7"/>
      <c r="T3" s="7"/>
      <c r="U3" s="7"/>
    </row>
    <row r="4" spans="1:21" x14ac:dyDescent="0.2">
      <c r="A4" s="7"/>
      <c r="B4" s="7"/>
      <c r="C4" s="7"/>
      <c r="D4" s="7"/>
      <c r="E4" s="7"/>
      <c r="F4" s="7"/>
      <c r="G4" s="7"/>
      <c r="H4" s="7"/>
      <c r="I4" s="7"/>
      <c r="J4" s="7"/>
      <c r="K4" s="7"/>
      <c r="L4" s="7"/>
      <c r="M4" s="7"/>
      <c r="N4" s="7"/>
      <c r="O4" s="7"/>
      <c r="P4" s="7"/>
      <c r="Q4" s="7"/>
      <c r="R4" s="7"/>
      <c r="S4" s="7"/>
      <c r="T4" s="7"/>
      <c r="U4" s="7"/>
    </row>
    <row r="5" spans="1:21" x14ac:dyDescent="0.2">
      <c r="A5" s="7"/>
      <c r="B5" s="7"/>
      <c r="C5" s="7"/>
      <c r="D5" s="7"/>
      <c r="E5" s="7"/>
      <c r="F5" s="7"/>
      <c r="G5" s="7"/>
      <c r="H5" s="7"/>
      <c r="I5" s="7"/>
      <c r="J5" s="7"/>
      <c r="K5" s="7"/>
      <c r="L5" s="7"/>
      <c r="M5" s="7"/>
      <c r="N5" s="7"/>
      <c r="O5" s="7"/>
      <c r="P5" s="7"/>
      <c r="Q5" s="7"/>
      <c r="R5" s="7"/>
      <c r="S5" s="7"/>
      <c r="T5" s="7"/>
      <c r="U5" s="7"/>
    </row>
    <row r="6" spans="1:21" x14ac:dyDescent="0.2">
      <c r="A6" s="7"/>
      <c r="B6" s="7"/>
      <c r="C6" s="7"/>
      <c r="D6" s="7"/>
      <c r="E6" s="7"/>
      <c r="F6" s="7"/>
      <c r="G6" s="7"/>
      <c r="H6" s="7"/>
      <c r="I6" s="7"/>
      <c r="J6" s="7"/>
      <c r="K6" s="7"/>
      <c r="L6" s="7"/>
      <c r="M6" s="7"/>
      <c r="N6" s="7"/>
      <c r="O6" s="7"/>
      <c r="P6" s="7"/>
      <c r="Q6" s="7"/>
      <c r="R6" s="7"/>
      <c r="S6" s="7"/>
      <c r="T6" s="7"/>
      <c r="U6" s="7"/>
    </row>
    <row r="7" spans="1:21" x14ac:dyDescent="0.2">
      <c r="A7" s="7"/>
      <c r="B7" s="7"/>
      <c r="C7" s="7"/>
      <c r="D7" s="7"/>
      <c r="E7" s="7"/>
      <c r="F7" s="7"/>
      <c r="G7" s="7"/>
      <c r="H7" s="7"/>
      <c r="I7" s="7"/>
      <c r="J7" s="7"/>
      <c r="K7" s="7"/>
      <c r="L7" s="7"/>
      <c r="M7" s="7"/>
      <c r="N7" s="7"/>
      <c r="O7" s="7"/>
      <c r="P7" s="7"/>
      <c r="Q7" s="7"/>
      <c r="R7" s="7"/>
      <c r="S7" s="7"/>
      <c r="T7" s="7"/>
      <c r="U7" s="7"/>
    </row>
    <row r="8" spans="1:21" x14ac:dyDescent="0.2">
      <c r="A8" s="7"/>
      <c r="B8" s="7"/>
      <c r="C8" s="7"/>
      <c r="D8" s="7"/>
      <c r="E8" s="7"/>
      <c r="F8" s="7"/>
      <c r="G8" s="7"/>
      <c r="H8" s="7"/>
      <c r="I8" s="7"/>
      <c r="J8" s="7"/>
      <c r="K8" s="7"/>
      <c r="L8" s="7"/>
      <c r="M8" s="7"/>
      <c r="N8" s="7"/>
      <c r="O8" s="7"/>
      <c r="P8" s="7"/>
      <c r="Q8" s="7"/>
      <c r="R8" s="7"/>
      <c r="S8" s="7"/>
      <c r="T8" s="7"/>
      <c r="U8" s="7"/>
    </row>
    <row r="9" spans="1:21" x14ac:dyDescent="0.2">
      <c r="A9" s="7"/>
      <c r="B9" s="7"/>
      <c r="C9" s="7"/>
      <c r="D9" s="7"/>
      <c r="E9" s="7"/>
      <c r="F9" s="7"/>
      <c r="G9" s="7"/>
      <c r="H9" s="7"/>
      <c r="I9" s="7"/>
      <c r="J9" s="7"/>
      <c r="K9" s="7"/>
      <c r="L9" s="7"/>
      <c r="M9" s="7"/>
      <c r="N9" s="7"/>
      <c r="O9" s="7"/>
      <c r="P9" s="7"/>
      <c r="Q9" s="7"/>
      <c r="R9" s="7"/>
      <c r="S9" s="7"/>
      <c r="T9" s="7"/>
      <c r="U9" s="7"/>
    </row>
    <row r="10" spans="1:21" x14ac:dyDescent="0.2">
      <c r="A10" s="7"/>
      <c r="B10" s="7"/>
      <c r="C10" s="7"/>
      <c r="D10" s="7"/>
      <c r="E10" s="7"/>
      <c r="F10" s="7"/>
      <c r="G10" s="7"/>
      <c r="H10" s="7"/>
      <c r="I10" s="7"/>
      <c r="J10" s="7"/>
      <c r="K10" s="7"/>
      <c r="L10" s="7"/>
      <c r="M10" s="7"/>
      <c r="N10" s="7"/>
      <c r="O10" s="7"/>
      <c r="P10" s="7"/>
      <c r="Q10" s="7"/>
      <c r="R10" s="7"/>
      <c r="S10" s="7"/>
      <c r="T10" s="7"/>
      <c r="U10" s="7"/>
    </row>
    <row r="11" spans="1:21" x14ac:dyDescent="0.2">
      <c r="A11" s="7"/>
      <c r="B11" s="7"/>
      <c r="C11" s="7"/>
      <c r="D11" s="7"/>
      <c r="E11" s="7"/>
      <c r="F11" s="7"/>
      <c r="G11" s="7"/>
      <c r="H11" s="7"/>
      <c r="I11" s="7"/>
      <c r="J11" s="7"/>
      <c r="K11" s="7"/>
      <c r="L11" s="7"/>
      <c r="M11" s="7"/>
      <c r="N11" s="7"/>
      <c r="O11" s="7"/>
      <c r="P11" s="7"/>
      <c r="Q11" s="7"/>
      <c r="R11" s="7"/>
      <c r="S11" s="7"/>
      <c r="T11" s="7"/>
      <c r="U11" s="7"/>
    </row>
    <row r="12" spans="1:21" x14ac:dyDescent="0.2">
      <c r="A12" s="7"/>
      <c r="B12" s="7"/>
      <c r="C12" s="7"/>
      <c r="D12" s="7"/>
      <c r="E12" s="7"/>
      <c r="F12" s="7"/>
      <c r="G12" s="7"/>
      <c r="H12" s="7"/>
      <c r="I12" s="7"/>
      <c r="J12" s="7"/>
      <c r="K12" s="7"/>
      <c r="L12" s="7"/>
      <c r="M12" s="7"/>
      <c r="N12" s="7"/>
      <c r="O12" s="7"/>
      <c r="P12" s="7"/>
      <c r="Q12" s="7"/>
      <c r="R12" s="7"/>
      <c r="S12" s="7"/>
      <c r="T12" s="7"/>
      <c r="U12" s="7"/>
    </row>
    <row r="13" spans="1:21" x14ac:dyDescent="0.2">
      <c r="A13" s="7"/>
      <c r="B13" s="7"/>
      <c r="C13" s="7"/>
      <c r="D13" s="7"/>
      <c r="E13" s="7"/>
      <c r="F13" s="7"/>
      <c r="G13" s="7"/>
      <c r="H13" s="7"/>
      <c r="I13" s="7"/>
      <c r="J13" s="7"/>
      <c r="K13" s="7"/>
      <c r="L13" s="7"/>
      <c r="M13" s="7"/>
      <c r="N13" s="7"/>
      <c r="O13" s="7"/>
      <c r="P13" s="7"/>
      <c r="Q13" s="7"/>
      <c r="R13" s="7"/>
      <c r="S13" s="7"/>
      <c r="T13" s="7"/>
      <c r="U13" s="7"/>
    </row>
    <row r="14" spans="1:21" x14ac:dyDescent="0.2">
      <c r="A14" s="7"/>
      <c r="B14" s="7"/>
      <c r="C14" s="7"/>
      <c r="D14" s="7"/>
      <c r="E14" s="7"/>
      <c r="F14" s="7"/>
      <c r="G14" s="7"/>
      <c r="H14" s="7"/>
      <c r="I14" s="7"/>
      <c r="J14" s="7"/>
      <c r="K14" s="7"/>
      <c r="L14" s="7"/>
      <c r="M14" s="7"/>
      <c r="N14" s="7"/>
      <c r="O14" s="7"/>
      <c r="P14" s="7"/>
      <c r="Q14" s="7"/>
      <c r="R14" s="7"/>
      <c r="S14" s="7"/>
      <c r="T14" s="7"/>
      <c r="U14" s="7"/>
    </row>
    <row r="15" spans="1:21" x14ac:dyDescent="0.2">
      <c r="A15" s="7"/>
      <c r="B15" s="7"/>
      <c r="C15" s="7"/>
      <c r="D15" s="7"/>
      <c r="E15" s="7"/>
      <c r="F15" s="7"/>
      <c r="G15" s="7"/>
      <c r="H15" s="7"/>
      <c r="I15" s="7"/>
      <c r="J15" s="7"/>
      <c r="K15" s="7"/>
      <c r="L15" s="7"/>
      <c r="M15" s="7"/>
      <c r="N15" s="7"/>
      <c r="O15" s="7"/>
      <c r="P15" s="7"/>
      <c r="Q15" s="7"/>
      <c r="R15" s="7"/>
      <c r="S15" s="7"/>
      <c r="T15" s="7"/>
      <c r="U15" s="7"/>
    </row>
    <row r="16" spans="1:21" x14ac:dyDescent="0.2">
      <c r="A16" s="7"/>
      <c r="B16" s="7"/>
      <c r="C16" s="7"/>
      <c r="D16" s="7"/>
      <c r="E16" s="7"/>
      <c r="F16" s="7"/>
      <c r="G16" s="7"/>
      <c r="H16" s="7"/>
      <c r="I16" s="7"/>
      <c r="J16" s="7"/>
      <c r="K16" s="7"/>
      <c r="L16" s="7"/>
      <c r="M16" s="7"/>
      <c r="N16" s="7"/>
      <c r="O16" s="7"/>
      <c r="P16" s="7"/>
      <c r="Q16" s="7"/>
      <c r="R16" s="7"/>
      <c r="S16" s="7"/>
      <c r="T16" s="7"/>
      <c r="U16" s="7"/>
    </row>
    <row r="17" spans="1:21" x14ac:dyDescent="0.2">
      <c r="A17" s="7"/>
      <c r="B17" s="7"/>
      <c r="C17" s="7"/>
      <c r="D17" s="7"/>
      <c r="E17" s="7"/>
      <c r="F17" s="7"/>
      <c r="G17" s="7"/>
      <c r="H17" s="7"/>
      <c r="I17" s="7"/>
      <c r="J17" s="7"/>
      <c r="K17" s="7"/>
      <c r="L17" s="7"/>
      <c r="M17" s="7"/>
      <c r="N17" s="7"/>
      <c r="O17" s="7"/>
      <c r="P17" s="7"/>
      <c r="Q17" s="7"/>
      <c r="R17" s="7"/>
      <c r="S17" s="7"/>
      <c r="T17" s="7"/>
      <c r="U17" s="7"/>
    </row>
    <row r="18" spans="1:21" x14ac:dyDescent="0.2">
      <c r="A18" s="7"/>
      <c r="B18" s="7"/>
      <c r="C18" s="7"/>
      <c r="D18" s="7"/>
      <c r="E18" s="7"/>
      <c r="F18" s="7"/>
      <c r="G18" s="7"/>
      <c r="H18" s="7"/>
      <c r="I18" s="7"/>
      <c r="J18" s="7"/>
      <c r="K18" s="7"/>
      <c r="L18" s="7"/>
      <c r="M18" s="7"/>
      <c r="N18" s="7"/>
      <c r="O18" s="7"/>
      <c r="P18" s="7"/>
      <c r="Q18" s="7"/>
      <c r="R18" s="7"/>
      <c r="S18" s="7"/>
      <c r="T18" s="7"/>
      <c r="U18" s="7"/>
    </row>
    <row r="19" spans="1:21" x14ac:dyDescent="0.2">
      <c r="A19" s="7"/>
      <c r="B19" s="7"/>
      <c r="C19" s="7"/>
      <c r="D19" s="7"/>
      <c r="E19" s="7"/>
      <c r="F19" s="7"/>
      <c r="G19" s="7"/>
      <c r="H19" s="7"/>
      <c r="I19" s="7"/>
      <c r="J19" s="7"/>
      <c r="K19" s="7"/>
      <c r="L19" s="7"/>
      <c r="M19" s="7"/>
      <c r="N19" s="7"/>
      <c r="O19" s="7"/>
      <c r="P19" s="7"/>
      <c r="Q19" s="7"/>
      <c r="R19" s="7"/>
      <c r="S19" s="7"/>
      <c r="T19" s="7"/>
      <c r="U19" s="7"/>
    </row>
    <row r="20" spans="1:21" x14ac:dyDescent="0.2">
      <c r="A20" s="7"/>
      <c r="B20" s="7"/>
      <c r="C20" s="7"/>
      <c r="D20" s="7"/>
      <c r="E20" s="7"/>
      <c r="F20" s="7"/>
      <c r="G20" s="7"/>
      <c r="H20" s="7"/>
      <c r="I20" s="7"/>
      <c r="J20" s="7"/>
      <c r="K20" s="7"/>
      <c r="L20" s="7"/>
      <c r="M20" s="7"/>
      <c r="N20" s="7"/>
      <c r="O20" s="7"/>
      <c r="P20" s="7"/>
      <c r="Q20" s="7"/>
      <c r="R20" s="7"/>
      <c r="S20" s="7"/>
      <c r="T20" s="7"/>
      <c r="U20" s="7"/>
    </row>
    <row r="21" spans="1:21" x14ac:dyDescent="0.2">
      <c r="A21" s="7"/>
      <c r="B21" s="7"/>
      <c r="C21" s="7"/>
      <c r="D21" s="7"/>
      <c r="E21" s="7"/>
      <c r="F21" s="7"/>
      <c r="G21" s="7"/>
      <c r="H21" s="7"/>
      <c r="I21" s="7"/>
      <c r="J21" s="7"/>
      <c r="K21" s="7"/>
      <c r="L21" s="7"/>
      <c r="M21" s="7"/>
      <c r="N21" s="7"/>
      <c r="O21" s="7"/>
      <c r="P21" s="7"/>
      <c r="Q21" s="7"/>
      <c r="R21" s="7"/>
      <c r="S21" s="7"/>
      <c r="T21" s="7"/>
      <c r="U21" s="7"/>
    </row>
    <row r="22" spans="1:21" x14ac:dyDescent="0.2">
      <c r="A22" s="7"/>
      <c r="B22" s="7"/>
      <c r="C22" s="7"/>
      <c r="D22" s="7"/>
      <c r="E22" s="7"/>
      <c r="F22" s="7"/>
      <c r="G22" s="7"/>
      <c r="H22" s="7"/>
      <c r="I22" s="7"/>
      <c r="J22" s="7"/>
      <c r="K22" s="7"/>
      <c r="L22" s="7"/>
      <c r="M22" s="7"/>
      <c r="N22" s="7"/>
      <c r="O22" s="7"/>
      <c r="P22" s="7"/>
      <c r="Q22" s="7"/>
      <c r="R22" s="7"/>
      <c r="S22" s="7"/>
      <c r="T22" s="7"/>
      <c r="U22" s="7"/>
    </row>
    <row r="23" spans="1:21" x14ac:dyDescent="0.2">
      <c r="A23" s="7"/>
      <c r="B23" s="7"/>
      <c r="C23" s="7"/>
      <c r="D23" s="7"/>
      <c r="E23" s="7"/>
      <c r="F23" s="7"/>
      <c r="G23" s="7"/>
      <c r="H23" s="7"/>
      <c r="I23" s="7"/>
      <c r="J23" s="7"/>
      <c r="K23" s="7"/>
      <c r="L23" s="7"/>
      <c r="M23" s="7"/>
      <c r="N23" s="7"/>
      <c r="O23" s="7"/>
      <c r="P23" s="7"/>
      <c r="Q23" s="7"/>
      <c r="R23" s="7"/>
      <c r="S23" s="7"/>
      <c r="T23" s="7"/>
      <c r="U23" s="7"/>
    </row>
    <row r="24" spans="1:21" x14ac:dyDescent="0.2">
      <c r="A24" s="7"/>
      <c r="B24" s="7"/>
      <c r="C24" s="7"/>
      <c r="D24" s="7"/>
      <c r="E24" s="7"/>
      <c r="F24" s="7"/>
      <c r="G24" s="7"/>
      <c r="H24" s="7"/>
      <c r="I24" s="7"/>
      <c r="J24" s="7"/>
      <c r="K24" s="7"/>
      <c r="L24" s="7"/>
      <c r="M24" s="7"/>
      <c r="N24" s="7"/>
      <c r="O24" s="7"/>
      <c r="P24" s="7"/>
      <c r="Q24" s="7"/>
      <c r="R24" s="7"/>
      <c r="S24" s="7"/>
      <c r="T24" s="7"/>
      <c r="U24" s="7"/>
    </row>
    <row r="25" spans="1:21" x14ac:dyDescent="0.2">
      <c r="A25" s="7"/>
      <c r="B25" s="7"/>
      <c r="C25" s="7"/>
      <c r="D25" s="7"/>
      <c r="E25" s="7"/>
      <c r="F25" s="7"/>
      <c r="G25" s="7"/>
      <c r="H25" s="7"/>
      <c r="I25" s="7"/>
      <c r="J25" s="7"/>
      <c r="K25" s="7"/>
      <c r="L25" s="7"/>
      <c r="M25" s="7"/>
      <c r="N25" s="7"/>
      <c r="O25" s="7"/>
      <c r="P25" s="7"/>
      <c r="Q25" s="7"/>
      <c r="R25" s="7"/>
      <c r="S25" s="7"/>
      <c r="T25" s="7"/>
      <c r="U25" s="7"/>
    </row>
    <row r="26" spans="1:21" x14ac:dyDescent="0.2">
      <c r="A26" s="7"/>
      <c r="B26" s="7"/>
      <c r="C26" s="7"/>
      <c r="D26" s="7"/>
      <c r="E26" s="7"/>
      <c r="F26" s="7"/>
      <c r="G26" s="7"/>
      <c r="H26" s="7"/>
      <c r="I26" s="7"/>
      <c r="J26" s="7"/>
      <c r="K26" s="7"/>
      <c r="L26" s="7"/>
      <c r="M26" s="7"/>
      <c r="N26" s="7"/>
      <c r="O26" s="7"/>
      <c r="P26" s="7"/>
      <c r="Q26" s="7"/>
      <c r="R26" s="7"/>
      <c r="S26" s="7"/>
      <c r="T26" s="7"/>
      <c r="U26" s="7"/>
    </row>
    <row r="27" spans="1:21" x14ac:dyDescent="0.2">
      <c r="A27" s="7"/>
      <c r="B27" s="7"/>
      <c r="C27" s="7"/>
      <c r="D27" s="7"/>
      <c r="E27" s="7"/>
      <c r="F27" s="7"/>
      <c r="G27" s="7"/>
      <c r="H27" s="7"/>
      <c r="I27" s="7"/>
      <c r="J27" s="7"/>
      <c r="K27" s="7"/>
      <c r="L27" s="7"/>
      <c r="M27" s="7"/>
      <c r="N27" s="7"/>
      <c r="O27" s="7"/>
      <c r="P27" s="7"/>
      <c r="Q27" s="7"/>
      <c r="R27" s="7"/>
      <c r="S27" s="7"/>
      <c r="T27" s="7"/>
      <c r="U27" s="7"/>
    </row>
    <row r="28" spans="1:21" x14ac:dyDescent="0.2">
      <c r="A28" s="7"/>
      <c r="B28" s="7"/>
      <c r="C28" s="7"/>
      <c r="D28" s="7"/>
      <c r="E28" s="7"/>
      <c r="F28" s="7"/>
      <c r="G28" s="7"/>
      <c r="H28" s="7"/>
      <c r="I28" s="7"/>
      <c r="J28" s="7"/>
      <c r="K28" s="7"/>
      <c r="L28" s="7"/>
      <c r="M28" s="7"/>
      <c r="N28" s="7"/>
      <c r="O28" s="7"/>
      <c r="P28" s="7"/>
      <c r="Q28" s="7"/>
      <c r="R28" s="7"/>
      <c r="S28" s="7"/>
      <c r="T28" s="7"/>
      <c r="U28" s="7"/>
    </row>
    <row r="29" spans="1:21" x14ac:dyDescent="0.2">
      <c r="A29" s="7"/>
      <c r="B29" s="7"/>
      <c r="C29" s="7"/>
      <c r="D29" s="7"/>
      <c r="E29" s="7"/>
      <c r="F29" s="7"/>
      <c r="G29" s="7"/>
      <c r="H29" s="7"/>
      <c r="I29" s="7"/>
      <c r="J29" s="7"/>
      <c r="K29" s="7"/>
      <c r="L29" s="7"/>
      <c r="M29" s="7"/>
      <c r="N29" s="7"/>
      <c r="O29" s="7"/>
      <c r="P29" s="7"/>
      <c r="Q29" s="7"/>
      <c r="R29" s="7"/>
      <c r="S29" s="7"/>
      <c r="T29" s="7"/>
      <c r="U29" s="7"/>
    </row>
    <row r="30" spans="1:21" x14ac:dyDescent="0.2">
      <c r="A30" s="7"/>
      <c r="B30" s="7"/>
      <c r="C30" s="7"/>
      <c r="D30" s="7"/>
      <c r="E30" s="7"/>
      <c r="F30" s="7"/>
      <c r="G30" s="7"/>
      <c r="H30" s="7"/>
      <c r="I30" s="7"/>
      <c r="J30" s="7"/>
      <c r="K30" s="7"/>
      <c r="L30" s="7"/>
      <c r="M30" s="7"/>
      <c r="N30" s="7"/>
      <c r="O30" s="7"/>
      <c r="P30" s="7"/>
      <c r="Q30" s="7"/>
      <c r="R30" s="7"/>
      <c r="S30" s="7"/>
      <c r="T30" s="7"/>
      <c r="U30" s="7"/>
    </row>
    <row r="31" spans="1:21" x14ac:dyDescent="0.2">
      <c r="A31" s="7"/>
      <c r="B31" s="7"/>
      <c r="C31" s="7"/>
      <c r="D31" s="7"/>
      <c r="E31" s="7"/>
      <c r="F31" s="7"/>
      <c r="G31" s="7"/>
      <c r="H31" s="7"/>
      <c r="I31" s="7"/>
      <c r="J31" s="7"/>
      <c r="K31" s="7"/>
      <c r="L31" s="7"/>
      <c r="M31" s="7"/>
      <c r="N31" s="7"/>
      <c r="O31" s="7"/>
      <c r="P31" s="7"/>
      <c r="Q31" s="7"/>
      <c r="R31" s="7"/>
      <c r="S31" s="7"/>
      <c r="T31" s="7"/>
      <c r="U31" s="7"/>
    </row>
    <row r="32" spans="1:21" x14ac:dyDescent="0.2">
      <c r="A32" s="7"/>
      <c r="B32" s="7"/>
      <c r="C32" s="7"/>
      <c r="D32" s="7"/>
      <c r="E32" s="7"/>
      <c r="F32" s="7"/>
      <c r="G32" s="7"/>
      <c r="H32" s="7"/>
      <c r="I32" s="7"/>
      <c r="J32" s="7"/>
      <c r="K32" s="7"/>
      <c r="L32" s="7"/>
      <c r="M32" s="7"/>
      <c r="N32" s="7"/>
      <c r="O32" s="7"/>
      <c r="P32" s="7"/>
      <c r="Q32" s="7"/>
      <c r="R32" s="7"/>
      <c r="S32" s="7"/>
      <c r="T32" s="7"/>
      <c r="U32" s="7"/>
    </row>
    <row r="33" spans="1:21" x14ac:dyDescent="0.2">
      <c r="A33" s="7"/>
      <c r="B33" s="7"/>
      <c r="C33" s="7"/>
      <c r="D33" s="7"/>
      <c r="E33" s="7"/>
      <c r="F33" s="7"/>
      <c r="G33" s="7"/>
      <c r="H33" s="7"/>
      <c r="I33" s="7"/>
      <c r="J33" s="7"/>
      <c r="K33" s="7"/>
      <c r="L33" s="7"/>
      <c r="M33" s="7"/>
      <c r="N33" s="7"/>
      <c r="O33" s="7"/>
      <c r="P33" s="7"/>
      <c r="Q33" s="7"/>
      <c r="R33" s="7"/>
      <c r="S33" s="7"/>
      <c r="T33" s="7"/>
      <c r="U33" s="7"/>
    </row>
    <row r="34" spans="1:21" x14ac:dyDescent="0.2">
      <c r="A34" s="7"/>
      <c r="B34" s="7"/>
      <c r="C34" s="7"/>
      <c r="D34" s="7"/>
      <c r="E34" s="7"/>
      <c r="F34" s="7"/>
      <c r="G34" s="7"/>
      <c r="H34" s="7"/>
      <c r="I34" s="7"/>
      <c r="J34" s="7"/>
      <c r="K34" s="7"/>
      <c r="L34" s="7"/>
      <c r="M34" s="7"/>
      <c r="N34" s="7"/>
      <c r="O34" s="7"/>
      <c r="P34" s="7"/>
      <c r="Q34" s="7"/>
      <c r="R34" s="7"/>
      <c r="S34" s="7"/>
      <c r="T34" s="7"/>
      <c r="U34" s="7"/>
    </row>
    <row r="35" spans="1:21" x14ac:dyDescent="0.2">
      <c r="A35" s="7"/>
      <c r="B35" s="7"/>
      <c r="C35" s="7"/>
      <c r="D35" s="7"/>
      <c r="E35" s="7"/>
      <c r="F35" s="7"/>
      <c r="G35" s="7"/>
      <c r="H35" s="7"/>
      <c r="I35" s="7"/>
      <c r="J35" s="7"/>
      <c r="K35" s="7"/>
      <c r="L35" s="7"/>
      <c r="M35" s="7"/>
      <c r="N35" s="7"/>
      <c r="O35" s="7"/>
      <c r="P35" s="7"/>
      <c r="Q35" s="7"/>
      <c r="R35" s="7"/>
      <c r="S35" s="7"/>
      <c r="T35" s="7"/>
      <c r="U35" s="7"/>
    </row>
    <row r="36" spans="1:21" x14ac:dyDescent="0.2">
      <c r="A36" s="7"/>
      <c r="B36" s="7"/>
      <c r="C36" s="7"/>
      <c r="D36" s="7"/>
      <c r="E36" s="7"/>
      <c r="F36" s="7"/>
      <c r="G36" s="7"/>
      <c r="H36" s="7"/>
      <c r="I36" s="7"/>
      <c r="J36" s="7"/>
      <c r="K36" s="7"/>
      <c r="L36" s="7"/>
      <c r="M36" s="7"/>
      <c r="N36" s="7"/>
      <c r="O36" s="7"/>
      <c r="P36" s="7"/>
      <c r="Q36" s="7"/>
      <c r="R36" s="7"/>
      <c r="S36" s="7"/>
      <c r="T36" s="7"/>
      <c r="U36" s="7"/>
    </row>
    <row r="37" spans="1:21" x14ac:dyDescent="0.2">
      <c r="A37" s="7"/>
      <c r="B37" s="7"/>
      <c r="C37" s="7"/>
      <c r="D37" s="7"/>
      <c r="E37" s="7"/>
      <c r="F37" s="7"/>
      <c r="G37" s="7"/>
      <c r="H37" s="7"/>
      <c r="I37" s="7"/>
      <c r="J37" s="7"/>
      <c r="K37" s="7"/>
      <c r="L37" s="7"/>
      <c r="M37" s="7"/>
      <c r="N37" s="7"/>
      <c r="O37" s="7"/>
      <c r="P37" s="7"/>
      <c r="Q37" s="7"/>
      <c r="R37" s="7"/>
      <c r="S37" s="7"/>
      <c r="T37" s="7"/>
      <c r="U37" s="7"/>
    </row>
    <row r="38" spans="1:21" x14ac:dyDescent="0.2">
      <c r="A38" s="7"/>
      <c r="B38" s="7"/>
      <c r="C38" s="7"/>
      <c r="D38" s="7"/>
      <c r="E38" s="7"/>
      <c r="F38" s="7"/>
      <c r="G38" s="7"/>
      <c r="H38" s="7"/>
      <c r="I38" s="7"/>
      <c r="J38" s="7"/>
      <c r="K38" s="7"/>
      <c r="L38" s="7"/>
      <c r="M38" s="7"/>
      <c r="N38" s="7"/>
      <c r="O38" s="7"/>
      <c r="P38" s="7"/>
      <c r="Q38" s="7"/>
      <c r="R38" s="7"/>
      <c r="S38" s="7"/>
      <c r="T38" s="7"/>
      <c r="U38" s="7"/>
    </row>
    <row r="39" spans="1:21" x14ac:dyDescent="0.2">
      <c r="A39" s="7"/>
      <c r="B39" s="7"/>
      <c r="C39" s="7"/>
      <c r="D39" s="7"/>
      <c r="E39" s="7"/>
      <c r="F39" s="7"/>
      <c r="G39" s="7"/>
      <c r="H39" s="7"/>
      <c r="I39" s="7"/>
      <c r="J39" s="7"/>
      <c r="K39" s="7"/>
      <c r="L39" s="7"/>
      <c r="M39" s="7"/>
      <c r="N39" s="7"/>
      <c r="O39" s="7"/>
      <c r="P39" s="7"/>
      <c r="Q39" s="7"/>
      <c r="R39" s="7"/>
      <c r="S39" s="7"/>
      <c r="T39" s="7"/>
      <c r="U39"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0B50-8853-B946-8B4A-71FC1ABB8B85}">
  <dimension ref="A1"/>
  <sheetViews>
    <sheetView showGridLines="0" tabSelected="1" zoomScaleNormal="100" workbookViewId="0">
      <selection activeCell="X59" sqref="X59"/>
    </sheetView>
  </sheetViews>
  <sheetFormatPr baseColWidth="10" defaultRowHeight="16" x14ac:dyDescent="0.2"/>
  <cols>
    <col min="1" max="16384" width="10.832031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6B0C-7F9B-5C44-95D2-8FA8B1458A0E}">
  <dimension ref="A1"/>
  <sheetViews>
    <sheetView showGridLines="0" workbookViewId="0">
      <selection activeCell="I33" sqref="I33"/>
    </sheetView>
  </sheetViews>
  <sheetFormatPr baseColWidth="10" defaultRowHeight="16"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A1F6-CC27-F544-9C33-AA4B152BABDC}">
  <dimension ref="A1"/>
  <sheetViews>
    <sheetView showGridLines="0" workbookViewId="0">
      <selection activeCell="J4" sqref="J4"/>
    </sheetView>
  </sheetViews>
  <sheetFormatPr baseColWidth="10"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22D9-53FB-764E-A266-72B27CEC8637}">
  <dimension ref="B6:N8"/>
  <sheetViews>
    <sheetView workbookViewId="0">
      <selection activeCell="M15" sqref="M15"/>
    </sheetView>
  </sheetViews>
  <sheetFormatPr baseColWidth="10" defaultRowHeight="16" x14ac:dyDescent="0.2"/>
  <cols>
    <col min="2" max="2" width="15.6640625" bestFit="1" customWidth="1"/>
    <col min="7" max="7" width="15.6640625" bestFit="1" customWidth="1"/>
    <col min="13" max="13" width="17.5" bestFit="1" customWidth="1"/>
  </cols>
  <sheetData>
    <row r="6" spans="2:14" x14ac:dyDescent="0.2">
      <c r="B6" s="5" t="s">
        <v>76</v>
      </c>
      <c r="C6" s="5" t="s">
        <v>77</v>
      </c>
      <c r="G6" s="6" t="s">
        <v>76</v>
      </c>
      <c r="H6" s="6" t="s">
        <v>77</v>
      </c>
      <c r="M6" s="5" t="s">
        <v>78</v>
      </c>
      <c r="N6" s="8">
        <f>AVERAGE(Table1[Age])</f>
        <v>36.866348448687354</v>
      </c>
    </row>
    <row r="7" spans="2:14" x14ac:dyDescent="0.2">
      <c r="B7" s="5" t="s">
        <v>67</v>
      </c>
      <c r="C7">
        <v>199</v>
      </c>
      <c r="G7" s="6" t="s">
        <v>66</v>
      </c>
      <c r="H7" s="7">
        <v>1477</v>
      </c>
    </row>
    <row r="8" spans="2:14" x14ac:dyDescent="0.2">
      <c r="B8" s="5" t="s">
        <v>47</v>
      </c>
      <c r="C8">
        <v>1477</v>
      </c>
      <c r="G8" s="6" t="s">
        <v>47</v>
      </c>
      <c r="H8" s="7">
        <v>199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4858-0AC2-084F-B40E-2BC112B8DA05}">
  <dimension ref="A3:D10"/>
  <sheetViews>
    <sheetView workbookViewId="0">
      <selection activeCell="E10" sqref="E10"/>
    </sheetView>
  </sheetViews>
  <sheetFormatPr baseColWidth="10" defaultRowHeight="16" x14ac:dyDescent="0.2"/>
  <cols>
    <col min="1" max="1" width="18.5" bestFit="1" customWidth="1"/>
    <col min="2" max="2" width="16" bestFit="1" customWidth="1"/>
    <col min="3" max="3" width="15.5" bestFit="1" customWidth="1"/>
    <col min="4" max="4" width="10.5" bestFit="1" customWidth="1"/>
    <col min="5" max="6" width="5.83203125" bestFit="1" customWidth="1"/>
    <col min="7" max="7" width="10.5" bestFit="1" customWidth="1"/>
  </cols>
  <sheetData>
    <row r="3" spans="1:4" x14ac:dyDescent="0.2">
      <c r="A3" s="2" t="s">
        <v>70</v>
      </c>
      <c r="B3" s="2" t="s">
        <v>65</v>
      </c>
    </row>
    <row r="4" spans="1:4" x14ac:dyDescent="0.2">
      <c r="A4" s="2" t="s">
        <v>69</v>
      </c>
      <c r="B4" t="s">
        <v>66</v>
      </c>
      <c r="C4" t="s">
        <v>67</v>
      </c>
      <c r="D4" t="s">
        <v>68</v>
      </c>
    </row>
    <row r="5" spans="1:4" x14ac:dyDescent="0.2">
      <c r="A5" s="3" t="s">
        <v>71</v>
      </c>
      <c r="B5">
        <v>89</v>
      </c>
      <c r="C5">
        <v>50</v>
      </c>
      <c r="D5">
        <v>139</v>
      </c>
    </row>
    <row r="6" spans="1:4" x14ac:dyDescent="0.2">
      <c r="A6" s="3" t="s">
        <v>72</v>
      </c>
      <c r="B6">
        <v>585</v>
      </c>
      <c r="C6">
        <v>109</v>
      </c>
      <c r="D6">
        <v>694</v>
      </c>
    </row>
    <row r="7" spans="1:4" x14ac:dyDescent="0.2">
      <c r="A7" s="3" t="s">
        <v>73</v>
      </c>
      <c r="B7">
        <v>506</v>
      </c>
      <c r="C7">
        <v>24</v>
      </c>
      <c r="D7">
        <v>530</v>
      </c>
    </row>
    <row r="8" spans="1:4" x14ac:dyDescent="0.2">
      <c r="A8" s="3" t="s">
        <v>74</v>
      </c>
      <c r="B8">
        <v>251</v>
      </c>
      <c r="C8">
        <v>11</v>
      </c>
      <c r="D8">
        <v>262</v>
      </c>
    </row>
    <row r="9" spans="1:4" x14ac:dyDescent="0.2">
      <c r="A9" s="3" t="s">
        <v>75</v>
      </c>
      <c r="B9">
        <v>46</v>
      </c>
      <c r="C9">
        <v>5</v>
      </c>
      <c r="D9">
        <v>51</v>
      </c>
    </row>
    <row r="10" spans="1:4" x14ac:dyDescent="0.2">
      <c r="A10" s="3" t="s">
        <v>68</v>
      </c>
      <c r="B10">
        <v>1477</v>
      </c>
      <c r="C10">
        <v>199</v>
      </c>
      <c r="D10">
        <v>1676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48859-CBEB-EF4E-9EBE-662D366496BD}">
  <dimension ref="A3:B7"/>
  <sheetViews>
    <sheetView workbookViewId="0">
      <selection activeCell="K13" sqref="K13"/>
    </sheetView>
  </sheetViews>
  <sheetFormatPr baseColWidth="10" defaultRowHeight="16" x14ac:dyDescent="0.2"/>
  <cols>
    <col min="1" max="1" width="13" bestFit="1" customWidth="1"/>
    <col min="2" max="2" width="18.5" bestFit="1" customWidth="1"/>
    <col min="3" max="3" width="15.5" bestFit="1" customWidth="1"/>
    <col min="4" max="4" width="10.5" bestFit="1" customWidth="1"/>
    <col min="5" max="6" width="5.83203125" bestFit="1" customWidth="1"/>
    <col min="7" max="7" width="10.5" bestFit="1" customWidth="1"/>
  </cols>
  <sheetData>
    <row r="3" spans="1:2" x14ac:dyDescent="0.2">
      <c r="A3" s="2" t="s">
        <v>69</v>
      </c>
      <c r="B3" t="s">
        <v>70</v>
      </c>
    </row>
    <row r="4" spans="1:2" x14ac:dyDescent="0.2">
      <c r="A4" s="3" t="s">
        <v>81</v>
      </c>
      <c r="B4">
        <v>859</v>
      </c>
    </row>
    <row r="5" spans="1:2" x14ac:dyDescent="0.2">
      <c r="A5" s="3" t="s">
        <v>79</v>
      </c>
      <c r="B5">
        <v>593</v>
      </c>
    </row>
    <row r="6" spans="1:2" x14ac:dyDescent="0.2">
      <c r="A6" s="3" t="s">
        <v>80</v>
      </c>
      <c r="B6">
        <v>224</v>
      </c>
    </row>
    <row r="7" spans="1:2" x14ac:dyDescent="0.2">
      <c r="A7" s="3" t="s">
        <v>68</v>
      </c>
      <c r="B7">
        <v>1676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A75F-FF2E-194E-9D58-9CB3206173F8}">
  <dimension ref="A3:D8"/>
  <sheetViews>
    <sheetView workbookViewId="0">
      <selection activeCell="K9" sqref="K9"/>
    </sheetView>
  </sheetViews>
  <sheetFormatPr baseColWidth="10" defaultRowHeight="16" x14ac:dyDescent="0.2"/>
  <cols>
    <col min="1" max="1" width="18.5" bestFit="1" customWidth="1"/>
    <col min="2" max="2" width="16" bestFit="1" customWidth="1"/>
    <col min="3" max="3" width="15.5" bestFit="1" customWidth="1"/>
    <col min="4" max="4" width="10.5" bestFit="1" customWidth="1"/>
    <col min="5" max="5" width="23" bestFit="1" customWidth="1"/>
    <col min="6" max="6" width="24.33203125" bestFit="1" customWidth="1"/>
    <col min="7" max="7" width="10.5" bestFit="1" customWidth="1"/>
  </cols>
  <sheetData>
    <row r="3" spans="1:4" x14ac:dyDescent="0.2">
      <c r="A3" s="2" t="s">
        <v>70</v>
      </c>
      <c r="B3" s="2" t="s">
        <v>65</v>
      </c>
    </row>
    <row r="4" spans="1:4" x14ac:dyDescent="0.2">
      <c r="A4" s="2" t="s">
        <v>69</v>
      </c>
      <c r="B4" t="s">
        <v>66</v>
      </c>
      <c r="C4" t="s">
        <v>67</v>
      </c>
      <c r="D4" t="s">
        <v>68</v>
      </c>
    </row>
    <row r="5" spans="1:4" x14ac:dyDescent="0.2">
      <c r="A5" s="3" t="s">
        <v>50</v>
      </c>
      <c r="B5">
        <v>353</v>
      </c>
      <c r="C5">
        <v>24</v>
      </c>
      <c r="D5">
        <v>377</v>
      </c>
    </row>
    <row r="6" spans="1:4" x14ac:dyDescent="0.2">
      <c r="A6" s="3" t="s">
        <v>48</v>
      </c>
      <c r="B6">
        <v>716</v>
      </c>
      <c r="C6">
        <v>61</v>
      </c>
      <c r="D6">
        <v>777</v>
      </c>
    </row>
    <row r="7" spans="1:4" x14ac:dyDescent="0.2">
      <c r="A7" s="3" t="s">
        <v>41</v>
      </c>
      <c r="B7">
        <v>408</v>
      </c>
      <c r="C7">
        <v>114</v>
      </c>
      <c r="D7">
        <v>522</v>
      </c>
    </row>
    <row r="8" spans="1:4" x14ac:dyDescent="0.2">
      <c r="A8" s="3" t="s">
        <v>68</v>
      </c>
      <c r="B8">
        <v>1477</v>
      </c>
      <c r="C8">
        <v>199</v>
      </c>
      <c r="D8">
        <v>1676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1AB4-A110-704A-B0AD-033383EE8CA1}">
  <dimension ref="A3:B7"/>
  <sheetViews>
    <sheetView workbookViewId="0">
      <selection activeCell="K17" sqref="K17"/>
    </sheetView>
  </sheetViews>
  <sheetFormatPr baseColWidth="10" defaultRowHeight="16" x14ac:dyDescent="0.2"/>
  <cols>
    <col min="1" max="1" width="15.5" bestFit="1" customWidth="1"/>
    <col min="2" max="2" width="18.5" bestFit="1" customWidth="1"/>
    <col min="3" max="3" width="15.5" bestFit="1" customWidth="1"/>
    <col min="4" max="4" width="10.5" bestFit="1" customWidth="1"/>
    <col min="5" max="5" width="23" bestFit="1" customWidth="1"/>
    <col min="6" max="6" width="25.6640625" bestFit="1" customWidth="1"/>
    <col min="7" max="7" width="10.5" bestFit="1" customWidth="1"/>
  </cols>
  <sheetData>
    <row r="3" spans="1:2" x14ac:dyDescent="0.2">
      <c r="A3" s="2" t="s">
        <v>69</v>
      </c>
      <c r="B3" t="s">
        <v>70</v>
      </c>
    </row>
    <row r="4" spans="1:2" x14ac:dyDescent="0.2">
      <c r="A4" s="3" t="s">
        <v>36</v>
      </c>
      <c r="B4">
        <v>1184</v>
      </c>
    </row>
    <row r="5" spans="1:2" x14ac:dyDescent="0.2">
      <c r="A5" s="3" t="s">
        <v>44</v>
      </c>
      <c r="B5">
        <v>320</v>
      </c>
    </row>
    <row r="6" spans="1:2" x14ac:dyDescent="0.2">
      <c r="A6" s="3" t="s">
        <v>52</v>
      </c>
      <c r="B6">
        <v>172</v>
      </c>
    </row>
    <row r="7" spans="1:2" x14ac:dyDescent="0.2">
      <c r="A7" s="3" t="s">
        <v>68</v>
      </c>
      <c r="B7">
        <v>1676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862F-3397-4E42-825D-02EB9DF3B109}">
  <dimension ref="A3:D11"/>
  <sheetViews>
    <sheetView zoomScaleNormal="100" workbookViewId="0">
      <selection activeCell="E19" sqref="E19"/>
    </sheetView>
  </sheetViews>
  <sheetFormatPr baseColWidth="10" defaultRowHeight="16" x14ac:dyDescent="0.2"/>
  <cols>
    <col min="1" max="1" width="18.5" bestFit="1" customWidth="1"/>
    <col min="2" max="2" width="16" bestFit="1" customWidth="1"/>
    <col min="3" max="3" width="15.5" bestFit="1" customWidth="1"/>
    <col min="4" max="4" width="10.5" bestFit="1" customWidth="1"/>
    <col min="5" max="5" width="23" bestFit="1" customWidth="1"/>
    <col min="6" max="6" width="25.6640625" bestFit="1" customWidth="1"/>
    <col min="7" max="7" width="10.5" bestFit="1" customWidth="1"/>
  </cols>
  <sheetData>
    <row r="3" spans="1:4" x14ac:dyDescent="0.2">
      <c r="A3" s="2" t="s">
        <v>70</v>
      </c>
      <c r="B3" s="2" t="s">
        <v>65</v>
      </c>
    </row>
    <row r="4" spans="1:4" x14ac:dyDescent="0.2">
      <c r="A4" s="2" t="s">
        <v>69</v>
      </c>
      <c r="B4" t="s">
        <v>66</v>
      </c>
      <c r="C4" t="s">
        <v>67</v>
      </c>
      <c r="D4" t="s">
        <v>68</v>
      </c>
    </row>
    <row r="5" spans="1:4" x14ac:dyDescent="0.2">
      <c r="A5" s="3" t="s">
        <v>56</v>
      </c>
      <c r="B5">
        <v>127</v>
      </c>
      <c r="C5">
        <v>22</v>
      </c>
      <c r="D5">
        <v>149</v>
      </c>
    </row>
    <row r="6" spans="1:4" x14ac:dyDescent="0.2">
      <c r="A6" s="3" t="s">
        <v>47</v>
      </c>
      <c r="B6">
        <v>80</v>
      </c>
      <c r="C6">
        <v>8</v>
      </c>
      <c r="D6">
        <v>88</v>
      </c>
    </row>
    <row r="7" spans="1:4" x14ac:dyDescent="0.2">
      <c r="A7" s="3" t="s">
        <v>49</v>
      </c>
      <c r="B7">
        <v>473</v>
      </c>
      <c r="C7">
        <v>51</v>
      </c>
      <c r="D7">
        <v>524</v>
      </c>
    </row>
    <row r="8" spans="1:4" x14ac:dyDescent="0.2">
      <c r="A8" s="3" t="s">
        <v>55</v>
      </c>
      <c r="B8">
        <v>161</v>
      </c>
      <c r="C8">
        <v>28</v>
      </c>
      <c r="D8">
        <v>189</v>
      </c>
    </row>
    <row r="9" spans="1:4" x14ac:dyDescent="0.2">
      <c r="A9" s="3" t="s">
        <v>38</v>
      </c>
      <c r="B9">
        <v>613</v>
      </c>
      <c r="C9">
        <v>84</v>
      </c>
      <c r="D9">
        <v>697</v>
      </c>
    </row>
    <row r="10" spans="1:4" x14ac:dyDescent="0.2">
      <c r="A10" s="3" t="s">
        <v>57</v>
      </c>
      <c r="B10">
        <v>23</v>
      </c>
      <c r="C10">
        <v>6</v>
      </c>
      <c r="D10">
        <v>29</v>
      </c>
    </row>
    <row r="11" spans="1:4" x14ac:dyDescent="0.2">
      <c r="A11" s="3" t="s">
        <v>68</v>
      </c>
      <c r="B11">
        <v>1477</v>
      </c>
      <c r="C11">
        <v>199</v>
      </c>
      <c r="D11">
        <v>1676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25318-713F-8342-B7D2-D9956E0DD771}">
  <dimension ref="A3:D7"/>
  <sheetViews>
    <sheetView zoomScaleNormal="100" workbookViewId="0">
      <selection activeCell="D5" sqref="D5"/>
    </sheetView>
  </sheetViews>
  <sheetFormatPr baseColWidth="10" defaultRowHeight="16" x14ac:dyDescent="0.2"/>
  <cols>
    <col min="1" max="1" width="18.5" bestFit="1" customWidth="1"/>
    <col min="2" max="2" width="16" bestFit="1" customWidth="1"/>
    <col min="3" max="3" width="15.5" bestFit="1" customWidth="1"/>
    <col min="4" max="4" width="10.5" bestFit="1" customWidth="1"/>
    <col min="5" max="5" width="23" bestFit="1" customWidth="1"/>
    <col min="6" max="6" width="25.6640625" bestFit="1" customWidth="1"/>
    <col min="7" max="7" width="10.5" bestFit="1" customWidth="1"/>
  </cols>
  <sheetData>
    <row r="3" spans="1:4" x14ac:dyDescent="0.2">
      <c r="A3" s="2" t="s">
        <v>70</v>
      </c>
      <c r="B3" s="2" t="s">
        <v>65</v>
      </c>
    </row>
    <row r="4" spans="1:4" x14ac:dyDescent="0.2">
      <c r="A4" s="2" t="s">
        <v>69</v>
      </c>
      <c r="B4" t="s">
        <v>66</v>
      </c>
      <c r="C4" t="s">
        <v>67</v>
      </c>
      <c r="D4" t="s">
        <v>68</v>
      </c>
    </row>
    <row r="5" spans="1:4" x14ac:dyDescent="0.2">
      <c r="A5" s="3" t="s">
        <v>39</v>
      </c>
      <c r="B5" s="4">
        <v>0.87315634218289084</v>
      </c>
      <c r="C5" s="4">
        <v>0.12684365781710916</v>
      </c>
      <c r="D5" s="4">
        <v>1</v>
      </c>
    </row>
    <row r="6" spans="1:4" x14ac:dyDescent="0.2">
      <c r="A6" s="3" t="s">
        <v>46</v>
      </c>
      <c r="B6" s="4">
        <v>0.88677354709418843</v>
      </c>
      <c r="C6" s="4">
        <v>0.11322645290581163</v>
      </c>
      <c r="D6" s="4">
        <v>1</v>
      </c>
    </row>
    <row r="7" spans="1:4" x14ac:dyDescent="0.2">
      <c r="A7" s="3" t="s">
        <v>68</v>
      </c>
      <c r="B7" s="4">
        <v>0.88126491646778038</v>
      </c>
      <c r="C7" s="4">
        <v>0.11873508353221957</v>
      </c>
      <c r="D7"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68B9-6C54-F64E-8F38-C0790E8C64D1}">
  <dimension ref="A3:B7"/>
  <sheetViews>
    <sheetView zoomScaleNormal="100" workbookViewId="0">
      <selection activeCell="E17" sqref="E17"/>
    </sheetView>
  </sheetViews>
  <sheetFormatPr baseColWidth="10" defaultRowHeight="16" x14ac:dyDescent="0.2"/>
  <cols>
    <col min="1" max="1" width="13" bestFit="1" customWidth="1"/>
    <col min="2" max="2" width="18.5" bestFit="1" customWidth="1"/>
    <col min="3" max="3" width="15.5" bestFit="1" customWidth="1"/>
    <col min="4" max="4" width="10.5" bestFit="1" customWidth="1"/>
    <col min="5" max="5" width="23" bestFit="1" customWidth="1"/>
    <col min="6" max="6" width="23.1640625" bestFit="1" customWidth="1"/>
    <col min="7" max="7" width="10.5" bestFit="1" customWidth="1"/>
  </cols>
  <sheetData>
    <row r="3" spans="1:2" x14ac:dyDescent="0.2">
      <c r="A3" s="2" t="s">
        <v>69</v>
      </c>
      <c r="B3" t="s">
        <v>70</v>
      </c>
    </row>
    <row r="4" spans="1:2" x14ac:dyDescent="0.2">
      <c r="A4" s="3" t="s">
        <v>37</v>
      </c>
      <c r="B4">
        <v>531</v>
      </c>
    </row>
    <row r="5" spans="1:2" x14ac:dyDescent="0.2">
      <c r="A5" s="3" t="s">
        <v>45</v>
      </c>
      <c r="B5">
        <v>796</v>
      </c>
    </row>
    <row r="6" spans="1:2" x14ac:dyDescent="0.2">
      <c r="A6" s="3" t="s">
        <v>54</v>
      </c>
      <c r="B6">
        <v>349</v>
      </c>
    </row>
    <row r="7" spans="1:2" x14ac:dyDescent="0.2">
      <c r="A7" s="3" t="s">
        <v>68</v>
      </c>
      <c r="B7">
        <v>1676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FA2D1-28F5-A84C-9433-02A6F8445E42}">
  <dimension ref="A3:B6"/>
  <sheetViews>
    <sheetView zoomScaleNormal="100" workbookViewId="0">
      <selection activeCell="F15" sqref="F15"/>
    </sheetView>
  </sheetViews>
  <sheetFormatPr baseColWidth="10" defaultRowHeight="16" x14ac:dyDescent="0.2"/>
  <cols>
    <col min="1" max="1" width="15.6640625" bestFit="1" customWidth="1"/>
    <col min="2" max="2" width="18.5" bestFit="1" customWidth="1"/>
    <col min="3" max="3" width="20.83203125" bestFit="1" customWidth="1"/>
    <col min="4" max="4" width="10.5" bestFit="1" customWidth="1"/>
    <col min="5" max="5" width="23" bestFit="1" customWidth="1"/>
    <col min="6" max="6" width="23.1640625" bestFit="1" customWidth="1"/>
    <col min="7" max="7" width="10.5" bestFit="1" customWidth="1"/>
  </cols>
  <sheetData>
    <row r="3" spans="1:2" x14ac:dyDescent="0.2">
      <c r="A3" s="2" t="s">
        <v>69</v>
      </c>
      <c r="B3" t="s">
        <v>70</v>
      </c>
    </row>
    <row r="4" spans="1:2" x14ac:dyDescent="0.2">
      <c r="A4" s="3" t="s">
        <v>66</v>
      </c>
      <c r="B4">
        <v>1477</v>
      </c>
    </row>
    <row r="5" spans="1:2" x14ac:dyDescent="0.2">
      <c r="A5" s="3" t="s">
        <v>67</v>
      </c>
      <c r="B5">
        <v>199</v>
      </c>
    </row>
    <row r="6" spans="1:2" x14ac:dyDescent="0.2">
      <c r="A6" s="3" t="s">
        <v>68</v>
      </c>
      <c r="B6">
        <v>1676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watson_healthcare_modified</vt:lpstr>
      <vt:lpstr>Pre-analysis board</vt:lpstr>
      <vt:lpstr>Dashboard</vt:lpstr>
      <vt:lpstr>In-analysis board</vt:lpstr>
      <vt:lpstr>Recommendation</vt:lpstr>
      <vt:lpstr>Calculations</vt:lpstr>
      <vt:lpstr>Attrition by age group</vt:lpstr>
      <vt:lpstr>Attrition by age group (2)</vt:lpstr>
      <vt:lpstr>Attrition by marital status</vt:lpstr>
      <vt:lpstr>Attrition by business travel</vt:lpstr>
      <vt:lpstr>Attrition by employee education</vt:lpstr>
      <vt:lpstr>Attrition by gender</vt:lpstr>
      <vt:lpstr>Attrition by department</vt:lpstr>
      <vt:lpstr>Overall attrition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Eberle</dc:creator>
  <cp:lastModifiedBy>Scott Eberle</cp:lastModifiedBy>
  <dcterms:created xsi:type="dcterms:W3CDTF">2025-09-21T08:05:14Z</dcterms:created>
  <dcterms:modified xsi:type="dcterms:W3CDTF">2025-11-21T13:00:51Z</dcterms:modified>
</cp:coreProperties>
</file>